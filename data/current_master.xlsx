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5.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Service Events" sheetId="2" state="visible" r:id="rId2"/>
    <sheet xmlns:r="http://schemas.openxmlformats.org/officeDocument/2006/relationships" name="Work Orders &amp; Ledger" sheetId="3" state="visible" r:id="rId3"/>
    <sheet xmlns:r="http://schemas.openxmlformats.org/officeDocument/2006/relationships" name="Analytics" sheetId="4" state="visible" r:id="rId4"/>
    <sheet xmlns:r="http://schemas.openxmlformats.org/officeDocument/2006/relationships" name="Exceptions &amp; Audit" sheetId="5" state="visible" r:id="rId5"/>
    <sheet xmlns:r="http://schemas.openxmlformats.org/officeDocument/2006/relationships" name="Governance" sheetId="6" state="visible" r:id="rId6"/>
    <sheet xmlns:r="http://schemas.openxmlformats.org/officeDocument/2006/relationships" name="Self-Healing Rules" sheetId="7" state="visible" r:id="rId7"/>
    <sheet xmlns:r="http://schemas.openxmlformats.org/officeDocument/2006/relationships" name="Career Analytics" sheetId="8" state="visible" r:id="rId8"/>
    <sheet xmlns:r="http://schemas.openxmlformats.org/officeDocument/2006/relationships" name="Career Eras" sheetId="9" state="visible" r:id="rId9"/>
    <sheet xmlns:r="http://schemas.openxmlformats.org/officeDocument/2006/relationships" name="Month 4 Updates" sheetId="10" state="visible" r:id="rId10"/>
    <sheet xmlns:r="http://schemas.openxmlformats.org/officeDocument/2006/relationships" name="Month 4 Closeout 2026-07-24" sheetId="11" state="visible" r:id="rId11"/>
  </sheets>
  <definedNames/>
</workbook>
</file>

<file path=xl/styles.xml><?xml version="1.0" encoding="utf-8"?>
<styleSheet xmlns="http://schemas.openxmlformats.org/spreadsheetml/2006/main">
  <numFmts count="5">
    <numFmt numFmtId="164" formatCode="$#,##0.00"/>
    <numFmt numFmtId="165" formatCode="0.0%"/>
    <numFmt numFmtId="166" formatCode="yyyy-mm-dd"/>
    <numFmt numFmtId="167" formatCode="mm/dd/yyyy"/>
    <numFmt numFmtId="168" formatCode="yyyy-mm-dd h:mm:ss"/>
  </numFmts>
  <fonts count="42">
    <font>
      <name val="Carlito"/>
      <sz val="11"/>
    </font>
    <font>
      <name val="Carlito"/>
      <b val="1"/>
      <color rgb="FFFFFFFF"/>
      <sz val="20"/>
    </font>
    <font>
      <name val="Carlito"/>
      <b val="1"/>
      <color rgb="FFFFFFFF"/>
      <sz val="11"/>
    </font>
    <font>
      <name val="Carlito"/>
      <b val="1"/>
      <color rgb="FF1F2937"/>
      <sz val="11"/>
    </font>
    <font>
      <name val="Carlito"/>
      <b val="1"/>
      <color rgb="FFFFFFFF"/>
      <sz val="18"/>
    </font>
    <font>
      <name val="Aptos"/>
      <b val="1"/>
      <color rgb="FFFFFFFF"/>
      <sz val="10"/>
    </font>
    <font>
      <name val="Aptos"/>
      <sz val="10"/>
    </font>
    <font>
      <name val="Aptos"/>
      <b val="1"/>
      <color rgb="FFFFFFFF"/>
      <sz val="18"/>
    </font>
    <font>
      <name val="Carlito"/>
      <b val="1"/>
      <sz val="11"/>
    </font>
    <font>
      <name val="Aptos"/>
      <b val="1"/>
      <color rgb="FFFFFFFF"/>
      <sz val="19"/>
    </font>
    <font>
      <name val="Carlito"/>
      <b val="1"/>
      <color rgb="FFFFFFFF"/>
      <sz val="19"/>
    </font>
    <font>
      <name val="Aptos"/>
      <b val="1"/>
      <color rgb="FFFFFFFF"/>
      <sz val="22"/>
    </font>
    <font>
      <name val="Carlito"/>
      <b val="1"/>
      <color rgb="FFFFFFFF"/>
      <sz val="22"/>
    </font>
    <font>
      <name val="Carlito"/>
      <i val="1"/>
      <color rgb="FF1F2937"/>
      <sz val="10"/>
    </font>
    <font>
      <name val="Carlito"/>
      <b val="1"/>
      <color rgb="FF1F2937"/>
      <sz val="10"/>
    </font>
    <font>
      <name val="Carlito"/>
      <b val="1"/>
      <color rgb="FF17365D"/>
      <sz val="18"/>
    </font>
    <font>
      <name val="Carlito"/>
      <b val="1"/>
      <color rgb="FFFFFFFF"/>
      <sz val="17"/>
    </font>
    <font>
      <name val="Carlito"/>
      <i val="1"/>
      <color rgb="FF1F2937"/>
      <sz val="11"/>
    </font>
    <font>
      <name val="Carlito"/>
      <b val="1"/>
      <color rgb="FF17365D"/>
      <sz val="16"/>
    </font>
    <font>
      <name val="Carlito"/>
      <b val="1"/>
      <color rgb="FFFFFFFF"/>
      <sz val="12"/>
    </font>
    <font>
      <name val="Carlito"/>
      <b val="1"/>
      <color rgb="FFFFFFFF"/>
      <sz val="15"/>
    </font>
    <font>
      <name val="Carlito"/>
      <b val="1"/>
      <color rgb="FF1F4E78"/>
      <sz val="10"/>
    </font>
    <font>
      <name val="Carlito"/>
      <b val="1"/>
      <color rgb="FF1F4E78"/>
      <sz val="11"/>
    </font>
    <font>
      <name val="Carlito"/>
      <b val="1"/>
      <color rgb="FF17365D"/>
      <sz val="11"/>
    </font>
    <font>
      <name val="Carlito"/>
      <i val="1"/>
      <color rgb="FF404040"/>
      <sz val="11"/>
    </font>
    <font>
      <name val="Carlito"/>
      <b val="1"/>
      <color rgb="FFFFFFFF"/>
      <sz val="9"/>
    </font>
    <font>
      <name val="Carlito"/>
      <sz val="9"/>
    </font>
    <font>
      <name val="Carlito"/>
      <b val="1"/>
      <color rgb="FFFFFFFF"/>
      <sz val="14"/>
    </font>
    <font>
      <name val="Carlito"/>
      <color rgb="FF1F2937"/>
      <sz val="11"/>
    </font>
    <font>
      <name val="Aptos"/>
      <color rgb="FF0B132B"/>
      <sz val="10"/>
    </font>
    <font>
      <name val="Aptos"/>
      <b val="1"/>
      <color rgb="FFFFFFFF"/>
      <sz val="20"/>
    </font>
    <font>
      <name val="Aptos"/>
      <b val="1"/>
      <color rgb="FFFFFFFF"/>
      <sz val="13"/>
    </font>
    <font>
      <name val="Aptos"/>
      <b val="1"/>
      <color rgb="FF14213D"/>
      <sz val="10"/>
    </font>
    <font>
      <name val="Aptos"/>
      <b val="1"/>
      <color rgb="FFB8860B"/>
      <sz val="10"/>
    </font>
    <font>
      <name val="Aptos"/>
      <b val="1"/>
      <color rgb="FF0B132B"/>
      <sz val="11"/>
    </font>
    <font>
      <name val="Aptos"/>
      <i val="1"/>
      <color rgb="FF5F6368"/>
      <sz val="10"/>
    </font>
    <font>
      <name val="Aptos"/>
      <b val="1"/>
      <color rgb="FFFFFFFF"/>
      <sz val="12"/>
    </font>
    <font>
      <name val="Carlito"/>
      <b val="1"/>
      <color rgb="FFFFFFFF"/>
      <sz val="16"/>
    </font>
    <font>
      <name val="Carlito"/>
      <i val="1"/>
      <color rgb="FF1F1F1F"/>
      <sz val="11"/>
    </font>
    <font>
      <name val="Carlito"/>
      <b val="1"/>
      <color rgb="FF7F6000"/>
      <sz val="11"/>
    </font>
    <font>
      <name val="Carlito"/>
      <b val="1"/>
      <color rgb="FF274E13"/>
      <sz val="11"/>
    </font>
    <font>
      <name val="Aptos"/>
      <b val="1"/>
      <color rgb="FF274E13"/>
      <sz val="10"/>
    </font>
  </fonts>
  <fills count="67">
    <fill>
      <patternFill/>
    </fill>
    <fill>
      <patternFill patternType="gray125"/>
    </fill>
    <fill>
      <patternFill patternType="solid">
        <fgColor rgb="FF17365D"/>
      </patternFill>
    </fill>
    <fill>
      <patternFill patternType="solid">
        <fgColor rgb="FF1F4E78"/>
      </patternFill>
    </fill>
    <fill>
      <patternFill patternType="solid">
        <fgColor rgb="FFD9EAF7"/>
      </patternFill>
    </fill>
    <fill>
      <patternFill patternType="solid">
        <fgColor rgb="FF17365D"/>
      </patternFill>
    </fill>
    <fill>
      <patternFill patternType="solid">
        <fgColor rgb="FF1F4E78"/>
      </patternFill>
    </fill>
    <fill>
      <patternFill patternType="solid">
        <fgColor rgb="FFD9EAF7"/>
      </patternFill>
    </fill>
    <fill>
      <patternFill patternType="solid">
        <fgColor rgb="FF17365D"/>
      </patternFill>
    </fill>
    <fill>
      <patternFill patternType="solid">
        <fgColor rgb="FF1F4E78"/>
      </patternFill>
    </fill>
    <fill>
      <patternFill patternType="solid">
        <fgColor rgb="FFD9EAF7"/>
      </patternFill>
    </fill>
    <fill>
      <patternFill patternType="solid">
        <fgColor rgb="FF17365D"/>
      </patternFill>
    </fill>
    <fill>
      <patternFill patternType="solid">
        <fgColor rgb="FFD9E2F3"/>
      </patternFill>
    </fill>
    <fill>
      <patternFill patternType="solid">
        <fgColor rgb="FFD9EAF7"/>
      </patternFill>
    </fill>
    <fill>
      <patternFill patternType="solid">
        <fgColor rgb="FFFFFFFF"/>
      </patternFill>
    </fill>
    <fill>
      <patternFill patternType="solid">
        <fgColor rgb="FFE2F0D9"/>
      </patternFill>
    </fill>
    <fill>
      <patternFill patternType="solid">
        <fgColor rgb="FFFFF2CC"/>
      </patternFill>
    </fill>
    <fill>
      <patternFill patternType="solid">
        <fgColor rgb="FFFCE8E6"/>
      </patternFill>
    </fill>
    <fill>
      <patternFill patternType="solid">
        <fgColor rgb="FF1F4E78"/>
      </patternFill>
    </fill>
    <fill>
      <patternFill patternType="solid">
        <fgColor rgb="FF17365D"/>
      </patternFill>
    </fill>
    <fill>
      <patternFill patternType="solid">
        <fgColor rgb="FF0F6B78"/>
      </patternFill>
    </fill>
    <fill>
      <patternFill patternType="solid">
        <fgColor rgb="FF1F4E78"/>
      </patternFill>
    </fill>
    <fill>
      <patternFill patternType="solid">
        <fgColor rgb="FFD9EAF7"/>
      </patternFill>
    </fill>
    <fill>
      <patternFill patternType="solid">
        <fgColor rgb="FF17365D"/>
      </patternFill>
    </fill>
    <fill>
      <patternFill patternType="solid">
        <fgColor rgb="FFD9E2F3"/>
      </patternFill>
    </fill>
    <fill>
      <patternFill patternType="solid">
        <fgColor rgb="FFD9EAF7"/>
      </patternFill>
    </fill>
    <fill>
      <patternFill patternType="solid">
        <fgColor rgb="FFF4CCCC"/>
      </patternFill>
    </fill>
    <fill>
      <patternFill patternType="solid">
        <fgColor rgb="FFFCE4D6"/>
      </patternFill>
    </fill>
    <fill>
      <patternFill patternType="solid">
        <fgColor rgb="FFFFF2CC"/>
      </patternFill>
    </fill>
    <fill>
      <patternFill patternType="solid">
        <fgColor rgb="FF1F4E78"/>
      </patternFill>
    </fill>
    <fill>
      <patternFill patternType="solid">
        <fgColor rgb="FF17365D"/>
      </patternFill>
    </fill>
    <fill>
      <patternFill patternType="solid">
        <fgColor rgb="FF1F4E78"/>
      </patternFill>
    </fill>
    <fill>
      <patternFill patternType="solid">
        <fgColor rgb="FF0F6B78"/>
      </patternFill>
    </fill>
    <fill>
      <patternFill patternType="solid">
        <fgColor rgb="FFD9EAF7"/>
      </patternFill>
    </fill>
    <fill>
      <patternFill patternType="solid">
        <fgColor rgb="FFD9EAF7"/>
      </patternFill>
    </fill>
    <fill>
      <patternFill patternType="solid">
        <fgColor rgb="FFD9EAF7"/>
      </patternFill>
    </fill>
    <fill>
      <patternFill patternType="solid">
        <fgColor rgb="FFEAF2F8"/>
      </patternFill>
    </fill>
    <fill>
      <patternFill patternType="solid">
        <fgColor rgb="FFD9EAF7"/>
      </patternFill>
    </fill>
    <fill>
      <patternFill patternType="solid">
        <fgColor rgb="FF1F4E78"/>
      </patternFill>
    </fill>
    <fill>
      <patternFill patternType="solid">
        <fgColor rgb="FF17365D"/>
      </patternFill>
    </fill>
    <fill>
      <patternFill patternType="solid">
        <fgColor rgb="FFD9EAF7"/>
      </patternFill>
    </fill>
    <fill>
      <patternFill patternType="solid">
        <fgColor rgb="FFF2F2F2"/>
      </patternFill>
    </fill>
    <fill>
      <patternFill patternType="solid">
        <fgColor rgb="FF1F4E78"/>
      </patternFill>
    </fill>
    <fill>
      <patternFill patternType="solid">
        <fgColor rgb="FFEAF3F8"/>
      </patternFill>
    </fill>
    <fill>
      <patternFill patternType="solid">
        <fgColor rgb="FF17365D"/>
      </patternFill>
    </fill>
    <fill>
      <patternFill patternType="solid">
        <fgColor rgb="FFD9E2F3"/>
      </patternFill>
    </fill>
    <fill>
      <patternFill patternType="solid">
        <fgColor rgb="FFD9EAF7"/>
      </patternFill>
    </fill>
    <fill>
      <patternFill patternType="solid">
        <fgColor rgb="FFE2F0D9"/>
      </patternFill>
    </fill>
    <fill>
      <patternFill patternType="solid">
        <fgColor rgb="FFFFF2CC"/>
      </patternFill>
    </fill>
    <fill>
      <patternFill patternType="solid">
        <fgColor rgb="FFFCE4D6"/>
      </patternFill>
    </fill>
    <fill>
      <patternFill patternType="solid">
        <fgColor rgb="FF24557A"/>
      </patternFill>
    </fill>
    <fill>
      <patternFill patternType="solid">
        <fgColor rgb="FFF3F6FA"/>
      </patternFill>
    </fill>
    <fill>
      <patternFill patternType="solid">
        <fgColor rgb="FFD9EAF7"/>
      </patternFill>
    </fill>
    <fill>
      <patternFill patternType="solid">
        <fgColor rgb="FFF7FAFC"/>
      </patternFill>
    </fill>
    <fill>
      <patternFill patternType="solid">
        <fgColor rgb="FFEAF3F8"/>
      </patternFill>
    </fill>
    <fill>
      <patternFill patternType="solid">
        <fgColor rgb="FFD9EAF7"/>
      </patternFill>
    </fill>
    <fill>
      <patternFill patternType="solid">
        <fgColor rgb="FF14213D"/>
      </patternFill>
    </fill>
    <fill>
      <patternFill patternType="solid">
        <fgColor rgb="FFB8860B"/>
      </patternFill>
    </fill>
    <fill>
      <patternFill patternType="solid">
        <fgColor rgb="FF0B132B"/>
      </patternFill>
    </fill>
    <fill>
      <patternFill patternType="solid">
        <fgColor rgb="FF1F4E78"/>
      </patternFill>
    </fill>
    <fill>
      <patternFill patternType="solid">
        <fgColor rgb="FFD9EAF7"/>
      </patternFill>
    </fill>
    <fill>
      <patternFill patternType="solid">
        <fgColor rgb="FF5B9BD5"/>
      </patternFill>
    </fill>
    <fill>
      <patternFill patternType="solid">
        <fgColor rgb="FFFCE5CD"/>
      </patternFill>
    </fill>
    <fill>
      <patternFill patternType="solid">
        <fgColor rgb="FFD9EAD3"/>
      </patternFill>
    </fill>
    <fill>
      <patternFill patternType="solid">
        <fgColor rgb="FF1F4E78"/>
      </patternFill>
    </fill>
    <fill>
      <patternFill patternType="solid">
        <fgColor rgb="FFD9EAF7"/>
      </patternFill>
    </fill>
    <fill>
      <patternFill patternType="solid">
        <fgColor rgb="FF5B9BD5"/>
      </patternFill>
    </fill>
  </fills>
  <borders count="2">
    <border/>
    <border/>
  </borders>
  <cellStyleXfs count="1">
    <xf numFmtId="0" fontId="0" fillId="0" borderId="1"/>
  </cellStyleXfs>
  <cellXfs count="735">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0" fillId="4" borderId="0" pivotButton="0" quotePrefix="0" xfId="0"/>
    <xf numFmtId="0" fontId="3" fillId="4" borderId="0" pivotButton="0" quotePrefix="0" xfId="0"/>
    <xf numFmtId="0" fontId="3" fillId="4" borderId="0" applyAlignment="1" pivotButton="0" quotePrefix="0" xfId="0">
      <alignment vertical="center"/>
    </xf>
    <xf numFmtId="0" fontId="0" fillId="4" borderId="1" pivotButton="0" quotePrefix="0" xfId="0"/>
    <xf numFmtId="0" fontId="3" fillId="4" borderId="1" pivotButton="0" quotePrefix="0" xfId="0"/>
    <xf numFmtId="0" fontId="3" fillId="4" borderId="1" applyAlignment="1" pivotButton="0" quotePrefix="0" xfId="0">
      <alignment vertical="center"/>
    </xf>
    <xf numFmtId="0" fontId="0" fillId="0" borderId="0" pivotButton="0" quotePrefix="0" xfId="0"/>
    <xf numFmtId="164" fontId="3" fillId="4" borderId="0" applyAlignment="1" pivotButton="0" quotePrefix="0" xfId="0">
      <alignment vertical="center"/>
    </xf>
    <xf numFmtId="164" fontId="0" fillId="0" borderId="0" pivotButton="0" quotePrefix="0" xfId="0"/>
    <xf numFmtId="164" fontId="3" fillId="4" borderId="1" applyAlignment="1" pivotButton="0" quotePrefix="0" xfId="0">
      <alignment vertical="center"/>
    </xf>
    <xf numFmtId="164" fontId="0" fillId="0" borderId="1" pivotButton="0" quotePrefix="0" xfId="0"/>
    <xf numFmtId="0" fontId="2" fillId="2" borderId="0" pivotButton="0" quotePrefix="0" xfId="0"/>
    <xf numFmtId="0" fontId="2" fillId="2" borderId="0" applyAlignment="1" pivotButton="0" quotePrefix="0" xfId="0">
      <alignment horizontal="center"/>
    </xf>
    <xf numFmtId="0" fontId="2" fillId="2" borderId="0" applyAlignment="1" pivotButton="0" quotePrefix="0" xfId="0">
      <alignment horizontal="center" vertical="center"/>
    </xf>
    <xf numFmtId="0" fontId="2" fillId="2" borderId="1" pivotButton="0" quotePrefix="0" xfId="0"/>
    <xf numFmtId="0" fontId="2" fillId="2" borderId="1" applyAlignment="1" pivotButton="0" quotePrefix="0" xfId="0">
      <alignment horizontal="center"/>
    </xf>
    <xf numFmtId="0" fontId="2" fillId="2" borderId="1" applyAlignment="1" pivotButton="0" quotePrefix="0" xfId="0">
      <alignment horizontal="center" vertical="center"/>
    </xf>
    <xf numFmtId="165" fontId="0" fillId="0" borderId="0" pivotButton="0" quotePrefix="0" xfId="0"/>
    <xf numFmtId="165" fontId="0" fillId="0" borderId="1" pivotButton="0" quotePrefix="0" xfId="0"/>
    <xf numFmtId="166" fontId="0" fillId="0" borderId="0" pivotButton="0" quotePrefix="0" xfId="0"/>
    <xf numFmtId="166" fontId="0" fillId="0" borderId="1"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4" fillId="2" borderId="1" pivotButton="0" quotePrefix="0" xfId="0"/>
    <xf numFmtId="0" fontId="4" fillId="2" borderId="1" applyAlignment="1" pivotButton="0" quotePrefix="0" xfId="0">
      <alignment horizontal="center"/>
    </xf>
    <xf numFmtId="0" fontId="4" fillId="2" borderId="1" applyAlignment="1" pivotButton="0" quotePrefix="0" xfId="0">
      <alignment horizontal="center" vertical="center"/>
    </xf>
    <xf numFmtId="0" fontId="5" fillId="2" borderId="0" applyAlignment="1" pivotButton="0" quotePrefix="0" xfId="0">
      <alignment horizontal="center" vertical="center"/>
    </xf>
    <xf numFmtId="0" fontId="6" fillId="0" borderId="0" pivotButton="0" quotePrefix="0" xfId="0"/>
    <xf numFmtId="0" fontId="5" fillId="2" borderId="1" applyAlignment="1" pivotButton="0" quotePrefix="0" xfId="0">
      <alignment horizontal="center" vertical="center"/>
    </xf>
    <xf numFmtId="0" fontId="6" fillId="0" borderId="1" pivotButton="0" quotePrefix="0" xfId="0"/>
    <xf numFmtId="0" fontId="5" fillId="2" borderId="0" applyAlignment="1" pivotButton="0" quotePrefix="0" xfId="0">
      <alignment horizontal="center" vertical="top"/>
    </xf>
    <xf numFmtId="0" fontId="6" fillId="0" borderId="0" applyAlignment="1" pivotButton="0" quotePrefix="0" xfId="0">
      <alignment vertical="top"/>
    </xf>
    <xf numFmtId="0" fontId="5" fillId="2" borderId="1" applyAlignment="1" pivotButton="0" quotePrefix="0" xfId="0">
      <alignment horizontal="center" vertical="top"/>
    </xf>
    <xf numFmtId="0" fontId="6" fillId="0" borderId="1" applyAlignment="1" pivotButton="0" quotePrefix="0" xfId="0">
      <alignment vertical="top"/>
    </xf>
    <xf numFmtId="0" fontId="5" fillId="2" borderId="0" applyAlignment="1" pivotButton="0" quotePrefix="0" xfId="0">
      <alignment horizontal="center" vertical="top" wrapText="1"/>
    </xf>
    <xf numFmtId="0" fontId="6" fillId="0" borderId="0" applyAlignment="1" pivotButton="0" quotePrefix="0" xfId="0">
      <alignment vertical="top" wrapText="1"/>
    </xf>
    <xf numFmtId="0" fontId="5" fillId="2" borderId="1" applyAlignment="1" pivotButton="0" quotePrefix="0" xfId="0">
      <alignment horizontal="center" vertical="top" wrapText="1"/>
    </xf>
    <xf numFmtId="0" fontId="6" fillId="0" borderId="1" applyAlignment="1" pivotButton="0" quotePrefix="0" xfId="0">
      <alignment vertical="top" wrapText="1"/>
    </xf>
    <xf numFmtId="0" fontId="5" fillId="5" borderId="0" applyAlignment="1" pivotButton="0" quotePrefix="0" xfId="0">
      <alignment horizontal="center" vertical="top" wrapText="1"/>
    </xf>
    <xf numFmtId="0" fontId="6" fillId="5" borderId="0" applyAlignment="1" pivotButton="0" quotePrefix="0" xfId="0">
      <alignment vertical="top" wrapText="1"/>
    </xf>
    <xf numFmtId="0" fontId="5" fillId="5" borderId="0" applyAlignment="1" pivotButton="0" quotePrefix="0" xfId="0">
      <alignment vertical="top" wrapText="1"/>
    </xf>
    <xf numFmtId="0" fontId="5" fillId="5" borderId="0" applyAlignment="1" pivotButton="0" quotePrefix="0" xfId="0">
      <alignment horizontal="center" vertical="center" wrapText="1"/>
    </xf>
    <xf numFmtId="0" fontId="0" fillId="5" borderId="0" pivotButton="0" quotePrefix="0" xfId="0"/>
    <xf numFmtId="0" fontId="2" fillId="5" borderId="0" pivotButton="0" quotePrefix="0" xfId="0"/>
    <xf numFmtId="0" fontId="2" fillId="5" borderId="0" applyAlignment="1" pivotButton="0" quotePrefix="0" xfId="0">
      <alignment horizontal="center"/>
    </xf>
    <xf numFmtId="0" fontId="2" fillId="5" borderId="0" applyAlignment="1" pivotButton="0" quotePrefix="0" xfId="0">
      <alignment horizontal="center" vertical="center"/>
    </xf>
    <xf numFmtId="0" fontId="4" fillId="5" borderId="0" applyAlignment="1" pivotButton="0" quotePrefix="0" xfId="0">
      <alignment horizontal="center" vertical="center"/>
    </xf>
    <xf numFmtId="0" fontId="7" fillId="5" borderId="0" applyAlignment="1" pivotButton="0" quotePrefix="0" xfId="0">
      <alignment horizontal="center" vertical="top" wrapText="1"/>
    </xf>
    <xf numFmtId="0" fontId="7" fillId="5" borderId="0" applyAlignment="1" pivotButton="0" quotePrefix="0" xfId="0">
      <alignment horizontal="center" vertical="center" wrapText="1"/>
    </xf>
    <xf numFmtId="0" fontId="2" fillId="6" borderId="0" applyAlignment="1" pivotButton="0" quotePrefix="0" xfId="0">
      <alignment vertical="center"/>
    </xf>
    <xf numFmtId="0" fontId="0" fillId="6" borderId="0" pivotButton="0" quotePrefix="0" xfId="0"/>
    <xf numFmtId="0" fontId="2" fillId="6" borderId="0" pivotButton="0" quotePrefix="0" xfId="0"/>
    <xf numFmtId="164" fontId="2" fillId="3" borderId="0" applyAlignment="1" pivotButton="0" quotePrefix="0" xfId="0">
      <alignment vertical="center"/>
    </xf>
    <xf numFmtId="164" fontId="2" fillId="2" borderId="0" applyAlignment="1" pivotButton="0" quotePrefix="0" xfId="0">
      <alignment horizontal="center" vertical="center"/>
    </xf>
    <xf numFmtId="0" fontId="5" fillId="5" borderId="0" applyAlignment="1" pivotButton="0" quotePrefix="0" xfId="0">
      <alignment horizontal="center" vertical="center"/>
    </xf>
    <xf numFmtId="0" fontId="5" fillId="5" borderId="0" applyAlignment="1" pivotButton="0" quotePrefix="0" xfId="0">
      <alignment horizontal="center" vertical="top"/>
    </xf>
    <xf numFmtId="0" fontId="0" fillId="7" borderId="0" pivotButton="0" quotePrefix="0" xfId="0"/>
    <xf numFmtId="0" fontId="8" fillId="7" borderId="0" pivotButton="0" quotePrefix="0" xfId="0"/>
    <xf numFmtId="0" fontId="6" fillId="2" borderId="0" applyAlignment="1" pivotButton="0" quotePrefix="0" xfId="0">
      <alignment vertical="top" wrapText="1"/>
    </xf>
    <xf numFmtId="0" fontId="5" fillId="2" borderId="0" applyAlignment="1" pivotButton="0" quotePrefix="0" xfId="0">
      <alignment vertical="top" wrapText="1"/>
    </xf>
    <xf numFmtId="0" fontId="5" fillId="2" borderId="0" applyAlignment="1" pivotButton="0" quotePrefix="0" xfId="0">
      <alignment horizontal="center" vertical="center" wrapText="1"/>
    </xf>
    <xf numFmtId="0" fontId="7" fillId="2" borderId="0" applyAlignment="1" pivotButton="0" quotePrefix="0" xfId="0">
      <alignment horizontal="center" vertical="top" wrapText="1"/>
    </xf>
    <xf numFmtId="0" fontId="7" fillId="2" borderId="0" applyAlignment="1" pivotButton="0" quotePrefix="0" xfId="0">
      <alignment horizontal="center" vertical="center" wrapText="1"/>
    </xf>
    <xf numFmtId="0" fontId="8" fillId="4" borderId="0" pivotButton="0" quotePrefix="0" xfId="0"/>
    <xf numFmtId="0" fontId="5" fillId="8" borderId="0" applyAlignment="1" pivotButton="0" quotePrefix="0" xfId="0">
      <alignment horizontal="center" vertical="top" wrapText="1"/>
    </xf>
    <xf numFmtId="0" fontId="6" fillId="8" borderId="0" applyAlignment="1" pivotButton="0" quotePrefix="0" xfId="0">
      <alignment vertical="top" wrapText="1"/>
    </xf>
    <xf numFmtId="0" fontId="4" fillId="8" borderId="0" applyAlignment="1" pivotButton="0" quotePrefix="0" xfId="0">
      <alignment horizontal="center" vertical="center"/>
    </xf>
    <xf numFmtId="0" fontId="0" fillId="8" borderId="0" pivotButton="0" quotePrefix="0" xfId="0"/>
    <xf numFmtId="0" fontId="9" fillId="8" borderId="0" applyAlignment="1" pivotButton="0" quotePrefix="0" xfId="0">
      <alignment horizontal="center" vertical="top" wrapText="1"/>
    </xf>
    <xf numFmtId="0" fontId="9" fillId="8" borderId="0" applyAlignment="1" pivotButton="0" quotePrefix="0" xfId="0">
      <alignment vertical="top" wrapText="1"/>
    </xf>
    <xf numFmtId="0" fontId="10" fillId="8" borderId="0" applyAlignment="1" pivotButton="0" quotePrefix="0" xfId="0">
      <alignment horizontal="center" vertical="center"/>
    </xf>
    <xf numFmtId="0" fontId="10" fillId="8" borderId="0" pivotButton="0" quotePrefix="0" xfId="0"/>
    <xf numFmtId="0" fontId="10" fillId="8" borderId="0" applyAlignment="1" pivotButton="0" quotePrefix="0" xfId="0">
      <alignment horizontal="center"/>
    </xf>
    <xf numFmtId="0" fontId="9" fillId="8" borderId="0" applyAlignment="1" pivotButton="0" quotePrefix="0" xfId="0">
      <alignment horizontal="center" vertical="center" wrapText="1"/>
    </xf>
    <xf numFmtId="0" fontId="2" fillId="9" borderId="0" applyAlignment="1" pivotButton="0" quotePrefix="0" xfId="0">
      <alignment horizontal="center" vertical="center"/>
    </xf>
    <xf numFmtId="0" fontId="0" fillId="10" borderId="0" pivotButton="0" quotePrefix="0" xfId="0"/>
    <xf numFmtId="0" fontId="3" fillId="10" borderId="0" pivotButton="0" quotePrefix="0" xfId="0"/>
    <xf numFmtId="0" fontId="0" fillId="9" borderId="0" pivotButton="0" quotePrefix="0" xfId="0"/>
    <xf numFmtId="0" fontId="2" fillId="9" borderId="0" pivotButton="0" quotePrefix="0" xfId="0"/>
    <xf numFmtId="0" fontId="2" fillId="8" borderId="0" pivotButton="0" quotePrefix="0" xfId="0"/>
    <xf numFmtId="0" fontId="2" fillId="8" borderId="0" applyAlignment="1" pivotButton="0" quotePrefix="0" xfId="0">
      <alignment horizontal="center"/>
    </xf>
    <xf numFmtId="0" fontId="2" fillId="8" borderId="0" applyAlignment="1" pivotButton="0" quotePrefix="0" xfId="0">
      <alignment horizontal="center" vertical="center"/>
    </xf>
    <xf numFmtId="0" fontId="2" fillId="9" borderId="0" applyAlignment="1" pivotButton="0" quotePrefix="0" xfId="0">
      <alignment vertical="center"/>
    </xf>
    <xf numFmtId="0" fontId="8" fillId="10" borderId="0" pivotButton="0" quotePrefix="0" xfId="0"/>
    <xf numFmtId="0" fontId="5" fillId="8" borderId="0" applyAlignment="1" pivotButton="0" quotePrefix="0" xfId="0">
      <alignment horizontal="center" vertical="center" wrapText="1"/>
    </xf>
    <xf numFmtId="0" fontId="9" fillId="2" borderId="0" applyAlignment="1" pivotButton="0" quotePrefix="0" xfId="0">
      <alignment horizontal="center" vertical="top" wrapText="1"/>
    </xf>
    <xf numFmtId="0" fontId="9" fillId="2" borderId="0" applyAlignment="1" pivotButton="0" quotePrefix="0" xfId="0">
      <alignment vertical="top" wrapText="1"/>
    </xf>
    <xf numFmtId="0" fontId="10" fillId="2" borderId="0" applyAlignment="1" pivotButton="0" quotePrefix="0" xfId="0">
      <alignment horizontal="center" vertical="center"/>
    </xf>
    <xf numFmtId="0" fontId="10" fillId="2" borderId="0" pivotButton="0" quotePrefix="0" xfId="0"/>
    <xf numFmtId="0" fontId="10" fillId="2" borderId="0" applyAlignment="1" pivotButton="0" quotePrefix="0" xfId="0">
      <alignment horizontal="center"/>
    </xf>
    <xf numFmtId="0" fontId="9" fillId="2" borderId="0" applyAlignment="1" pivotButton="0" quotePrefix="0" xfId="0">
      <alignment horizontal="center" vertical="center" wrapText="1"/>
    </xf>
    <xf numFmtId="0" fontId="2" fillId="3" borderId="0" applyAlignment="1" pivotButton="0" quotePrefix="0" xfId="0">
      <alignment horizontal="center" vertical="center"/>
    </xf>
    <xf numFmtId="0" fontId="5" fillId="11" borderId="0" applyAlignment="1" pivotButton="0" quotePrefix="0" xfId="0">
      <alignment horizontal="center" vertical="top" wrapText="1"/>
    </xf>
    <xf numFmtId="0" fontId="6" fillId="11" borderId="0" applyAlignment="1" pivotButton="0" quotePrefix="0" xfId="0">
      <alignment vertical="top" wrapText="1"/>
    </xf>
    <xf numFmtId="0" fontId="1" fillId="11" borderId="0" applyAlignment="1" pivotButton="0" quotePrefix="0" xfId="0">
      <alignment horizontal="center" vertical="center"/>
    </xf>
    <xf numFmtId="0" fontId="0" fillId="11" borderId="0" pivotButton="0" quotePrefix="0" xfId="0"/>
    <xf numFmtId="0" fontId="11" fillId="11" borderId="0" applyAlignment="1" pivotButton="0" quotePrefix="0" xfId="0">
      <alignment horizontal="center" vertical="top" wrapText="1"/>
    </xf>
    <xf numFmtId="0" fontId="11" fillId="11" borderId="0" applyAlignment="1" pivotButton="0" quotePrefix="0" xfId="0">
      <alignment vertical="top" wrapText="1"/>
    </xf>
    <xf numFmtId="0" fontId="12" fillId="11" borderId="0" applyAlignment="1" pivotButton="0" quotePrefix="0" xfId="0">
      <alignment horizontal="center" vertical="center"/>
    </xf>
    <xf numFmtId="0" fontId="12" fillId="11" borderId="0" pivotButton="0" quotePrefix="0" xfId="0"/>
    <xf numFmtId="0" fontId="12" fillId="11" borderId="0" applyAlignment="1" pivotButton="0" quotePrefix="0" xfId="0">
      <alignment horizontal="center"/>
    </xf>
    <xf numFmtId="0" fontId="11" fillId="11" borderId="0" applyAlignment="1" pivotButton="0" quotePrefix="0" xfId="0">
      <alignment horizontal="center" vertical="center" wrapText="1"/>
    </xf>
    <xf numFmtId="0" fontId="0" fillId="12" borderId="0" pivotButton="0" quotePrefix="0" xfId="0"/>
    <xf numFmtId="0" fontId="13" fillId="12" borderId="0" pivotButton="0" quotePrefix="0" xfId="0"/>
    <xf numFmtId="0" fontId="13" fillId="12" borderId="0" applyAlignment="1" pivotButton="0" quotePrefix="0" xfId="0">
      <alignment horizontal="center"/>
    </xf>
    <xf numFmtId="0" fontId="3" fillId="13" borderId="0" applyAlignment="1" pivotButton="0" quotePrefix="0" xfId="0">
      <alignment vertical="center"/>
    </xf>
    <xf numFmtId="0" fontId="0" fillId="13" borderId="0" pivotButton="0" quotePrefix="0" xfId="0"/>
    <xf numFmtId="0" fontId="14" fillId="13" borderId="0" applyAlignment="1" pivotButton="0" quotePrefix="0" xfId="0">
      <alignment vertical="center"/>
    </xf>
    <xf numFmtId="0" fontId="14" fillId="13" borderId="0" pivotButton="0" quotePrefix="0" xfId="0"/>
    <xf numFmtId="0" fontId="14" fillId="13" borderId="0" applyAlignment="1" pivotButton="0" quotePrefix="0" xfId="0">
      <alignment horizontal="center" vertical="center"/>
    </xf>
    <xf numFmtId="0" fontId="14" fillId="13" borderId="0" applyAlignment="1" pivotButton="0" quotePrefix="0" xfId="0">
      <alignment horizontal="center"/>
    </xf>
    <xf numFmtId="0" fontId="3" fillId="14" borderId="0" applyAlignment="1" pivotButton="0" quotePrefix="0" xfId="0">
      <alignment vertical="center"/>
    </xf>
    <xf numFmtId="0" fontId="0" fillId="14" borderId="0" pivotButton="0" quotePrefix="0" xfId="0"/>
    <xf numFmtId="0" fontId="15" fillId="14" borderId="0" applyAlignment="1" pivotButton="0" quotePrefix="0" xfId="0">
      <alignment vertical="center"/>
    </xf>
    <xf numFmtId="0" fontId="15" fillId="14" borderId="0" pivotButton="0" quotePrefix="0" xfId="0"/>
    <xf numFmtId="0" fontId="15" fillId="14" borderId="0" applyAlignment="1" pivotButton="0" quotePrefix="0" xfId="0">
      <alignment vertical="center"/>
    </xf>
    <xf numFmtId="0" fontId="15" fillId="14" borderId="0" pivotButton="0" quotePrefix="0" xfId="0"/>
    <xf numFmtId="0" fontId="15" fillId="14" borderId="0" applyAlignment="1" pivotButton="0" quotePrefix="0" xfId="0">
      <alignment horizontal="center" vertical="center"/>
    </xf>
    <xf numFmtId="0" fontId="15" fillId="14" borderId="0" applyAlignment="1" pivotButton="0" quotePrefix="0" xfId="0">
      <alignment horizontal="center"/>
    </xf>
    <xf numFmtId="164" fontId="3" fillId="13" borderId="0" applyAlignment="1" pivotButton="0" quotePrefix="0" xfId="0">
      <alignment vertical="center"/>
    </xf>
    <xf numFmtId="164" fontId="0" fillId="13" borderId="0" pivotButton="0" quotePrefix="0" xfId="0"/>
    <xf numFmtId="164" fontId="14" fillId="13" borderId="0" applyAlignment="1" pivotButton="0" quotePrefix="0" xfId="0">
      <alignment vertical="center"/>
    </xf>
    <xf numFmtId="164" fontId="14" fillId="13" borderId="0" pivotButton="0" quotePrefix="0" xfId="0"/>
    <xf numFmtId="164" fontId="14" fillId="13" borderId="0" applyAlignment="1" pivotButton="0" quotePrefix="0" xfId="0">
      <alignment horizontal="center" vertical="center"/>
    </xf>
    <xf numFmtId="164" fontId="14" fillId="13" borderId="0" applyAlignment="1" pivotButton="0" quotePrefix="0" xfId="0">
      <alignment horizontal="center"/>
    </xf>
    <xf numFmtId="0" fontId="3" fillId="15" borderId="0" applyAlignment="1" pivotButton="0" quotePrefix="0" xfId="0">
      <alignment vertical="center"/>
    </xf>
    <xf numFmtId="0" fontId="0" fillId="15" borderId="0" pivotButton="0" quotePrefix="0" xfId="0"/>
    <xf numFmtId="0" fontId="15" fillId="15" borderId="0" applyAlignment="1" pivotButton="0" quotePrefix="0" xfId="0">
      <alignment vertical="center"/>
    </xf>
    <xf numFmtId="0" fontId="15" fillId="15" borderId="0" pivotButton="0" quotePrefix="0" xfId="0"/>
    <xf numFmtId="0" fontId="15" fillId="15" borderId="0" applyAlignment="1" pivotButton="0" quotePrefix="0" xfId="0">
      <alignment vertical="center"/>
    </xf>
    <xf numFmtId="0" fontId="15" fillId="15" borderId="0" pivotButton="0" quotePrefix="0" xfId="0"/>
    <xf numFmtId="0" fontId="15" fillId="15" borderId="0" applyAlignment="1" pivotButton="0" quotePrefix="0" xfId="0">
      <alignment horizontal="center" vertical="center"/>
    </xf>
    <xf numFmtId="0" fontId="15" fillId="15" borderId="0" applyAlignment="1" pivotButton="0" quotePrefix="0" xfId="0">
      <alignment horizontal="center"/>
    </xf>
    <xf numFmtId="164" fontId="15" fillId="15" borderId="0" applyAlignment="1" pivotButton="0" quotePrefix="0" xfId="0">
      <alignment horizontal="center" vertical="center"/>
    </xf>
    <xf numFmtId="0" fontId="0" fillId="16" borderId="0" pivotButton="0" quotePrefix="0" xfId="0"/>
    <xf numFmtId="0" fontId="15" fillId="16" borderId="0" pivotButton="0" quotePrefix="0" xfId="0"/>
    <xf numFmtId="0" fontId="15" fillId="16" borderId="0" pivotButton="0" quotePrefix="0" xfId="0"/>
    <xf numFmtId="0" fontId="15" fillId="16" borderId="0" applyAlignment="1" pivotButton="0" quotePrefix="0" xfId="0">
      <alignment horizontal="center"/>
    </xf>
    <xf numFmtId="0" fontId="15" fillId="16" borderId="0" applyAlignment="1" pivotButton="0" quotePrefix="0" xfId="0">
      <alignment horizontal="center" vertical="center"/>
    </xf>
    <xf numFmtId="0" fontId="0" fillId="17" borderId="0" pivotButton="0" quotePrefix="0" xfId="0"/>
    <xf numFmtId="0" fontId="15" fillId="17" borderId="0" pivotButton="0" quotePrefix="0" xfId="0"/>
    <xf numFmtId="0" fontId="15" fillId="17" borderId="0" pivotButton="0" quotePrefix="0" xfId="0"/>
    <xf numFmtId="0" fontId="15" fillId="17" borderId="0" applyAlignment="1" pivotButton="0" quotePrefix="0" xfId="0">
      <alignment horizontal="center"/>
    </xf>
    <xf numFmtId="0" fontId="15" fillId="17" borderId="0" applyAlignment="1" pivotButton="0" quotePrefix="0" xfId="0">
      <alignment horizontal="center" vertical="center"/>
    </xf>
    <xf numFmtId="0" fontId="2" fillId="18" borderId="0" applyAlignment="1" pivotButton="0" quotePrefix="0" xfId="0">
      <alignment horizontal="center" vertical="center"/>
    </xf>
    <xf numFmtId="0" fontId="0" fillId="18" borderId="0" pivotButton="0" quotePrefix="0" xfId="0"/>
    <xf numFmtId="0" fontId="2" fillId="18" borderId="0" pivotButton="0" quotePrefix="0" xfId="0"/>
    <xf numFmtId="0" fontId="2" fillId="18" borderId="0" applyAlignment="1" pivotButton="0" quotePrefix="0" xfId="0">
      <alignment vertical="center"/>
    </xf>
    <xf numFmtId="164" fontId="0" fillId="14" borderId="0" pivotButton="0" quotePrefix="0" xfId="0"/>
    <xf numFmtId="164" fontId="15" fillId="14" borderId="0" pivotButton="0" quotePrefix="0" xfId="0"/>
    <xf numFmtId="164" fontId="15" fillId="14" borderId="0" pivotButton="0" quotePrefix="0" xfId="0"/>
    <xf numFmtId="164" fontId="15" fillId="14" borderId="0" applyAlignment="1" pivotButton="0" quotePrefix="0" xfId="0">
      <alignment horizontal="center"/>
    </xf>
    <xf numFmtId="164" fontId="15" fillId="14" borderId="0" applyAlignment="1" pivotButton="0" quotePrefix="0" xfId="0">
      <alignment horizontal="center" vertical="center"/>
    </xf>
    <xf numFmtId="165" fontId="0" fillId="13" borderId="0" pivotButton="0" quotePrefix="0" xfId="0"/>
    <xf numFmtId="165" fontId="14" fillId="13" borderId="0" pivotButton="0" quotePrefix="0" xfId="0"/>
    <xf numFmtId="165" fontId="14" fillId="13" borderId="0" applyAlignment="1" pivotButton="0" quotePrefix="0" xfId="0">
      <alignment horizontal="center"/>
    </xf>
    <xf numFmtId="165" fontId="14" fillId="13" borderId="0" applyAlignment="1" pivotButton="0" quotePrefix="0" xfId="0">
      <alignment horizontal="center" vertical="center"/>
    </xf>
    <xf numFmtId="165" fontId="0" fillId="14" borderId="0" pivotButton="0" quotePrefix="0" xfId="0"/>
    <xf numFmtId="165" fontId="15" fillId="14" borderId="0" pivotButton="0" quotePrefix="0" xfId="0"/>
    <xf numFmtId="165" fontId="15" fillId="14" borderId="0" pivotButton="0" quotePrefix="0" xfId="0"/>
    <xf numFmtId="165" fontId="15" fillId="14" borderId="0" applyAlignment="1" pivotButton="0" quotePrefix="0" xfId="0">
      <alignment horizontal="center"/>
    </xf>
    <xf numFmtId="165" fontId="15" fillId="14" borderId="0" applyAlignment="1" pivotButton="0" quotePrefix="0" xfId="0">
      <alignment horizontal="center" vertical="center"/>
    </xf>
    <xf numFmtId="164" fontId="15" fillId="16" borderId="0" applyAlignment="1" pivotButton="0" quotePrefix="0" xfId="0">
      <alignment horizontal="center" vertical="center"/>
    </xf>
    <xf numFmtId="164" fontId="0" fillId="18" borderId="0" pivotButton="0" quotePrefix="0" xfId="0"/>
    <xf numFmtId="165" fontId="0" fillId="18" borderId="0" pivotButton="0" quotePrefix="0" xfId="0"/>
    <xf numFmtId="164" fontId="2" fillId="18" borderId="0" pivotButton="0" quotePrefix="0" xfId="0"/>
    <xf numFmtId="165" fontId="2" fillId="18" borderId="0" pivotButton="0" quotePrefix="0" xfId="0"/>
    <xf numFmtId="164" fontId="2" fillId="18" borderId="0" applyAlignment="1" pivotButton="0" quotePrefix="0" xfId="0">
      <alignment vertical="center"/>
    </xf>
    <xf numFmtId="165" fontId="2" fillId="18" borderId="0" applyAlignment="1" pivotButton="0" quotePrefix="0" xfId="0">
      <alignment vertical="center"/>
    </xf>
    <xf numFmtId="0" fontId="2" fillId="14" borderId="0" applyAlignment="1" pivotButton="0" quotePrefix="0" xfId="0">
      <alignment vertical="center"/>
    </xf>
    <xf numFmtId="0" fontId="2" fillId="14" borderId="0" applyAlignment="1" pivotButton="0" quotePrefix="0" xfId="0">
      <alignment horizontal="center" vertical="center"/>
    </xf>
    <xf numFmtId="0" fontId="15" fillId="14" borderId="0" applyAlignment="1" pivotButton="0" quotePrefix="0" xfId="0">
      <alignment horizontal="center" vertical="center"/>
    </xf>
    <xf numFmtId="2" fontId="15" fillId="14" borderId="0" applyAlignment="1" pivotButton="0" quotePrefix="0" xfId="0">
      <alignment horizontal="center" vertical="center"/>
    </xf>
    <xf numFmtId="164" fontId="15" fillId="17" borderId="0" applyAlignment="1" pivotButton="0" quotePrefix="0" xfId="0">
      <alignment horizontal="center" vertical="center"/>
    </xf>
    <xf numFmtId="0" fontId="14" fillId="13" borderId="0" applyAlignment="1" pivotButton="0" quotePrefix="0" xfId="0">
      <alignment horizontal="center" vertical="center"/>
    </xf>
    <xf numFmtId="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0" fillId="0" borderId="0" applyAlignment="1" pivotButton="0" quotePrefix="0" xfId="0">
      <alignment wrapText="1"/>
    </xf>
    <xf numFmtId="0" fontId="5" fillId="11" borderId="0" applyAlignment="1" pivotButton="0" quotePrefix="0" xfId="0">
      <alignment horizontal="center" vertical="center" wrapText="1"/>
    </xf>
    <xf numFmtId="0" fontId="8" fillId="13" borderId="0" pivotButton="0" quotePrefix="0" xfId="0"/>
    <xf numFmtId="0" fontId="11" fillId="2" borderId="0" applyAlignment="1" pivotButton="0" quotePrefix="0" xfId="0">
      <alignment horizontal="center" vertical="top" wrapText="1"/>
    </xf>
    <xf numFmtId="0" fontId="11" fillId="2" borderId="0" applyAlignment="1" pivotButton="0" quotePrefix="0" xfId="0">
      <alignment vertical="top" wrapText="1"/>
    </xf>
    <xf numFmtId="0" fontId="12" fillId="2" borderId="0" applyAlignment="1" pivotButton="0" quotePrefix="0" xfId="0">
      <alignment horizontal="center" vertical="center"/>
    </xf>
    <xf numFmtId="0" fontId="12" fillId="2" borderId="0" pivotButton="0" quotePrefix="0" xfId="0"/>
    <xf numFmtId="0" fontId="12" fillId="2" borderId="0" applyAlignment="1" pivotButton="0" quotePrefix="0" xfId="0">
      <alignment horizontal="center"/>
    </xf>
    <xf numFmtId="0" fontId="11" fillId="2" borderId="0" applyAlignment="1" pivotButton="0" quotePrefix="0" xfId="0">
      <alignment horizontal="center" vertical="center" wrapText="1"/>
    </xf>
    <xf numFmtId="0" fontId="14" fillId="4" borderId="0" applyAlignment="1" pivotButton="0" quotePrefix="0" xfId="0">
      <alignment vertical="center"/>
    </xf>
    <xf numFmtId="0" fontId="14" fillId="4" borderId="0" pivotButton="0" quotePrefix="0" xfId="0"/>
    <xf numFmtId="0" fontId="14" fillId="4" borderId="0" applyAlignment="1" pivotButton="0" quotePrefix="0" xfId="0">
      <alignment horizontal="center" vertical="center"/>
    </xf>
    <xf numFmtId="0" fontId="14" fillId="4" borderId="0" applyAlignment="1" pivotButton="0" quotePrefix="0" xfId="0">
      <alignment horizontal="center"/>
    </xf>
    <xf numFmtId="164" fontId="0" fillId="4" borderId="0" pivotButton="0" quotePrefix="0" xfId="0"/>
    <xf numFmtId="164" fontId="14" fillId="4" borderId="0" applyAlignment="1" pivotButton="0" quotePrefix="0" xfId="0">
      <alignment vertical="center"/>
    </xf>
    <xf numFmtId="164" fontId="14" fillId="4" borderId="0" pivotButton="0" quotePrefix="0" xfId="0"/>
    <xf numFmtId="164" fontId="14" fillId="4" borderId="0" applyAlignment="1" pivotButton="0" quotePrefix="0" xfId="0">
      <alignment horizontal="center" vertical="center"/>
    </xf>
    <xf numFmtId="164" fontId="14" fillId="4" borderId="0" applyAlignment="1" pivotButton="0" quotePrefix="0" xfId="0">
      <alignment horizontal="center"/>
    </xf>
    <xf numFmtId="165" fontId="0" fillId="4" borderId="0" pivotButton="0" quotePrefix="0" xfId="0"/>
    <xf numFmtId="165" fontId="14" fillId="4" borderId="0" pivotButton="0" quotePrefix="0" xfId="0"/>
    <xf numFmtId="165" fontId="14" fillId="4" borderId="0" applyAlignment="1" pivotButton="0" quotePrefix="0" xfId="0">
      <alignment horizontal="center"/>
    </xf>
    <xf numFmtId="165" fontId="14" fillId="4" borderId="0" applyAlignment="1" pivotButton="0" quotePrefix="0" xfId="0">
      <alignment horizontal="center" vertical="center"/>
    </xf>
    <xf numFmtId="164" fontId="0" fillId="3" borderId="0" pivotButton="0" quotePrefix="0" xfId="0"/>
    <xf numFmtId="165" fontId="0" fillId="3" borderId="0" pivotButton="0" quotePrefix="0" xfId="0"/>
    <xf numFmtId="164" fontId="2" fillId="3" borderId="0" pivotButton="0" quotePrefix="0" xfId="0"/>
    <xf numFmtId="165" fontId="2" fillId="3" borderId="0" pivotButton="0" quotePrefix="0" xfId="0"/>
    <xf numFmtId="165" fontId="2" fillId="3" borderId="0" applyAlignment="1" pivotButton="0" quotePrefix="0" xfId="0">
      <alignment vertical="center"/>
    </xf>
    <xf numFmtId="0" fontId="14" fillId="4" borderId="0" applyAlignment="1" pivotButton="0" quotePrefix="0" xfId="0">
      <alignment horizontal="center" vertical="center"/>
    </xf>
    <xf numFmtId="0" fontId="6" fillId="19" borderId="0" applyAlignment="1" pivotButton="0" quotePrefix="0" xfId="0">
      <alignment vertical="top" wrapText="1"/>
    </xf>
    <xf numFmtId="0" fontId="0" fillId="19" borderId="0" pivotButton="0" quotePrefix="0" xfId="0"/>
    <xf numFmtId="0" fontId="5" fillId="19" borderId="0" applyAlignment="1" pivotButton="0" quotePrefix="0" xfId="0">
      <alignment vertical="top" wrapText="1"/>
    </xf>
    <xf numFmtId="0" fontId="2" fillId="19" borderId="0" pivotButton="0" quotePrefix="0" xfId="0"/>
    <xf numFmtId="0" fontId="5" fillId="19" borderId="0" applyAlignment="1" pivotButton="0" quotePrefix="0" xfId="0">
      <alignment horizontal="center" vertical="top" wrapText="1"/>
    </xf>
    <xf numFmtId="0" fontId="2" fillId="19" borderId="0" applyAlignment="1" pivotButton="0" quotePrefix="0" xfId="0">
      <alignment horizontal="center"/>
    </xf>
    <xf numFmtId="0" fontId="5" fillId="19" borderId="0" applyAlignment="1" pivotButton="0" quotePrefix="0" xfId="0">
      <alignment horizontal="center" vertical="center" wrapText="1"/>
    </xf>
    <xf numFmtId="0" fontId="2" fillId="19" borderId="0" applyAlignment="1" pivotButton="0" quotePrefix="0" xfId="0">
      <alignment horizontal="center" vertical="center"/>
    </xf>
    <xf numFmtId="0" fontId="0" fillId="20" borderId="0" pivotButton="0" quotePrefix="0" xfId="0"/>
    <xf numFmtId="0" fontId="16" fillId="20" borderId="0" pivotButton="0" quotePrefix="0" xfId="0"/>
    <xf numFmtId="0" fontId="16" fillId="20" borderId="0" applyAlignment="1" pivotButton="0" quotePrefix="0" xfId="0">
      <alignment horizontal="center"/>
    </xf>
    <xf numFmtId="0" fontId="16" fillId="20" borderId="0" applyAlignment="1" pivotButton="0" quotePrefix="0" xfId="0">
      <alignment horizontal="center" vertical="center"/>
    </xf>
    <xf numFmtId="0" fontId="0" fillId="21" borderId="0" pivotButton="0" quotePrefix="0" xfId="0"/>
    <xf numFmtId="0" fontId="2" fillId="21" borderId="0" pivotButton="0" quotePrefix="0" xfId="0"/>
    <xf numFmtId="0" fontId="2" fillId="19" borderId="0" applyAlignment="1" pivotButton="0" quotePrefix="0" xfId="0">
      <alignment horizontal="center" vertical="center"/>
    </xf>
    <xf numFmtId="0" fontId="6" fillId="0" borderId="0" applyAlignment="1" pivotButton="0" quotePrefix="0" xfId="0">
      <alignment vertical="center" wrapText="1"/>
    </xf>
    <xf numFmtId="0" fontId="0" fillId="22" borderId="0" pivotButton="0" quotePrefix="0" xfId="0"/>
    <xf numFmtId="0" fontId="8" fillId="22" borderId="0" pivotButton="0" quotePrefix="0" xfId="0"/>
    <xf numFmtId="0" fontId="2" fillId="2" borderId="0" applyAlignment="1" pivotButton="0" quotePrefix="0" xfId="0">
      <alignment horizontal="center" vertical="center"/>
    </xf>
    <xf numFmtId="0" fontId="5" fillId="23" borderId="0" applyAlignment="1" pivotButton="0" quotePrefix="0" xfId="0">
      <alignment horizontal="center" vertical="top" wrapText="1"/>
    </xf>
    <xf numFmtId="0" fontId="6" fillId="23" borderId="0" applyAlignment="1" pivotButton="0" quotePrefix="0" xfId="0">
      <alignment vertical="top" wrapText="1"/>
    </xf>
    <xf numFmtId="0" fontId="4" fillId="23" borderId="0" applyAlignment="1" pivotButton="0" quotePrefix="0" xfId="0">
      <alignment horizontal="center" vertical="center"/>
    </xf>
    <xf numFmtId="0" fontId="0" fillId="23" borderId="0" pivotButton="0" quotePrefix="0" xfId="0"/>
    <xf numFmtId="0" fontId="9" fillId="23" borderId="0" applyAlignment="1" pivotButton="0" quotePrefix="0" xfId="0">
      <alignment horizontal="center" vertical="top" wrapText="1"/>
    </xf>
    <xf numFmtId="0" fontId="9" fillId="23" borderId="0" applyAlignment="1" pivotButton="0" quotePrefix="0" xfId="0">
      <alignment vertical="top" wrapText="1"/>
    </xf>
    <xf numFmtId="0" fontId="10" fillId="23" borderId="0" applyAlignment="1" pivotButton="0" quotePrefix="0" xfId="0">
      <alignment horizontal="center" vertical="center"/>
    </xf>
    <xf numFmtId="0" fontId="10" fillId="23" borderId="0" pivotButton="0" quotePrefix="0" xfId="0"/>
    <xf numFmtId="0" fontId="10" fillId="23" borderId="0" applyAlignment="1" pivotButton="0" quotePrefix="0" xfId="0">
      <alignment horizontal="center"/>
    </xf>
    <xf numFmtId="0" fontId="9" fillId="23" borderId="0" applyAlignment="1" pivotButton="0" quotePrefix="0" xfId="0">
      <alignment horizontal="center" vertical="center" wrapText="1"/>
    </xf>
    <xf numFmtId="0" fontId="0" fillId="24" borderId="0" pivotButton="0" quotePrefix="0" xfId="0"/>
    <xf numFmtId="0" fontId="17" fillId="24" borderId="0" pivotButton="0" quotePrefix="0" xfId="0"/>
    <xf numFmtId="0" fontId="17" fillId="24" borderId="0" applyAlignment="1" pivotButton="0" quotePrefix="0" xfId="0">
      <alignment horizontal="center"/>
    </xf>
    <xf numFmtId="0" fontId="2" fillId="25" borderId="0" applyAlignment="1" pivotButton="0" quotePrefix="0" xfId="0">
      <alignment horizontal="center" vertical="center"/>
    </xf>
    <xf numFmtId="0" fontId="3" fillId="25" borderId="0" applyAlignment="1" pivotButton="0" quotePrefix="0" xfId="0">
      <alignment horizontal="center" vertical="center"/>
    </xf>
    <xf numFmtId="0" fontId="0" fillId="26" borderId="0" pivotButton="0" quotePrefix="0" xfId="0"/>
    <xf numFmtId="0" fontId="18" fillId="26" borderId="0" pivotButton="0" quotePrefix="0" xfId="0"/>
    <xf numFmtId="0" fontId="18" fillId="26" borderId="0" pivotButton="0" quotePrefix="0" xfId="0"/>
    <xf numFmtId="0" fontId="18" fillId="26" borderId="0" applyAlignment="1" pivotButton="0" quotePrefix="0" xfId="0">
      <alignment horizontal="center"/>
    </xf>
    <xf numFmtId="0" fontId="18" fillId="26" borderId="0" applyAlignment="1" pivotButton="0" quotePrefix="0" xfId="0">
      <alignment horizontal="center" vertical="center"/>
    </xf>
    <xf numFmtId="0" fontId="0" fillId="27" borderId="0" pivotButton="0" quotePrefix="0" xfId="0"/>
    <xf numFmtId="164" fontId="0" fillId="27" borderId="0" pivotButton="0" quotePrefix="0" xfId="0"/>
    <xf numFmtId="0" fontId="18" fillId="27" borderId="0" pivotButton="0" quotePrefix="0" xfId="0"/>
    <xf numFmtId="164" fontId="18" fillId="27" borderId="0" pivotButton="0" quotePrefix="0" xfId="0"/>
    <xf numFmtId="0" fontId="18" fillId="27" borderId="0" pivotButton="0" quotePrefix="0" xfId="0"/>
    <xf numFmtId="164" fontId="18" fillId="27" borderId="0" pivotButton="0" quotePrefix="0" xfId="0"/>
    <xf numFmtId="0" fontId="18" fillId="27" borderId="0" applyAlignment="1" pivotButton="0" quotePrefix="0" xfId="0">
      <alignment horizontal="center"/>
    </xf>
    <xf numFmtId="164" fontId="18" fillId="27" borderId="0" applyAlignment="1" pivotButton="0" quotePrefix="0" xfId="0">
      <alignment horizontal="center"/>
    </xf>
    <xf numFmtId="0" fontId="18" fillId="27" borderId="0" applyAlignment="1" pivotButton="0" quotePrefix="0" xfId="0">
      <alignment horizontal="center" vertical="center"/>
    </xf>
    <xf numFmtId="164" fontId="18" fillId="27" borderId="0" applyAlignment="1" pivotButton="0" quotePrefix="0" xfId="0">
      <alignment horizontal="center" vertical="center"/>
    </xf>
    <xf numFmtId="0" fontId="2" fillId="25" borderId="0" pivotButton="0" quotePrefix="0" xfId="0"/>
    <xf numFmtId="0" fontId="3" fillId="25" borderId="0" pivotButton="0" quotePrefix="0" xfId="0"/>
    <xf numFmtId="0" fontId="3" fillId="25" borderId="0" applyAlignment="1" pivotButton="0" quotePrefix="0" xfId="0">
      <alignment horizontal="center"/>
    </xf>
    <xf numFmtId="0" fontId="0" fillId="28" borderId="0" pivotButton="0" quotePrefix="0" xfId="0"/>
    <xf numFmtId="0" fontId="18" fillId="28" borderId="0" pivotButton="0" quotePrefix="0" xfId="0"/>
    <xf numFmtId="0" fontId="18" fillId="28" borderId="0" pivotButton="0" quotePrefix="0" xfId="0"/>
    <xf numFmtId="0" fontId="18" fillId="28" borderId="0" applyAlignment="1" pivotButton="0" quotePrefix="0" xfId="0">
      <alignment horizontal="center"/>
    </xf>
    <xf numFmtId="0" fontId="18" fillId="28" borderId="0" applyAlignment="1" pivotButton="0" quotePrefix="0" xfId="0">
      <alignment horizontal="center" vertical="center"/>
    </xf>
    <xf numFmtId="0" fontId="0" fillId="25" borderId="0" pivotButton="0" quotePrefix="0" xfId="0"/>
    <xf numFmtId="164" fontId="18" fillId="26" borderId="0" applyAlignment="1" pivotButton="0" quotePrefix="0" xfId="0">
      <alignment horizontal="center" vertical="center"/>
    </xf>
    <xf numFmtId="0" fontId="0" fillId="29" borderId="0" pivotButton="0" quotePrefix="0" xfId="0"/>
    <xf numFmtId="164" fontId="0" fillId="29" borderId="0" pivotButton="0" quotePrefix="0" xfId="0"/>
    <xf numFmtId="0" fontId="2" fillId="29" borderId="0" pivotButton="0" quotePrefix="0" xfId="0"/>
    <xf numFmtId="164" fontId="2" fillId="29" borderId="0" pivotButton="0" quotePrefix="0" xfId="0"/>
    <xf numFmtId="0" fontId="2" fillId="29" borderId="0" applyAlignment="1" pivotButton="0" quotePrefix="0" xfId="0">
      <alignment vertical="center"/>
    </xf>
    <xf numFmtId="164" fontId="2" fillId="29" borderId="0" applyAlignment="1" pivotButton="0" quotePrefix="0" xfId="0">
      <alignment vertical="center"/>
    </xf>
    <xf numFmtId="164" fontId="0" fillId="23" borderId="0" pivotButton="0" quotePrefix="0" xfId="0"/>
    <xf numFmtId="0" fontId="2" fillId="23" borderId="0" pivotButton="0" quotePrefix="0" xfId="0"/>
    <xf numFmtId="164" fontId="2" fillId="23" borderId="0" pivotButton="0" quotePrefix="0" xfId="0"/>
    <xf numFmtId="0" fontId="2" fillId="23" borderId="0" applyAlignment="1" pivotButton="0" quotePrefix="0" xfId="0">
      <alignment horizontal="center"/>
    </xf>
    <xf numFmtId="164" fontId="2" fillId="23" borderId="0" applyAlignment="1" pivotButton="0" quotePrefix="0" xfId="0">
      <alignment horizontal="center"/>
    </xf>
    <xf numFmtId="0" fontId="2" fillId="23" borderId="0" applyAlignment="1" pivotButton="0" quotePrefix="0" xfId="0">
      <alignment horizontal="center" vertical="center"/>
    </xf>
    <xf numFmtId="164" fontId="2" fillId="23" borderId="0" applyAlignment="1" pivotButton="0" quotePrefix="0" xfId="0">
      <alignment horizontal="center" vertical="center"/>
    </xf>
    <xf numFmtId="0" fontId="5" fillId="23" borderId="0" applyAlignment="1" pivotButton="0" quotePrefix="0" xfId="0">
      <alignment horizontal="center" vertical="center" wrapText="1"/>
    </xf>
    <xf numFmtId="0" fontId="8" fillId="25" borderId="0" pivotButton="0" quotePrefix="0" xfId="0"/>
    <xf numFmtId="0" fontId="17" fillId="12" borderId="0" pivotButton="0" quotePrefix="0" xfId="0"/>
    <xf numFmtId="0" fontId="17" fillId="12" borderId="0" applyAlignment="1" pivotButton="0" quotePrefix="0" xfId="0">
      <alignment horizontal="center"/>
    </xf>
    <xf numFmtId="0" fontId="2" fillId="4" borderId="0" applyAlignment="1" pivotButton="0" quotePrefix="0" xfId="0">
      <alignment horizontal="center" vertical="center"/>
    </xf>
    <xf numFmtId="0" fontId="3" fillId="4" borderId="0" applyAlignment="1" pivotButton="0" quotePrefix="0" xfId="0">
      <alignment horizontal="center" vertical="center"/>
    </xf>
    <xf numFmtId="0" fontId="2" fillId="4" borderId="0" pivotButton="0" quotePrefix="0" xfId="0"/>
    <xf numFmtId="0" fontId="3" fillId="4" borderId="0" applyAlignment="1" pivotButton="0" quotePrefix="0" xfId="0">
      <alignment horizontal="center"/>
    </xf>
    <xf numFmtId="0" fontId="18" fillId="16" borderId="0" pivotButton="0" quotePrefix="0" xfId="0"/>
    <xf numFmtId="0" fontId="18" fillId="16" borderId="0" pivotButton="0" quotePrefix="0" xfId="0"/>
    <xf numFmtId="0" fontId="18" fillId="16" borderId="0" applyAlignment="1" pivotButton="0" quotePrefix="0" xfId="0">
      <alignment horizontal="center"/>
    </xf>
    <xf numFmtId="0" fontId="18" fillId="16" borderId="0" applyAlignment="1" pivotButton="0" quotePrefix="0" xfId="0">
      <alignment horizontal="center" vertical="center"/>
    </xf>
    <xf numFmtId="164" fontId="0" fillId="2" borderId="0" pivotButton="0" quotePrefix="0" xfId="0"/>
    <xf numFmtId="164" fontId="2" fillId="2" borderId="0" pivotButton="0" quotePrefix="0" xfId="0"/>
    <xf numFmtId="164" fontId="2" fillId="2" borderId="0" applyAlignment="1" pivotButton="0" quotePrefix="0" xfId="0">
      <alignment horizontal="center"/>
    </xf>
    <xf numFmtId="0" fontId="0" fillId="30" borderId="0" pivotButton="0" quotePrefix="0" xfId="0"/>
    <xf numFmtId="0" fontId="2" fillId="30" borderId="0" pivotButton="0" quotePrefix="0" xfId="0"/>
    <xf numFmtId="0" fontId="2" fillId="30" borderId="0" applyAlignment="1" pivotButton="0" quotePrefix="0" xfId="0">
      <alignment horizontal="center"/>
    </xf>
    <xf numFmtId="0" fontId="0" fillId="31" borderId="0" pivotButton="0" quotePrefix="0" xfId="0"/>
    <xf numFmtId="0" fontId="19" fillId="31" borderId="0" pivotButton="0" quotePrefix="0" xfId="0"/>
    <xf numFmtId="0" fontId="19" fillId="31" borderId="0" applyAlignment="1" pivotButton="0" quotePrefix="0" xfId="0">
      <alignment horizontal="center"/>
    </xf>
    <xf numFmtId="0" fontId="0" fillId="32" borderId="0" pivotButton="0" quotePrefix="0" xfId="0"/>
    <xf numFmtId="0" fontId="20" fillId="32" borderId="0" pivotButton="0" quotePrefix="0" xfId="0"/>
    <xf numFmtId="0" fontId="20" fillId="32" borderId="0" applyAlignment="1" pivotButton="0" quotePrefix="0" xfId="0">
      <alignment horizontal="center"/>
    </xf>
    <xf numFmtId="0" fontId="0" fillId="33" borderId="0" pivotButton="0" quotePrefix="0" xfId="0"/>
    <xf numFmtId="0" fontId="8" fillId="33" borderId="0" pivotButton="0" quotePrefix="0" xfId="0"/>
    <xf numFmtId="0" fontId="19" fillId="3" borderId="0" pivotButton="0" quotePrefix="0" xfId="0"/>
    <xf numFmtId="0" fontId="19" fillId="3" borderId="0" applyAlignment="1" pivotButton="0" quotePrefix="0" xfId="0">
      <alignment horizontal="center"/>
    </xf>
    <xf numFmtId="0" fontId="20" fillId="20" borderId="0" pivotButton="0" quotePrefix="0" xfId="0"/>
    <xf numFmtId="0" fontId="20" fillId="20" borderId="0" applyAlignment="1" pivotButton="0" quotePrefix="0" xfId="0">
      <alignment horizontal="center"/>
    </xf>
    <xf numFmtId="0" fontId="0" fillId="34" borderId="0" pivotButton="0" quotePrefix="0" xfId="0"/>
    <xf numFmtId="0" fontId="8" fillId="34" borderId="0" pivotButton="0" quotePrefix="0" xfId="0"/>
    <xf numFmtId="0" fontId="8" fillId="34" borderId="0" applyAlignment="1" pivotButton="0" quotePrefix="0" xfId="0">
      <alignment wrapText="1"/>
    </xf>
    <xf numFmtId="0" fontId="0" fillId="0" borderId="0" applyAlignment="1" pivotButton="0" quotePrefix="0" xfId="0">
      <alignment wrapText="1"/>
    </xf>
    <xf numFmtId="0" fontId="8" fillId="4" borderId="0" applyAlignment="1" pivotButton="0" quotePrefix="0" xfId="0">
      <alignment wrapText="1"/>
    </xf>
    <xf numFmtId="0" fontId="0" fillId="35" borderId="0" pivotButton="0" quotePrefix="0" xfId="0"/>
    <xf numFmtId="0" fontId="8" fillId="35" borderId="0" pivotButton="0" quotePrefix="0" xfId="0"/>
    <xf numFmtId="0" fontId="8" fillId="35" borderId="0" applyAlignment="1" pivotButton="0" quotePrefix="0" xfId="0">
      <alignment wrapText="1"/>
    </xf>
    <xf numFmtId="0" fontId="0" fillId="36" borderId="0" pivotButton="0" quotePrefix="0" xfId="0"/>
    <xf numFmtId="0" fontId="21" fillId="36" borderId="0" pivotButton="0" quotePrefix="0" xfId="0"/>
    <xf numFmtId="0" fontId="21" fillId="36" borderId="0" applyAlignment="1" pivotButton="0" quotePrefix="0" xfId="0">
      <alignment horizontal="center"/>
    </xf>
    <xf numFmtId="0" fontId="21" fillId="36" borderId="0" applyAlignment="1" pivotButton="0" quotePrefix="0" xfId="0">
      <alignment horizontal="center" vertical="center"/>
    </xf>
    <xf numFmtId="0" fontId="0" fillId="37" borderId="0" pivotButton="0" quotePrefix="0" xfId="0"/>
    <xf numFmtId="164" fontId="0" fillId="37" borderId="0" pivotButton="0" quotePrefix="0" xfId="0"/>
    <xf numFmtId="0" fontId="22" fillId="37" borderId="0" pivotButton="0" quotePrefix="0" xfId="0"/>
    <xf numFmtId="164" fontId="22" fillId="37" borderId="0" pivotButton="0" quotePrefix="0" xfId="0"/>
    <xf numFmtId="164" fontId="22" fillId="37" borderId="0" applyAlignment="1" pivotButton="0" quotePrefix="0" xfId="0">
      <alignment horizontal="center"/>
    </xf>
    <xf numFmtId="0" fontId="22" fillId="37" borderId="0" applyAlignment="1" pivotButton="0" quotePrefix="0" xfId="0">
      <alignment horizontal="center"/>
    </xf>
    <xf numFmtId="0" fontId="0" fillId="38" borderId="0" applyAlignment="1" pivotButton="0" quotePrefix="0" xfId="0">
      <alignment wrapText="1"/>
    </xf>
    <xf numFmtId="0" fontId="2" fillId="38" borderId="0" applyAlignment="1" pivotButton="0" quotePrefix="0" xfId="0">
      <alignment wrapText="1"/>
    </xf>
    <xf numFmtId="0" fontId="0" fillId="37" borderId="0" applyAlignment="1" pivotButton="0" quotePrefix="0" xfId="0">
      <alignment wrapText="1"/>
    </xf>
    <xf numFmtId="0" fontId="22" fillId="37" borderId="0" applyAlignment="1" pivotButton="0" quotePrefix="0" xfId="0">
      <alignment wrapText="1"/>
    </xf>
    <xf numFmtId="0" fontId="0" fillId="36" borderId="0" applyAlignment="1" pivotButton="0" quotePrefix="0" xfId="0">
      <alignment wrapText="1"/>
    </xf>
    <xf numFmtId="0" fontId="22" fillId="36" borderId="0" applyAlignment="1" pivotButton="0" quotePrefix="0" xfId="0">
      <alignment wrapText="1"/>
    </xf>
    <xf numFmtId="0" fontId="22" fillId="4" borderId="0" pivotButton="0" quotePrefix="0" xfId="0"/>
    <xf numFmtId="164" fontId="22" fillId="4" borderId="0" pivotButton="0" quotePrefix="0" xfId="0"/>
    <xf numFmtId="164" fontId="22" fillId="4" borderId="0" applyAlignment="1" pivotButton="0" quotePrefix="0" xfId="0">
      <alignment horizontal="center"/>
    </xf>
    <xf numFmtId="0" fontId="22" fillId="4" borderId="0" applyAlignment="1" pivotButton="0" quotePrefix="0" xfId="0">
      <alignment horizontal="center"/>
    </xf>
    <xf numFmtId="0" fontId="0" fillId="3" borderId="0" applyAlignment="1" pivotButton="0" quotePrefix="0" xfId="0">
      <alignment wrapText="1"/>
    </xf>
    <xf numFmtId="0" fontId="2" fillId="3" borderId="0" applyAlignment="1" pivotButton="0" quotePrefix="0" xfId="0">
      <alignment wrapText="1"/>
    </xf>
    <xf numFmtId="0" fontId="0" fillId="4" borderId="0" applyAlignment="1" pivotButton="0" quotePrefix="0" xfId="0">
      <alignment wrapText="1"/>
    </xf>
    <xf numFmtId="0" fontId="22" fillId="4" borderId="0" applyAlignment="1" pivotButton="0" quotePrefix="0" xfId="0">
      <alignment wrapText="1"/>
    </xf>
    <xf numFmtId="0" fontId="0" fillId="39" borderId="0" pivotButton="0" quotePrefix="0" xfId="0"/>
    <xf numFmtId="0" fontId="19" fillId="39" borderId="0" pivotButton="0" quotePrefix="0" xfId="0"/>
    <xf numFmtId="0" fontId="19" fillId="39" borderId="0" applyAlignment="1" pivotButton="0" quotePrefix="0" xfId="0">
      <alignment wrapText="1"/>
    </xf>
    <xf numFmtId="0" fontId="19" fillId="39" borderId="0" applyAlignment="1" pivotButton="0" quotePrefix="0" xfId="0">
      <alignment horizontal="center" wrapText="1"/>
    </xf>
    <xf numFmtId="0" fontId="19" fillId="39" borderId="0" applyAlignment="1" pivotButton="0" quotePrefix="0" xfId="0">
      <alignment horizontal="center" vertical="center" wrapText="1"/>
    </xf>
    <xf numFmtId="0" fontId="0" fillId="40" borderId="0" pivotButton="0" quotePrefix="0" xfId="0"/>
    <xf numFmtId="0" fontId="23" fillId="40" borderId="0" pivotButton="0" quotePrefix="0" xfId="0"/>
    <xf numFmtId="0" fontId="23" fillId="40" borderId="0" applyAlignment="1" pivotButton="0" quotePrefix="0" xfId="0">
      <alignment horizontal="center"/>
    </xf>
    <xf numFmtId="0" fontId="23" fillId="40" borderId="0" applyAlignment="1" pivotButton="0" quotePrefix="0" xfId="0">
      <alignment horizontal="center" vertical="center"/>
    </xf>
    <xf numFmtId="0" fontId="0" fillId="41" borderId="0" pivotButton="0" quotePrefix="0" xfId="0"/>
    <xf numFmtId="0" fontId="24" fillId="41" borderId="0" pivotButton="0" quotePrefix="0" xfId="0"/>
    <xf numFmtId="0" fontId="24" fillId="41" borderId="0" applyAlignment="1" pivotButton="0" quotePrefix="0" xfId="0">
      <alignment wrapText="1"/>
    </xf>
    <xf numFmtId="0" fontId="24" fillId="41" borderId="0" applyAlignment="1" pivotButton="0" quotePrefix="0" xfId="0">
      <alignment horizontal="left" wrapText="1"/>
    </xf>
    <xf numFmtId="0" fontId="24" fillId="41" borderId="0" applyAlignment="1" pivotButton="0" quotePrefix="0" xfId="0">
      <alignment horizontal="left" vertical="center" wrapText="1"/>
    </xf>
    <xf numFmtId="0" fontId="0" fillId="42" borderId="0" pivotButton="0" quotePrefix="0" xfId="0"/>
    <xf numFmtId="0" fontId="2" fillId="42" borderId="0" pivotButton="0" quotePrefix="0" xfId="0"/>
    <xf numFmtId="0" fontId="2" fillId="42" borderId="0" applyAlignment="1" pivotButton="0" quotePrefix="0" xfId="0">
      <alignment horizontal="center"/>
    </xf>
    <xf numFmtId="0" fontId="2" fillId="39" borderId="0" pivotButton="0" quotePrefix="0" xfId="0"/>
    <xf numFmtId="0" fontId="2" fillId="39" borderId="0" applyAlignment="1" pivotButton="0" quotePrefix="0" xfId="0">
      <alignment wrapText="1"/>
    </xf>
    <xf numFmtId="0" fontId="2" fillId="39" borderId="0" applyAlignment="1" pivotButton="0" quotePrefix="0" xfId="0">
      <alignment horizontal="center" wrapText="1"/>
    </xf>
    <xf numFmtId="0" fontId="2" fillId="39" borderId="0" applyAlignment="1" pivotButton="0" quotePrefix="0" xfId="0">
      <alignment horizontal="center" vertical="center" wrapText="1"/>
    </xf>
    <xf numFmtId="0" fontId="0" fillId="0" borderId="0" applyAlignment="1" pivotButton="0" quotePrefix="0" xfId="0">
      <alignment horizontal="center" wrapText="1"/>
    </xf>
    <xf numFmtId="1" fontId="0" fillId="0" borderId="0" applyAlignment="1" pivotButton="0" quotePrefix="0" xfId="0">
      <alignment horizontal="center" wrapText="1"/>
    </xf>
    <xf numFmtId="0" fontId="0" fillId="0" borderId="0" applyAlignment="1" pivotButton="0" quotePrefix="0" xfId="0">
      <alignment horizontal="center"/>
    </xf>
    <xf numFmtId="0" fontId="23" fillId="40" borderId="0" applyAlignment="1" pivotButton="0" quotePrefix="0" xfId="0">
      <alignment wrapText="1"/>
    </xf>
    <xf numFmtId="0" fontId="25" fillId="39" borderId="0" applyAlignment="1" pivotButton="0" quotePrefix="0" xfId="0">
      <alignment horizontal="center" vertical="center" wrapText="1"/>
    </xf>
    <xf numFmtId="0" fontId="26" fillId="0" borderId="0" applyAlignment="1" pivotButton="0" quotePrefix="0" xfId="0">
      <alignment horizontal="center" wrapText="1"/>
    </xf>
    <xf numFmtId="0" fontId="26" fillId="0" borderId="0" applyAlignment="1" pivotButton="0" quotePrefix="0" xfId="0">
      <alignment wrapText="1"/>
    </xf>
    <xf numFmtId="1" fontId="26" fillId="0" borderId="0" applyAlignment="1" pivotButton="0" quotePrefix="0" xfId="0">
      <alignment horizontal="center" wrapText="1"/>
    </xf>
    <xf numFmtId="0" fontId="22" fillId="41" borderId="0" applyAlignment="1" pivotButton="0" quotePrefix="0" xfId="0">
      <alignment wrapText="1"/>
    </xf>
    <xf numFmtId="0" fontId="23" fillId="41" borderId="0" applyAlignment="1" pivotButton="0" quotePrefix="0" xfId="0">
      <alignment wrapText="1"/>
    </xf>
    <xf numFmtId="0" fontId="19" fillId="2" borderId="0" pivotButton="0" quotePrefix="0" xfId="0"/>
    <xf numFmtId="0" fontId="19" fillId="2" borderId="0" applyAlignment="1" pivotButton="0" quotePrefix="0" xfId="0">
      <alignment wrapText="1"/>
    </xf>
    <xf numFmtId="0" fontId="19" fillId="2" borderId="0" applyAlignment="1" pivotButton="0" quotePrefix="0" xfId="0">
      <alignment horizontal="center" wrapText="1"/>
    </xf>
    <xf numFmtId="0" fontId="19" fillId="2" borderId="0" applyAlignment="1" pivotButton="0" quotePrefix="0" xfId="0">
      <alignment horizontal="center" vertical="center" wrapText="1"/>
    </xf>
    <xf numFmtId="0" fontId="23" fillId="4" borderId="0" pivotButton="0" quotePrefix="0" xfId="0"/>
    <xf numFmtId="0" fontId="23" fillId="4" borderId="0" applyAlignment="1" pivotButton="0" quotePrefix="0" xfId="0">
      <alignment horizontal="center"/>
    </xf>
    <xf numFmtId="0" fontId="23" fillId="4" borderId="0" applyAlignment="1" pivotButton="0" quotePrefix="0" xfId="0">
      <alignment horizontal="center" vertical="center"/>
    </xf>
    <xf numFmtId="0" fontId="2" fillId="3" borderId="0" applyAlignment="1" pivotButton="0" quotePrefix="0" xfId="0">
      <alignment horizontal="center"/>
    </xf>
    <xf numFmtId="0" fontId="2" fillId="2" borderId="0" applyAlignment="1" pivotButton="0" quotePrefix="0" xfId="0">
      <alignment wrapText="1"/>
    </xf>
    <xf numFmtId="0" fontId="2" fillId="2" borderId="0" applyAlignment="1" pivotButton="0" quotePrefix="0" xfId="0">
      <alignment horizontal="center" wrapText="1"/>
    </xf>
    <xf numFmtId="0" fontId="2" fillId="2" borderId="0" applyAlignment="1" pivotButton="0" quotePrefix="0" xfId="0">
      <alignment horizontal="center" vertical="center" wrapText="1"/>
    </xf>
    <xf numFmtId="0" fontId="23" fillId="4" borderId="0" applyAlignment="1" pivotButton="0" quotePrefix="0" xfId="0">
      <alignment wrapText="1"/>
    </xf>
    <xf numFmtId="0" fontId="25" fillId="2" borderId="0" applyAlignment="1" pivotButton="0" quotePrefix="0" xfId="0">
      <alignment horizontal="center" vertical="center" wrapText="1"/>
    </xf>
    <xf numFmtId="166" fontId="0" fillId="43" borderId="0" pivotButton="0" quotePrefix="0" xfId="0"/>
    <xf numFmtId="0" fontId="0" fillId="43" borderId="0" pivotButton="0" quotePrefix="0" xfId="0"/>
    <xf numFmtId="164" fontId="0" fillId="43" borderId="0" pivotButton="0" quotePrefix="0" xfId="0"/>
    <xf numFmtId="0" fontId="0" fillId="44" borderId="0" pivotButton="0" quotePrefix="0" xfId="0"/>
    <xf numFmtId="0" fontId="27" fillId="44" borderId="0" pivotButton="0" quotePrefix="0" xfId="0"/>
    <xf numFmtId="0" fontId="27" fillId="44" borderId="0" applyAlignment="1" pivotButton="0" quotePrefix="0" xfId="0">
      <alignment horizontal="center"/>
    </xf>
    <xf numFmtId="0" fontId="27" fillId="44" borderId="0" applyAlignment="1" pivotButton="0" quotePrefix="0" xfId="0">
      <alignment horizontal="center" vertical="center"/>
    </xf>
    <xf numFmtId="0" fontId="0" fillId="45" borderId="0" pivotButton="0" quotePrefix="0" xfId="0"/>
    <xf numFmtId="0" fontId="17" fillId="45" borderId="0" pivotButton="0" quotePrefix="0" xfId="0"/>
    <xf numFmtId="0" fontId="17" fillId="45" borderId="0" applyAlignment="1" pivotButton="0" quotePrefix="0" xfId="0">
      <alignment wrapText="1"/>
    </xf>
    <xf numFmtId="0" fontId="17" fillId="45" borderId="0" applyAlignment="1" pivotButton="0" quotePrefix="0" xfId="0">
      <alignment horizontal="center" wrapText="1"/>
    </xf>
    <xf numFmtId="0" fontId="17" fillId="45" borderId="0" applyAlignment="1" pivotButton="0" quotePrefix="0" xfId="0">
      <alignment horizontal="center" vertical="center" wrapText="1"/>
    </xf>
    <xf numFmtId="0" fontId="0" fillId="46" borderId="0" pivotButton="0" quotePrefix="0" xfId="0"/>
    <xf numFmtId="0" fontId="3" fillId="46" borderId="0" pivotButton="0" quotePrefix="0" xfId="0"/>
    <xf numFmtId="0" fontId="3" fillId="46" borderId="0" applyAlignment="1" pivotButton="0" quotePrefix="0" xfId="0">
      <alignment horizontal="center"/>
    </xf>
    <xf numFmtId="0" fontId="15" fillId="0" borderId="0" pivotButton="0" quotePrefix="0" xfId="0"/>
    <xf numFmtId="0" fontId="15" fillId="0" borderId="0" applyAlignment="1" pivotButton="0" quotePrefix="0" xfId="0">
      <alignment horizontal="center"/>
    </xf>
    <xf numFmtId="0" fontId="15" fillId="0" borderId="0" applyAlignment="1" pivotButton="0" quotePrefix="0" xfId="0">
      <alignment horizontal="center" vertical="center"/>
    </xf>
    <xf numFmtId="0" fontId="15" fillId="47" borderId="0" applyAlignment="1" pivotButton="0" quotePrefix="0" xfId="0">
      <alignment horizontal="center" vertical="center"/>
    </xf>
    <xf numFmtId="0" fontId="0" fillId="47" borderId="0" pivotButton="0" quotePrefix="0" xfId="0"/>
    <xf numFmtId="0" fontId="15" fillId="48" borderId="0" applyAlignment="1" pivotButton="0" quotePrefix="0" xfId="0">
      <alignment horizontal="center" vertical="center"/>
    </xf>
    <xf numFmtId="0" fontId="0" fillId="48" borderId="0" pivotButton="0" quotePrefix="0" xfId="0"/>
    <xf numFmtId="0" fontId="15" fillId="49" borderId="0" applyAlignment="1" pivotButton="0" quotePrefix="0" xfId="0">
      <alignment horizontal="center" vertical="center"/>
    </xf>
    <xf numFmtId="0" fontId="0" fillId="49" borderId="0" pivotButton="0" quotePrefix="0" xfId="0"/>
    <xf numFmtId="0" fontId="0" fillId="50" borderId="0" pivotButton="0" quotePrefix="0" xfId="0"/>
    <xf numFmtId="0" fontId="2" fillId="50" borderId="0" pivotButton="0" quotePrefix="0" xfId="0"/>
    <xf numFmtId="0" fontId="2" fillId="50" borderId="0" applyAlignment="1" pivotButton="0" quotePrefix="0" xfId="0">
      <alignment horizontal="center"/>
    </xf>
    <xf numFmtId="0" fontId="3" fillId="46" borderId="0" applyAlignment="1" pivotButton="0" quotePrefix="0" xfId="0">
      <alignment wrapText="1"/>
    </xf>
    <xf numFmtId="0" fontId="3" fillId="46" borderId="0" applyAlignment="1" pivotButton="0" quotePrefix="0" xfId="0">
      <alignment horizontal="center" wrapText="1"/>
    </xf>
    <xf numFmtId="0" fontId="3" fillId="46" borderId="0" applyAlignment="1" pivotButton="0" quotePrefix="0" xfId="0">
      <alignment horizontal="center" vertical="center" wrapText="1"/>
    </xf>
    <xf numFmtId="0" fontId="0" fillId="0" borderId="0" applyAlignment="1" pivotButton="0" quotePrefix="0" xfId="0">
      <alignment vertical="top" wrapText="1"/>
    </xf>
    <xf numFmtId="0" fontId="8" fillId="46" borderId="0" pivotButton="0" quotePrefix="0" xfId="0"/>
    <xf numFmtId="0" fontId="8" fillId="46" borderId="0" applyAlignment="1" pivotButton="0" quotePrefix="0" xfId="0">
      <alignment horizontal="center"/>
    </xf>
    <xf numFmtId="0" fontId="2" fillId="44" borderId="0" pivotButton="0" quotePrefix="0" xfId="0"/>
    <xf numFmtId="0" fontId="2" fillId="44" borderId="0" applyAlignment="1" pivotButton="0" quotePrefix="0" xfId="0">
      <alignment horizontal="center"/>
    </xf>
    <xf numFmtId="0" fontId="0" fillId="51" borderId="0" pivotButton="0" quotePrefix="0" xfId="0"/>
    <xf numFmtId="0" fontId="28" fillId="51" borderId="0" pivotButton="0" quotePrefix="0" xfId="0"/>
    <xf numFmtId="0" fontId="28" fillId="51" borderId="0" applyAlignment="1" pivotButton="0" quotePrefix="0" xfId="0">
      <alignment wrapText="1"/>
    </xf>
    <xf numFmtId="0" fontId="28" fillId="51" borderId="0" applyAlignment="1" pivotButton="0" quotePrefix="0" xfId="0">
      <alignment vertical="center" wrapText="1"/>
    </xf>
    <xf numFmtId="0" fontId="28" fillId="43" borderId="0" pivotButton="0" quotePrefix="0" xfId="0"/>
    <xf numFmtId="0" fontId="28" fillId="43" borderId="0" applyAlignment="1" pivotButton="0" quotePrefix="0" xfId="0">
      <alignment wrapText="1"/>
    </xf>
    <xf numFmtId="0" fontId="28" fillId="43" borderId="0" applyAlignment="1" pivotButton="0" quotePrefix="0" xfId="0">
      <alignment vertical="center" wrapText="1"/>
    </xf>
    <xf numFmtId="0" fontId="0" fillId="44" borderId="0" applyAlignment="1" pivotButton="0" quotePrefix="0" xfId="0">
      <alignment wrapText="1"/>
    </xf>
    <xf numFmtId="0" fontId="2" fillId="44" borderId="0" applyAlignment="1" pivotButton="0" quotePrefix="0" xfId="0">
      <alignment wrapText="1"/>
    </xf>
    <xf numFmtId="0" fontId="2" fillId="44" borderId="0" applyAlignment="1" pivotButton="0" quotePrefix="0" xfId="0">
      <alignment horizontal="center" wrapText="1"/>
    </xf>
    <xf numFmtId="0" fontId="0" fillId="46" borderId="0" applyAlignment="1" pivotButton="0" quotePrefix="0" xfId="0">
      <alignment wrapText="1"/>
    </xf>
    <xf numFmtId="0" fontId="23" fillId="46" borderId="0" applyAlignment="1" pivotButton="0" quotePrefix="0" xfId="0">
      <alignment wrapText="1"/>
    </xf>
    <xf numFmtId="0" fontId="8" fillId="46" borderId="0" applyAlignment="1" pivotButton="0" quotePrefix="0" xfId="0">
      <alignment wrapText="1"/>
    </xf>
    <xf numFmtId="0" fontId="27" fillId="2" borderId="0" pivotButton="0" quotePrefix="0" xfId="0"/>
    <xf numFmtId="0" fontId="27" fillId="2" borderId="0" applyAlignment="1" pivotButton="0" quotePrefix="0" xfId="0">
      <alignment horizontal="center"/>
    </xf>
    <xf numFmtId="0" fontId="27" fillId="2" borderId="0" applyAlignment="1" pivotButton="0" quotePrefix="0" xfId="0">
      <alignment horizontal="center" vertical="center"/>
    </xf>
    <xf numFmtId="0" fontId="17" fillId="12" borderId="0" applyAlignment="1" pivotButton="0" quotePrefix="0" xfId="0">
      <alignment wrapText="1"/>
    </xf>
    <xf numFmtId="0" fontId="17" fillId="12" borderId="0" applyAlignment="1" pivotButton="0" quotePrefix="0" xfId="0">
      <alignment horizontal="center" wrapText="1"/>
    </xf>
    <xf numFmtId="0" fontId="17" fillId="12" borderId="0" applyAlignment="1" pivotButton="0" quotePrefix="0" xfId="0">
      <alignment horizontal="center" vertical="center" wrapText="1"/>
    </xf>
    <xf numFmtId="0" fontId="15" fillId="15" borderId="0" applyAlignment="1" pivotButton="0" quotePrefix="0" xfId="0">
      <alignment horizontal="center" vertical="center"/>
    </xf>
    <xf numFmtId="0" fontId="15" fillId="16" borderId="0" applyAlignment="1" pivotButton="0" quotePrefix="0" xfId="0">
      <alignment horizontal="center" vertical="center"/>
    </xf>
    <xf numFmtId="0" fontId="15" fillId="27" borderId="0" applyAlignment="1" pivotButton="0" quotePrefix="0" xfId="0">
      <alignment horizontal="center" vertical="center"/>
    </xf>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8" fillId="4" borderId="0" applyAlignment="1" pivotButton="0" quotePrefix="0" xfId="0">
      <alignment horizontal="center"/>
    </xf>
    <xf numFmtId="0" fontId="0" fillId="2" borderId="0" applyAlignment="1" pivotButton="0" quotePrefix="0" xfId="0">
      <alignment wrapText="1"/>
    </xf>
    <xf numFmtId="0" fontId="8" fillId="52" borderId="0" applyAlignment="1" pivotButton="0" quotePrefix="0" xfId="0">
      <alignment horizontal="center"/>
    </xf>
    <xf numFmtId="0" fontId="3" fillId="52" borderId="0" applyAlignment="1" pivotButton="0" quotePrefix="0" xfId="0">
      <alignment horizontal="center"/>
    </xf>
    <xf numFmtId="0" fontId="3" fillId="52" borderId="0" applyAlignment="1" pivotButton="0" quotePrefix="0" xfId="0">
      <alignment horizontal="center" wrapText="1"/>
    </xf>
    <xf numFmtId="0" fontId="3" fillId="52" borderId="0" applyAlignment="1" pivotButton="0" quotePrefix="0" xfId="0">
      <alignment horizontal="center" vertical="center" wrapText="1"/>
    </xf>
    <xf numFmtId="0" fontId="0" fillId="52" borderId="0" pivotButton="0" quotePrefix="0" xfId="0"/>
    <xf numFmtId="0" fontId="3" fillId="52" borderId="0" pivotButton="0" quotePrefix="0" xfId="0"/>
    <xf numFmtId="0" fontId="3" fillId="52" borderId="0" applyAlignment="1" pivotButton="0" quotePrefix="0" xfId="0">
      <alignment wrapText="1"/>
    </xf>
    <xf numFmtId="0" fontId="0" fillId="53" borderId="0" applyAlignment="1" pivotButton="0" quotePrefix="0" xfId="0">
      <alignment wrapText="1"/>
    </xf>
    <xf numFmtId="0" fontId="28" fillId="53" borderId="0" applyAlignment="1" pivotButton="0" quotePrefix="0" xfId="0">
      <alignment wrapText="1"/>
    </xf>
    <xf numFmtId="0" fontId="28" fillId="53" borderId="0" applyAlignment="1" pivotButton="0" quotePrefix="0" xfId="0">
      <alignment vertical="center" wrapText="1"/>
    </xf>
    <xf numFmtId="0" fontId="0" fillId="53" borderId="0" pivotButton="0" quotePrefix="0" xfId="0"/>
    <xf numFmtId="0" fontId="28" fillId="53" borderId="0" pivotButton="0" quotePrefix="0" xfId="0"/>
    <xf numFmtId="0" fontId="0" fillId="54" borderId="0" applyAlignment="1" pivotButton="0" quotePrefix="0" xfId="0">
      <alignment wrapText="1"/>
    </xf>
    <xf numFmtId="0" fontId="28" fillId="54" borderId="0" applyAlignment="1" pivotButton="0" quotePrefix="0" xfId="0">
      <alignment wrapText="1"/>
    </xf>
    <xf numFmtId="0" fontId="28" fillId="54" borderId="0" applyAlignment="1" pivotButton="0" quotePrefix="0" xfId="0">
      <alignment vertical="center" wrapText="1"/>
    </xf>
    <xf numFmtId="0" fontId="0" fillId="54" borderId="0" pivotButton="0" quotePrefix="0" xfId="0"/>
    <xf numFmtId="0" fontId="28" fillId="54" borderId="0" pivotButton="0" quotePrefix="0" xfId="0"/>
    <xf numFmtId="0" fontId="0" fillId="0" borderId="0" applyAlignment="1" pivotButton="0" quotePrefix="0" xfId="0">
      <alignment horizontal="center" vertical="top" wrapText="1"/>
    </xf>
    <xf numFmtId="0" fontId="0" fillId="0" borderId="0" applyAlignment="1" pivotButton="0" quotePrefix="0" xfId="0">
      <alignment horizontal="center" vertical="center" wrapText="1"/>
    </xf>
    <xf numFmtId="0" fontId="0" fillId="43" borderId="0" applyAlignment="1" pivotButton="0" quotePrefix="0" xfId="0">
      <alignment wrapText="1"/>
    </xf>
    <xf numFmtId="166" fontId="2" fillId="2" borderId="0" applyAlignment="1" pivotButton="0" quotePrefix="0" xfId="0">
      <alignment horizontal="center" vertical="center"/>
    </xf>
    <xf numFmtId="0" fontId="23" fillId="55" borderId="0" applyAlignment="1" pivotButton="0" quotePrefix="0" xfId="0">
      <alignment wrapText="1"/>
    </xf>
    <xf numFmtId="0" fontId="0" fillId="55" borderId="0" pivotButton="0" quotePrefix="0" xfId="0"/>
    <xf numFmtId="0" fontId="8" fillId="55" borderId="0" pivotButton="0" quotePrefix="0" xfId="0"/>
    <xf numFmtId="0" fontId="8" fillId="55" borderId="0" applyAlignment="1" pivotButton="0" quotePrefix="0" xfId="0">
      <alignment wrapText="1"/>
    </xf>
    <xf numFmtId="0" fontId="29" fillId="0" borderId="0" pivotButton="0" quotePrefix="0" xfId="0"/>
    <xf numFmtId="0" fontId="29" fillId="0" borderId="0" applyAlignment="1" pivotButton="0" quotePrefix="0" xfId="0">
      <alignment vertical="center"/>
    </xf>
    <xf numFmtId="0" fontId="29" fillId="56" borderId="0" applyAlignment="1" pivotButton="0" quotePrefix="0" xfId="0">
      <alignment vertical="center"/>
    </xf>
    <xf numFmtId="0" fontId="30" fillId="56" borderId="0" applyAlignment="1" pivotButton="0" quotePrefix="0" xfId="0">
      <alignment vertical="center"/>
    </xf>
    <xf numFmtId="0" fontId="30" fillId="56" borderId="0" applyAlignment="1" pivotButton="0" quotePrefix="0" xfId="0">
      <alignment horizontal="center" vertical="center"/>
    </xf>
    <xf numFmtId="0" fontId="29" fillId="57" borderId="0" applyAlignment="1" pivotButton="0" quotePrefix="0" xfId="0">
      <alignment vertical="center"/>
    </xf>
    <xf numFmtId="0" fontId="5" fillId="57" borderId="0" applyAlignment="1" pivotButton="0" quotePrefix="0" xfId="0">
      <alignment vertical="center"/>
    </xf>
    <xf numFmtId="0" fontId="5" fillId="57" borderId="0" applyAlignment="1" pivotButton="0" quotePrefix="0" xfId="0">
      <alignment horizontal="center" vertical="center"/>
    </xf>
    <xf numFmtId="0" fontId="29" fillId="58" borderId="0" applyAlignment="1" pivotButton="0" quotePrefix="0" xfId="0">
      <alignment vertical="center"/>
    </xf>
    <xf numFmtId="0" fontId="31" fillId="58" borderId="0" applyAlignment="1" pivotButton="0" quotePrefix="0" xfId="0">
      <alignment vertical="center"/>
    </xf>
    <xf numFmtId="0" fontId="31" fillId="58" borderId="0" applyAlignment="1" pivotButton="0" quotePrefix="0" xfId="0">
      <alignment horizontal="center" vertical="center"/>
    </xf>
    <xf numFmtId="0" fontId="29" fillId="0" borderId="0" applyAlignment="1" pivotButton="0" quotePrefix="0" xfId="0">
      <alignment vertical="center"/>
    </xf>
    <xf numFmtId="0" fontId="32" fillId="0" borderId="0" applyAlignment="1" pivotButton="0" quotePrefix="0" xfId="0">
      <alignment vertical="center"/>
    </xf>
    <xf numFmtId="0" fontId="29" fillId="0" borderId="0" applyAlignment="1" pivotButton="0" quotePrefix="0" xfId="0">
      <alignment horizontal="center" vertical="center"/>
    </xf>
    <xf numFmtId="164" fontId="29" fillId="0" borderId="0" applyAlignment="1" pivotButton="0" quotePrefix="0" xfId="0">
      <alignment horizontal="center" vertical="center"/>
    </xf>
    <xf numFmtId="165" fontId="29" fillId="0" borderId="0" applyAlignment="1" pivotButton="0" quotePrefix="0" xfId="0">
      <alignment horizontal="center" vertical="center"/>
    </xf>
    <xf numFmtId="0" fontId="29" fillId="0" borderId="0" applyAlignment="1" pivotButton="0" quotePrefix="0" xfId="0">
      <alignment horizontal="center" vertical="center"/>
    </xf>
    <xf numFmtId="0" fontId="33" fillId="0" borderId="0" applyAlignment="1" pivotButton="0" quotePrefix="0" xfId="0">
      <alignment horizontal="center" vertical="center"/>
    </xf>
    <xf numFmtId="0" fontId="32" fillId="0" borderId="0" applyAlignment="1" pivotButton="0" quotePrefix="0" xfId="0">
      <alignment vertical="center"/>
    </xf>
    <xf numFmtId="0" fontId="34" fillId="0" borderId="0" applyAlignment="1" pivotButton="0" quotePrefix="0" xfId="0">
      <alignment vertical="center"/>
    </xf>
    <xf numFmtId="0" fontId="35" fillId="0" borderId="0" applyAlignment="1" pivotButton="0" quotePrefix="0" xfId="0">
      <alignment vertical="center"/>
    </xf>
    <xf numFmtId="0" fontId="33" fillId="0" borderId="0" applyAlignment="1" pivotButton="0" quotePrefix="0" xfId="0">
      <alignment horizontal="center" vertical="center"/>
    </xf>
    <xf numFmtId="0" fontId="34" fillId="0" borderId="0" applyAlignment="1" pivotButton="0" quotePrefix="0" xfId="0">
      <alignment vertical="center"/>
    </xf>
    <xf numFmtId="0" fontId="35" fillId="0" borderId="0" applyAlignment="1" pivotButton="0" quotePrefix="0" xfId="0">
      <alignment vertical="center"/>
    </xf>
    <xf numFmtId="164" fontId="34" fillId="0" borderId="0" applyAlignment="1" pivotButton="0" quotePrefix="0" xfId="0">
      <alignment vertical="center"/>
    </xf>
    <xf numFmtId="165" fontId="34" fillId="0" borderId="0" applyAlignment="1" pivotButton="0" quotePrefix="0" xfId="0">
      <alignment vertical="center"/>
    </xf>
    <xf numFmtId="0" fontId="36" fillId="56" borderId="0" applyAlignment="1" pivotButton="0" quotePrefix="0" xfId="0">
      <alignment vertical="center"/>
    </xf>
    <xf numFmtId="0" fontId="36" fillId="56" borderId="0" applyAlignment="1" pivotButton="0" quotePrefix="0" xfId="0">
      <alignment horizontal="left" vertical="center"/>
    </xf>
    <xf numFmtId="0" fontId="5" fillId="57" borderId="0" applyAlignment="1" pivotButton="0" quotePrefix="0" xfId="0">
      <alignment horizontal="center" vertical="center"/>
    </xf>
    <xf numFmtId="164" fontId="29" fillId="0" borderId="0" applyAlignment="1" pivotButton="0" quotePrefix="0" xfId="0">
      <alignment vertical="center"/>
    </xf>
    <xf numFmtId="164" fontId="29" fillId="0" borderId="0" applyAlignment="1" pivotButton="0" quotePrefix="0" xfId="0">
      <alignment vertical="center"/>
    </xf>
    <xf numFmtId="2" fontId="29" fillId="0" borderId="0" applyAlignment="1" pivotButton="0" quotePrefix="0" xfId="0">
      <alignment vertical="center"/>
    </xf>
    <xf numFmtId="2" fontId="29" fillId="0" borderId="0" applyAlignment="1" pivotButton="0" quotePrefix="0" xfId="0">
      <alignment vertical="center"/>
    </xf>
    <xf numFmtId="165" fontId="29" fillId="0" borderId="0" applyAlignment="1" pivotButton="0" quotePrefix="0" xfId="0">
      <alignment vertical="center"/>
    </xf>
    <xf numFmtId="165" fontId="29" fillId="0" borderId="0" applyAlignment="1" pivotButton="0" quotePrefix="0" xfId="0">
      <alignment vertical="center"/>
    </xf>
    <xf numFmtId="0" fontId="32" fillId="56" borderId="0" applyAlignment="1" pivotButton="0" quotePrefix="0" xfId="0">
      <alignment vertical="center"/>
    </xf>
    <xf numFmtId="165" fontId="29" fillId="56" borderId="0" applyAlignment="1" pivotButton="0" quotePrefix="0" xfId="0">
      <alignment vertical="center"/>
    </xf>
    <xf numFmtId="0" fontId="5" fillId="56" borderId="0" applyAlignment="1" pivotButton="0" quotePrefix="0" xfId="0">
      <alignment vertical="center"/>
    </xf>
    <xf numFmtId="165" fontId="5" fillId="56" borderId="0" applyAlignment="1" pivotButton="0" quotePrefix="0" xfId="0">
      <alignment vertical="center"/>
    </xf>
    <xf numFmtId="0" fontId="5" fillId="56" borderId="0" applyAlignment="1" pivotButton="0" quotePrefix="0" xfId="0">
      <alignment vertical="center"/>
    </xf>
    <xf numFmtId="165" fontId="5" fillId="56" borderId="0" applyAlignment="1" pivotButton="0" quotePrefix="0" xfId="0">
      <alignment vertical="center"/>
    </xf>
    <xf numFmtId="0" fontId="29" fillId="0" borderId="0" applyAlignment="1" pivotButton="0" quotePrefix="0" xfId="0">
      <alignment vertical="center" wrapText="1"/>
    </xf>
    <xf numFmtId="0" fontId="29" fillId="0" borderId="0" applyAlignment="1" pivotButton="0" quotePrefix="0" xfId="0">
      <alignment vertical="center" wrapText="1"/>
    </xf>
    <xf numFmtId="166" fontId="0" fillId="0" borderId="0" applyAlignment="1" pivotButton="0" quotePrefix="0" xfId="0">
      <alignment wrapText="1"/>
    </xf>
    <xf numFmtId="2" fontId="0" fillId="0" borderId="0" applyAlignment="1" pivotButton="0" quotePrefix="0" xfId="0">
      <alignment wrapText="1"/>
    </xf>
    <xf numFmtId="0" fontId="0" fillId="59" borderId="0" applyAlignment="1" pivotButton="0" quotePrefix="0" xfId="0">
      <alignment wrapText="1"/>
    </xf>
    <xf numFmtId="0" fontId="37" fillId="59" borderId="0" applyAlignment="1" pivotButton="0" quotePrefix="0" xfId="0">
      <alignment wrapText="1"/>
    </xf>
    <xf numFmtId="0" fontId="37" fillId="59" borderId="0" applyAlignment="1" pivotButton="0" quotePrefix="0" xfId="0">
      <alignment horizontal="center" wrapText="1"/>
    </xf>
    <xf numFmtId="0" fontId="37" fillId="59" borderId="0" applyAlignment="1" pivotButton="0" quotePrefix="0" xfId="0">
      <alignment horizontal="center" vertical="center" wrapText="1"/>
    </xf>
    <xf numFmtId="0" fontId="0" fillId="60" borderId="0" applyAlignment="1" pivotButton="0" quotePrefix="0" xfId="0">
      <alignment wrapText="1"/>
    </xf>
    <xf numFmtId="0" fontId="38" fillId="60" borderId="0" applyAlignment="1" pivotButton="0" quotePrefix="0" xfId="0">
      <alignment wrapText="1"/>
    </xf>
    <xf numFmtId="0" fontId="38" fillId="60" borderId="0" applyAlignment="1" pivotButton="0" quotePrefix="0" xfId="0">
      <alignment horizontal="center" wrapText="1"/>
    </xf>
    <xf numFmtId="0" fontId="0" fillId="61" borderId="0" applyAlignment="1" pivotButton="0" quotePrefix="0" xfId="0">
      <alignment wrapText="1"/>
    </xf>
    <xf numFmtId="0" fontId="2" fillId="61" borderId="0" applyAlignment="1" pivotButton="0" quotePrefix="0" xfId="0">
      <alignment wrapText="1"/>
    </xf>
    <xf numFmtId="0" fontId="2" fillId="61" borderId="0" applyAlignment="1" pivotButton="0" quotePrefix="0" xfId="0">
      <alignment horizontal="center" wrapText="1"/>
    </xf>
    <xf numFmtId="0" fontId="2" fillId="61" borderId="0" applyAlignment="1" pivotButton="0" quotePrefix="0" xfId="0">
      <alignment horizontal="center" vertical="center" wrapText="1"/>
    </xf>
    <xf numFmtId="0" fontId="0" fillId="62" borderId="0" applyAlignment="1" pivotButton="0" quotePrefix="0" xfId="0">
      <alignment wrapText="1"/>
    </xf>
    <xf numFmtId="0" fontId="39" fillId="62" borderId="0" applyAlignment="1" pivotButton="0" quotePrefix="0" xfId="0">
      <alignment wrapText="1"/>
    </xf>
    <xf numFmtId="0" fontId="39" fillId="62" borderId="0" applyAlignment="1" pivotButton="0" quotePrefix="0" xfId="0">
      <alignment horizontal="center" wrapText="1"/>
    </xf>
    <xf numFmtId="0" fontId="0" fillId="63" borderId="0" applyAlignment="1" pivotButton="0" quotePrefix="0" xfId="0">
      <alignment wrapText="1"/>
    </xf>
    <xf numFmtId="0" fontId="40" fillId="63" borderId="0" applyAlignment="1" pivotButton="0" quotePrefix="0" xfId="0">
      <alignment wrapText="1"/>
    </xf>
    <xf numFmtId="0" fontId="0" fillId="59" borderId="0" pivotButton="0" quotePrefix="0" xfId="0"/>
    <xf numFmtId="0" fontId="37" fillId="59" borderId="0" pivotButton="0" quotePrefix="0" xfId="0"/>
    <xf numFmtId="0" fontId="37" fillId="59" borderId="0" applyAlignment="1" pivotButton="0" quotePrefix="0" xfId="0">
      <alignment horizontal="center"/>
    </xf>
    <xf numFmtId="0" fontId="37" fillId="59" borderId="0" applyAlignment="1" pivotButton="0" quotePrefix="0" xfId="0">
      <alignment horizontal="center" vertical="center"/>
    </xf>
    <xf numFmtId="0" fontId="0" fillId="60" borderId="0" pivotButton="0" quotePrefix="0" xfId="0"/>
    <xf numFmtId="0" fontId="38" fillId="60" borderId="0" pivotButton="0" quotePrefix="0" xfId="0"/>
    <xf numFmtId="0" fontId="38" fillId="60" borderId="0" applyAlignment="1" pivotButton="0" quotePrefix="0" xfId="0">
      <alignment horizontal="center"/>
    </xf>
    <xf numFmtId="0" fontId="0" fillId="61" borderId="0" pivotButton="0" quotePrefix="0" xfId="0"/>
    <xf numFmtId="0" fontId="2" fillId="61" borderId="0" pivotButton="0" quotePrefix="0" xfId="0"/>
    <xf numFmtId="0" fontId="2" fillId="61" borderId="0" applyAlignment="1" pivotButton="0" quotePrefix="0" xfId="0">
      <alignment horizontal="center"/>
    </xf>
    <xf numFmtId="0" fontId="2" fillId="61" borderId="0" applyAlignment="1" pivotButton="0" quotePrefix="0" xfId="0">
      <alignment horizontal="center" vertical="center"/>
    </xf>
    <xf numFmtId="0" fontId="0" fillId="63" borderId="0" pivotButton="0" quotePrefix="0" xfId="0"/>
    <xf numFmtId="0" fontId="40" fillId="63" borderId="0" pivotButton="0" quotePrefix="0" xfId="0"/>
    <xf numFmtId="166" fontId="40" fillId="63" borderId="0" applyAlignment="1" pivotButton="0" quotePrefix="0" xfId="0">
      <alignment wrapText="1"/>
    </xf>
    <xf numFmtId="166" fontId="2" fillId="61" borderId="0" applyAlignment="1" pivotButton="0" quotePrefix="0" xfId="0">
      <alignment horizontal="center" vertical="center" wrapText="1"/>
    </xf>
    <xf numFmtId="166" fontId="0" fillId="43" borderId="0" applyAlignment="1" pivotButton="0" quotePrefix="0" xfId="0">
      <alignment wrapText="1"/>
    </xf>
    <xf numFmtId="164" fontId="0" fillId="0" borderId="0" applyAlignment="1" pivotButton="0" quotePrefix="0" xfId="0">
      <alignment wrapText="1"/>
    </xf>
    <xf numFmtId="164" fontId="0" fillId="43" borderId="0" applyAlignment="1" pivotButton="0" quotePrefix="0" xfId="0">
      <alignment wrapText="1"/>
    </xf>
    <xf numFmtId="0" fontId="30" fillId="56" borderId="0" applyAlignment="1" pivotButton="0" quotePrefix="0" xfId="0">
      <alignment horizontal="center" vertical="center" wrapText="1"/>
    </xf>
    <xf numFmtId="0" fontId="5" fillId="57" borderId="0" applyAlignment="1" pivotButton="0" quotePrefix="0" xfId="0">
      <alignment horizontal="center" vertical="center" wrapText="1"/>
    </xf>
    <xf numFmtId="0" fontId="31" fillId="58" borderId="0" applyAlignment="1" pivotButton="0" quotePrefix="0" xfId="0">
      <alignment horizontal="center" vertical="center" wrapText="1"/>
    </xf>
    <xf numFmtId="0" fontId="32" fillId="0" borderId="0" applyAlignment="1" pivotButton="0" quotePrefix="0" xfId="0">
      <alignment vertical="center" wrapText="1"/>
    </xf>
    <xf numFmtId="0" fontId="29" fillId="0" borderId="0" applyAlignment="1" pivotButton="0" quotePrefix="0" xfId="0">
      <alignment horizontal="center" vertical="center" wrapText="1"/>
    </xf>
    <xf numFmtId="164" fontId="29"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34" fillId="0" borderId="0" applyAlignment="1" pivotButton="0" quotePrefix="0" xfId="0">
      <alignment vertical="center" wrapText="1"/>
    </xf>
    <xf numFmtId="0" fontId="35" fillId="0" borderId="0" applyAlignment="1" pivotButton="0" quotePrefix="0" xfId="0">
      <alignment vertical="center" wrapText="1"/>
    </xf>
    <xf numFmtId="164" fontId="34" fillId="0" borderId="0" applyAlignment="1" pivotButton="0" quotePrefix="0" xfId="0">
      <alignment vertical="center" wrapText="1"/>
    </xf>
    <xf numFmtId="165" fontId="29" fillId="0" borderId="0" applyAlignment="1" pivotButton="0" quotePrefix="0" xfId="0">
      <alignment horizontal="center" vertical="center" wrapText="1"/>
    </xf>
    <xf numFmtId="165" fontId="34" fillId="0" borderId="0" applyAlignment="1" pivotButton="0" quotePrefix="0" xfId="0">
      <alignment vertical="center" wrapText="1"/>
    </xf>
    <xf numFmtId="0" fontId="36" fillId="56" borderId="0" applyAlignment="1" pivotButton="0" quotePrefix="0" xfId="0">
      <alignment horizontal="left" vertical="center" wrapText="1"/>
    </xf>
    <xf numFmtId="0" fontId="5" fillId="57" borderId="0" applyAlignment="1" pivotButton="0" quotePrefix="0" xfId="0">
      <alignment horizontal="center" vertical="center" wrapText="1"/>
    </xf>
    <xf numFmtId="164" fontId="29" fillId="0" borderId="0" applyAlignment="1" pivotButton="0" quotePrefix="0" xfId="0">
      <alignment vertical="center" wrapText="1"/>
    </xf>
    <xf numFmtId="165" fontId="29" fillId="0" borderId="0" applyAlignment="1" pivotButton="0" quotePrefix="0" xfId="0">
      <alignment vertical="center" wrapText="1"/>
    </xf>
    <xf numFmtId="2" fontId="29" fillId="0" borderId="0" applyAlignment="1" pivotButton="0" quotePrefix="0" xfId="0">
      <alignment vertical="center" wrapText="1"/>
    </xf>
    <xf numFmtId="0" fontId="5" fillId="56" borderId="0" applyAlignment="1" pivotButton="0" quotePrefix="0" xfId="0">
      <alignment vertical="center" wrapText="1"/>
    </xf>
    <xf numFmtId="165" fontId="5" fillId="56" borderId="0" applyAlignment="1" pivotButton="0" quotePrefix="0" xfId="0">
      <alignment vertical="center" wrapText="1"/>
    </xf>
    <xf numFmtId="0" fontId="4" fillId="2" borderId="0" applyAlignment="1" pivotButton="0" quotePrefix="0" xfId="0">
      <alignment horizontal="center" vertical="center" wrapText="1"/>
    </xf>
    <xf numFmtId="0" fontId="2" fillId="3" borderId="0" applyAlignment="1" pivotButton="0" quotePrefix="0" xfId="0">
      <alignment vertical="center" wrapText="1"/>
    </xf>
    <xf numFmtId="0" fontId="5" fillId="63" borderId="0" applyAlignment="1" pivotButton="0" quotePrefix="0" xfId="0">
      <alignment horizontal="center" vertical="center" wrapText="1"/>
    </xf>
    <xf numFmtId="0" fontId="29" fillId="63" borderId="0" applyAlignment="1" pivotButton="0" quotePrefix="0" xfId="0">
      <alignment vertical="center" wrapText="1"/>
    </xf>
    <xf numFmtId="0" fontId="41" fillId="63" borderId="0" applyAlignment="1" pivotButton="0" quotePrefix="0" xfId="0">
      <alignment horizontal="center" vertical="center" wrapText="1"/>
    </xf>
    <xf numFmtId="0" fontId="41" fillId="63" borderId="0" applyAlignment="1" pivotButton="0" quotePrefix="0" xfId="0">
      <alignment vertical="center" wrapText="1"/>
    </xf>
    <xf numFmtId="0" fontId="32" fillId="61" borderId="0" applyAlignment="1" pivotButton="0" quotePrefix="0" xfId="0">
      <alignment vertical="center" wrapText="1"/>
    </xf>
    <xf numFmtId="0" fontId="29" fillId="61" borderId="0" applyAlignment="1" pivotButton="0" quotePrefix="0" xfId="0">
      <alignment vertical="center" wrapText="1"/>
    </xf>
    <xf numFmtId="0" fontId="5" fillId="61" borderId="0" applyAlignment="1" pivotButton="0" quotePrefix="0" xfId="0">
      <alignment vertical="center" wrapText="1"/>
    </xf>
    <xf numFmtId="0" fontId="5" fillId="61" borderId="0" applyAlignment="1" pivotButton="0" quotePrefix="0" xfId="0">
      <alignment horizontal="center" vertical="center" wrapText="1"/>
    </xf>
    <xf numFmtId="0" fontId="37" fillId="3" borderId="0" applyAlignment="1" pivotButton="0" quotePrefix="0" xfId="0">
      <alignment wrapText="1"/>
    </xf>
    <xf numFmtId="0" fontId="37" fillId="3" borderId="0" applyAlignment="1" pivotButton="0" quotePrefix="0" xfId="0">
      <alignment horizontal="center" wrapText="1"/>
    </xf>
    <xf numFmtId="0" fontId="37" fillId="3" borderId="0" applyAlignment="1" pivotButton="0" quotePrefix="0" xfId="0">
      <alignment horizontal="center" vertical="center" wrapText="1"/>
    </xf>
    <xf numFmtId="0" fontId="38" fillId="4" borderId="0" applyAlignment="1" pivotButton="0" quotePrefix="0" xfId="0">
      <alignment wrapText="1"/>
    </xf>
    <xf numFmtId="0" fontId="38" fillId="4" borderId="0" applyAlignment="1" pivotButton="0" quotePrefix="0" xfId="0">
      <alignment horizontal="center" wrapText="1"/>
    </xf>
    <xf numFmtId="0" fontId="37" fillId="3" borderId="0" pivotButton="0" quotePrefix="0" xfId="0"/>
    <xf numFmtId="0" fontId="37" fillId="3" borderId="0" applyAlignment="1" pivotButton="0" quotePrefix="0" xfId="0">
      <alignment horizontal="center"/>
    </xf>
    <xf numFmtId="0" fontId="37" fillId="3" borderId="0" applyAlignment="1" pivotButton="0" quotePrefix="0" xfId="0">
      <alignment horizontal="center" vertical="center"/>
    </xf>
    <xf numFmtId="0" fontId="38" fillId="4" borderId="0" pivotButton="0" quotePrefix="0" xfId="0"/>
    <xf numFmtId="0" fontId="38" fillId="4" borderId="0" applyAlignment="1" pivotButton="0" quotePrefix="0" xfId="0">
      <alignment horizontal="center"/>
    </xf>
    <xf numFmtId="0" fontId="0" fillId="64" borderId="0" pivotButton="0" quotePrefix="0" xfId="0"/>
    <xf numFmtId="0" fontId="27" fillId="64" borderId="0" pivotButton="0" quotePrefix="0" xfId="0"/>
    <xf numFmtId="0" fontId="27" fillId="64" borderId="0" applyAlignment="1" pivotButton="0" quotePrefix="0" xfId="0">
      <alignment horizontal="center"/>
    </xf>
    <xf numFmtId="0" fontId="27" fillId="64" borderId="0" applyAlignment="1" pivotButton="0" quotePrefix="0" xfId="0">
      <alignment horizontal="center" vertical="center"/>
    </xf>
    <xf numFmtId="0" fontId="0" fillId="65" borderId="0" pivotButton="0" quotePrefix="0" xfId="0"/>
    <xf numFmtId="0" fontId="38" fillId="65" borderId="0" pivotButton="0" quotePrefix="0" xfId="0"/>
    <xf numFmtId="0" fontId="38" fillId="65" borderId="0" applyAlignment="1" pivotButton="0" quotePrefix="0" xfId="0">
      <alignment horizontal="center"/>
    </xf>
    <xf numFmtId="0" fontId="0" fillId="66" borderId="0" pivotButton="0" quotePrefix="0" xfId="0"/>
    <xf numFmtId="0" fontId="2" fillId="66" borderId="0" pivotButton="0" quotePrefix="0" xfId="0"/>
    <xf numFmtId="0" fontId="2" fillId="66" borderId="0" applyAlignment="1" pivotButton="0" quotePrefix="0" xfId="0">
      <alignment horizontal="center"/>
    </xf>
    <xf numFmtId="0" fontId="2" fillId="66" borderId="0" applyAlignment="1" pivotButton="0" quotePrefix="0" xfId="0">
      <alignment horizontal="center" vertical="center"/>
    </xf>
    <xf numFmtId="167" fontId="0" fillId="0" borderId="0" pivotButton="0" quotePrefix="0" xfId="0"/>
    <xf numFmtId="1" fontId="0" fillId="0" borderId="0" pivotButton="0" quotePrefix="0" xfId="0"/>
    <xf numFmtId="0" fontId="27" fillId="64" borderId="0" applyAlignment="1" pivotButton="0" quotePrefix="0" xfId="0">
      <alignment horizontal="center" vertical="center" wrapText="1"/>
    </xf>
    <xf numFmtId="0" fontId="38" fillId="65" borderId="0" applyAlignment="1" pivotButton="0" quotePrefix="0" xfId="0">
      <alignment horizontal="center" wrapText="1"/>
    </xf>
    <xf numFmtId="0" fontId="2" fillId="66" borderId="0" applyAlignment="1" pivotButton="0" quotePrefix="0" xfId="0">
      <alignment horizontal="center" vertical="center" wrapText="1"/>
    </xf>
    <xf numFmtId="1" fontId="0" fillId="0" borderId="0" applyAlignment="1" pivotButton="0" quotePrefix="0" xfId="0">
      <alignment wrapText="1"/>
    </xf>
    <xf numFmtId="167" fontId="0" fillId="0" borderId="0" applyAlignment="1" pivotButton="0" quotePrefix="0" xfId="0">
      <alignment wrapText="1"/>
    </xf>
    <xf numFmtId="166" fontId="0" fillId="64" borderId="0" applyAlignment="1" pivotButton="0" quotePrefix="0" xfId="0">
      <alignment wrapText="1"/>
    </xf>
    <xf numFmtId="0" fontId="0" fillId="64" borderId="0" applyAlignment="1" pivotButton="0" quotePrefix="0" xfId="0">
      <alignment wrapText="1"/>
    </xf>
    <xf numFmtId="166" fontId="2" fillId="64" borderId="0" applyAlignment="1" pivotButton="0" quotePrefix="0" xfId="0">
      <alignment wrapText="1"/>
    </xf>
    <xf numFmtId="0" fontId="2" fillId="64" borderId="0" applyAlignment="1" pivotButton="0" quotePrefix="0" xfId="0">
      <alignment wrapText="1"/>
    </xf>
    <xf numFmtId="166" fontId="0" fillId="66" borderId="0" applyAlignment="1" pivotButton="0" quotePrefix="0" xfId="0">
      <alignment wrapText="1"/>
    </xf>
    <xf numFmtId="0" fontId="0" fillId="66" borderId="0" applyAlignment="1" pivotButton="0" quotePrefix="0" xfId="0">
      <alignment wrapText="1"/>
    </xf>
    <xf numFmtId="166" fontId="2" fillId="66" borderId="0" applyAlignment="1" pivotButton="0" quotePrefix="0" xfId="0">
      <alignment wrapText="1"/>
    </xf>
    <xf numFmtId="0" fontId="2" fillId="66" borderId="0" applyAlignment="1" pivotButton="0" quotePrefix="0" xfId="0">
      <alignment wrapText="1"/>
    </xf>
    <xf numFmtId="0" fontId="27" fillId="3" borderId="0" pivotButton="0" quotePrefix="0" xfId="0"/>
    <xf numFmtId="0" fontId="27" fillId="3" borderId="0" applyAlignment="1" pivotButton="0" quotePrefix="0" xfId="0">
      <alignment horizontal="center"/>
    </xf>
    <xf numFmtId="0" fontId="27" fillId="3" borderId="0" applyAlignment="1" pivotButton="0" quotePrefix="0" xfId="0">
      <alignment horizontal="center" vertical="center"/>
    </xf>
    <xf numFmtId="0" fontId="27" fillId="3" borderId="0" applyAlignment="1" pivotButton="0" quotePrefix="0" xfId="0">
      <alignment horizontal="center" vertical="center" wrapText="1"/>
    </xf>
    <xf numFmtId="166" fontId="0" fillId="3" borderId="0" applyAlignment="1" pivotButton="0" quotePrefix="0" xfId="0">
      <alignment wrapText="1"/>
    </xf>
    <xf numFmtId="166" fontId="2" fillId="3" borderId="0" applyAlignment="1" pivotButton="0" quotePrefix="0" xfId="0">
      <alignment wrapText="1"/>
    </xf>
    <xf numFmtId="166" fontId="0" fillId="61" borderId="0" applyAlignment="1" pivotButton="0" quotePrefix="0" xfId="0">
      <alignment wrapText="1"/>
    </xf>
    <xf numFmtId="166" fontId="2" fillId="61" borderId="0" applyAlignment="1" pivotButton="0" quotePrefix="0" xfId="0">
      <alignment wrapText="1"/>
    </xf>
    <xf numFmtId="164" fontId="5" fillId="57"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12" borderId="0" applyAlignment="1" pivotButton="0" quotePrefix="0" xfId="0">
      <alignment horizontal="center" wrapText="1"/>
    </xf>
    <xf numFmtId="0" fontId="5" fillId="2" borderId="1" applyAlignment="1" pivotButton="0" quotePrefix="0" xfId="0">
      <alignment horizontal="center" vertical="center" wrapText="1"/>
    </xf>
    <xf numFmtId="0" fontId="13" fillId="12" borderId="1" applyAlignment="1" pivotButton="0" quotePrefix="0" xfId="0">
      <alignment horizontal="center" wrapText="1"/>
    </xf>
    <xf numFmtId="0" fontId="14" fillId="13" borderId="1" applyAlignment="1" pivotButton="0" quotePrefix="0" xfId="0">
      <alignment horizontal="center" vertical="center"/>
    </xf>
    <xf numFmtId="164" fontId="14" fillId="13" borderId="1" applyAlignment="1" pivotButton="0" quotePrefix="0" xfId="0">
      <alignment horizontal="center" vertical="center"/>
    </xf>
    <xf numFmtId="0" fontId="15" fillId="14" borderId="1" applyAlignment="1" pivotButton="0" quotePrefix="0" xfId="0">
      <alignment horizontal="center" vertical="center"/>
    </xf>
    <xf numFmtId="164" fontId="15" fillId="15" borderId="1" applyAlignment="1" pivotButton="0" quotePrefix="0" xfId="0">
      <alignment horizontal="center" vertical="center"/>
    </xf>
    <xf numFmtId="0" fontId="15" fillId="16" borderId="1" applyAlignment="1" pivotButton="0" quotePrefix="0" xfId="0">
      <alignment horizontal="center" vertical="center"/>
    </xf>
    <xf numFmtId="0" fontId="15" fillId="17" borderId="1" applyAlignment="1" pivotButton="0" quotePrefix="0" xfId="0">
      <alignment horizontal="center" vertical="center"/>
    </xf>
    <xf numFmtId="0" fontId="2" fillId="18" borderId="1" applyAlignment="1" pivotButton="0" quotePrefix="0" xfId="0">
      <alignment horizontal="center" vertical="center"/>
    </xf>
    <xf numFmtId="165" fontId="14" fillId="13" borderId="1" applyAlignment="1" pivotButton="0" quotePrefix="0" xfId="0">
      <alignment horizontal="center" vertical="center"/>
    </xf>
    <xf numFmtId="164" fontId="15" fillId="14" borderId="1" applyAlignment="1" pivotButton="0" quotePrefix="0" xfId="0">
      <alignment horizontal="center" vertical="center"/>
    </xf>
    <xf numFmtId="165" fontId="15" fillId="14" borderId="1" applyAlignment="1" pivotButton="0" quotePrefix="0" xfId="0">
      <alignment horizontal="center" vertical="center"/>
    </xf>
    <xf numFmtId="164" fontId="15" fillId="16" borderId="1" applyAlignment="1" pivotButton="0" quotePrefix="0" xfId="0">
      <alignment horizontal="center" vertical="center"/>
    </xf>
    <xf numFmtId="164" fontId="0" fillId="0" borderId="0" pivotButton="0" quotePrefix="0" xfId="0"/>
    <xf numFmtId="165" fontId="0" fillId="0" borderId="0" pivotButton="0" quotePrefix="0" xfId="0"/>
    <xf numFmtId="0" fontId="2" fillId="18" borderId="1" applyAlignment="1" pivotButton="0" quotePrefix="0" xfId="0">
      <alignment vertical="center"/>
    </xf>
    <xf numFmtId="2" fontId="15" fillId="14" borderId="1" applyAlignment="1" pivotButton="0" quotePrefix="0" xfId="0">
      <alignment horizontal="center" vertical="center"/>
    </xf>
    <xf numFmtId="164" fontId="15" fillId="17" borderId="1" applyAlignment="1" pivotButton="0" quotePrefix="0" xfId="0">
      <alignment horizontal="center" vertical="center"/>
    </xf>
    <xf numFmtId="0" fontId="21" fillId="36" borderId="1" applyAlignment="1" pivotButton="0" quotePrefix="0" xfId="0">
      <alignment horizontal="center" vertical="center"/>
    </xf>
    <xf numFmtId="166" fontId="0" fillId="0" borderId="0" pivotButton="0" quotePrefix="0" xfId="0"/>
    <xf numFmtId="0" fontId="19" fillId="31" borderId="1" applyAlignment="1" pivotButton="0" quotePrefix="0" xfId="0">
      <alignment horizontal="center"/>
    </xf>
    <xf numFmtId="166" fontId="0" fillId="43" borderId="0" applyAlignment="1" pivotButton="0" quotePrefix="0" xfId="0">
      <alignment wrapText="1"/>
    </xf>
    <xf numFmtId="166" fontId="0" fillId="0" borderId="0" applyAlignment="1" pivotButton="0" quotePrefix="0" xfId="0">
      <alignment wrapText="1"/>
    </xf>
    <xf numFmtId="164" fontId="0" fillId="0" borderId="0" applyAlignment="1" pivotButton="0" quotePrefix="0" xfId="0">
      <alignment wrapText="1"/>
    </xf>
    <xf numFmtId="167" fontId="0" fillId="0" borderId="0" applyAlignment="1" pivotButton="0" quotePrefix="0" xfId="0">
      <alignment wrapText="1"/>
    </xf>
    <xf numFmtId="167" fontId="0" fillId="0" borderId="0" pivotButton="0" quotePrefix="0" xfId="0"/>
    <xf numFmtId="164" fontId="0" fillId="43" borderId="0" applyAlignment="1" pivotButton="0" quotePrefix="0" xfId="0">
      <alignment wrapText="1"/>
    </xf>
    <xf numFmtId="0" fontId="2" fillId="9" borderId="1" applyAlignment="1" pivotButton="0" quotePrefix="0" xfId="0">
      <alignment horizontal="center" vertical="center"/>
    </xf>
    <xf numFmtId="164" fontId="22" fillId="37" borderId="0" applyAlignment="1" pivotButton="0" quotePrefix="0" xfId="0">
      <alignment horizontal="center"/>
    </xf>
    <xf numFmtId="0" fontId="2" fillId="9" borderId="1" pivotButton="0" quotePrefix="0" xfId="0"/>
    <xf numFmtId="164" fontId="2" fillId="3" borderId="0" applyAlignment="1" pivotButton="0" quotePrefix="0" xfId="0">
      <alignment vertical="center"/>
    </xf>
    <xf numFmtId="164" fontId="2" fillId="2" borderId="0" applyAlignment="1" pivotButton="0" quotePrefix="0" xfId="0">
      <alignment horizontal="center" vertical="center"/>
    </xf>
    <xf numFmtId="0" fontId="2" fillId="9" borderId="1" applyAlignment="1" pivotButton="0" quotePrefix="0" xfId="0">
      <alignment vertical="center"/>
    </xf>
    <xf numFmtId="0" fontId="16" fillId="20" borderId="1" applyAlignment="1" pivotButton="0" quotePrefix="0" xfId="0">
      <alignment horizontal="center" vertical="center"/>
    </xf>
    <xf numFmtId="0" fontId="2" fillId="21" borderId="1" pivotButton="0" quotePrefix="0" xfId="0"/>
    <xf numFmtId="0" fontId="20" fillId="32" borderId="1" applyAlignment="1" pivotButton="0" quotePrefix="0" xfId="0">
      <alignment horizontal="center"/>
    </xf>
    <xf numFmtId="166" fontId="2" fillId="2" borderId="0" applyAlignment="1" pivotButton="0" quotePrefix="0" xfId="0">
      <alignment horizontal="center" vertical="center"/>
    </xf>
    <xf numFmtId="0" fontId="5" fillId="23" borderId="1" applyAlignment="1" pivotButton="0" quotePrefix="0" xfId="0">
      <alignment horizontal="center" vertical="top" wrapText="1"/>
    </xf>
    <xf numFmtId="0" fontId="17" fillId="24" borderId="1" applyAlignment="1" pivotButton="0" quotePrefix="0" xfId="0">
      <alignment horizontal="center"/>
    </xf>
    <xf numFmtId="0" fontId="3" fillId="25" borderId="1" applyAlignment="1" pivotButton="0" quotePrefix="0" xfId="0">
      <alignment horizontal="center" vertical="center"/>
    </xf>
    <xf numFmtId="0" fontId="18" fillId="26" borderId="1" applyAlignment="1" pivotButton="0" quotePrefix="0" xfId="0">
      <alignment horizontal="center" vertical="center"/>
    </xf>
    <xf numFmtId="0" fontId="18" fillId="27" borderId="1" applyAlignment="1" pivotButton="0" quotePrefix="0" xfId="0">
      <alignment horizontal="center" vertical="center"/>
    </xf>
    <xf numFmtId="0" fontId="18" fillId="28" borderId="1" applyAlignment="1" pivotButton="0" quotePrefix="0" xfId="0">
      <alignment horizontal="center" vertical="center"/>
    </xf>
    <xf numFmtId="164" fontId="18" fillId="26" borderId="1" applyAlignment="1" pivotButton="0" quotePrefix="0" xfId="0">
      <alignment horizontal="center" vertical="center"/>
    </xf>
    <xf numFmtId="0" fontId="2" fillId="29" borderId="1" applyAlignment="1" pivotButton="0" quotePrefix="0" xfId="0">
      <alignment vertical="center"/>
    </xf>
    <xf numFmtId="164" fontId="2" fillId="23" borderId="0" applyAlignment="1" pivotButton="0" quotePrefix="0" xfId="0">
      <alignment horizontal="center" vertical="center"/>
    </xf>
    <xf numFmtId="1" fontId="26" fillId="0" borderId="0" applyAlignment="1" pivotButton="0" quotePrefix="0" xfId="0">
      <alignment horizontal="center" wrapText="1"/>
    </xf>
    <xf numFmtId="0" fontId="2" fillId="3" borderId="1" applyAlignment="1" pivotButton="0" quotePrefix="0" xfId="0">
      <alignment vertical="center" wrapText="1"/>
    </xf>
    <xf numFmtId="0" fontId="2" fillId="3" borderId="1" applyAlignment="1" pivotButton="0" quotePrefix="0" xfId="0">
      <alignment wrapText="1"/>
    </xf>
    <xf numFmtId="0" fontId="27" fillId="44" borderId="1" applyAlignment="1" pivotButton="0" quotePrefix="0" xfId="0">
      <alignment horizontal="center" vertical="center"/>
    </xf>
    <xf numFmtId="0" fontId="17" fillId="45" borderId="1" applyAlignment="1" pivotButton="0" quotePrefix="0" xfId="0">
      <alignment horizontal="center" vertical="center" wrapText="1"/>
    </xf>
    <xf numFmtId="0" fontId="15" fillId="47" borderId="1" applyAlignment="1" pivotButton="0" quotePrefix="0" xfId="0">
      <alignment horizontal="center" vertical="center"/>
    </xf>
    <xf numFmtId="0" fontId="15" fillId="48" borderId="1" applyAlignment="1" pivotButton="0" quotePrefix="0" xfId="0">
      <alignment horizontal="center" vertical="center"/>
    </xf>
    <xf numFmtId="0" fontId="15" fillId="49" borderId="1" applyAlignment="1" pivotButton="0" quotePrefix="0" xfId="0">
      <alignment horizontal="center" vertical="center"/>
    </xf>
    <xf numFmtId="0" fontId="2" fillId="50" borderId="1" applyAlignment="1" pivotButton="0" quotePrefix="0" xfId="0">
      <alignment horizontal="center"/>
    </xf>
    <xf numFmtId="0" fontId="3" fillId="52" borderId="1" applyAlignment="1" pivotButton="0" quotePrefix="0" xfId="0">
      <alignment horizontal="center" vertical="center" wrapText="1"/>
    </xf>
    <xf numFmtId="0" fontId="28" fillId="53" borderId="1" applyAlignment="1" pivotButton="0" quotePrefix="0" xfId="0">
      <alignment vertical="center" wrapText="1"/>
    </xf>
    <xf numFmtId="0" fontId="28" fillId="54" borderId="1" applyAlignment="1" pivotButton="0" quotePrefix="0" xfId="0">
      <alignment vertical="center" wrapText="1"/>
    </xf>
    <xf numFmtId="0" fontId="2" fillId="44" borderId="1" applyAlignment="1" pivotButton="0" quotePrefix="0" xfId="0">
      <alignment horizontal="center"/>
    </xf>
    <xf numFmtId="0" fontId="28" fillId="51" borderId="1" applyAlignment="1" pivotButton="0" quotePrefix="0" xfId="0">
      <alignment vertical="center" wrapText="1"/>
    </xf>
    <xf numFmtId="0" fontId="28" fillId="43" borderId="1" applyAlignment="1" pivotButton="0" quotePrefix="0" xfId="0">
      <alignment vertical="center" wrapText="1"/>
    </xf>
    <xf numFmtId="0" fontId="30" fillId="56" borderId="1" applyAlignment="1" pivotButton="0" quotePrefix="0" xfId="0">
      <alignment horizontal="center" vertical="center" wrapText="1"/>
    </xf>
    <xf numFmtId="0" fontId="5" fillId="57" borderId="1" applyAlignment="1" pivotButton="0" quotePrefix="0" xfId="0">
      <alignment horizontal="center" vertical="center" wrapText="1"/>
    </xf>
    <xf numFmtId="0" fontId="31" fillId="58" borderId="1" applyAlignment="1" pivotButton="0" quotePrefix="0" xfId="0">
      <alignment horizontal="center" vertical="center" wrapText="1"/>
    </xf>
    <xf numFmtId="164" fontId="29" fillId="0" borderId="0" applyAlignment="1" pivotButton="0" quotePrefix="0" xfId="0">
      <alignment horizontal="center" vertical="center" wrapText="1"/>
    </xf>
    <xf numFmtId="164" fontId="34" fillId="0" borderId="0" applyAlignment="1" pivotButton="0" quotePrefix="0" xfId="0">
      <alignment vertical="center" wrapText="1"/>
    </xf>
    <xf numFmtId="165" fontId="29" fillId="0" borderId="0" applyAlignment="1" pivotButton="0" quotePrefix="0" xfId="0">
      <alignment horizontal="center" vertical="center" wrapText="1"/>
    </xf>
    <xf numFmtId="165" fontId="34" fillId="0" borderId="0" applyAlignment="1" pivotButton="0" quotePrefix="0" xfId="0">
      <alignment vertical="center" wrapText="1"/>
    </xf>
    <xf numFmtId="0" fontId="36" fillId="56" borderId="1" applyAlignment="1" pivotButton="0" quotePrefix="0" xfId="0">
      <alignment horizontal="left" vertical="center" wrapText="1"/>
    </xf>
    <xf numFmtId="164" fontId="29" fillId="0" borderId="0" applyAlignment="1" pivotButton="0" quotePrefix="0" xfId="0">
      <alignment vertical="center" wrapText="1"/>
    </xf>
    <xf numFmtId="165" fontId="29" fillId="0" borderId="0" applyAlignment="1" pivotButton="0" quotePrefix="0" xfId="0">
      <alignment vertical="center" wrapText="1"/>
    </xf>
    <xf numFmtId="2" fontId="29" fillId="0" borderId="0" applyAlignment="1" pivotButton="0" quotePrefix="0" xfId="0">
      <alignment vertical="center" wrapText="1"/>
    </xf>
    <xf numFmtId="164" fontId="5" fillId="57" borderId="0" applyAlignment="1" pivotButton="0" quotePrefix="0" xfId="0">
      <alignment horizontal="center" vertical="center" wrapText="1"/>
    </xf>
    <xf numFmtId="165" fontId="5" fillId="56" borderId="0" applyAlignment="1" pivotButton="0" quotePrefix="0" xfId="0">
      <alignment vertical="center" wrapText="1"/>
    </xf>
    <xf numFmtId="0" fontId="41" fillId="63" borderId="1" applyAlignment="1" pivotButton="0" quotePrefix="0" xfId="0">
      <alignment horizontal="center" vertical="center" wrapText="1"/>
    </xf>
    <xf numFmtId="0" fontId="5" fillId="61" borderId="1" applyAlignment="1" pivotButton="0" quotePrefix="0" xfId="0">
      <alignment horizontal="center" vertical="center" wrapText="1"/>
    </xf>
    <xf numFmtId="0" fontId="29" fillId="0" borderId="1" applyAlignment="1" pivotButton="0" quotePrefix="0" xfId="0">
      <alignment vertical="center" wrapText="1"/>
    </xf>
    <xf numFmtId="0" fontId="37" fillId="59" borderId="1" applyAlignment="1" pivotButton="0" quotePrefix="0" xfId="0">
      <alignment horizontal="center" vertical="center" wrapText="1"/>
    </xf>
    <xf numFmtId="0" fontId="38" fillId="60" borderId="1" applyAlignment="1" pivotButton="0" quotePrefix="0" xfId="0">
      <alignment horizontal="center" wrapText="1"/>
    </xf>
    <xf numFmtId="2" fontId="0" fillId="0" borderId="0" applyAlignment="1" pivotButton="0" quotePrefix="0" xfId="0">
      <alignment wrapText="1"/>
    </xf>
    <xf numFmtId="0" fontId="39" fillId="62" borderId="1" applyAlignment="1" pivotButton="0" quotePrefix="0" xfId="0">
      <alignment horizontal="center" wrapText="1"/>
    </xf>
    <xf numFmtId="0" fontId="40" fillId="63" borderId="1" applyAlignment="1" pivotButton="0" quotePrefix="0" xfId="0">
      <alignment wrapText="1"/>
    </xf>
    <xf numFmtId="0" fontId="37" fillId="59" borderId="1" applyAlignment="1" pivotButton="0" quotePrefix="0" xfId="0">
      <alignment horizontal="center" vertical="center"/>
    </xf>
    <xf numFmtId="0" fontId="38" fillId="60" borderId="1" applyAlignment="1" pivotButton="0" quotePrefix="0" xfId="0">
      <alignment horizontal="center"/>
    </xf>
    <xf numFmtId="166" fontId="40" fillId="63" borderId="1" applyAlignment="1" pivotButton="0" quotePrefix="0" xfId="0">
      <alignment wrapText="1"/>
    </xf>
    <xf numFmtId="166" fontId="2" fillId="61" borderId="0" applyAlignment="1" pivotButton="0" quotePrefix="0" xfId="0">
      <alignment horizontal="center" vertical="center" wrapText="1"/>
    </xf>
    <xf numFmtId="166" fontId="2" fillId="64" borderId="0" applyAlignment="1" pivotButton="0" quotePrefix="0" xfId="0">
      <alignment wrapText="1"/>
    </xf>
    <xf numFmtId="166" fontId="2" fillId="66" borderId="0" applyAlignment="1" pivotButton="0" quotePrefix="0" xfId="0">
      <alignment wrapText="1"/>
    </xf>
    <xf numFmtId="0" fontId="27" fillId="3" borderId="1" applyAlignment="1" pivotButton="0" quotePrefix="0" xfId="0">
      <alignment horizontal="center" vertical="center" wrapText="1"/>
    </xf>
    <xf numFmtId="0" fontId="38" fillId="4" borderId="1" applyAlignment="1" pivotButton="0" quotePrefix="0" xfId="0">
      <alignment horizontal="center" wrapText="1"/>
    </xf>
    <xf numFmtId="1" fontId="0" fillId="0" borderId="0" applyAlignment="1" pivotButton="0" quotePrefix="0" xfId="0">
      <alignment wrapText="1"/>
    </xf>
  </cellXfs>
  <cellStyles count="1">
    <cellStyle name="Normal" xfId="0"/>
  </cellStyles>
  <dxfs count="143">
    <dxf>
      <fill>
        <patternFill>
          <bgColor rgb="FFFCE8E6"/>
        </patternFill>
      </fill>
    </dxf>
    <dxf>
      <fill>
        <patternFill>
          <bgColor rgb="FFFFF2CC"/>
        </patternFill>
      </fill>
    </dxf>
    <dxf>
      <fill>
        <patternFill>
          <bgColor rgb="FFFCE8E6"/>
        </patternFill>
      </fill>
    </dxf>
    <dxf>
      <fill>
        <patternFill>
          <bgColor rgb="FFE2F0D9"/>
        </patternFill>
      </fill>
    </dxf>
    <dxf>
      <fill>
        <patternFill>
          <bgColor rgb="FFFCE8E6"/>
        </patternFill>
      </fill>
    </dxf>
    <dxf>
      <fill>
        <patternFill>
          <bgColor rgb="FFFFF2CC"/>
        </patternFill>
      </fill>
    </dxf>
    <dxf>
      <fill>
        <patternFill>
          <bgColor rgb="FFFCE8E6"/>
        </patternFill>
      </fill>
    </dxf>
    <dxf>
      <fill>
        <patternFill>
          <bgColor rgb="FFFCE8E6"/>
        </patternFill>
      </fill>
    </dxf>
    <dxf>
      <fill>
        <patternFill>
          <bgColor rgb="FFFFF2CC"/>
        </patternFill>
      </fill>
    </dxf>
    <dxf>
      <fill>
        <patternFill>
          <bgColor rgb="FFFFF2CC"/>
        </patternFill>
      </fill>
    </dxf>
    <dxf>
      <fill>
        <patternFill>
          <bgColor rgb="FFFCE8E6"/>
        </patternFill>
      </fill>
    </dxf>
    <dxf>
      <fill>
        <patternFill>
          <bgColor rgb="FFE2F0D9"/>
        </patternFill>
      </fill>
    </dxf>
    <dxf>
      <fill>
        <patternFill>
          <bgColor rgb="FFFCE8E6"/>
        </patternFill>
      </fill>
    </dxf>
    <dxf>
      <fill>
        <patternFill>
          <bgColor rgb="FFF4CCCC"/>
        </patternFill>
      </fill>
    </dxf>
    <dxf>
      <fill>
        <patternFill>
          <bgColor rgb="FFF4CCCC"/>
        </patternFill>
      </fill>
    </dxf>
    <dxf>
      <font>
        <b val="1"/>
      </font>
      <fill>
        <patternFill>
          <bgColor rgb="FFF4CCCC"/>
        </patternFill>
      </fill>
    </dxf>
    <dxf>
      <fill>
        <patternFill>
          <bgColor rgb="FFFCE4D6"/>
        </patternFill>
      </fill>
    </dxf>
    <dxf>
      <fill>
        <patternFill>
          <bgColor rgb="FFFFF2CC"/>
        </patternFill>
      </fill>
    </dxf>
    <dxf>
      <font>
        <b val="1"/>
      </font>
      <fill>
        <patternFill>
          <bgColor rgb="FFF4CCCC"/>
        </patternFill>
      </fill>
    </dxf>
    <dxf>
      <fill>
        <patternFill>
          <bgColor rgb="FFFCE4D6"/>
        </patternFill>
      </fill>
    </dxf>
    <dxf>
      <fill>
        <patternFill>
          <bgColor rgb="FFFFF2CC"/>
        </patternFill>
      </fill>
    </dxf>
    <dxf>
      <font>
        <b val="1"/>
        <color rgb="FF2E6B2E"/>
      </font>
      <fill>
        <patternFill>
          <bgColor rgb="FFE2F0D9"/>
        </patternFill>
      </fill>
    </dxf>
    <dxf>
      <font>
        <b val="1"/>
        <color rgb="FF7F6000"/>
      </font>
      <fill>
        <patternFill>
          <bgColor rgb="FFFFF2CC"/>
        </patternFill>
      </fill>
    </dxf>
    <dxf>
      <font>
        <b val="1"/>
        <color rgb="FF9C0006"/>
      </font>
      <fill>
        <patternFill>
          <bgColor rgb="FFF4CCCC"/>
        </patternFill>
      </fill>
    </dxf>
    <dxf>
      <font>
        <b val="1"/>
        <color rgb="FF2E6B2E"/>
      </font>
      <fill>
        <patternFill>
          <bgColor rgb="FFE2F0D9"/>
        </patternFill>
      </fill>
    </dxf>
    <dxf>
      <font>
        <b val="1"/>
        <color rgb="FF7F6000"/>
      </font>
      <fill>
        <patternFill>
          <bgColor rgb="FFFFF2CC"/>
        </patternFill>
      </fill>
    </dxf>
    <dxf>
      <font>
        <b val="1"/>
        <color rgb="FF9C5700"/>
      </font>
      <fill>
        <patternFill>
          <bgColor rgb="FFFCE4D6"/>
        </patternFill>
      </fill>
    </dxf>
    <dxf>
      <font>
        <b val="1"/>
        <color rgb="FF2E6B2E"/>
      </font>
      <fill>
        <patternFill>
          <bgColor rgb="FFE2F0D9"/>
        </patternFill>
      </fill>
    </dxf>
    <dxf>
      <font>
        <b val="1"/>
        <color rgb="FF7F6000"/>
      </font>
      <fill>
        <patternFill>
          <bgColor rgb="FFFFF2CC"/>
        </patternFill>
      </fill>
    </dxf>
    <dxf>
      <font>
        <b val="1"/>
        <color rgb="FF9C0006"/>
      </font>
      <fill>
        <patternFill>
          <bgColor rgb="FFF4CCCC"/>
        </patternFill>
      </fill>
    </dxf>
    <dxf>
      <font>
        <b val="1"/>
        <color rgb="FF2E6B2E"/>
      </font>
      <fill>
        <patternFill>
          <bgColor rgb="FFE2F0D9"/>
        </patternFill>
      </fill>
    </dxf>
    <dxf>
      <font>
        <b val="1"/>
        <color rgb="FF7F6000"/>
      </font>
      <fill>
        <patternFill>
          <bgColor rgb="FFFFF2CC"/>
        </patternFill>
      </fill>
    </dxf>
    <dxf>
      <font>
        <b val="1"/>
        <color rgb="FF9C0006"/>
      </font>
      <fill>
        <patternFill>
          <bgColor rgb="FFF4CCCC"/>
        </patternFill>
      </fill>
    </dxf>
    <dxf>
      <font>
        <b val="1"/>
        <color rgb="FF2E6B2E"/>
      </font>
      <fill>
        <patternFill>
          <bgColor rgb="FFE2F0D9"/>
        </patternFill>
      </fill>
    </dxf>
    <dxf>
      <font>
        <b val="1"/>
        <color rgb="FF7F6000"/>
      </font>
      <fill>
        <patternFill>
          <bgColor rgb="FFFFF2CC"/>
        </patternFill>
      </fill>
    </dxf>
    <dxf>
      <font>
        <b val="1"/>
        <color rgb="FF9C0006"/>
      </font>
      <fill>
        <patternFill>
          <bgColor rgb="FFF4CCCC"/>
        </patternFill>
      </fill>
    </dxf>
    <dxf>
      <font>
        <b val="1"/>
        <color rgb="FF2E6B2E"/>
      </font>
      <fill>
        <patternFill>
          <bgColor rgb="FFE2F0D9"/>
        </patternFill>
      </fill>
    </dxf>
    <dxf>
      <font>
        <b val="1"/>
        <color rgb="FF7F6000"/>
      </font>
      <fill>
        <patternFill>
          <bgColor rgb="FFFFF2CC"/>
        </patternFill>
      </fill>
    </dxf>
    <dxf>
      <font>
        <b val="1"/>
        <color rgb="FF2E6B2E"/>
      </font>
      <fill>
        <patternFill>
          <bgColor rgb="FFE2F0D9"/>
        </patternFill>
      </fill>
    </dxf>
    <dxf>
      <font>
        <b val="1"/>
        <color rgb="FF7F6000"/>
      </font>
      <fill>
        <patternFill>
          <bgColor rgb="FFFFF2CC"/>
        </patternFill>
      </fill>
    </dxf>
    <dxf>
      <font>
        <b val="1"/>
        <color rgb="FF9C0006"/>
      </font>
      <fill>
        <patternFill>
          <bgColor rgb="FFF4CCCC"/>
        </patternFill>
      </fill>
    </dxf>
    <dxf>
      <font>
        <b val="1"/>
        <color rgb="FF2E6B2E"/>
      </font>
      <fill>
        <patternFill>
          <bgColor rgb="FFE2F0D9"/>
        </patternFill>
      </fill>
    </dxf>
    <dxf>
      <font>
        <b val="1"/>
        <color rgb="FF9C0006"/>
      </font>
      <fill>
        <patternFill>
          <bgColor rgb="FFF4CCCC"/>
        </patternFill>
      </fill>
    </dxf>
    <dxf>
      <font>
        <b val="1"/>
        <color rgb="FF2E6B2E"/>
      </font>
      <fill>
        <patternFill>
          <bgColor rgb="FFE2F0D9"/>
        </patternFill>
      </fill>
    </dxf>
    <dxf>
      <font>
        <b val="1"/>
        <color rgb="FF9C0006"/>
      </font>
      <fill>
        <patternFill>
          <bgColor rgb="FFF4CCCC"/>
        </patternFill>
      </fill>
    </dxf>
    <dxf>
      <font>
        <b val="1"/>
        <color rgb="FF2E6B2E"/>
      </font>
      <fill>
        <patternFill>
          <bgColor rgb="FFE2F0D9"/>
        </patternFill>
      </fill>
    </dxf>
    <dxf>
      <font>
        <b val="1"/>
        <color rgb="FF1F4E78"/>
      </font>
      <fill>
        <patternFill>
          <bgColor rgb="FFD9EAF7"/>
        </patternFill>
      </fill>
    </dxf>
    <dxf>
      <font>
        <b val="1"/>
        <color rgb="FF2E6B2E"/>
      </font>
      <fill>
        <patternFill>
          <bgColor rgb="FFE2F0D9"/>
        </patternFill>
      </fill>
    </dxf>
    <dxf>
      <font>
        <b val="1"/>
        <color rgb="FF666666"/>
      </font>
      <fill>
        <patternFill>
          <bgColor rgb="FFE7E6E6"/>
        </patternFill>
      </fill>
    </dxf>
    <dxf>
      <font>
        <b val="1"/>
        <color rgb="FF2E6B2E"/>
      </font>
      <fill>
        <patternFill>
          <bgColor rgb="FFE2F0D9"/>
        </patternFill>
      </fill>
    </dxf>
    <dxf>
      <font>
        <b val="1"/>
        <color rgb="FF1F4E78"/>
      </font>
      <fill>
        <patternFill>
          <bgColor rgb="FFD9EAF7"/>
        </patternFill>
      </fill>
    </dxf>
    <dxf>
      <font>
        <b val="1"/>
        <color rgb="FF666666"/>
      </font>
      <fill>
        <patternFill>
          <bgColor rgb="FFE7E6E6"/>
        </patternFill>
      </fill>
    </dxf>
    <dxf>
      <font>
        <b val="1"/>
        <color rgb="FF9C5700"/>
      </font>
      <fill>
        <patternFill>
          <bgColor rgb="FFFCE4D6"/>
        </patternFill>
      </fill>
    </dxf>
    <dxf>
      <font>
        <b val="1"/>
        <color rgb="FF2E6B2E"/>
      </font>
      <fill>
        <patternFill>
          <bgColor rgb="FFE2F0D9"/>
        </patternFill>
      </fill>
    </dxf>
    <dxf>
      <font>
        <b val="1"/>
        <color rgb="FF7F6000"/>
      </font>
      <fill>
        <patternFill>
          <bgColor rgb="FFFFF2CC"/>
        </patternFill>
      </fill>
    </dxf>
    <dxf>
      <font>
        <b val="1"/>
        <color rgb="FF666666"/>
      </font>
      <fill>
        <patternFill>
          <bgColor rgb="FFE7E6E6"/>
        </patternFill>
      </fill>
    </dxf>
    <dxf>
      <font>
        <b val="1"/>
        <color rgb="FF2E6B2E"/>
      </font>
      <fill>
        <patternFill>
          <bgColor rgb="FFE2F0D9"/>
        </patternFill>
      </fill>
    </dxf>
    <dxf>
      <font>
        <b val="1"/>
        <color rgb="FF7F6000"/>
      </font>
      <fill>
        <patternFill>
          <bgColor rgb="FFFFF2CC"/>
        </patternFill>
      </fill>
    </dxf>
    <dxf>
      <font>
        <b val="1"/>
        <color rgb="FF666666"/>
      </font>
      <fill>
        <patternFill>
          <bgColor rgb="FFE7E6E6"/>
        </patternFill>
      </fill>
    </dxf>
    <dxf>
      <font>
        <color rgb="FF7F6000"/>
      </font>
      <fill>
        <patternFill>
          <bgColor rgb="FFFFF2CC"/>
        </patternFill>
      </fill>
    </dxf>
    <dxf>
      <font>
        <color rgb="FF666666"/>
      </font>
      <fill>
        <patternFill>
          <bgColor rgb="FFE7E6E6"/>
        </patternFill>
      </fill>
    </dxf>
    <dxf>
      <font>
        <b val="1"/>
        <color rgb="FF1F4E78"/>
      </font>
      <fill>
        <patternFill>
          <bgColor rgb="FFD9EAF7"/>
        </patternFill>
      </fill>
    </dxf>
    <dxf>
      <font>
        <b val="1"/>
        <color rgb="FF666666"/>
      </font>
      <fill>
        <patternFill>
          <bgColor rgb="FFE7E6E6"/>
        </patternFill>
      </fill>
    </dxf>
    <dxf>
      <font>
        <color rgb="FF666666"/>
      </font>
      <fill>
        <patternFill>
          <bgColor rgb="FFE7E6E6"/>
        </patternFill>
      </fill>
    </dxf>
    <dxf>
      <font>
        <b val="1"/>
        <color rgb="FF1F4E78"/>
      </font>
      <fill>
        <patternFill>
          <bgColor rgb="FFD9EAF7"/>
        </patternFill>
      </fill>
    </dxf>
    <dxf>
      <font>
        <b val="1"/>
        <color rgb="FF666666"/>
      </font>
      <fill>
        <patternFill>
          <bgColor rgb="FFE7E6E6"/>
        </patternFill>
      </fill>
    </dxf>
    <dxf>
      <font>
        <b val="1"/>
        <color rgb="FF2E6B2E"/>
      </font>
      <fill>
        <patternFill>
          <bgColor rgb="FFE2F0D9"/>
        </patternFill>
      </fill>
    </dxf>
    <dxf>
      <font>
        <b val="1"/>
        <color rgb="FF7F6000"/>
      </font>
      <fill>
        <patternFill>
          <bgColor rgb="FFFFF2CC"/>
        </patternFill>
      </fill>
    </dxf>
    <dxf>
      <font>
        <b val="1"/>
        <color rgb="FF9C5700"/>
      </font>
      <fill>
        <patternFill>
          <bgColor rgb="FFFCE4D6"/>
        </patternFill>
      </fill>
    </dxf>
    <dxf>
      <font>
        <b val="1"/>
        <color rgb="FF9C0006"/>
      </font>
      <fill>
        <patternFill>
          <bgColor rgb="FFF4CCCC"/>
        </patternFill>
      </fill>
    </dxf>
    <dxf>
      <font>
        <b val="1"/>
        <color rgb="FF666666"/>
      </font>
      <fill>
        <patternFill>
          <bgColor rgb="FFE7E6E6"/>
        </patternFill>
      </fill>
    </dxf>
    <dxf>
      <font>
        <b val="1"/>
        <color rgb="FF2E6B2E"/>
      </font>
      <fill>
        <patternFill>
          <bgColor rgb="FFE2F0D9"/>
        </patternFill>
      </fill>
    </dxf>
    <dxf>
      <font>
        <b val="1"/>
        <color rgb="FF7F6000"/>
      </font>
      <fill>
        <patternFill>
          <bgColor rgb="FFFFF2CC"/>
        </patternFill>
      </fill>
    </dxf>
    <dxf>
      <font>
        <b val="1"/>
        <color rgb="FF9C5700"/>
      </font>
      <fill>
        <patternFill>
          <bgColor rgb="FFFCE4D6"/>
        </patternFill>
      </fill>
    </dxf>
    <dxf>
      <font>
        <b val="1"/>
        <color rgb="FF666666"/>
      </font>
      <fill>
        <patternFill>
          <bgColor rgb="FFE7E6E6"/>
        </patternFill>
      </fill>
    </dxf>
    <dxf>
      <font>
        <b val="1"/>
        <color rgb="FF9C0006"/>
      </font>
      <fill>
        <patternFill>
          <bgColor rgb="FFF4CCCC"/>
        </patternFill>
      </fill>
    </dxf>
    <dxf>
      <font>
        <color rgb="FF2E6B2E"/>
      </font>
      <fill>
        <patternFill>
          <bgColor rgb="FFE2F0D9"/>
        </patternFill>
      </fill>
    </dxf>
    <dxf>
      <font>
        <b val="1"/>
        <color rgb="FF9C0006"/>
      </font>
      <fill>
        <patternFill>
          <bgColor rgb="FFF4CCCC"/>
        </patternFill>
      </fill>
    </dxf>
    <dxf>
      <font>
        <b val="1"/>
        <color rgb="FF7F6000"/>
      </font>
      <fill>
        <patternFill>
          <bgColor rgb="FFFFF2CC"/>
        </patternFill>
      </fill>
    </dxf>
    <dxf>
      <font>
        <b val="1"/>
        <color rgb="FF2E6B2E"/>
      </font>
      <fill>
        <patternFill>
          <bgColor rgb="FFE2F0D9"/>
        </patternFill>
      </fill>
    </dxf>
    <dxf>
      <font>
        <b val="1"/>
        <color rgb="FF7F6000"/>
      </font>
      <fill>
        <patternFill>
          <bgColor rgb="FFFFF2CC"/>
        </patternFill>
      </fill>
    </dxf>
    <dxf>
      <font>
        <b val="1"/>
        <color rgb="FF9C5700"/>
      </font>
      <fill>
        <patternFill>
          <bgColor rgb="FFFCE4D6"/>
        </patternFill>
      </fill>
    </dxf>
    <dxf>
      <font>
        <b val="1"/>
        <color rgb="FF9C0006"/>
      </font>
      <fill>
        <patternFill>
          <bgColor rgb="FFF4CCCC"/>
        </patternFill>
      </fill>
    </dxf>
    <dxf>
      <font>
        <b val="1"/>
        <color rgb="FF666666"/>
      </font>
      <fill>
        <patternFill>
          <bgColor rgb="FFE7E6E6"/>
        </patternFill>
      </fill>
    </dxf>
    <dxf>
      <font>
        <b val="1"/>
        <color rgb="FF2E6B2E"/>
      </font>
      <fill>
        <patternFill>
          <bgColor rgb="FFE2F0D9"/>
        </patternFill>
      </fill>
    </dxf>
    <dxf>
      <font>
        <b val="1"/>
        <color rgb="FF1F4E78"/>
      </font>
      <fill>
        <patternFill>
          <bgColor rgb="FFD9EAF7"/>
        </patternFill>
      </fill>
    </dxf>
    <dxf>
      <font>
        <color rgb="FF666666"/>
      </font>
      <fill>
        <patternFill>
          <bgColor rgb="FFE7E6E6"/>
        </patternFill>
      </fill>
    </dxf>
    <dxf>
      <font>
        <b val="1"/>
        <color rgb="FF9C5700"/>
      </font>
      <fill>
        <patternFill>
          <bgColor rgb="FFFCE4D6"/>
        </patternFill>
      </fill>
    </dxf>
    <dxf>
      <font>
        <b val="1"/>
        <color rgb="FF9C0006"/>
      </font>
      <fill>
        <patternFill>
          <bgColor rgb="FFF4CCCC"/>
        </patternFill>
      </fill>
    </dxf>
    <dxf>
      <font>
        <b val="1"/>
        <color rgb="FF1F4E78"/>
      </font>
      <fill>
        <patternFill>
          <bgColor rgb="FFD9EAF7"/>
        </patternFill>
      </fill>
    </dxf>
    <dxf>
      <font>
        <color rgb="FF666666"/>
      </font>
      <fill>
        <patternFill>
          <bgColor rgb="FFE7E6E6"/>
        </patternFill>
      </fill>
    </dxf>
    <dxf>
      <font>
        <b val="1"/>
        <color rgb="FF2E6B2E"/>
      </font>
      <fill>
        <patternFill>
          <bgColor rgb="FFE2F0D9"/>
        </patternFill>
      </fill>
    </dxf>
    <dxf>
      <font>
        <b val="1"/>
        <color rgb="FF9C0006"/>
      </font>
      <fill>
        <patternFill>
          <bgColor rgb="FFF4CCCC"/>
        </patternFill>
      </fill>
    </dxf>
    <dxf>
      <font>
        <b val="1"/>
        <color rgb="FF1F4E78"/>
      </font>
      <fill>
        <patternFill>
          <bgColor rgb="FFD9EAF7"/>
        </patternFill>
      </fill>
    </dxf>
    <dxf>
      <font>
        <color rgb="FF666666"/>
      </font>
      <fill>
        <patternFill>
          <bgColor rgb="FFE7E6E6"/>
        </patternFill>
      </fill>
    </dxf>
    <dxf>
      <font>
        <b val="1"/>
        <color rgb="FF2E6B2E"/>
      </font>
      <fill>
        <patternFill>
          <bgColor rgb="FFE2F0D9"/>
        </patternFill>
      </fill>
    </dxf>
    <dxf>
      <font>
        <b val="1"/>
        <color rgb="FF9C0006"/>
      </font>
      <fill>
        <patternFill>
          <bgColor rgb="FFF4CCCC"/>
        </patternFill>
      </fill>
    </dxf>
    <dxf>
      <font>
        <b val="1"/>
        <color rgb="FF2E6B2E"/>
      </font>
      <fill>
        <patternFill>
          <bgColor rgb="FFE2F0D9"/>
        </patternFill>
      </fill>
    </dxf>
    <dxf>
      <font>
        <b val="1"/>
        <color rgb="FF9C5700"/>
      </font>
      <fill>
        <patternFill>
          <bgColor rgb="FFFCE4D6"/>
        </patternFill>
      </fill>
    </dxf>
    <dxf>
      <font>
        <b val="1"/>
        <color rgb="FF2E6B2E"/>
      </font>
      <fill>
        <patternFill>
          <bgColor rgb="FFE2F0D9"/>
        </patternFill>
      </fill>
    </dxf>
    <dxf>
      <font>
        <b val="1"/>
        <color rgb="FF7F6000"/>
      </font>
      <fill>
        <patternFill>
          <bgColor rgb="FFFFF2CC"/>
        </patternFill>
      </fill>
    </dxf>
    <dxf>
      <font>
        <b val="1"/>
        <color rgb="FF2E6B2E"/>
      </font>
      <fill>
        <patternFill>
          <bgColor rgb="FFE2F0D9"/>
        </patternFill>
      </fill>
    </dxf>
    <dxf>
      <font>
        <b val="1"/>
        <color rgb="FF9C0006"/>
      </font>
      <fill>
        <patternFill>
          <bgColor rgb="FFF4CCCC"/>
        </patternFill>
      </fill>
    </dxf>
    <dxf>
      <font>
        <b val="1"/>
        <color rgb="FF2E6B2E"/>
      </font>
      <fill>
        <patternFill>
          <bgColor rgb="FFE2F0D9"/>
        </patternFill>
      </fill>
    </dxf>
    <dxf>
      <font>
        <b val="1"/>
        <color rgb="FF9C0006"/>
      </font>
      <fill>
        <patternFill>
          <bgColor rgb="FFF4CCCC"/>
        </patternFill>
      </fill>
    </dxf>
    <dxf>
      <font>
        <b val="1"/>
        <color rgb="FF2E6B2E"/>
      </font>
      <fill>
        <patternFill>
          <bgColor rgb="FFE2F0D9"/>
        </patternFill>
      </fill>
    </dxf>
    <dxf>
      <font>
        <b val="1"/>
        <color rgb="FF9C0006"/>
      </font>
      <fill>
        <patternFill>
          <bgColor rgb="FFF4CCCC"/>
        </patternFill>
      </fill>
    </dxf>
    <dxf>
      <font>
        <b val="1"/>
        <color rgb="FF2E6B2E"/>
      </font>
      <fill>
        <patternFill>
          <bgColor rgb="FFE2F0D9"/>
        </patternFill>
      </fill>
    </dxf>
    <dxf>
      <font>
        <b val="1"/>
        <color rgb="FF9C0006"/>
      </font>
      <fill>
        <patternFill>
          <bgColor rgb="FFF4CCCC"/>
        </patternFill>
      </fill>
    </dxf>
    <dxf>
      <font>
        <b val="1"/>
        <color rgb="FF9C0006"/>
      </font>
      <fill>
        <patternFill>
          <bgColor rgb="FFF4CCCC"/>
        </patternFill>
      </fill>
    </dxf>
    <dxf>
      <font>
        <b val="1"/>
        <color rgb="FF9C5700"/>
      </font>
      <fill>
        <patternFill>
          <bgColor rgb="FFFCE4D6"/>
        </patternFill>
      </fill>
    </dxf>
    <dxf>
      <font>
        <color rgb="FF7F6000"/>
      </font>
      <fill>
        <patternFill>
          <bgColor rgb="FFFFF2CC"/>
        </patternFill>
      </fill>
    </dxf>
    <dxf>
      <font>
        <b val="1"/>
        <color rgb="FF9C0006"/>
      </font>
      <fill>
        <patternFill>
          <bgColor rgb="FFF4CCCC"/>
        </patternFill>
      </fill>
    </dxf>
    <dxf>
      <font>
        <b val="1"/>
        <color rgb="FF9C5700"/>
      </font>
      <fill>
        <patternFill>
          <bgColor rgb="FFFCE4D6"/>
        </patternFill>
      </fill>
    </dxf>
    <dxf>
      <font>
        <color rgb="FF7F6000"/>
      </font>
      <fill>
        <patternFill>
          <bgColor rgb="FFFFF2CC"/>
        </patternFill>
      </fill>
    </dxf>
    <dxf>
      <font>
        <color rgb="FF2E6B2E"/>
      </font>
      <fill>
        <patternFill>
          <bgColor rgb="FFE2F0D9"/>
        </patternFill>
      </fill>
    </dxf>
    <dxf>
      <font>
        <b val="1"/>
        <color rgb="FF9C0006"/>
      </font>
      <fill>
        <patternFill>
          <bgColor rgb="FFF4CCCC"/>
        </patternFill>
      </fill>
    </dxf>
    <dxf>
      <font>
        <b val="1"/>
        <color rgb="FF9C5700"/>
      </font>
      <fill>
        <patternFill>
          <bgColor rgb="FFFCE4D6"/>
        </patternFill>
      </fill>
    </dxf>
    <dxf>
      <font>
        <color rgb="FF7F6000"/>
      </font>
      <fill>
        <patternFill>
          <bgColor rgb="FFFFF2CC"/>
        </patternFill>
      </fill>
    </dxf>
    <dxf>
      <font>
        <color rgb="FF2E6B2E"/>
      </font>
      <fill>
        <patternFill>
          <bgColor rgb="FFE2F0D9"/>
        </patternFill>
      </fill>
    </dxf>
    <dxf>
      <font>
        <b val="1"/>
        <color rgb="FF2E6B2E"/>
      </font>
      <fill>
        <patternFill>
          <bgColor rgb="FFE2F0D9"/>
        </patternFill>
      </fill>
    </dxf>
    <dxf>
      <font>
        <b val="1"/>
        <color rgb="FF7F6000"/>
      </font>
      <fill>
        <patternFill>
          <bgColor rgb="FFFFF2CC"/>
        </patternFill>
      </fill>
    </dxf>
    <dxf>
      <font>
        <b val="1"/>
        <color rgb="FF2E6B2E"/>
      </font>
      <fill>
        <patternFill>
          <bgColor rgb="FFE2F0D9"/>
        </patternFill>
      </fill>
    </dxf>
    <dxf>
      <font>
        <b val="1"/>
        <color rgb="FF7F6000"/>
      </font>
      <fill>
        <patternFill>
          <bgColor rgb="FFFFF2CC"/>
        </patternFill>
      </fill>
    </dxf>
    <dxf>
      <font>
        <b val="1"/>
        <color rgb="FF9C5700"/>
      </font>
      <fill>
        <patternFill>
          <bgColor rgb="FFFCE4D6"/>
        </patternFill>
      </fill>
    </dxf>
    <dxf>
      <font>
        <b val="1"/>
        <color rgb="FF9C0006"/>
      </font>
      <fill>
        <patternFill>
          <bgColor rgb="FFF4CCCC"/>
        </patternFill>
      </fill>
    </dxf>
    <dxf>
      <font>
        <b val="1"/>
        <color rgb="FF666666"/>
      </font>
      <fill>
        <patternFill>
          <bgColor rgb="FFE7E6E6"/>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b val="1"/>
        <color rgb="FF595959"/>
      </font>
      <fill>
        <patternFill>
          <bgColor rgb="FFD9D9D9"/>
        </patternFill>
      </fill>
    </dxf>
    <dxf>
      <font>
        <b val="1"/>
        <color rgb="FF006100"/>
      </font>
      <fill>
        <patternFill>
          <bgColor rgb="FFC6EFCE"/>
        </patternFill>
      </fill>
    </dxf>
    <dxf>
      <font>
        <b val="1"/>
        <color rgb="FF9C0006"/>
      </font>
      <fill>
        <patternFill>
          <bgColor rgb="FFFFC7CE"/>
        </patternFill>
      </fill>
    </dxf>
    <dxf>
      <font>
        <b val="1"/>
        <color rgb="FF006100"/>
      </font>
      <fill>
        <patternFill>
          <bgColor rgb="FFE2F0D9"/>
        </patternFill>
      </fill>
    </dxf>
    <dxf>
      <font>
        <b val="1"/>
        <color rgb="FF9C6500"/>
      </font>
      <fill>
        <patternFill>
          <bgColor rgb="FFFFF2CC"/>
        </patternFill>
      </fill>
    </dxf>
    <dxf>
      <font>
        <b val="1"/>
        <color rgb="FFC65911"/>
      </font>
      <fill>
        <patternFill>
          <bgColor rgb="FFFCE4D6"/>
        </patternFill>
      </fill>
    </dxf>
    <dxf>
      <font>
        <color rgb="FF006100"/>
      </font>
      <fill>
        <patternFill>
          <bgColor rgb="FFE2F0D9"/>
        </patternFill>
      </fill>
    </dxf>
    <dxf>
      <font>
        <b val="1"/>
        <color rgb="FF9C6500"/>
      </font>
      <fill>
        <patternFill>
          <bgColor rgb="FFFFF2CC"/>
        </patternFill>
      </fill>
    </dxf>
    <dxf>
      <font>
        <b val="1"/>
        <color rgb="FF2E7D32"/>
      </font>
      <fill>
        <patternFill>
          <bgColor rgb="FFD9EAD3"/>
        </patternFill>
      </fill>
    </dxf>
    <dxf>
      <font>
        <b val="1"/>
        <color rgb="FFB3261E"/>
      </font>
      <fill>
        <patternFill>
          <bgColor rgb="FFFCE8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Confirmed Revenue by Weekday</a:t>
            </a:r>
          </a:p>
        </rich>
      </tx>
      <overlay val="0"/>
    </title>
    <plotArea>
      <layout/>
      <barChart>
        <barDir val="col"/>
        <grouping val="clustered"/>
        <varyColors val="0"/>
        <ser>
          <idx val="0"/>
          <order val="0"/>
          <tx>
            <v>Confirmed Revenue by Weekday</v>
          </tx>
          <spPr>
            <a:ln xmlns:a="http://schemas.openxmlformats.org/drawingml/2006/main">
              <a:prstDash val="solid"/>
            </a:ln>
          </spPr>
          <cat>
            <strRef>
              <f>'Analytics'!$J$43:$J$47</f>
              <strCache>
                <ptCount val="0"/>
              </strCache>
            </strRef>
          </cat>
          <val>
            <numRef>
              <f>'Analytics'!$K$43:$K$47</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Confirmed Revenue by Jurisdiction</a:t>
            </a:r>
          </a:p>
        </rich>
      </tx>
      <overlay val="0"/>
    </title>
    <plotArea>
      <layout/>
      <barChart>
        <barDir val="col"/>
        <grouping val="clustered"/>
        <varyColors val="0"/>
        <ser>
          <idx val="0"/>
          <order val="0"/>
          <tx>
            <v>Confirmed Revenue by Jurisdiction</v>
          </tx>
          <spPr>
            <a:ln xmlns:a="http://schemas.openxmlformats.org/drawingml/2006/main">
              <a:prstDash val="solid"/>
            </a:ln>
          </spPr>
          <cat>
            <strRef>
              <f>'Analytics'!$A$43:$A$47</f>
              <strCache>
                <ptCount val="0"/>
              </strCache>
            </strRef>
          </cat>
          <val>
            <numRef>
              <f>'Analytics'!$E$43:$E$47</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Confirmed Revenue by MY_MONTH</a:t>
            </a:r>
          </a:p>
        </rich>
      </tx>
      <overlay val="0"/>
    </title>
    <plotArea>
      <layout/>
      <barChart>
        <barDir val="col"/>
        <grouping val="clustered"/>
        <varyColors val="0"/>
        <ser>
          <idx val="0"/>
          <order val="0"/>
          <tx>
            <v>Confirmed Revenue by MY_MONTH</v>
          </tx>
          <spPr>
            <a:ln xmlns:a="http://schemas.openxmlformats.org/drawingml/2006/main">
              <a:prstDash val="solid"/>
            </a:ln>
          </spPr>
          <cat>
            <strRef>
              <f>'Analytics'!$A$52:$A$54</f>
              <strCache>
                <ptCount val="0"/>
              </strCache>
            </strRef>
          </cat>
          <val>
            <numRef>
              <f>'Analytics'!$F$52:$F$54</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Top 10 Clients by Confirmed Revenue</a:t>
            </a:r>
          </a:p>
        </rich>
      </tx>
      <overlay val="0"/>
    </title>
    <plotArea>
      <layout/>
      <barChart>
        <barDir val="bar"/>
        <grouping val="clustered"/>
        <varyColors val="0"/>
        <ser>
          <idx val="0"/>
          <order val="0"/>
          <tx>
            <v>Top 10 Clients by Confirmed Revenue</v>
          </tx>
          <spPr>
            <a:ln xmlns:a="http://schemas.openxmlformats.org/drawingml/2006/main">
              <a:prstDash val="solid"/>
            </a:ln>
          </spPr>
          <cat>
            <strRef>
              <f>'Analytics'!$B$62:$B$71</f>
              <strCache>
                <ptCount val="0"/>
              </strCache>
            </strRef>
          </cat>
          <val>
            <numRef>
              <f>'Analytics'!$C$62:$C$71</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Running Confirmed Revenue</a:t>
            </a:r>
          </a:p>
        </rich>
      </tx>
      <overlay val="0"/>
    </title>
    <plotArea>
      <layout/>
      <lineChart>
        <grouping val="standard"/>
        <varyColors val="0"/>
        <ser>
          <idx val="0"/>
          <order val="0"/>
          <tx>
            <v>Running Revenue</v>
          </tx>
          <spPr>
            <a:ln xmlns:a="http://schemas.openxmlformats.org/drawingml/2006/main">
              <a:prstDash val="solid"/>
            </a:ln>
          </spPr>
          <marker>
            <symbol val="none"/>
            <spPr>
              <a:ln xmlns:a="http://schemas.openxmlformats.org/drawingml/2006/main">
                <a:prstDash val="solid"/>
              </a:ln>
            </spPr>
          </marker>
          <cat>
            <strRef>
              <f>'Analytics'!$AI$2:$AI$47</f>
              <strCache>
                <ptCount val="0"/>
              </strCache>
            </strRef>
          </cat>
          <val>
            <numRef>
              <f>'Analytics'!$AM$2:$AM$47</f>
              <numCache>
                <formatCode>$#,##0.00</formatCode>
                <ptCount val="0"/>
              </numCache>
            </numRef>
          </val>
          <smooth val="0"/>
        </ser>
        <dLbls>
          <showLegendKey val="0"/>
          <showVal val="0"/>
          <showCatName val="0"/>
          <showSerName val="0"/>
          <showPercent val="0"/>
          <showBubbleSize val="0"/>
          <showLeaderLines val="0"/>
        </dLbls>
        <axId val="48650112"/>
        <axId val="48672768"/>
      </line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Daily Revenue and Rolling 5-Worked-Day Average</a:t>
            </a:r>
          </a:p>
        </rich>
      </tx>
      <overlay val="0"/>
    </title>
    <plotArea>
      <layout/>
      <lineChart>
        <grouping val="standard"/>
        <varyColors val="0"/>
        <ser>
          <idx val="0"/>
          <order val="0"/>
          <tx>
            <v>Daily Revenue</v>
          </tx>
          <spPr>
            <a:ln xmlns:a="http://schemas.openxmlformats.org/drawingml/2006/main">
              <a:prstDash val="solid"/>
            </a:ln>
          </spPr>
          <marker>
            <symbol val="none"/>
            <spPr>
              <a:ln xmlns:a="http://schemas.openxmlformats.org/drawingml/2006/main">
                <a:prstDash val="solid"/>
              </a:ln>
            </spPr>
          </marker>
          <cat>
            <strRef>
              <f>'Analytics'!$AI$2:$AI$47</f>
              <strCache>
                <ptCount val="0"/>
              </strCache>
            </strRef>
          </cat>
          <val>
            <numRef>
              <f>'Analytics'!$AL$2:$AL$47</f>
              <numCache>
                <formatCode>$#,##0.00</formatCode>
                <ptCount val="0"/>
              </numCache>
            </numRef>
          </val>
          <smooth val="0"/>
        </ser>
        <ser>
          <idx val="1"/>
          <order val="1"/>
          <tx>
            <v>Rolling 5-Day Avg</v>
          </tx>
          <spPr>
            <a:ln xmlns:a="http://schemas.openxmlformats.org/drawingml/2006/main">
              <a:prstDash val="solid"/>
            </a:ln>
          </spPr>
          <marker>
            <symbol val="none"/>
            <spPr>
              <a:ln xmlns:a="http://schemas.openxmlformats.org/drawingml/2006/main">
                <a:prstDash val="solid"/>
              </a:ln>
            </spPr>
          </marker>
          <cat>
            <strRef>
              <f>'Analytics'!$AI$2:$AI$47</f>
              <strCache>
                <ptCount val="0"/>
              </strCache>
            </strRef>
          </cat>
          <val>
            <numRef>
              <f>'Analytics'!$AN$2:$AN$47</f>
              <numCache>
                <formatCode>$#,##0.00</formatCode>
                <ptCount val="0"/>
              </numCache>
            </numRef>
          </val>
          <smooth val="0"/>
        </ser>
        <dLbls>
          <showLegendKey val="0"/>
          <showVal val="0"/>
          <showCatName val="0"/>
          <showSerName val="0"/>
          <showPercent val="0"/>
          <showBubbleSize val="0"/>
          <showLeaderLines val="0"/>
        </dLbls>
        <axId val="48650112"/>
        <axId val="48672768"/>
      </line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Weekly Confirmed Revenue</a:t>
            </a:r>
          </a:p>
        </rich>
      </tx>
      <overlay val="0"/>
    </title>
    <plotArea>
      <layout/>
      <lineChart>
        <grouping val="standard"/>
        <varyColors val="0"/>
        <ser>
          <idx val="0"/>
          <order val="0"/>
          <tx>
            <v>Weekly Revenue</v>
          </tx>
          <spPr>
            <a:ln xmlns:a="http://schemas.openxmlformats.org/drawingml/2006/main">
              <a:prstDash val="solid"/>
            </a:ln>
          </spPr>
          <marker>
            <symbol val="none"/>
            <spPr>
              <a:ln xmlns:a="http://schemas.openxmlformats.org/drawingml/2006/main">
                <a:prstDash val="solid"/>
              </a:ln>
            </spPr>
          </marker>
          <cat>
            <strRef>
              <f>'Analytics'!$AI$49:$AI$61</f>
              <strCache>
                <ptCount val="0"/>
              </strCache>
            </strRef>
          </cat>
          <val>
            <numRef>
              <f>'Analytics'!$AL$49:$AL$61</f>
              <numCache>
                <formatCode>$#,##0.00</formatCode>
                <ptCount val="0"/>
              </numCache>
            </numRef>
          </val>
          <smooth val="0"/>
        </ser>
        <dLbls>
          <showLegendKey val="0"/>
          <showVal val="0"/>
          <showCatName val="0"/>
          <showSerName val="0"/>
          <showPercent val="0"/>
          <showBubbleSize val="0"/>
          <showLeaderLines val="0"/>
        </dLbls>
        <axId val="48650112"/>
        <axId val="48672768"/>
      </line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Client Mix: Repeat vs One-Time</a:t>
            </a:r>
          </a:p>
        </rich>
      </tx>
      <overlay val="0"/>
    </title>
    <plotArea>
      <layout/>
      <pieChart>
        <varyColors val="1"/>
        <ser>
          <idx val="0"/>
          <order val="0"/>
          <tx>
            <v>Clients</v>
          </tx>
          <spPr>
            <a:ln xmlns:a="http://schemas.openxmlformats.org/drawingml/2006/main">
              <a:prstDash val="solid"/>
            </a:ln>
          </spPr>
          <cat>
            <strRef>
              <f>'Analytics'!$AI$64:$AI$65</f>
              <strCache>
                <ptCount val="0"/>
              </strCache>
            </strRef>
          </cat>
          <val>
            <numRef>
              <f>'Analytics'!$AJ$64:$AJ$65</f>
              <numCache>
                <formatCode>General</formatCode>
                <ptCount val="0"/>
              </numCache>
            </numRef>
          </val>
        </ser>
        <dLbls>
          <showLegendKey val="0"/>
          <showVal val="0"/>
          <showCatName val="0"/>
          <showSerName val="0"/>
          <showPercent val="0"/>
          <showBubbleSize val="0"/>
          <showLeaderLines val="0"/>
        </dLbls>
        <firstSliceAng val="0"/>
      </pieChart>
    </plotArea>
    <legend>
      <legendPos val="b"/>
      <overlay val="0"/>
    </legend>
    <plotVisOnly val="1"/>
    <dispBlanksAs val="gap"/>
  </chart>
  <spPr>
    <a:ln xmlns:a="http://schemas.openxmlformats.org/drawingml/2006/main" w="9525">
      <a:solidFill>
        <a:srgbClr val="D9D9D9"/>
      </a:solidFill>
      <a:prstDash val="solid"/>
    </a:ln>
  </spPr>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Top Clients by Revenue</a:t>
            </a:r>
          </a:p>
        </rich>
      </tx>
      <overlay val="0"/>
    </title>
    <plotArea>
      <layout/>
      <barChart>
        <barDir val="bar"/>
        <grouping val="clustered"/>
        <varyColors val="0"/>
        <ser>
          <idx val="0"/>
          <order val="0"/>
          <tx>
            <v>Client</v>
          </tx>
          <spPr>
            <a:ln xmlns:a="http://schemas.openxmlformats.org/drawingml/2006/main">
              <a:prstDash val="solid"/>
            </a:ln>
          </spPr>
          <cat>
            <strRef>
              <f>'Analytics'!$A$62:$A$71</f>
              <strCache>
                <ptCount val="0"/>
              </strCache>
            </strRef>
          </cat>
          <val>
            <numRef>
              <f>'Analytics'!$B$62:$B$71</f>
              <numCache>
                <formatCode>General</formatCode>
                <ptCount val="0"/>
              </numCache>
            </numRef>
          </val>
        </ser>
        <ser>
          <idx val="1"/>
          <order val="1"/>
          <tx>
            <v>Revenue</v>
          </tx>
          <spPr>
            <a:ln xmlns:a="http://schemas.openxmlformats.org/drawingml/2006/main">
              <a:prstDash val="solid"/>
            </a:ln>
          </spPr>
          <cat>
            <strRef>
              <f>'Analytics'!$A$62:$A$71</f>
              <strCache>
                <ptCount val="0"/>
              </strCache>
            </strRef>
          </cat>
          <val>
            <numRef>
              <f>'Analytics'!$C$62:$C$71</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Jurisdiction Revenue Ranking</a:t>
            </a:r>
          </a:p>
        </rich>
      </tx>
      <overlay val="0"/>
    </title>
    <plotArea>
      <layout/>
      <barChart>
        <barDir val="col"/>
        <grouping val="clustered"/>
        <varyColors val="0"/>
        <ser>
          <idx val="0"/>
          <order val="0"/>
          <tx>
            <v>Jurisdiction</v>
          </tx>
          <spPr>
            <a:ln xmlns:a="http://schemas.openxmlformats.org/drawingml/2006/main">
              <a:prstDash val="solid"/>
            </a:ln>
          </spPr>
          <cat>
            <strRef>
              <f>'Analytics'!$A$76:$A$80</f>
              <strCache>
                <ptCount val="0"/>
              </strCache>
            </strRef>
          </cat>
          <val>
            <numRef>
              <f>'Analytics'!$B$76:$B$80</f>
              <numCache>
                <formatCode>General</formatCode>
                <ptCount val="0"/>
              </numCache>
            </numRef>
          </val>
        </ser>
        <ser>
          <idx val="1"/>
          <order val="1"/>
          <tx>
            <v>Revenue</v>
          </tx>
          <spPr>
            <a:ln xmlns:a="http://schemas.openxmlformats.org/drawingml/2006/main">
              <a:prstDash val="solid"/>
            </a:ln>
          </spPr>
          <cat>
            <strRef>
              <f>'Analytics'!$A$76:$A$80</f>
              <strCache>
                <ptCount val="0"/>
              </strCache>
            </strRef>
          </cat>
          <val>
            <numRef>
              <f>'Analytics'!$C$76:$C$80</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1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Revenue Accumulation</a:t>
            </a:r>
          </a:p>
        </rich>
      </tx>
      <overlay val="0"/>
    </title>
    <plotArea>
      <layout/>
      <lineChart>
        <grouping val="standard"/>
        <varyColors val="0"/>
        <ser>
          <idx val="0"/>
          <order val="0"/>
          <tx>
            <v>Events</v>
          </tx>
          <spPr>
            <a:ln xmlns:a="http://schemas.openxmlformats.org/drawingml/2006/main">
              <a:prstDash val="solid"/>
            </a:ln>
          </spPr>
          <marker>
            <symbol val="none"/>
            <spPr>
              <a:ln xmlns:a="http://schemas.openxmlformats.org/drawingml/2006/main">
                <a:prstDash val="solid"/>
              </a:ln>
            </spPr>
          </marker>
          <cat>
            <strRef>
              <f>'Analytics'!$AI$2:$AI$47</f>
              <strCache>
                <ptCount val="0"/>
              </strCache>
            </strRef>
          </cat>
          <val>
            <numRef>
              <f>'Analytics'!$AJ$2:$AJ$47</f>
              <numCache>
                <formatCode>General</formatCode>
                <ptCount val="0"/>
              </numCache>
            </numRef>
          </val>
          <smooth val="0"/>
        </ser>
        <ser>
          <idx val="1"/>
          <order val="1"/>
          <tx>
            <v>Eligible Events</v>
          </tx>
          <spPr>
            <a:ln xmlns:a="http://schemas.openxmlformats.org/drawingml/2006/main">
              <a:prstDash val="solid"/>
            </a:ln>
          </spPr>
          <marker>
            <symbol val="none"/>
            <spPr>
              <a:ln xmlns:a="http://schemas.openxmlformats.org/drawingml/2006/main">
                <a:prstDash val="solid"/>
              </a:ln>
            </spPr>
          </marker>
          <cat>
            <strRef>
              <f>'Analytics'!$AI$2:$AI$47</f>
              <strCache>
                <ptCount val="0"/>
              </strCache>
            </strRef>
          </cat>
          <val>
            <numRef>
              <f>'Analytics'!$AK$2:$AK$47</f>
              <numCache>
                <formatCode>General</formatCode>
                <ptCount val="0"/>
              </numCache>
            </numRef>
          </val>
          <smooth val="0"/>
        </ser>
        <ser>
          <idx val="2"/>
          <order val="2"/>
          <tx>
            <v>Daily Revenue</v>
          </tx>
          <spPr>
            <a:ln xmlns:a="http://schemas.openxmlformats.org/drawingml/2006/main">
              <a:prstDash val="solid"/>
            </a:ln>
          </spPr>
          <marker>
            <symbol val="none"/>
            <spPr>
              <a:ln xmlns:a="http://schemas.openxmlformats.org/drawingml/2006/main">
                <a:prstDash val="solid"/>
              </a:ln>
            </spPr>
          </marker>
          <cat>
            <strRef>
              <f>'Analytics'!$AI$2:$AI$47</f>
              <strCache>
                <ptCount val="0"/>
              </strCache>
            </strRef>
          </cat>
          <val>
            <numRef>
              <f>'Analytics'!$AL$2:$AL$47</f>
              <numCache>
                <formatCode>$#,##0.00</formatCode>
                <ptCount val="0"/>
              </numCache>
            </numRef>
          </val>
          <smooth val="0"/>
        </ser>
        <ser>
          <idx val="3"/>
          <order val="3"/>
          <tx>
            <v>Running Revenue</v>
          </tx>
          <spPr>
            <a:ln xmlns:a="http://schemas.openxmlformats.org/drawingml/2006/main">
              <a:prstDash val="solid"/>
            </a:ln>
          </spPr>
          <marker>
            <symbol val="none"/>
            <spPr>
              <a:ln xmlns:a="http://schemas.openxmlformats.org/drawingml/2006/main">
                <a:prstDash val="solid"/>
              </a:ln>
            </spPr>
          </marker>
          <cat>
            <strRef>
              <f>'Analytics'!$AI$2:$AI$47</f>
              <strCache>
                <ptCount val="0"/>
              </strCache>
            </strRef>
          </cat>
          <val>
            <numRef>
              <f>'Analytics'!$AM$2:$AM$47</f>
              <numCache>
                <formatCode>$#,##0.00</formatCode>
                <ptCount val="0"/>
              </numCache>
            </numRef>
          </val>
          <smooth val="0"/>
        </ser>
        <dLbls>
          <showLegendKey val="0"/>
          <showVal val="0"/>
          <showCatName val="0"/>
          <showSerName val="0"/>
          <showPercent val="0"/>
          <showBubbleSize val="0"/>
          <showLeaderLines val="0"/>
        </dLbls>
        <axId val="48650112"/>
        <axId val="48672768"/>
      </line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Workweek Revenue Trend</a:t>
            </a:r>
          </a:p>
        </rich>
      </tx>
      <overlay val="0"/>
    </title>
    <plotArea>
      <layout/>
      <lineChart>
        <grouping val="standard"/>
        <varyColors val="0"/>
        <ser>
          <idx val="0"/>
          <order val="0"/>
          <tx>
            <v>Events</v>
          </tx>
          <spPr>
            <a:ln xmlns:a="http://schemas.openxmlformats.org/drawingml/2006/main">
              <a:prstDash val="solid"/>
            </a:ln>
          </spPr>
          <marker>
            <symbol val="none"/>
            <spPr>
              <a:ln xmlns:a="http://schemas.openxmlformats.org/drawingml/2006/main">
                <a:prstDash val="solid"/>
              </a:ln>
            </spPr>
          </marker>
          <cat>
            <strRef>
              <f>'Analytics'!$AI$49:$AI$61</f>
              <strCache>
                <ptCount val="0"/>
              </strCache>
            </strRef>
          </cat>
          <val>
            <numRef>
              <f>'Analytics'!$AJ$49:$AJ$61</f>
              <numCache>
                <formatCode>General</formatCode>
                <ptCount val="0"/>
              </numCache>
            </numRef>
          </val>
          <smooth val="0"/>
        </ser>
        <ser>
          <idx val="1"/>
          <order val="1"/>
          <tx>
            <v>Eligible Events</v>
          </tx>
          <spPr>
            <a:ln xmlns:a="http://schemas.openxmlformats.org/drawingml/2006/main">
              <a:prstDash val="solid"/>
            </a:ln>
          </spPr>
          <marker>
            <symbol val="none"/>
            <spPr>
              <a:ln xmlns:a="http://schemas.openxmlformats.org/drawingml/2006/main">
                <a:prstDash val="solid"/>
              </a:ln>
            </spPr>
          </marker>
          <cat>
            <strRef>
              <f>'Analytics'!$AI$49:$AI$61</f>
              <strCache>
                <ptCount val="0"/>
              </strCache>
            </strRef>
          </cat>
          <val>
            <numRef>
              <f>'Analytics'!$AK$49:$AK$61</f>
              <numCache>
                <formatCode>General</formatCode>
                <ptCount val="0"/>
              </numCache>
            </numRef>
          </val>
          <smooth val="0"/>
        </ser>
        <ser>
          <idx val="2"/>
          <order val="2"/>
          <tx>
            <v>Weekly Revenue</v>
          </tx>
          <spPr>
            <a:ln xmlns:a="http://schemas.openxmlformats.org/drawingml/2006/main">
              <a:prstDash val="solid"/>
            </a:ln>
          </spPr>
          <marker>
            <symbol val="none"/>
            <spPr>
              <a:ln xmlns:a="http://schemas.openxmlformats.org/drawingml/2006/main">
                <a:prstDash val="solid"/>
              </a:ln>
            </spPr>
          </marker>
          <cat>
            <strRef>
              <f>'Analytics'!$AI$49:$AI$61</f>
              <strCache>
                <ptCount val="0"/>
              </strCache>
            </strRef>
          </cat>
          <val>
            <numRef>
              <f>'Analytics'!$AL$49:$AL$61</f>
              <numCache>
                <formatCode>$#,##0.00</formatCode>
                <ptCount val="0"/>
              </numCache>
            </numRef>
          </val>
          <smooth val="0"/>
        </ser>
        <ser>
          <idx val="3"/>
          <order val="3"/>
          <tx>
            <v>Running Revenue</v>
          </tx>
          <spPr>
            <a:ln xmlns:a="http://schemas.openxmlformats.org/drawingml/2006/main">
              <a:prstDash val="solid"/>
            </a:ln>
          </spPr>
          <marker>
            <symbol val="none"/>
            <spPr>
              <a:ln xmlns:a="http://schemas.openxmlformats.org/drawingml/2006/main">
                <a:prstDash val="solid"/>
              </a:ln>
            </spPr>
          </marker>
          <cat>
            <strRef>
              <f>'Analytics'!$AI$49:$AI$61</f>
              <strCache>
                <ptCount val="0"/>
              </strCache>
            </strRef>
          </cat>
          <val>
            <numRef>
              <f>'Analytics'!$AM$49:$AM$61</f>
              <numCache>
                <formatCode>$#,##0.00</formatCode>
                <ptCount val="0"/>
              </numCache>
            </numRef>
          </val>
          <smooth val="0"/>
        </ser>
        <dLbls>
          <showLegendKey val="0"/>
          <showVal val="0"/>
          <showCatName val="0"/>
          <showSerName val="0"/>
          <showPercent val="0"/>
          <showBubbleSize val="0"/>
          <showLeaderLines val="0"/>
        </dLbls>
        <axId val="48650112"/>
        <axId val="48672768"/>
      </line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Career Events &amp; Revenue by Workweek</a:t>
            </a:r>
          </a:p>
        </rich>
      </tx>
      <overlay val="0"/>
    </title>
    <plotArea>
      <layout/>
      <barChart>
        <barDir val="col"/>
        <grouping val="clustered"/>
        <varyColors val="0"/>
        <ser>
          <idx val="0"/>
          <order val="0"/>
          <tx>
            <v>Events</v>
          </tx>
          <spPr>
            <a:ln xmlns:a="http://schemas.openxmlformats.org/drawingml/2006/main">
              <a:prstDash val="solid"/>
            </a:ln>
          </spPr>
          <cat>
            <strRef>
              <f>'Career Analytics'!$A$59:$A$71</f>
              <strCache>
                <ptCount val="0"/>
              </strCache>
            </strRef>
          </cat>
          <val>
            <numRef>
              <f>'Career Analytics'!$B$59:$B$71</f>
              <numCache>
                <formatCode>General</formatCode>
                <ptCount val="0"/>
              </numCache>
            </numRef>
          </val>
        </ser>
        <ser>
          <idx val="1"/>
          <order val="1"/>
          <tx>
            <v>Revenue</v>
          </tx>
          <spPr>
            <a:ln xmlns:a="http://schemas.openxmlformats.org/drawingml/2006/main">
              <a:prstDash val="solid"/>
            </a:ln>
          </spPr>
          <cat>
            <strRef>
              <f>'Career Analytics'!$A$59:$A$71</f>
              <strCache>
                <ptCount val="0"/>
              </strCache>
            </strRef>
          </cat>
          <val>
            <numRef>
              <f>'Career Analytics'!$C$59:$C$71</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harts/chart1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Weekday Production</a:t>
            </a:r>
          </a:p>
        </rich>
      </tx>
      <overlay val="0"/>
    </title>
    <plotArea>
      <layout/>
      <barChart>
        <barDir val="col"/>
        <grouping val="clustered"/>
        <varyColors val="0"/>
        <ser>
          <idx val="0"/>
          <order val="0"/>
          <tx>
            <v>Events</v>
          </tx>
          <spPr>
            <a:ln xmlns:a="http://schemas.openxmlformats.org/drawingml/2006/main">
              <a:prstDash val="solid"/>
            </a:ln>
          </spPr>
          <cat>
            <strRef>
              <f>'Career Analytics'!$F$59:$F$63</f>
              <strCache>
                <ptCount val="0"/>
              </strCache>
            </strRef>
          </cat>
          <val>
            <numRef>
              <f>'Career Analytics'!$G$59:$G$63</f>
              <numCache>
                <formatCode>General</formatCode>
                <ptCount val="0"/>
              </numCache>
            </numRef>
          </val>
        </ser>
        <ser>
          <idx val="1"/>
          <order val="1"/>
          <tx>
            <v>Revenue</v>
          </tx>
          <spPr>
            <a:ln xmlns:a="http://schemas.openxmlformats.org/drawingml/2006/main">
              <a:prstDash val="solid"/>
            </a:ln>
          </spPr>
          <cat>
            <strRef>
              <f>'Career Analytics'!$F$59:$F$63</f>
              <strCache>
                <ptCount val="0"/>
              </strCache>
            </strRef>
          </cat>
          <val>
            <numRef>
              <f>'Career Analytics'!$H$59:$H$63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 Type="http://schemas.openxmlformats.org/officeDocument/2006/relationships/chart" Target="/xl/charts/chart12.xml" Id="rId4"/></Relationships>
</file>

<file path=xl/drawings/_rels/drawing3.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s>
</file>

<file path=xl/drawings/drawing1.xml><?xml version="1.0" encoding="utf-8"?>
<wsDr xmlns="http://schemas.openxmlformats.org/drawingml/2006/spreadsheetDrawing">
  <twoCellAnchor>
    <from>
      <col>0</col>
      <colOff>0</colOff>
      <row>45</row>
      <rowOff>0</rowOff>
    </from>
    <to>
      <col>7</col>
      <colOff>0</colOff>
      <row>62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0</colOff>
      <row>45</row>
      <rowOff>0</rowOff>
    </from>
    <to>
      <col>14</col>
      <colOff>0</colOff>
      <row>62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63</row>
      <rowOff>0</rowOff>
    </from>
    <to>
      <col>7</col>
      <colOff>0</colOff>
      <row>80</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0</colOff>
      <row>63</row>
      <rowOff>0</rowOff>
    </from>
    <to>
      <col>14</col>
      <colOff>0</colOff>
      <row>80</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81</row>
      <rowOff>0</rowOff>
    </from>
    <to>
      <col>7</col>
      <colOff>0</colOff>
      <row>99</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7</col>
      <colOff>0</colOff>
      <row>81</row>
      <rowOff>0</rowOff>
    </from>
    <to>
      <col>14</col>
      <colOff>0</colOff>
      <row>99</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100</row>
      <rowOff>0</rowOff>
    </from>
    <to>
      <col>7</col>
      <colOff>0</colOff>
      <row>117</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7</col>
      <colOff>0</colOff>
      <row>100</row>
      <rowOff>0</rowOff>
    </from>
    <to>
      <col>14</col>
      <colOff>0</colOff>
      <row>117</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2.xml><?xml version="1.0" encoding="utf-8"?>
<wsDr xmlns="http://schemas.openxmlformats.org/drawingml/2006/spreadsheetDrawing">
  <twoCellAnchor>
    <from>
      <col>0</col>
      <colOff>0</colOff>
      <row>106</row>
      <rowOff>0</rowOff>
    </from>
    <to>
      <col>10</col>
      <colOff>0</colOff>
      <row>124</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0</colOff>
      <row>106</row>
      <rowOff>0</rowOff>
    </from>
    <to>
      <col>20</col>
      <colOff>0</colOff>
      <row>124</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125</row>
      <rowOff>0</rowOff>
    </from>
    <to>
      <col>10</col>
      <colOff>0</colOff>
      <row>144</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10</col>
      <colOff>0</colOff>
      <row>125</row>
      <rowOff>0</rowOff>
    </from>
    <to>
      <col>20</col>
      <colOff>0</colOff>
      <row>144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3.xml><?xml version="1.0" encoding="utf-8"?>
<wsDr xmlns="http://schemas.openxmlformats.org/drawingml/2006/spreadsheetDrawing">
  <twoCellAnchor>
    <from>
      <col>5</col>
      <colOff>0</colOff>
      <row>18</row>
      <rowOff>0</rowOff>
    </from>
    <to>
      <col>14</col>
      <colOff>0</colOff>
      <row>42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0</colOff>
      <row>42</row>
      <rowOff>0</rowOff>
    </from>
    <to>
      <col>14</col>
      <colOff>0</colOff>
      <row>56</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blServiceEvents" displayName="tblServiceEvents" ref="A1:Z82" headerRowCount="1">
  <tableColumns count="26">
    <tableColumn id="1" name="Event #"/>
    <tableColumn id="2" name="Physical Visit ID"/>
    <tableColumn id="3" name="Service Date"/>
    <tableColumn id="4" name="Weekday"/>
    <tableColumn id="5" name="Workweek #"/>
    <tableColumn id="6" name="MY_MONTH"/>
    <tableColumn id="7" name="Client ID"/>
    <tableColumn id="8" name="Client"/>
    <tableColumn id="9" name="Site Name"/>
    <tableColumn id="10" name="Address"/>
    <tableColumn id="11" name="City"/>
    <tableColumn id="12" name="State"/>
    <tableColumn id="13" name="ZIP"/>
    <tableColumn id="14" name="Jurisdiction"/>
    <tableColumn id="15" name="Location Key"/>
    <tableColumn id="16" name="Status"/>
    <tableColumn id="17" name="Visit Type"/>
    <tableColumn id="18" name="Work Order Count"/>
    <tableColumn id="19" name="Work Orders"/>
    <tableColumn id="20" name="Confirmed Revenue"/>
    <tableColumn id="21" name="Revenue Eligibility"/>
    <tableColumn id="22" name="Notes"/>
    <tableColumn id="23" name="Source / Evidence"/>
    <tableColumn id="24" name="Financial Scope"/>
    <tableColumn id="25" name="Financial Exclusion Reason"/>
    <tableColumn id="26" name="Breakdown Expected"/>
  </tableColumns>
  <tableStyleInfo name="TableStyleMedium2" showRowStripes="1"/>
</table>
</file>

<file path=xl/tables/table2.xml><?xml version="1.0" encoding="utf-8"?>
<table xmlns="http://schemas.openxmlformats.org/spreadsheetml/2006/main" id="2" name="tblLedger" displayName="tblLedger" ref="A1:AD83" headerRowCount="1">
  <tableColumns count="30">
    <tableColumn id="1" name="Ledger Record ID"/>
    <tableColumn id="2" name="Work Order #"/>
    <tableColumn id="3" name="Event #"/>
    <tableColumn id="4" name="Candidate Event(s)"/>
    <tableColumn id="5" name="Client ID"/>
    <tableColumn id="6" name="Client"/>
    <tableColumn id="7" name="Service Date"/>
    <tableColumn id="8" name="Weekday"/>
    <tableColumn id="9" name="Site Name"/>
    <tableColumn id="10" name="Address"/>
    <tableColumn id="11" name="City"/>
    <tableColumn id="12" name="State"/>
    <tableColumn id="13" name="ZIP"/>
    <tableColumn id="14" name="Jurisdiction"/>
    <tableColumn id="15" name="Location Key"/>
    <tableColumn id="16" name="Agreed Amount"/>
    <tableColumn id="17" name="Pay Type"/>
    <tableColumn id="18" name="Breakdown Confirmed"/>
    <tableColumn id="19" name="Breakdown Amount"/>
    <tableColumn id="20" name="Breakdown Date"/>
    <tableColumn id="21" name="Expected Payment Date"/>
    <tableColumn id="22" name="ACH Confirmed"/>
    <tableColumn id="23" name="ACH Amount"/>
    <tableColumn id="24" name="ACH Date"/>
    <tableColumn id="25" name="Variance"/>
    <tableColumn id="26" name="Reconciliation Status"/>
    <tableColumn id="27" name="Mapping Status"/>
    <tableColumn id="28" name="Alias / Related WO"/>
    <tableColumn id="29" name="Notes"/>
    <tableColumn id="30" name="Source / Evidence"/>
  </tableColumns>
  <tableStyleInfo name="TableStyleMedium2" showRowStripes="1"/>
</table>
</file>

<file path=xl/tables/table3.xml><?xml version="1.0" encoding="utf-8"?>
<table xmlns="http://schemas.openxmlformats.org/spreadsheetml/2006/main" id="3" name="tblClientSummary" displayName="tblClientSummary" ref="A11:L38" headerRowCount="1">
  <tableColumns count="12">
    <tableColumn id="1" name="Client ID"/>
    <tableColumn id="2" name="Client Name"/>
    <tableColumn id="3" name="First Event"/>
    <tableColumn id="4" name="Latest Event"/>
    <tableColumn id="5" name="Total Events"/>
    <tableColumn id="6" name="Total Work Orders"/>
    <tableColumn id="7" name="Confirmed Revenue"/>
    <tableColumn id="8" name="Avg Revenue / Event"/>
    <tableColumn id="9" name="Avg Revenue / WO"/>
    <tableColumn id="10" name="States Worked"/>
    <tableColumn id="11" name="Cities Worked"/>
    <tableColumn id="12" name="Repeat Client"/>
  </tableColumns>
  <tableStyleInfo name="TableStyleMedium2" showRowStripes="1"/>
</table>
</file>

<file path=xl/tables/table4.xml><?xml version="1.0" encoding="utf-8"?>
<table xmlns="http://schemas.openxmlformats.org/spreadsheetml/2006/main" id="4" name="tblStateSummary" displayName="tblStateSummary" ref="A42:H47" headerRowCount="1">
  <tableColumns count="8">
    <tableColumn id="1" name="Jurisdiction"/>
    <tableColumn id="2" name="Events"/>
    <tableColumn id="3" name="Eligible Events"/>
    <tableColumn id="4" name="Clients"/>
    <tableColumn id="5" name="Confirmed Revenue"/>
    <tableColumn id="6" name="Avg Revenue / Eligible Event"/>
    <tableColumn id="7" name="Revenue Share"/>
    <tableColumn id="8" name="Event Share"/>
  </tableColumns>
  <tableStyleInfo name="TableStyleMedium2" showRowStripes="1"/>
</table>
</file>

<file path=xl/tables/table5.xml><?xml version="1.0" encoding="utf-8"?>
<table xmlns="http://schemas.openxmlformats.org/spreadsheetml/2006/main" id="5" name="tblWeekdaySummary" displayName="tblWeekdaySummary" ref="J42:R47" headerRowCount="1">
  <tableColumns count="9">
    <tableColumn id="1" name="Weekday"/>
    <tableColumn id="2" name="Confirmed Revenue"/>
    <tableColumn id="3" name="Eligible Events"/>
    <tableColumn id="4" name="Avg Revenue / Event"/>
    <tableColumn id="5" name="Active Weeks"/>
    <tableColumn id="6" name="Activity Rate"/>
    <tableColumn id="7" name="Highest Revenue Event"/>
    <tableColumn id="8" name="Lowest Revenue Event"/>
    <tableColumn id="9" name="Rank"/>
  </tableColumns>
  <tableStyleInfo name="TableStyleMedium2" showRowStripes="1"/>
</table>
</file>

<file path=xl/tables/table6.xml><?xml version="1.0" encoding="utf-8"?>
<table xmlns="http://schemas.openxmlformats.org/spreadsheetml/2006/main" id="6" name="tblMonthSummary" displayName="tblMonthSummary" ref="A51:G54" headerRowCount="1">
  <tableColumns count="7">
    <tableColumn id="1" name="MY_MONTH"/>
    <tableColumn id="2" name="Events"/>
    <tableColumn id="3" name="Eligible Events"/>
    <tableColumn id="4" name="Clients"/>
    <tableColumn id="5" name="Jurisdictions"/>
    <tableColumn id="6" name="Confirmed Revenue"/>
    <tableColumn id="7" name="Avg Revenue / Eligible Event"/>
  </tableColumns>
  <tableStyleInfo name="TableStyleMedium2" showRowStripes="1"/>
</table>
</file>

<file path=xl/tables/table7.xml><?xml version="1.0" encoding="utf-8"?>
<table xmlns="http://schemas.openxmlformats.org/spreadsheetml/2006/main" id="7" name="tblLeaderboardClients" displayName="tblLeaderboardClients" ref="V1:AG28" headerRowCount="1">
  <tableColumns count="12">
    <tableColumn id="1" name="Client ID"/>
    <tableColumn id="2" name="Client"/>
    <tableColumn id="3" name="Events"/>
    <tableColumn id="4" name="Work Orders"/>
    <tableColumn id="5" name="Revenue"/>
    <tableColumn id="6" name="Avg/Event"/>
    <tableColumn id="7" name="Avg/WO"/>
    <tableColumn id="8" name="Repeat"/>
    <tableColumn id="9" name="First Event"/>
    <tableColumn id="10" name="Revenue Key"/>
    <tableColumn id="11" name="Repeat Key"/>
    <tableColumn id="12" name="Avg Key"/>
  </tableColumns>
  <tableStyleInfo name="TableStyleMedium2" showRowStripes="1"/>
</table>
</file>

<file path=xl/tables/table8.xml><?xml version="1.0" encoding="utf-8"?>
<table xmlns="http://schemas.openxmlformats.org/spreadsheetml/2006/main" id="8" name="tblChartDailyTrend" displayName="tblChartDailyTrend" ref="AI1:AN47" headerRowCount="1">
  <tableColumns count="6">
    <tableColumn id="1" name="Service Date"/>
    <tableColumn id="2" name="Events"/>
    <tableColumn id="3" name="Eligible Events"/>
    <tableColumn id="4" name="Daily Revenue"/>
    <tableColumn id="5" name="Running Revenue"/>
    <tableColumn id="6" name="Rolling 5-Day Avg"/>
  </tableColumns>
  <tableStyleInfo name="TableStyleMedium2" showRowStripes="1"/>
</table>
</file>

<file path=xl/tables/table9.xml><?xml version="1.0" encoding="utf-8"?>
<table xmlns="http://schemas.openxmlformats.org/spreadsheetml/2006/main" id="9" name="tblChartWeeklyTrend" displayName="tblChartWeeklyTrend" ref="AI48:AM61" headerRowCount="1">
  <tableColumns count="5">
    <tableColumn id="1" name="Workweek"/>
    <tableColumn id="2" name="Events"/>
    <tableColumn id="3" name="Eligible Events"/>
    <tableColumn id="4" name="Weekly Revenue"/>
    <tableColumn id="5" name="Running Revenue"/>
  </tableColumns>
  <tableStyleInfo name="TableStyleMedium2" showRowStripes="1"/>
</table>
</file>

<file path=xl/tables/table10.xml><?xml version="1.0" encoding="utf-8"?>
<table xmlns="http://schemas.openxmlformats.org/spreadsheetml/2006/main" id="10" name="tblClientMix" displayName="tblClientMix" ref="AI63:AJ65" headerRowCount="1">
  <tableColumns count="2">
    <tableColumn id="1" name="Client Type"/>
    <tableColumn id="2" name="Clients"/>
  </tableColumns>
  <tableStyleInfo name="TableStyleMedium2" showRowStripes="1"/>
</table>
</file>

<file path=xl/tables/table11.xml><?xml version="1.0" encoding="utf-8"?>
<table xmlns="http://schemas.openxmlformats.org/spreadsheetml/2006/main" id="11" name="tblCitySummary" displayName="tblCitySummary" ref="V31:AB70" headerRowCount="1">
  <tableColumns count="7">
    <tableColumn id="1" name="City"/>
    <tableColumn id="2" name="Jurisdiction"/>
    <tableColumn id="3" name="Events"/>
    <tableColumn id="4" name="Eligible Events"/>
    <tableColumn id="5" name="Revenue"/>
    <tableColumn id="6" name="Avg/Event"/>
    <tableColumn id="7" name="Rank Key"/>
  </tableColumns>
  <tableStyleInfo name="TableStyleMedium2" showRowStripes="1"/>
</table>
</file>

<file path=xl/tables/table12.xml><?xml version="1.0" encoding="utf-8"?>
<table xmlns="http://schemas.openxmlformats.org/spreadsheetml/2006/main" id="12" name="tblWeekSummary" displayName="tblWeekSummary" ref="V71:AB84" headerRowCount="1">
  <tableColumns count="7">
    <tableColumn id="1" name="Workweek"/>
    <tableColumn id="2" name="Events"/>
    <tableColumn id="3" name="Eligible Events"/>
    <tableColumn id="4" name="Revenue"/>
    <tableColumn id="5" name="Avg/Event"/>
    <tableColumn id="6" name="Worked Days"/>
    <tableColumn id="7" name="Rank Key"/>
  </tableColumns>
  <tableStyleInfo name="TableStyleMedium2" showRowStripes="1"/>
</table>
</file>

<file path=xl/tables/table13.xml><?xml version="1.0" encoding="utf-8"?>
<table xmlns="http://schemas.openxmlformats.org/spreadsheetml/2006/main" id="13" name="tblDateSummary" displayName="tblDateSummary" ref="V86:AB132" headerRowCount="1">
  <tableColumns count="7">
    <tableColumn id="1" name="Service Date"/>
    <tableColumn id="2" name="Weekday"/>
    <tableColumn id="3" name="Events"/>
    <tableColumn id="4" name="Eligible Events"/>
    <tableColumn id="5" name="Revenue"/>
    <tableColumn id="6" name="Avg/Event"/>
    <tableColumn id="7" name="Rank Key"/>
  </tableColumns>
  <tableStyleInfo name="TableStyleMedium2" showRowStripes="1"/>
</table>
</file>

<file path=xl/tables/table14.xml><?xml version="1.0" encoding="utf-8"?>
<table xmlns="http://schemas.openxmlformats.org/spreadsheetml/2006/main" id="14" name="tblEventLeaderboardSource" displayName="tblEventLeaderboardSource" ref="V134:AD201" headerRowCount="1">
  <tableColumns count="9">
    <tableColumn id="1" name="Event #"/>
    <tableColumn id="2" name="Date"/>
    <tableColumn id="3" name="Client"/>
    <tableColumn id="4" name="City"/>
    <tableColumn id="5" name="Jurisdiction"/>
    <tableColumn id="6" name="Revenue"/>
    <tableColumn id="7" name="Eligibility"/>
    <tableColumn id="8" name="Work Orders"/>
    <tableColumn id="9" name="Rank Key"/>
  </tableColumns>
  <tableStyleInfo name="TableStyleMedium2" showRowStripes="1"/>
</table>
</file>

<file path=xl/tables/table15.xml><?xml version="1.0" encoding="utf-8"?>
<table xmlns="http://schemas.openxmlformats.org/spreadsheetml/2006/main" id="15" name="tblLedgerExceptionMatrix" displayName="tblLedgerExceptionMatrix" ref="A30:V98" headerRowCount="1">
  <tableColumns count="22">
    <tableColumn id="1" name="Ledger Record ID"/>
    <tableColumn id="2" name="WO #"/>
    <tableColumn id="3" name="Event #"/>
    <tableColumn id="4" name="Client"/>
    <tableColumn id="5" name="Breakdown Status"/>
    <tableColumn id="6" name="ACH Status"/>
    <tableColumn id="7" name="Variance"/>
    <tableColumn id="8" name="Duplicate WO"/>
    <tableColumn id="9" name="Missing Event Link"/>
    <tableColumn id="10" name="Mapping Hold"/>
    <tableColumn id="11" name="Missing Breakdown"/>
    <tableColumn id="12" name="Pending ACH"/>
    <tableColumn id="13" name="Revenue Variance"/>
    <tableColumn id="14" name="Missing Client"/>
    <tableColumn id="15" name="Missing Location"/>
    <tableColumn id="16" name="Unknown Breakdown Status"/>
    <tableColumn id="17" name="Unknown ACH Status"/>
    <tableColumn id="18" name="Primary Issue"/>
    <tableColumn id="19" name="Severity"/>
    <tableColumn id="20" name="Required Action"/>
    <tableColumn id="21" name="Open?"/>
    <tableColumn id="22" name="Absolute Variance"/>
  </tableColumns>
  <tableStyleInfo name="TableStyleMedium2" showRowStripes="1"/>
</table>
</file>

<file path=xl/tables/table16.xml><?xml version="1.0" encoding="utf-8"?>
<table xmlns="http://schemas.openxmlformats.org/spreadsheetml/2006/main" id="16" name="tblCurrentExceptions" displayName="tblCurrentExceptions" ref="A10:L26" headerRowCount="1">
  <tableColumns count="12">
    <tableColumn id="1" name="Severity"/>
    <tableColumn id="2" name="Issue"/>
    <tableColumn id="3" name="Event #"/>
    <tableColumn id="4" name="WO #"/>
    <tableColumn id="5" name="Client"/>
    <tableColumn id="6" name="City"/>
    <tableColumn id="7" name="Jurisdiction"/>
    <tableColumn id="8" name="Amount"/>
    <tableColumn id="9" name="Status"/>
    <tableColumn id="10" name="Required Action"/>
    <tableColumn id="11" name="Source"/>
    <tableColumn id="12" name="Notes"/>
  </tableColumns>
  <tableStyleInfo name="TableStyleMedium2" showRowStripes="1"/>
</table>
</file>

<file path=xl/tables/table17.xml><?xml version="1.0" encoding="utf-8"?>
<table xmlns="http://schemas.openxmlformats.org/spreadsheetml/2006/main" id="17" name="tblEventIntegrityMatrix" displayName="tblEventIntegrityMatrix" ref="A99:R166" headerRowCount="1">
  <tableColumns count="18">
    <tableColumn id="1" name="Event #"/>
    <tableColumn id="2" name="Client"/>
    <tableColumn id="3" name="Service Date"/>
    <tableColumn id="4" name="Weekday"/>
    <tableColumn id="5" name="MY_MONTH"/>
    <tableColumn id="6" name="Status"/>
    <tableColumn id="7" name="City"/>
    <tableColumn id="8" name="Jurisdiction"/>
    <tableColumn id="9" name="Linked WO Count"/>
    <tableColumn id="10" name="Duplicate Event #"/>
    <tableColumn id="11" name="Missing Date"/>
    <tableColumn id="12" name="Missing Client"/>
    <tableColumn id="13" name="Missing Location"/>
    <tableColumn id="14" name="Unknown Weekday"/>
    <tableColumn id="15" name="Unknown MY_MONTH"/>
    <tableColumn id="16" name="Primary Issue"/>
    <tableColumn id="17" name="Severity"/>
    <tableColumn id="18" name="Open?"/>
  </tableColumns>
  <tableStyleInfo name="TableStyleMedium2" showRowStripes="1"/>
</table>
</file>

<file path=xl/tables/table18.xml><?xml version="1.0" encoding="utf-8"?>
<table xmlns="http://schemas.openxmlformats.org/spreadsheetml/2006/main" id="18" name="tblIntegrityRules" displayName="tblIntegrityRules" ref="A175:H197" headerRowCount="1">
  <tableColumns count="8">
    <tableColumn id="1" name="Rule ID"/>
    <tableColumn id="2" name="Layer"/>
    <tableColumn id="3" name="Integrity Rule"/>
    <tableColumn id="4" name="Violation Count"/>
    <tableColumn id="5" name="Status"/>
    <tableColumn id="6" name="Severity"/>
    <tableColumn id="7" name="Required Action"/>
    <tableColumn id="8" name="Technical Basis"/>
  </tableColumns>
  <tableStyleInfo name="TableStyleMedium2" showRowStripes="1"/>
</table>
</file>

<file path=xl/tables/table19.xml><?xml version="1.0" encoding="utf-8"?>
<table xmlns="http://schemas.openxmlformats.org/spreadsheetml/2006/main" id="19" name="tblCrossTableIntegrity" displayName="tblCrossTableIntegrity" ref="A201:J269" headerRowCount="1">
  <tableColumns count="10">
    <tableColumn id="1" name="Ledger Record ID"/>
    <tableColumn id="2" name="WO #"/>
    <tableColumn id="3" name="Event #"/>
    <tableColumn id="4" name="Mapping Status"/>
    <tableColumn id="5" name="Event Exists"/>
    <tableColumn id="6" name="Client Match"/>
    <tableColumn id="7" name="Location Match"/>
    <tableColumn id="8" name="Date Match"/>
    <tableColumn id="9" name="WO Listed"/>
    <tableColumn id="10" name="Integrity Status"/>
  </tableColumns>
  <tableStyleInfo name="TableStyleMedium2" showRowStripes="1"/>
</table>
</file>

<file path=xl/tables/table20.xml><?xml version="1.0" encoding="utf-8"?>
<table xmlns="http://schemas.openxmlformats.org/spreadsheetml/2006/main" id="20" name="tblSelfHealingRules" displayName="tblSelfHealingRules" ref="A10:H22" headerRowCount="1">
  <tableColumns count="8">
    <tableColumn id="1" name="Rule ID"/>
    <tableColumn id="2" name="Mode"/>
    <tableColumn id="3" name="Scope"/>
    <tableColumn id="4" name="Managed Field / Control"/>
    <tableColumn id="5" name="Healing Logic"/>
    <tableColumn id="6" name="Current Exceptions"/>
    <tableColumn id="7" name="Status"/>
    <tableColumn id="8" name="Protection Boundary"/>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3.xml" Id="rId2"/><Relationship Type="http://schemas.openxmlformats.org/officeDocument/2006/relationships/table" Target="/xl/tables/table4.xml" Id="rId3"/><Relationship Type="http://schemas.openxmlformats.org/officeDocument/2006/relationships/table" Target="/xl/tables/table5.xml" Id="rId4"/><Relationship Type="http://schemas.openxmlformats.org/officeDocument/2006/relationships/table" Target="/xl/tables/table6.xml" Id="rId5"/><Relationship Type="http://schemas.openxmlformats.org/officeDocument/2006/relationships/table" Target="/xl/tables/table7.xml" Id="rId6"/><Relationship Type="http://schemas.openxmlformats.org/officeDocument/2006/relationships/table" Target="/xl/tables/table8.xml" Id="rId7"/><Relationship Type="http://schemas.openxmlformats.org/officeDocument/2006/relationships/table" Target="/xl/tables/table9.xml" Id="rId8"/><Relationship Type="http://schemas.openxmlformats.org/officeDocument/2006/relationships/table" Target="/xl/tables/table10.xml" Id="rId9"/><Relationship Type="http://schemas.openxmlformats.org/officeDocument/2006/relationships/table" Target="/xl/tables/table11.xml" Id="rId10"/><Relationship Type="http://schemas.openxmlformats.org/officeDocument/2006/relationships/table" Target="/xl/tables/table12.xml" Id="rId11"/><Relationship Type="http://schemas.openxmlformats.org/officeDocument/2006/relationships/table" Target="/xl/tables/table13.xml" Id="rId12"/><Relationship Type="http://schemas.openxmlformats.org/officeDocument/2006/relationships/table" Target="/xl/tables/table14.xml" Id="rId13"/></Relationships>
</file>

<file path=xl/worksheets/_rels/sheet5.xml.rels><Relationships xmlns="http://schemas.openxmlformats.org/package/2006/relationships"><Relationship Type="http://schemas.openxmlformats.org/officeDocument/2006/relationships/table" Target="/xl/tables/table15.xml" Id="rId1"/><Relationship Type="http://schemas.openxmlformats.org/officeDocument/2006/relationships/table" Target="/xl/tables/table16.xml" Id="rId2"/><Relationship Type="http://schemas.openxmlformats.org/officeDocument/2006/relationships/table" Target="/xl/tables/table17.xml" Id="rId3"/><Relationship Type="http://schemas.openxmlformats.org/officeDocument/2006/relationships/table" Target="/xl/tables/table18.xml" Id="rId4"/><Relationship Type="http://schemas.openxmlformats.org/officeDocument/2006/relationships/table" Target="/xl/tables/table19.xml" Id="rId5"/></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E44"/>
  <sheetViews>
    <sheetView showGridLines="0" workbookViewId="0">
      <selection activeCell="A1" sqref="A1"/>
    </sheetView>
  </sheetViews>
  <sheetFormatPr baseColWidth="8" defaultRowHeight="15"/>
  <cols>
    <col width="12" customWidth="1" style="192" min="1" max="1"/>
    <col width="14" customWidth="1" style="192" min="2" max="2"/>
    <col width="13" customWidth="1" style="192" min="3" max="3"/>
    <col width="24" customWidth="1" style="192" min="4" max="4"/>
    <col width="16" customWidth="1" style="192" min="5" max="5"/>
    <col width="14" customWidth="1" style="192" min="6" max="6"/>
    <col width="14" customWidth="1" style="192" min="7" max="7"/>
    <col width="22" customWidth="1" style="192" min="8" max="8"/>
    <col width="14" customWidth="1" style="192" min="9" max="9"/>
    <col width="22" customWidth="1" style="192" min="10" max="10"/>
    <col width="18" customWidth="1" style="192" min="11" max="11"/>
    <col width="38" customWidth="1" style="192" min="12" max="12"/>
    <col width="30" customWidth="1" style="192" min="13" max="13"/>
    <col width="16" customWidth="1" style="192" min="14" max="14"/>
  </cols>
  <sheetData>
    <row r="1" ht="24" customHeight="1" s="192">
      <c r="A1" s="644" t="inlineStr">
        <is>
          <t>Barrister Source of Truth — Authoritative Master | Verified Through Event 84</t>
        </is>
      </c>
      <c r="B1" s="1" t="n"/>
      <c r="C1" s="1" t="n"/>
      <c r="D1" s="1" t="n"/>
      <c r="E1" s="1" t="n"/>
      <c r="F1" s="1" t="n"/>
      <c r="G1" s="1" t="n"/>
      <c r="H1" s="1" t="n"/>
      <c r="I1" s="1" t="n"/>
      <c r="J1" s="1" t="n"/>
      <c r="K1" s="1" t="n"/>
      <c r="L1" s="1" t="n"/>
      <c r="M1" s="1" t="n"/>
      <c r="N1" s="1" t="n"/>
      <c r="O1" s="52" t="n"/>
      <c r="P1" s="52" t="n"/>
      <c r="Q1" s="52" t="n"/>
      <c r="R1" s="52" t="n"/>
      <c r="S1" s="52" t="n"/>
      <c r="T1" s="52" t="n"/>
      <c r="U1" s="52" t="n"/>
      <c r="V1" s="52" t="n"/>
      <c r="W1" s="52" t="n"/>
      <c r="X1" s="52" t="n"/>
      <c r="Y1" s="52" t="n"/>
      <c r="Z1" s="52" t="n"/>
      <c r="AA1" s="52" t="n"/>
      <c r="AB1" s="52" t="n"/>
      <c r="AC1" s="52" t="n"/>
      <c r="AD1" s="52" t="n"/>
      <c r="AE1" s="52" t="n"/>
    </row>
    <row r="2" ht="24" customHeight="1" s="192">
      <c r="A2" s="1" t="n"/>
      <c r="B2" s="1" t="n"/>
      <c r="C2" s="1" t="n"/>
      <c r="D2" s="1" t="n"/>
      <c r="E2" s="1" t="n"/>
      <c r="F2" s="1" t="n"/>
      <c r="G2" s="1" t="n"/>
      <c r="H2" s="1" t="n"/>
      <c r="I2" s="1" t="n"/>
      <c r="J2" s="1" t="n"/>
      <c r="K2" s="1" t="n"/>
      <c r="L2" s="1" t="n"/>
      <c r="M2" s="1" t="n"/>
      <c r="N2" s="1" t="n"/>
    </row>
    <row r="3">
      <c r="A3" s="645" t="inlineStr">
        <is>
          <t>Events 1–84 verified as the locked chronology; 79 payment records confirmed and 5 payment breakdowns remain pending.</t>
        </is>
      </c>
      <c r="B3" s="1" t="n"/>
      <c r="C3" s="1" t="n"/>
      <c r="D3" s="1" t="n"/>
      <c r="E3" s="1" t="n"/>
      <c r="F3" s="1" t="n"/>
      <c r="G3" s="1" t="n"/>
      <c r="H3" s="1" t="n"/>
      <c r="I3" s="1" t="n"/>
      <c r="J3" s="1" t="n"/>
      <c r="K3" s="1" t="n"/>
      <c r="L3" s="1" t="n"/>
      <c r="M3" s="1" t="n"/>
      <c r="N3" s="1" t="n"/>
    </row>
    <row r="4">
      <c r="A4" s="12" t="n"/>
      <c r="B4" s="12" t="n"/>
      <c r="C4" s="12" t="n"/>
      <c r="D4" s="12" t="n"/>
      <c r="E4" s="12" t="n"/>
      <c r="F4" s="12" t="n"/>
      <c r="G4" s="12" t="n"/>
      <c r="H4" s="12" t="n"/>
    </row>
    <row r="5">
      <c r="A5" s="646" t="inlineStr">
        <is>
          <t>Completed Events</t>
        </is>
      </c>
      <c r="B5" s="1" t="n"/>
      <c r="C5" s="646" t="inlineStr">
        <is>
          <t>Unique Clients</t>
        </is>
      </c>
      <c r="D5" s="1" t="n"/>
      <c r="E5" s="646" t="inlineStr">
        <is>
          <t>Unique Work Orders</t>
        </is>
      </c>
      <c r="F5" s="1" t="n"/>
      <c r="G5" s="647" t="inlineStr">
        <is>
          <t>Confirmed Revenue</t>
        </is>
      </c>
      <c r="H5" s="1" t="n"/>
      <c r="I5" s="646" t="inlineStr">
        <is>
          <t>Pending Breakdown</t>
        </is>
      </c>
      <c r="J5" s="1" t="n"/>
      <c r="K5" s="646" t="inlineStr">
        <is>
          <t>Pending ACH</t>
        </is>
      </c>
      <c r="L5" s="1" t="n"/>
      <c r="M5" s="646" t="inlineStr">
        <is>
          <t>Open Exceptions</t>
        </is>
      </c>
      <c r="N5" s="1" t="n"/>
    </row>
    <row r="6" ht="26" customHeight="1" s="192">
      <c r="A6" s="648" t="n">
        <v>84</v>
      </c>
      <c r="B6" s="1" t="n"/>
      <c r="C6" s="648" t="n">
        <v>31</v>
      </c>
      <c r="D6" s="1" t="n"/>
      <c r="E6" s="648" t="n">
        <v>85</v>
      </c>
      <c r="F6" s="1" t="n"/>
      <c r="G6" s="649" t="n">
        <v>9474.41</v>
      </c>
      <c r="H6" s="1" t="n"/>
      <c r="I6" s="650" t="n">
        <v>5</v>
      </c>
      <c r="J6" s="1" t="n"/>
      <c r="K6" s="650" t="n">
        <v>15</v>
      </c>
      <c r="L6" s="1" t="n"/>
      <c r="M6" s="651" t="n">
        <v>5</v>
      </c>
      <c r="N6" s="1" t="n"/>
    </row>
    <row r="7" ht="26" customHeight="1" s="192">
      <c r="A7" s="1" t="n"/>
      <c r="B7" s="1" t="n"/>
      <c r="C7" s="1" t="n"/>
      <c r="D7" s="1" t="n"/>
      <c r="E7" s="1" t="n"/>
      <c r="F7" s="1" t="n"/>
      <c r="G7" s="1" t="n"/>
      <c r="H7" s="1" t="n"/>
      <c r="I7" s="1" t="n"/>
      <c r="J7" s="1" t="n"/>
      <c r="K7" s="1" t="n"/>
      <c r="L7" s="1" t="n"/>
      <c r="M7" s="1" t="n"/>
      <c r="N7" s="1" t="n"/>
    </row>
    <row r="9">
      <c r="A9" s="652" t="inlineStr">
        <is>
          <t>Financial Performance</t>
        </is>
      </c>
      <c r="B9" s="1" t="n"/>
      <c r="C9" s="1" t="n"/>
      <c r="D9" s="1" t="n"/>
      <c r="E9" s="1" t="n"/>
      <c r="F9" s="1" t="n"/>
      <c r="G9" s="1" t="n"/>
      <c r="H9" s="1" t="n"/>
      <c r="I9" s="1" t="n"/>
      <c r="J9" s="1" t="n"/>
      <c r="K9" s="1" t="n"/>
      <c r="L9" s="1" t="n"/>
      <c r="M9" s="1" t="n"/>
      <c r="N9" s="1" t="n"/>
    </row>
    <row r="10">
      <c r="A10" s="646" t="inlineStr">
        <is>
          <t>Avg / Eligible Event</t>
        </is>
      </c>
      <c r="B10" s="1" t="n"/>
      <c r="C10" s="646" t="inlineStr">
        <is>
          <t>Avg / Workweek</t>
        </is>
      </c>
      <c r="D10" s="1" t="n"/>
      <c r="E10" s="646" t="inlineStr">
        <is>
          <t>Worked Days</t>
        </is>
      </c>
      <c r="F10" s="1" t="n"/>
      <c r="G10" s="653" t="inlineStr">
        <is>
          <t>Avg / Worked Day</t>
        </is>
      </c>
      <c r="H10" s="1" t="n"/>
      <c r="I10" s="646" t="inlineStr">
        <is>
          <t>Breakdown Completion</t>
        </is>
      </c>
      <c r="J10" s="1" t="n"/>
      <c r="K10" s="646" t="inlineStr">
        <is>
          <t>ACH Completion</t>
        </is>
      </c>
      <c r="L10" s="1" t="n"/>
      <c r="M10" s="646" t="inlineStr">
        <is>
          <t>Outstanding Confirmed</t>
        </is>
      </c>
      <c r="N10" s="1" t="n"/>
    </row>
    <row r="11" ht="26" customHeight="1" s="192">
      <c r="A11" s="654" t="n">
        <v>119.9292405063291</v>
      </c>
      <c r="B11" s="1" t="n"/>
      <c r="C11" s="654" t="n">
        <v>676.7435714285714</v>
      </c>
      <c r="D11" s="1" t="n"/>
      <c r="E11" s="648" t="n">
        <v>54</v>
      </c>
      <c r="F11" s="1" t="n"/>
      <c r="G11" s="654" t="n">
        <v>175.452037037037</v>
      </c>
      <c r="H11" s="1" t="n"/>
      <c r="I11" s="655" t="n">
        <v>0.9404761904761905</v>
      </c>
      <c r="J11" s="1" t="n"/>
      <c r="K11" s="655" t="n">
        <v>0.835820895522388</v>
      </c>
      <c r="L11" s="1" t="n"/>
      <c r="M11" s="656" t="n">
        <v>2150.39</v>
      </c>
      <c r="N11" s="1" t="n"/>
    </row>
    <row r="12" ht="26" customHeight="1" s="192">
      <c r="A12" s="1" t="n"/>
      <c r="B12" s="1" t="n"/>
      <c r="C12" s="1" t="n"/>
      <c r="D12" s="1" t="n"/>
      <c r="E12" s="1" t="n"/>
      <c r="F12" s="1" t="n"/>
      <c r="G12" s="1" t="n"/>
      <c r="H12" s="1" t="n"/>
      <c r="I12" s="1" t="n"/>
      <c r="J12" s="1" t="n"/>
      <c r="K12" s="1" t="n"/>
      <c r="L12" s="1" t="n"/>
      <c r="M12" s="1" t="n"/>
      <c r="N12" s="1" t="n"/>
    </row>
    <row r="13">
      <c r="B13" s="657" t="n"/>
      <c r="D13" s="657" t="n"/>
      <c r="G13" s="658" t="n"/>
    </row>
    <row r="14">
      <c r="A14" s="659" t="inlineStr">
        <is>
          <t>Operational Performance</t>
        </is>
      </c>
      <c r="B14" s="1" t="n"/>
      <c r="C14" s="1" t="n"/>
      <c r="D14" s="1" t="n"/>
      <c r="E14" s="1" t="n"/>
      <c r="F14" s="1" t="n"/>
      <c r="G14" s="1" t="n"/>
      <c r="H14" s="1" t="n"/>
      <c r="I14" s="1" t="n"/>
      <c r="J14" s="1" t="n"/>
      <c r="K14" s="1" t="n"/>
      <c r="L14" s="1" t="n"/>
      <c r="M14" s="1" t="n"/>
      <c r="N14" s="1" t="n"/>
    </row>
    <row r="15">
      <c r="A15" s="646" t="inlineStr">
        <is>
          <t>Current Workweek</t>
        </is>
      </c>
      <c r="B15" s="1" t="n"/>
      <c r="C15" s="646" t="inlineStr">
        <is>
          <t>Current MY_MONTH</t>
        </is>
      </c>
      <c r="D15" s="1" t="n"/>
      <c r="E15" s="646" t="inlineStr">
        <is>
          <t>Workday Utilization</t>
        </is>
      </c>
      <c r="F15" s="1" t="n"/>
      <c r="G15" s="646" t="inlineStr">
        <is>
          <t>Events / Week</t>
        </is>
      </c>
      <c r="H15" s="1" t="n"/>
      <c r="I15" s="646" t="inlineStr">
        <is>
          <t>Revenue / Week</t>
        </is>
      </c>
      <c r="J15" s="1" t="n"/>
      <c r="K15" s="646" t="inlineStr">
        <is>
          <t>Mapping Holds</t>
        </is>
      </c>
      <c r="L15" s="1" t="n"/>
      <c r="M15" s="646" t="inlineStr">
        <is>
          <t>Variance Exposure</t>
        </is>
      </c>
      <c r="N15" s="1" t="n"/>
    </row>
    <row r="16" ht="26" customHeight="1" s="192">
      <c r="A16" s="648" t="n">
        <v>14</v>
      </c>
      <c r="B16" s="1" t="n"/>
      <c r="C16" s="648" t="inlineStr">
        <is>
          <t>MY_MONTH 4 — ACTIVE</t>
        </is>
      </c>
      <c r="D16" s="1" t="n"/>
      <c r="E16" s="655" t="n">
        <v>0.7714285714285715</v>
      </c>
      <c r="F16" s="1" t="n"/>
      <c r="G16" s="660" t="n">
        <v>6</v>
      </c>
      <c r="H16" s="1" t="n"/>
      <c r="I16" s="654" t="n">
        <v>676.7435714285714</v>
      </c>
      <c r="J16" s="1" t="n"/>
      <c r="K16" s="651" t="n">
        <v>0</v>
      </c>
      <c r="L16" s="1" t="n"/>
      <c r="M16" s="661" t="n">
        <v>0</v>
      </c>
      <c r="N16" s="1" t="n"/>
    </row>
    <row r="17" ht="26" customHeight="1" s="192">
      <c r="A17" s="1" t="n"/>
      <c r="B17" s="1" t="n"/>
      <c r="C17" s="1" t="n"/>
      <c r="D17" s="1" t="n"/>
      <c r="E17" s="1" t="n"/>
      <c r="F17" s="1" t="n"/>
      <c r="G17" s="1" t="n"/>
      <c r="H17" s="1" t="n"/>
      <c r="I17" s="1" t="n"/>
      <c r="J17" s="1" t="n"/>
      <c r="K17" s="1" t="n"/>
      <c r="L17" s="1" t="n"/>
      <c r="M17" s="1" t="n"/>
      <c r="N17" s="1" t="n"/>
    </row>
    <row r="18" ht="20" customHeight="1" s="192">
      <c r="A18" s="662" t="inlineStr">
        <is>
          <t>Financial-Scope Events: 84  |  Breakdown Confirmed: 79  |  Breakdown Pending: 5  |  Self-Healing: ACTIVE</t>
        </is>
      </c>
      <c r="B18" s="1" t="n"/>
      <c r="C18" s="1" t="n"/>
      <c r="D18" s="1" t="n"/>
      <c r="E18" s="1" t="n"/>
      <c r="F18" s="1" t="n"/>
      <c r="G18" s="1" t="n"/>
      <c r="H18" s="1" t="n"/>
      <c r="I18" s="1" t="n"/>
      <c r="J18" s="1" t="n"/>
      <c r="K18" s="1" t="n"/>
      <c r="L18" s="1" t="n"/>
      <c r="M18" s="1" t="n"/>
      <c r="N18" s="1" t="n"/>
    </row>
    <row r="19">
      <c r="A19" s="659" t="inlineStr">
        <is>
          <t>Weekday Performance</t>
        </is>
      </c>
      <c r="B19" s="1" t="n"/>
      <c r="C19" s="1" t="n"/>
      <c r="D19" s="1" t="n"/>
      <c r="E19" s="1" t="n"/>
      <c r="F19" s="1" t="n"/>
      <c r="G19" s="1" t="n"/>
      <c r="I19" s="659" t="inlineStr">
        <is>
          <t>Top Clients by Confirmed Revenue</t>
        </is>
      </c>
      <c r="J19" s="1" t="n"/>
      <c r="K19" s="1" t="n"/>
      <c r="L19" s="1" t="n"/>
      <c r="M19" s="1" t="n"/>
      <c r="N19" s="1" t="n"/>
    </row>
    <row r="20">
      <c r="A20" s="191" t="inlineStr">
        <is>
          <t>Weekday</t>
        </is>
      </c>
      <c r="B20" s="191" t="inlineStr">
        <is>
          <t>Confirmed Revenue</t>
        </is>
      </c>
      <c r="C20" s="191" t="inlineStr">
        <is>
          <t>Eligible Events</t>
        </is>
      </c>
      <c r="D20" s="191" t="inlineStr">
        <is>
          <t>Avg / Event</t>
        </is>
      </c>
      <c r="E20" s="191" t="inlineStr">
        <is>
          <t>Active Weeks</t>
        </is>
      </c>
      <c r="F20" s="191" t="inlineStr">
        <is>
          <t>Activity Rate</t>
        </is>
      </c>
      <c r="G20" s="191" t="inlineStr">
        <is>
          <t>Revenue Rank</t>
        </is>
      </c>
      <c r="I20" s="191" t="inlineStr">
        <is>
          <t>Rank</t>
        </is>
      </c>
      <c r="J20" s="191" t="inlineStr">
        <is>
          <t>Client</t>
        </is>
      </c>
      <c r="K20" s="191" t="inlineStr">
        <is>
          <t>Revenue</t>
        </is>
      </c>
      <c r="L20" s="191" t="inlineStr">
        <is>
          <t>Events</t>
        </is>
      </c>
      <c r="M20" s="191" t="inlineStr">
        <is>
          <t>Avg / Event</t>
        </is>
      </c>
      <c r="N20" s="191" t="inlineStr">
        <is>
          <t>Repeat</t>
        </is>
      </c>
    </row>
    <row r="21">
      <c r="A21">
        <f>Analytics!J43</f>
        <v/>
      </c>
      <c r="B21" s="657">
        <f>Analytics!K43</f>
        <v/>
      </c>
      <c r="C21">
        <f>Analytics!L43</f>
        <v/>
      </c>
      <c r="D21" s="657">
        <f>Analytics!M43</f>
        <v/>
      </c>
      <c r="E21">
        <f>Analytics!N43</f>
        <v/>
      </c>
      <c r="F21" s="658">
        <f>Analytics!O43</f>
        <v/>
      </c>
      <c r="G21">
        <f>Analytics!R43</f>
        <v/>
      </c>
      <c r="I21" t="n">
        <v>1</v>
      </c>
      <c r="J21">
        <f>INDEX(tblClientSummary[Client Name],MATCH(LARGE(tblClientSummary[Confirmed Revenue],I21),tblClientSummary[Confirmed Revenue],0))</f>
        <v/>
      </c>
      <c r="K21" s="657">
        <f>LARGE(tblClientSummary[Confirmed Revenue],I21)</f>
        <v/>
      </c>
      <c r="L21">
        <f>INDEX(tblClientSummary[Total Events],MATCH(K21,tblClientSummary[Confirmed Revenue],0))</f>
        <v/>
      </c>
      <c r="M21" s="657">
        <f>INDEX(tblClientSummary[Avg Revenue / Event],MATCH(K21,tblClientSummary[Confirmed Revenue],0))</f>
        <v/>
      </c>
      <c r="N21">
        <f>INDEX(tblClientSummary[Repeat Client],MATCH(K21,tblClientSummary[Confirmed Revenue],0))</f>
        <v/>
      </c>
    </row>
    <row r="22">
      <c r="A22">
        <f>Analytics!J44</f>
        <v/>
      </c>
      <c r="B22" s="657">
        <f>Analytics!K44</f>
        <v/>
      </c>
      <c r="C22">
        <f>Analytics!L44</f>
        <v/>
      </c>
      <c r="D22" s="657">
        <f>Analytics!M44</f>
        <v/>
      </c>
      <c r="E22">
        <f>Analytics!N44</f>
        <v/>
      </c>
      <c r="F22" s="658">
        <f>Analytics!O44</f>
        <v/>
      </c>
      <c r="G22">
        <f>Analytics!R44</f>
        <v/>
      </c>
      <c r="I22" t="n">
        <v>2</v>
      </c>
      <c r="J22">
        <f>INDEX(tblClientSummary[Client Name],MATCH(LARGE(tblClientSummary[Confirmed Revenue],I22),tblClientSummary[Confirmed Revenue],0))</f>
        <v/>
      </c>
      <c r="K22" s="657">
        <f>LARGE(tblClientSummary[Confirmed Revenue],I22)</f>
        <v/>
      </c>
      <c r="L22">
        <f>INDEX(tblClientSummary[Total Events],MATCH(K22,tblClientSummary[Confirmed Revenue],0))</f>
        <v/>
      </c>
      <c r="M22" s="657">
        <f>INDEX(tblClientSummary[Avg Revenue / Event],MATCH(K22,tblClientSummary[Confirmed Revenue],0))</f>
        <v/>
      </c>
      <c r="N22">
        <f>INDEX(tblClientSummary[Repeat Client],MATCH(K22,tblClientSummary[Confirmed Revenue],0))</f>
        <v/>
      </c>
    </row>
    <row r="23">
      <c r="A23">
        <f>Analytics!J45</f>
        <v/>
      </c>
      <c r="B23" s="657">
        <f>Analytics!K45</f>
        <v/>
      </c>
      <c r="C23">
        <f>Analytics!L45</f>
        <v/>
      </c>
      <c r="D23" s="657">
        <f>Analytics!M45</f>
        <v/>
      </c>
      <c r="E23">
        <f>Analytics!N45</f>
        <v/>
      </c>
      <c r="F23" s="658">
        <f>Analytics!O45</f>
        <v/>
      </c>
      <c r="G23">
        <f>Analytics!R45</f>
        <v/>
      </c>
      <c r="I23" t="n">
        <v>3</v>
      </c>
      <c r="J23">
        <f>INDEX(tblClientSummary[Client Name],MATCH(LARGE(tblClientSummary[Confirmed Revenue],I23),tblClientSummary[Confirmed Revenue],0))</f>
        <v/>
      </c>
      <c r="K23" s="657">
        <f>LARGE(tblClientSummary[Confirmed Revenue],I23)</f>
        <v/>
      </c>
      <c r="L23">
        <f>INDEX(tblClientSummary[Total Events],MATCH(K23,tblClientSummary[Confirmed Revenue],0))</f>
        <v/>
      </c>
      <c r="M23" s="657">
        <f>INDEX(tblClientSummary[Avg Revenue / Event],MATCH(K23,tblClientSummary[Confirmed Revenue],0))</f>
        <v/>
      </c>
      <c r="N23">
        <f>INDEX(tblClientSummary[Repeat Client],MATCH(K23,tblClientSummary[Confirmed Revenue],0))</f>
        <v/>
      </c>
    </row>
    <row r="24">
      <c r="A24">
        <f>Analytics!J46</f>
        <v/>
      </c>
      <c r="B24" s="657">
        <f>Analytics!K46</f>
        <v/>
      </c>
      <c r="C24">
        <f>Analytics!L46</f>
        <v/>
      </c>
      <c r="D24" s="657">
        <f>Analytics!M46</f>
        <v/>
      </c>
      <c r="E24">
        <f>Analytics!N46</f>
        <v/>
      </c>
      <c r="F24" s="658">
        <f>Analytics!O46</f>
        <v/>
      </c>
      <c r="G24">
        <f>Analytics!R46</f>
        <v/>
      </c>
      <c r="I24" t="n">
        <v>4</v>
      </c>
      <c r="J24">
        <f>INDEX(tblClientSummary[Client Name],MATCH(LARGE(tblClientSummary[Confirmed Revenue],I24),tblClientSummary[Confirmed Revenue],0))</f>
        <v/>
      </c>
      <c r="K24" s="657">
        <f>LARGE(tblClientSummary[Confirmed Revenue],I24)</f>
        <v/>
      </c>
      <c r="L24">
        <f>INDEX(tblClientSummary[Total Events],MATCH(K24,tblClientSummary[Confirmed Revenue],0))</f>
        <v/>
      </c>
      <c r="M24" s="657">
        <f>INDEX(tblClientSummary[Avg Revenue / Event],MATCH(K24,tblClientSummary[Confirmed Revenue],0))</f>
        <v/>
      </c>
      <c r="N24">
        <f>INDEX(tblClientSummary[Repeat Client],MATCH(K24,tblClientSummary[Confirmed Revenue],0))</f>
        <v/>
      </c>
    </row>
    <row r="25">
      <c r="A25">
        <f>Analytics!J47</f>
        <v/>
      </c>
      <c r="B25" s="657">
        <f>Analytics!K47</f>
        <v/>
      </c>
      <c r="C25">
        <f>Analytics!L47</f>
        <v/>
      </c>
      <c r="D25" s="657">
        <f>Analytics!M47</f>
        <v/>
      </c>
      <c r="E25">
        <f>Analytics!N47</f>
        <v/>
      </c>
      <c r="F25" s="658">
        <f>Analytics!O47</f>
        <v/>
      </c>
      <c r="G25">
        <f>Analytics!R47</f>
        <v/>
      </c>
      <c r="I25" t="n">
        <v>5</v>
      </c>
      <c r="J25">
        <f>INDEX(tblClientSummary[Client Name],MATCH(LARGE(tblClientSummary[Confirmed Revenue],I25),tblClientSummary[Confirmed Revenue],0))</f>
        <v/>
      </c>
      <c r="K25" s="657">
        <f>LARGE(tblClientSummary[Confirmed Revenue],I25)</f>
        <v/>
      </c>
      <c r="L25">
        <f>INDEX(tblClientSummary[Total Events],MATCH(K25,tblClientSummary[Confirmed Revenue],0))</f>
        <v/>
      </c>
      <c r="M25" s="657">
        <f>INDEX(tblClientSummary[Avg Revenue / Event],MATCH(K25,tblClientSummary[Confirmed Revenue],0))</f>
        <v/>
      </c>
      <c r="N25">
        <f>INDEX(tblClientSummary[Repeat Client],MATCH(K25,tblClientSummary[Confirmed Revenue],0))</f>
        <v/>
      </c>
    </row>
    <row r="28">
      <c r="A28" s="659" t="inlineStr">
        <is>
          <t>Jurisdiction Snapshot</t>
        </is>
      </c>
      <c r="B28" s="1" t="n"/>
      <c r="C28" s="1" t="n"/>
      <c r="D28" s="1" t="n"/>
      <c r="E28" s="1" t="n"/>
      <c r="F28" s="1" t="n"/>
      <c r="H28" s="659" t="inlineStr">
        <is>
          <t>MY_MONTH Snapshot</t>
        </is>
      </c>
      <c r="I28" s="1" t="n"/>
      <c r="J28" s="1" t="n"/>
      <c r="K28" s="1" t="n"/>
      <c r="L28" s="1" t="n"/>
      <c r="M28" s="1" t="n"/>
      <c r="N28" s="1" t="n"/>
    </row>
    <row r="29">
      <c r="A29" s="191" t="inlineStr">
        <is>
          <t>Jurisdiction</t>
        </is>
      </c>
      <c r="B29" s="191" t="inlineStr">
        <is>
          <t>Events</t>
        </is>
      </c>
      <c r="C29" s="191" t="inlineStr">
        <is>
          <t>Clients</t>
        </is>
      </c>
      <c r="D29" s="191" t="inlineStr">
        <is>
          <t>Revenue</t>
        </is>
      </c>
      <c r="E29" s="191" t="inlineStr">
        <is>
          <t>Avg / Event</t>
        </is>
      </c>
      <c r="F29" s="191" t="inlineStr">
        <is>
          <t>Revenue Share</t>
        </is>
      </c>
      <c r="H29" s="191" t="inlineStr">
        <is>
          <t>MY_MONTH</t>
        </is>
      </c>
      <c r="I29" s="191" t="inlineStr">
        <is>
          <t>Events</t>
        </is>
      </c>
      <c r="J29" s="191" t="inlineStr">
        <is>
          <t>Eligible</t>
        </is>
      </c>
      <c r="K29" s="191" t="inlineStr">
        <is>
          <t>Clients</t>
        </is>
      </c>
      <c r="L29" s="191" t="inlineStr">
        <is>
          <t>Jurisdictions</t>
        </is>
      </c>
      <c r="M29" s="191" t="inlineStr">
        <is>
          <t>Revenue</t>
        </is>
      </c>
      <c r="N29" s="191" t="inlineStr">
        <is>
          <t>Avg / Event</t>
        </is>
      </c>
    </row>
    <row r="30">
      <c r="A30">
        <f>Analytics!A43</f>
        <v/>
      </c>
      <c r="B30">
        <f>Analytics!B43</f>
        <v/>
      </c>
      <c r="C30">
        <f>Analytics!D43</f>
        <v/>
      </c>
      <c r="D30" s="657">
        <f>Analytics!E43</f>
        <v/>
      </c>
      <c r="E30" s="657">
        <f>Analytics!F43</f>
        <v/>
      </c>
      <c r="F30" s="658">
        <f>Analytics!G43</f>
        <v/>
      </c>
      <c r="H30">
        <f>Analytics!A52</f>
        <v/>
      </c>
      <c r="I30">
        <f>Analytics!B52</f>
        <v/>
      </c>
      <c r="J30">
        <f>Analytics!C52</f>
        <v/>
      </c>
      <c r="K30">
        <f>Analytics!D52</f>
        <v/>
      </c>
      <c r="L30">
        <f>Analytics!E52</f>
        <v/>
      </c>
      <c r="M30" s="657">
        <f>Analytics!F52</f>
        <v/>
      </c>
      <c r="N30" s="657">
        <f>Analytics!G52</f>
        <v/>
      </c>
    </row>
    <row r="31">
      <c r="A31">
        <f>Analytics!A44</f>
        <v/>
      </c>
      <c r="B31">
        <f>Analytics!B44</f>
        <v/>
      </c>
      <c r="C31">
        <f>Analytics!D44</f>
        <v/>
      </c>
      <c r="D31" s="657">
        <f>Analytics!E44</f>
        <v/>
      </c>
      <c r="E31" s="657">
        <f>Analytics!F44</f>
        <v/>
      </c>
      <c r="F31" s="658">
        <f>Analytics!G44</f>
        <v/>
      </c>
      <c r="H31">
        <f>Analytics!A53</f>
        <v/>
      </c>
      <c r="I31">
        <f>Analytics!B53</f>
        <v/>
      </c>
      <c r="J31">
        <f>Analytics!C53</f>
        <v/>
      </c>
      <c r="K31">
        <f>Analytics!D53</f>
        <v/>
      </c>
      <c r="L31">
        <f>Analytics!E53</f>
        <v/>
      </c>
      <c r="M31" s="657">
        <f>Analytics!F53</f>
        <v/>
      </c>
      <c r="N31" s="657">
        <f>Analytics!G53</f>
        <v/>
      </c>
    </row>
    <row r="32">
      <c r="A32">
        <f>Analytics!A45</f>
        <v/>
      </c>
      <c r="B32">
        <f>Analytics!B45</f>
        <v/>
      </c>
      <c r="C32">
        <f>Analytics!D45</f>
        <v/>
      </c>
      <c r="D32" s="657">
        <f>Analytics!E45</f>
        <v/>
      </c>
      <c r="E32" s="657">
        <f>Analytics!F45</f>
        <v/>
      </c>
      <c r="F32" s="658">
        <f>Analytics!G45</f>
        <v/>
      </c>
      <c r="H32">
        <f>Analytics!A54</f>
        <v/>
      </c>
      <c r="I32">
        <f>Analytics!B54</f>
        <v/>
      </c>
      <c r="J32">
        <f>Analytics!C54</f>
        <v/>
      </c>
      <c r="K32">
        <f>Analytics!D54</f>
        <v/>
      </c>
      <c r="L32">
        <f>Analytics!E54</f>
        <v/>
      </c>
      <c r="M32" s="657">
        <f>Analytics!F54</f>
        <v/>
      </c>
      <c r="N32" s="657">
        <f>Analytics!G54</f>
        <v/>
      </c>
    </row>
    <row r="33">
      <c r="A33">
        <f>Analytics!A46</f>
        <v/>
      </c>
      <c r="B33">
        <f>Analytics!B46</f>
        <v/>
      </c>
      <c r="C33">
        <f>Analytics!D46</f>
        <v/>
      </c>
      <c r="D33" s="657">
        <f>Analytics!E46</f>
        <v/>
      </c>
      <c r="E33" s="657">
        <f>Analytics!F46</f>
        <v/>
      </c>
      <c r="F33" s="658">
        <f>Analytics!G46</f>
        <v/>
      </c>
    </row>
    <row r="34">
      <c r="A34">
        <f>Analytics!A47</f>
        <v/>
      </c>
      <c r="B34">
        <f>Analytics!B47</f>
        <v/>
      </c>
      <c r="C34">
        <f>Analytics!D47</f>
        <v/>
      </c>
      <c r="D34" s="657">
        <f>Analytics!E47</f>
        <v/>
      </c>
      <c r="E34" s="657">
        <f>Analytics!F47</f>
        <v/>
      </c>
      <c r="F34" s="658">
        <f>Analytics!G47</f>
        <v/>
      </c>
    </row>
    <row r="37">
      <c r="A37" s="659" t="inlineStr">
        <is>
          <t>Most Recent Completed Events</t>
        </is>
      </c>
      <c r="B37" s="1" t="n"/>
      <c r="C37" s="1" t="n"/>
      <c r="D37" s="1" t="n"/>
      <c r="E37" s="1" t="n"/>
      <c r="F37" s="1" t="n"/>
      <c r="G37" s="1" t="n"/>
      <c r="H37" s="1" t="n"/>
      <c r="I37" s="1" t="n"/>
      <c r="J37" s="1" t="n"/>
      <c r="K37" s="1" t="n"/>
      <c r="L37" s="1" t="n"/>
      <c r="M37" s="1" t="n"/>
      <c r="N37" s="1" t="n"/>
    </row>
    <row r="38" ht="58" customHeight="1" s="192">
      <c r="A38" s="191" t="inlineStr">
        <is>
          <t>Event #</t>
        </is>
      </c>
      <c r="B38" s="191" t="inlineStr">
        <is>
          <t>Date</t>
        </is>
      </c>
      <c r="C38" s="191" t="inlineStr">
        <is>
          <t>Weekday</t>
        </is>
      </c>
      <c r="D38" s="191" t="inlineStr">
        <is>
          <t>Client</t>
        </is>
      </c>
      <c r="E38" s="191" t="inlineStr">
        <is>
          <t>City</t>
        </is>
      </c>
      <c r="F38" s="191" t="inlineStr">
        <is>
          <t>Jurisdiction</t>
        </is>
      </c>
      <c r="G38" s="191" t="inlineStr">
        <is>
          <t>Status</t>
        </is>
      </c>
      <c r="H38" s="191" t="inlineStr">
        <is>
          <t>Work Orders</t>
        </is>
      </c>
      <c r="I38" s="191" t="inlineStr">
        <is>
          <t>Revenue</t>
        </is>
      </c>
      <c r="J38" s="191" t="inlineStr">
        <is>
          <t>Eligibility</t>
        </is>
      </c>
      <c r="K38" s="191" t="inlineStr">
        <is>
          <t>Visit Type</t>
        </is>
      </c>
      <c r="L38" s="191" t="inlineStr">
        <is>
          <t>Mapping / Financial Note</t>
        </is>
      </c>
      <c r="M38" s="191" t="inlineStr">
        <is>
          <t>Source</t>
        </is>
      </c>
      <c r="N38" s="191" t="inlineStr">
        <is>
          <t>Record ID</t>
        </is>
      </c>
    </row>
    <row r="39" ht="58" customHeight="1" s="192">
      <c r="A39" t="n">
        <v>84</v>
      </c>
      <c r="B39" s="663" t="n">
        <v>46227</v>
      </c>
      <c r="C39" t="inlineStr">
        <is>
          <t>Friday</t>
        </is>
      </c>
      <c r="D39" t="inlineStr">
        <is>
          <t>Giant Food Stores</t>
        </is>
      </c>
      <c r="E39" t="inlineStr">
        <is>
          <t>Wheaton</t>
        </is>
      </c>
      <c r="F39" t="inlineStr">
        <is>
          <t>MD</t>
        </is>
      </c>
      <c r="G39" t="inlineStr">
        <is>
          <t>Completed</t>
        </is>
      </c>
      <c r="H39" t="n">
        <v>5922604</v>
      </c>
      <c r="I39" s="657" t="n"/>
      <c r="J39" t="inlineStr">
        <is>
          <t>Pending</t>
        </is>
      </c>
      <c r="K39" t="inlineStr">
        <is>
          <t>Physical Service Visit</t>
        </is>
      </c>
      <c r="L39" s="329" t="inlineStr">
        <is>
          <t>Cradlepoint and PoE injector replaced; site restored. Payment breakdown pending.</t>
        </is>
      </c>
      <c r="M39" s="329" t="inlineStr">
        <is>
          <t>User completion + Gmail WO assignment and closeout correspondence</t>
        </is>
      </c>
      <c r="N39" t="inlineStr">
        <is>
          <t>EVT-0084</t>
        </is>
      </c>
    </row>
    <row r="40" ht="58" customHeight="1" s="192">
      <c r="A40" t="n">
        <v>83</v>
      </c>
      <c r="B40" s="663" t="n">
        <v>46227</v>
      </c>
      <c r="C40" t="inlineStr">
        <is>
          <t>Friday</t>
        </is>
      </c>
      <c r="D40" t="inlineStr">
        <is>
          <t>Carvana</t>
        </is>
      </c>
      <c r="E40" t="inlineStr">
        <is>
          <t>Baltimore</t>
        </is>
      </c>
      <c r="F40" t="inlineStr">
        <is>
          <t>MD</t>
        </is>
      </c>
      <c r="G40" t="inlineStr">
        <is>
          <t>Completed</t>
        </is>
      </c>
      <c r="H40" t="n">
        <v>5919318</v>
      </c>
      <c r="I40" s="657" t="n">
        <v>65</v>
      </c>
      <c r="J40" t="inlineStr">
        <is>
          <t>Eligible</t>
        </is>
      </c>
      <c r="K40" t="inlineStr">
        <is>
          <t>Physical Service Visit</t>
        </is>
      </c>
      <c r="L40" s="329" t="inlineStr">
        <is>
          <t>HP fuser replacement completed; payment breakdown confirmed at $65.00.</t>
        </is>
      </c>
      <c r="M40" s="329" t="inlineStr">
        <is>
          <t>User completion + Gmail WO assignment and payment breakdown</t>
        </is>
      </c>
      <c r="N40" t="inlineStr">
        <is>
          <t>EVT-0083</t>
        </is>
      </c>
    </row>
    <row r="41" ht="58" customHeight="1" s="192">
      <c r="A41" t="n">
        <v>82</v>
      </c>
      <c r="B41" s="663" t="n">
        <v>46226</v>
      </c>
      <c r="C41" t="inlineStr">
        <is>
          <t>Thursday</t>
        </is>
      </c>
      <c r="D41" t="inlineStr">
        <is>
          <t>TJ Maxx</t>
        </is>
      </c>
      <c r="E41" t="inlineStr">
        <is>
          <t>Alexandria</t>
        </is>
      </c>
      <c r="F41" t="inlineStr">
        <is>
          <t>VA</t>
        </is>
      </c>
      <c r="G41" t="inlineStr">
        <is>
          <t>Completed</t>
        </is>
      </c>
      <c r="H41" t="n">
        <v>5922683</v>
      </c>
      <c r="I41" s="657" t="n">
        <v>110</v>
      </c>
      <c r="J41" t="inlineStr">
        <is>
          <t>Eligible</t>
        </is>
      </c>
      <c r="K41" t="inlineStr">
        <is>
          <t>Physical Service Visit</t>
        </is>
      </c>
      <c r="L41" s="329" t="inlineStr">
        <is>
          <t>BERG adapter service completed; payment breakdown confirmed at $110.00.</t>
        </is>
      </c>
      <c r="M41" s="329" t="inlineStr">
        <is>
          <t>User chronology + Gmail ETA and payment breakdown</t>
        </is>
      </c>
      <c r="N41" t="inlineStr">
        <is>
          <t>EVT-0082</t>
        </is>
      </c>
    </row>
    <row r="42" ht="58" customHeight="1" s="192">
      <c r="A42" t="n">
        <v>81</v>
      </c>
      <c r="B42" s="663" t="n">
        <v>46226</v>
      </c>
      <c r="C42" t="inlineStr">
        <is>
          <t>Thursday</t>
        </is>
      </c>
      <c r="D42" t="inlineStr">
        <is>
          <t>HomeGoods</t>
        </is>
      </c>
      <c r="E42" t="inlineStr">
        <is>
          <t>Fairfax</t>
        </is>
      </c>
      <c r="F42" t="inlineStr">
        <is>
          <t>VA</t>
        </is>
      </c>
      <c r="G42" t="inlineStr">
        <is>
          <t>Completed</t>
        </is>
      </c>
      <c r="H42" t="n">
        <v>5922660</v>
      </c>
      <c r="I42" s="657" t="n">
        <v>125</v>
      </c>
      <c r="J42" t="inlineStr">
        <is>
          <t>Eligible</t>
        </is>
      </c>
      <c r="K42" t="inlineStr">
        <is>
          <t>Physical Service Visit</t>
        </is>
      </c>
      <c r="L42" s="329" t="inlineStr">
        <is>
          <t>Power USB cable service completed; payment breakdown confirmed at $125.00.</t>
        </is>
      </c>
      <c r="M42" s="329" t="inlineStr">
        <is>
          <t>User chronology + Gmail ETA and payment breakdown</t>
        </is>
      </c>
      <c r="N42" t="inlineStr">
        <is>
          <t>EVT-0081</t>
        </is>
      </c>
    </row>
    <row r="43" ht="58" customHeight="1" s="192">
      <c r="A43" t="n">
        <v>80</v>
      </c>
      <c r="B43" s="663" t="n">
        <v>46226</v>
      </c>
      <c r="C43" t="inlineStr">
        <is>
          <t>Thursday</t>
        </is>
      </c>
      <c r="D43" t="inlineStr">
        <is>
          <t>Marshalls</t>
        </is>
      </c>
      <c r="E43" t="inlineStr">
        <is>
          <t>Westminster</t>
        </is>
      </c>
      <c r="F43" t="inlineStr">
        <is>
          <t>MD</t>
        </is>
      </c>
      <c r="G43" t="inlineStr">
        <is>
          <t>Completed</t>
        </is>
      </c>
      <c r="H43" t="n">
        <v>5906863</v>
      </c>
      <c r="I43" s="657" t="n">
        <v>163.33</v>
      </c>
      <c r="J43" t="inlineStr">
        <is>
          <t>Eligible</t>
        </is>
      </c>
      <c r="K43" t="inlineStr">
        <is>
          <t>Physical Service Visit</t>
        </is>
      </c>
      <c r="L43" s="329" t="inlineStr">
        <is>
          <t>TJX server-refresh work completed; payment breakdown confirmed at $163.33.</t>
        </is>
      </c>
      <c r="M43" s="329" t="inlineStr">
        <is>
          <t>User chronology + Gmail WO assignment and payment breakdown</t>
        </is>
      </c>
      <c r="N43" t="inlineStr">
        <is>
          <t>EVT-0080</t>
        </is>
      </c>
    </row>
    <row r="44" ht="22" customHeight="1" s="192">
      <c r="A44" s="664" t="inlineStr">
        <is>
          <t>Visual Analytics</t>
        </is>
      </c>
      <c r="B44" s="1" t="n"/>
      <c r="C44" s="1" t="n"/>
      <c r="D44" s="1" t="n"/>
      <c r="E44" s="1" t="n"/>
      <c r="F44" s="1" t="n"/>
      <c r="G44" s="1" t="n"/>
      <c r="H44" s="1" t="n"/>
      <c r="I44" s="1" t="n"/>
      <c r="J44" s="1" t="n"/>
      <c r="K44" s="1" t="n"/>
      <c r="L44" s="1" t="n"/>
      <c r="M44" s="1" t="n"/>
      <c r="N44" s="1" t="n"/>
    </row>
  </sheetData>
  <mergeCells count="53">
    <mergeCell ref="A9:N9"/>
    <mergeCell ref="M16:N17"/>
    <mergeCell ref="H28:N28"/>
    <mergeCell ref="A15:B15"/>
    <mergeCell ref="E6:F7"/>
    <mergeCell ref="C15:D15"/>
    <mergeCell ref="G6:H7"/>
    <mergeCell ref="M6:N7"/>
    <mergeCell ref="I15:J15"/>
    <mergeCell ref="K15:L15"/>
    <mergeCell ref="C5:D5"/>
    <mergeCell ref="C11:D12"/>
    <mergeCell ref="E5:F5"/>
    <mergeCell ref="K5:L5"/>
    <mergeCell ref="E11:F12"/>
    <mergeCell ref="M5:N5"/>
    <mergeCell ref="A19:G19"/>
    <mergeCell ref="C10:D10"/>
    <mergeCell ref="E10:F10"/>
    <mergeCell ref="E16:F17"/>
    <mergeCell ref="G10:H10"/>
    <mergeCell ref="M10:N10"/>
    <mergeCell ref="G16:H17"/>
    <mergeCell ref="A37:N37"/>
    <mergeCell ref="A18:N18"/>
    <mergeCell ref="K16:L17"/>
    <mergeCell ref="A3:N3"/>
    <mergeCell ref="M15:N15"/>
    <mergeCell ref="I19:N19"/>
    <mergeCell ref="A28:F28"/>
    <mergeCell ref="C6:D7"/>
    <mergeCell ref="I6:J7"/>
    <mergeCell ref="E15:F15"/>
    <mergeCell ref="G15:H15"/>
    <mergeCell ref="K6:L7"/>
    <mergeCell ref="A5:B5"/>
    <mergeCell ref="G5:H5"/>
    <mergeCell ref="A11:B12"/>
    <mergeCell ref="G11:H12"/>
    <mergeCell ref="I5:J5"/>
    <mergeCell ref="I11:J12"/>
    <mergeCell ref="A14:N14"/>
    <mergeCell ref="A1:N2"/>
    <mergeCell ref="A16:B17"/>
    <mergeCell ref="M11:N12"/>
    <mergeCell ref="I10:J10"/>
    <mergeCell ref="C16:D17"/>
    <mergeCell ref="I16:J17"/>
    <mergeCell ref="A10:B10"/>
    <mergeCell ref="K10:L10"/>
    <mergeCell ref="A6:B7"/>
    <mergeCell ref="K11:L12"/>
    <mergeCell ref="A44:N44"/>
  </mergeCells>
  <conditionalFormatting sqref="B21:B25">
    <cfRule type="dataBar" priority="1">
      <dataBar>
        <cfvo type="min"/>
        <cfvo type="max"/>
        <color rgb="FF5B9BD5"/>
      </dataBar>
    </cfRule>
  </conditionalFormatting>
  <conditionalFormatting sqref="I6:J7">
    <cfRule type="expression" priority="7" dxfId="21">
      <formula>$I$6=0</formula>
    </cfRule>
    <cfRule type="expression" priority="8" dxfId="22">
      <formula>AND($I$6&gt;=1,$I$6&lt;=2)</formula>
    </cfRule>
    <cfRule type="expression" priority="9" dxfId="23">
      <formula>$I$6&gt;=3</formula>
    </cfRule>
  </conditionalFormatting>
  <conditionalFormatting sqref="K6:L7">
    <cfRule type="expression" priority="10" dxfId="21">
      <formula>$K$6=0</formula>
    </cfRule>
    <cfRule type="expression" priority="11" dxfId="22">
      <formula>AND($K$6&gt;=1,$K$6&lt;=4)</formula>
    </cfRule>
    <cfRule type="expression" priority="12" dxfId="26">
      <formula>$K$6&gt;=5</formula>
    </cfRule>
  </conditionalFormatting>
  <conditionalFormatting sqref="M6:N7">
    <cfRule type="expression" priority="13" dxfId="21">
      <formula>$M$6=0</formula>
    </cfRule>
    <cfRule type="expression" priority="14" dxfId="22">
      <formula>AND($M$6&gt;=1,$M$6&lt;=5)</formula>
    </cfRule>
    <cfRule type="expression" priority="15" dxfId="23">
      <formula>$M$6&gt;=6</formula>
    </cfRule>
  </conditionalFormatting>
  <conditionalFormatting sqref="I11:J12">
    <cfRule type="expression" priority="16" dxfId="21">
      <formula>$I$11&gt;=0.95</formula>
    </cfRule>
    <cfRule type="expression" priority="17" dxfId="22">
      <formula>AND($I$11&gt;=0.85,$I$11&lt;0.95)</formula>
    </cfRule>
    <cfRule type="expression" priority="18" dxfId="23">
      <formula>$I$11&lt;0.85</formula>
    </cfRule>
  </conditionalFormatting>
  <conditionalFormatting sqref="K11:L12">
    <cfRule type="expression" priority="19" dxfId="21">
      <formula>$K$11&gt;=0.95</formula>
    </cfRule>
    <cfRule type="expression" priority="20" dxfId="22">
      <formula>AND($K$11&gt;=0.85,$K$11&lt;0.95)</formula>
    </cfRule>
    <cfRule type="expression" priority="21" dxfId="23">
      <formula>$K$11&lt;0.85</formula>
    </cfRule>
  </conditionalFormatting>
  <conditionalFormatting sqref="M11:N12">
    <cfRule type="expression" priority="22" dxfId="21">
      <formula>$M$11=0</formula>
    </cfRule>
    <cfRule type="expression" priority="23" dxfId="22">
      <formula>$M$11&gt;0</formula>
    </cfRule>
  </conditionalFormatting>
  <conditionalFormatting sqref="E16:F17">
    <cfRule type="expression" priority="24" dxfId="21">
      <formula>$E$16&gt;=0.80</formula>
    </cfRule>
    <cfRule type="expression" priority="25" dxfId="22">
      <formula>AND($E$16&gt;=0.60,$E$16&lt;0.80)</formula>
    </cfRule>
    <cfRule type="expression" priority="26" dxfId="23">
      <formula>$E$16&lt;0.60</formula>
    </cfRule>
  </conditionalFormatting>
  <conditionalFormatting sqref="K16:L17">
    <cfRule type="expression" priority="27" dxfId="21">
      <formula>$K$16=0</formula>
    </cfRule>
    <cfRule type="expression" priority="28" dxfId="23">
      <formula>$K$16&gt;0</formula>
    </cfRule>
  </conditionalFormatting>
  <conditionalFormatting sqref="M16:N17">
    <cfRule type="expression" priority="29" dxfId="21">
      <formula>$M$16=0</formula>
    </cfRule>
    <cfRule type="expression" priority="30" dxfId="23">
      <formula>$M$16&gt;0</formula>
    </cfRule>
  </conditionalFormatting>
  <conditionalFormatting sqref="G39:G43">
    <cfRule type="expression" priority="31" dxfId="21">
      <formula>$G39="Completed"</formula>
    </cfRule>
    <cfRule type="expression" priority="32" dxfId="46">
      <formula>$G39="Scheduled"</formula>
    </cfRule>
  </conditionalFormatting>
  <conditionalFormatting sqref="J39:J43">
    <cfRule type="expression" priority="33" dxfId="21">
      <formula>$J39="Eligible"</formula>
    </cfRule>
    <cfRule type="expression" priority="34" dxfId="48">
      <formula>$J39="Excluded"</formula>
    </cfRule>
  </conditionalFormatting>
  <conditionalFormatting sqref="A18:N18">
    <cfRule type="expression" priority="35" dxfId="127">
      <formula>ISNUMBER(SEARCH("Integrity Gate: PASS",$A18))</formula>
    </cfRule>
    <cfRule type="expression" priority="36" dxfId="128">
      <formula>ISNUMBER(SEARCH("Integrity Gate: FAIL",$A18))</formula>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E89"/>
  <sheetViews>
    <sheetView showGridLines="0" workbookViewId="0">
      <selection activeCell="A1" sqref="A1"/>
    </sheetView>
  </sheetViews>
  <sheetFormatPr baseColWidth="8" defaultRowHeight="15"/>
  <cols>
    <col width="10" customWidth="1" style="192" min="1" max="1"/>
    <col width="16" customWidth="1" style="192" min="2" max="2"/>
    <col width="13" customWidth="1" style="192" min="3" max="3"/>
    <col width="12" customWidth="1" style="192" min="4" max="4"/>
    <col width="12" customWidth="1" style="192" min="5" max="5"/>
    <col width="14" customWidth="1" style="192" min="6" max="6"/>
    <col width="12" customWidth="1" style="192" min="7" max="7"/>
    <col width="28" customWidth="1" style="192" min="8" max="8"/>
    <col width="28" customWidth="1" style="192" min="9" max="9"/>
    <col width="20" customWidth="1" style="192" min="10" max="10"/>
    <col width="18" customWidth="1" style="192" min="11" max="11"/>
    <col width="18" customWidth="1" style="192" min="12" max="12"/>
    <col width="10" customWidth="1" style="192" min="13" max="13"/>
    <col width="14" customWidth="1" style="192" min="14" max="14"/>
    <col width="22" customWidth="1" style="192" min="15" max="15"/>
    <col width="14" customWidth="1" style="192" min="16" max="16"/>
    <col width="22" customWidth="1" style="192" min="17" max="17"/>
    <col width="14" customWidth="1" style="192" min="18" max="18"/>
    <col width="28" customWidth="1" style="192" min="19" max="19"/>
    <col width="16" customWidth="1" style="192" min="20" max="20"/>
    <col width="18" customWidth="1" style="192" min="21" max="21"/>
    <col width="42" customWidth="1" style="192" min="22" max="22"/>
    <col width="30" customWidth="1" style="192" min="23" max="23"/>
    <col width="16" customWidth="1" style="192" min="24" max="24"/>
    <col width="30" customWidth="1" style="192" min="25" max="25"/>
    <col width="18" customWidth="1" style="192" min="26" max="26"/>
  </cols>
  <sheetData>
    <row r="1">
      <c r="A1" s="51" t="inlineStr">
        <is>
          <t>Event #</t>
        </is>
      </c>
      <c r="B1" s="51" t="inlineStr">
        <is>
          <t>Physical Visit ID</t>
        </is>
      </c>
      <c r="C1" s="51" t="inlineStr">
        <is>
          <t>Service Date</t>
        </is>
      </c>
      <c r="D1" s="51" t="inlineStr">
        <is>
          <t>Weekday</t>
        </is>
      </c>
      <c r="E1" s="51" t="inlineStr">
        <is>
          <t>Workweek #</t>
        </is>
      </c>
      <c r="F1" s="51" t="inlineStr">
        <is>
          <t>MY_MONTH</t>
        </is>
      </c>
      <c r="G1" s="51" t="inlineStr">
        <is>
          <t>Client ID</t>
        </is>
      </c>
      <c r="H1" s="51" t="inlineStr">
        <is>
          <t>Client</t>
        </is>
      </c>
      <c r="I1" s="51" t="inlineStr">
        <is>
          <t>Site Name</t>
        </is>
      </c>
      <c r="J1" s="51" t="inlineStr">
        <is>
          <t>Address</t>
        </is>
      </c>
      <c r="K1" s="51" t="inlineStr">
        <is>
          <t>City</t>
        </is>
      </c>
      <c r="L1" s="51" t="inlineStr">
        <is>
          <t>State</t>
        </is>
      </c>
      <c r="M1" s="51" t="inlineStr">
        <is>
          <t>ZIP</t>
        </is>
      </c>
      <c r="N1" s="51" t="inlineStr">
        <is>
          <t>Jurisdiction</t>
        </is>
      </c>
      <c r="O1" s="51" t="inlineStr">
        <is>
          <t>Location Key</t>
        </is>
      </c>
      <c r="P1" s="51" t="inlineStr">
        <is>
          <t>Status</t>
        </is>
      </c>
      <c r="Q1" s="51" t="inlineStr">
        <is>
          <t>Visit Type</t>
        </is>
      </c>
      <c r="R1" s="51" t="inlineStr">
        <is>
          <t>Work Order Count</t>
        </is>
      </c>
      <c r="S1" s="51" t="inlineStr">
        <is>
          <t>Work Orders</t>
        </is>
      </c>
      <c r="T1" s="51" t="inlineStr">
        <is>
          <t>Confirmed Revenue</t>
        </is>
      </c>
      <c r="U1" s="51" t="inlineStr">
        <is>
          <t>Revenue Eligibility</t>
        </is>
      </c>
      <c r="V1" s="51" t="inlineStr">
        <is>
          <t>Notes</t>
        </is>
      </c>
      <c r="W1" s="51" t="inlineStr">
        <is>
          <t>Source / Evidence</t>
        </is>
      </c>
      <c r="X1" s="52" t="inlineStr">
        <is>
          <t>Financial Scope</t>
        </is>
      </c>
      <c r="Y1" s="52" t="inlineStr">
        <is>
          <t>Financial Exclusion Reason</t>
        </is>
      </c>
      <c r="Z1" s="52" t="inlineStr">
        <is>
          <t>Breakdown Expected</t>
        </is>
      </c>
      <c r="AA1" s="52" t="n"/>
      <c r="AB1" s="52" t="n"/>
      <c r="AC1" s="52" t="n"/>
      <c r="AD1" s="52" t="n"/>
      <c r="AE1" s="52" t="n"/>
    </row>
    <row r="2">
      <c r="A2" s="329" t="n">
        <v>1</v>
      </c>
      <c r="B2" s="665" t="inlineStr">
        <is>
          <t>EVT-0001</t>
        </is>
      </c>
      <c r="C2" s="666" t="n">
        <v>46132</v>
      </c>
      <c r="D2" s="483" t="inlineStr">
        <is>
          <t>Monday</t>
        </is>
      </c>
      <c r="E2" s="329" t="n">
        <v>1</v>
      </c>
      <c r="F2" s="329" t="inlineStr">
        <is>
          <t>MY_MONTH 1</t>
        </is>
      </c>
      <c r="G2" s="329" t="inlineStr">
        <is>
          <t>CL-001</t>
        </is>
      </c>
      <c r="H2" s="329" t="inlineStr">
        <is>
          <t>Macy's</t>
        </is>
      </c>
      <c r="I2" s="329" t="inlineStr">
        <is>
          <t>Macy's</t>
        </is>
      </c>
      <c r="J2" s="329" t="n"/>
      <c r="K2" s="329" t="inlineStr">
        <is>
          <t>Fairfax</t>
        </is>
      </c>
      <c r="L2" s="329" t="inlineStr">
        <is>
          <t>Virginia</t>
        </is>
      </c>
      <c r="M2" s="667" t="n"/>
      <c r="N2" s="329" t="inlineStr">
        <is>
          <t>VA</t>
        </is>
      </c>
      <c r="O2" s="483" t="inlineStr">
        <is>
          <t>Fairfax|VA</t>
        </is>
      </c>
      <c r="P2" s="329" t="inlineStr">
        <is>
          <t>Completed</t>
        </is>
      </c>
      <c r="Q2" s="329" t="inlineStr">
        <is>
          <t>Physical Service Visit</t>
        </is>
      </c>
      <c r="R2" s="329" t="n">
        <v>1</v>
      </c>
      <c r="S2" s="329" t="inlineStr">
        <is>
          <t>5847113</t>
        </is>
      </c>
      <c r="T2" s="667" t="n">
        <v>90</v>
      </c>
      <c r="U2" s="483" t="inlineStr">
        <is>
          <t>Eligible</t>
        </is>
      </c>
      <c r="V2" s="329" t="inlineStr">
        <is>
          <t>VA model from prior approved calculation.</t>
        </is>
      </c>
      <c r="W2" s="329" t="inlineStr">
        <is>
          <t>Timeline + Service Calendar + Canonical Ledger</t>
        </is>
      </c>
      <c r="X2" s="329" t="inlineStr">
        <is>
          <t>Included</t>
        </is>
      </c>
      <c r="Y2" s="329" t="n"/>
      <c r="Z2" s="483" t="inlineStr">
        <is>
          <t>Yes</t>
        </is>
      </c>
      <c r="AA2" s="329" t="n"/>
      <c r="AB2" s="329" t="n"/>
      <c r="AC2" s="329" t="n"/>
      <c r="AD2" s="329" t="n"/>
      <c r="AE2" s="329" t="n"/>
    </row>
    <row r="3">
      <c r="A3" s="329" t="n">
        <v>2</v>
      </c>
      <c r="B3" s="665" t="inlineStr">
        <is>
          <t>EVT-0002</t>
        </is>
      </c>
      <c r="C3" s="666" t="n">
        <v>46133</v>
      </c>
      <c r="D3" s="483" t="inlineStr">
        <is>
          <t>Tuesday</t>
        </is>
      </c>
      <c r="E3" s="329" t="n">
        <v>1</v>
      </c>
      <c r="F3" s="329" t="inlineStr">
        <is>
          <t>MY_MONTH 1</t>
        </is>
      </c>
      <c r="G3" s="329" t="inlineStr">
        <is>
          <t>CL-002</t>
        </is>
      </c>
      <c r="H3" s="329" t="inlineStr">
        <is>
          <t>Bloomingdale's</t>
        </is>
      </c>
      <c r="I3" s="329" t="inlineStr">
        <is>
          <t>Bloomingdale's</t>
        </is>
      </c>
      <c r="J3" s="329" t="n"/>
      <c r="K3" s="329" t="inlineStr">
        <is>
          <t>Tysons</t>
        </is>
      </c>
      <c r="L3" s="329" t="inlineStr">
        <is>
          <t>Virginia</t>
        </is>
      </c>
      <c r="M3" s="667" t="n"/>
      <c r="N3" s="329" t="inlineStr">
        <is>
          <t>VA</t>
        </is>
      </c>
      <c r="O3" s="483" t="inlineStr">
        <is>
          <t>Tysons|VA</t>
        </is>
      </c>
      <c r="P3" s="329" t="inlineStr">
        <is>
          <t>Completed</t>
        </is>
      </c>
      <c r="Q3" s="329" t="inlineStr">
        <is>
          <t>Physical Service Visit</t>
        </is>
      </c>
      <c r="R3" s="329" t="n">
        <v>1</v>
      </c>
      <c r="S3" s="329" t="inlineStr">
        <is>
          <t>5860365</t>
        </is>
      </c>
      <c r="T3" s="667" t="n">
        <v>344</v>
      </c>
      <c r="U3" s="483" t="inlineStr">
        <is>
          <t>Eligible</t>
        </is>
      </c>
      <c r="V3" s="329" t="inlineStr">
        <is>
          <t>8-hour assist tech; effective $43/hr.</t>
        </is>
      </c>
      <c r="W3" s="329" t="inlineStr">
        <is>
          <t>Timeline + Service Calendar + Canonical Ledger</t>
        </is>
      </c>
      <c r="X3" s="329" t="inlineStr">
        <is>
          <t>Included</t>
        </is>
      </c>
      <c r="Y3" s="329" t="n"/>
      <c r="Z3" s="483" t="inlineStr">
        <is>
          <t>Yes</t>
        </is>
      </c>
      <c r="AA3" s="329" t="n"/>
      <c r="AB3" s="329" t="n"/>
      <c r="AC3" s="329" t="n"/>
      <c r="AD3" s="329" t="n"/>
      <c r="AE3" s="329" t="n"/>
    </row>
    <row r="4">
      <c r="A4" s="329" t="n">
        <v>3</v>
      </c>
      <c r="B4" s="665" t="inlineStr">
        <is>
          <t>EVT-0003</t>
        </is>
      </c>
      <c r="C4" s="666" t="n">
        <v>46134</v>
      </c>
      <c r="D4" s="483" t="inlineStr">
        <is>
          <t>Wednesday</t>
        </is>
      </c>
      <c r="E4" s="329" t="n">
        <v>1</v>
      </c>
      <c r="F4" s="329" t="inlineStr">
        <is>
          <t>MY_MONTH 1</t>
        </is>
      </c>
      <c r="G4" s="329" t="inlineStr">
        <is>
          <t>CL-002</t>
        </is>
      </c>
      <c r="H4" s="329" t="inlineStr">
        <is>
          <t>Bloomingdale's</t>
        </is>
      </c>
      <c r="I4" s="329" t="inlineStr">
        <is>
          <t>Bloomingdale's</t>
        </is>
      </c>
      <c r="J4" s="329" t="n"/>
      <c r="K4" s="329" t="inlineStr">
        <is>
          <t>Tysons</t>
        </is>
      </c>
      <c r="L4" s="329" t="inlineStr">
        <is>
          <t>Virginia</t>
        </is>
      </c>
      <c r="M4" s="667" t="n"/>
      <c r="N4" s="329" t="inlineStr">
        <is>
          <t>VA</t>
        </is>
      </c>
      <c r="O4" s="483" t="inlineStr">
        <is>
          <t>Tysons|VA</t>
        </is>
      </c>
      <c r="P4" s="329" t="inlineStr">
        <is>
          <t>Completed</t>
        </is>
      </c>
      <c r="Q4" s="329" t="inlineStr">
        <is>
          <t>Physical Service Visit</t>
        </is>
      </c>
      <c r="R4" s="329" t="n">
        <v>1</v>
      </c>
      <c r="S4" s="329" t="inlineStr">
        <is>
          <t>5860393</t>
        </is>
      </c>
      <c r="T4" s="667" t="n">
        <v>344</v>
      </c>
      <c r="U4" s="483" t="inlineStr">
        <is>
          <t>Eligible</t>
        </is>
      </c>
      <c r="V4" s="329" t="inlineStr">
        <is>
          <t>8-hour assist tech; effective $43/hr.</t>
        </is>
      </c>
      <c r="W4" s="329" t="inlineStr">
        <is>
          <t>Timeline + Service Calendar + Canonical Ledger</t>
        </is>
      </c>
      <c r="X4" s="329" t="inlineStr">
        <is>
          <t>Included</t>
        </is>
      </c>
      <c r="Y4" s="329" t="n"/>
      <c r="Z4" s="483" t="inlineStr">
        <is>
          <t>Yes</t>
        </is>
      </c>
      <c r="AA4" s="329" t="n"/>
      <c r="AB4" s="329" t="n"/>
      <c r="AC4" s="329" t="n"/>
      <c r="AD4" s="329" t="n"/>
      <c r="AE4" s="329" t="n"/>
    </row>
    <row r="5">
      <c r="A5" s="329" t="n">
        <v>4</v>
      </c>
      <c r="B5" s="665" t="inlineStr">
        <is>
          <t>EVT-0004</t>
        </is>
      </c>
      <c r="C5" s="666" t="n">
        <v>46135</v>
      </c>
      <c r="D5" s="483" t="inlineStr">
        <is>
          <t>Thursday</t>
        </is>
      </c>
      <c r="E5" s="329" t="n">
        <v>1</v>
      </c>
      <c r="F5" s="329" t="inlineStr">
        <is>
          <t>MY_MONTH 1</t>
        </is>
      </c>
      <c r="G5" s="329" t="inlineStr">
        <is>
          <t>CL-001</t>
        </is>
      </c>
      <c r="H5" s="329" t="inlineStr">
        <is>
          <t>Macy's</t>
        </is>
      </c>
      <c r="I5" s="329" t="inlineStr">
        <is>
          <t>Macy's</t>
        </is>
      </c>
      <c r="J5" s="329" t="n"/>
      <c r="K5" s="329" t="inlineStr">
        <is>
          <t>Frederick</t>
        </is>
      </c>
      <c r="L5" s="329" t="inlineStr">
        <is>
          <t>Maryland</t>
        </is>
      </c>
      <c r="M5" s="667" t="n"/>
      <c r="N5" s="329" t="inlineStr">
        <is>
          <t>MD</t>
        </is>
      </c>
      <c r="O5" s="483" t="inlineStr">
        <is>
          <t>Frederick|MD</t>
        </is>
      </c>
      <c r="P5" s="329" t="inlineStr">
        <is>
          <t>Completed</t>
        </is>
      </c>
      <c r="Q5" s="329" t="inlineStr">
        <is>
          <t>Physical Service Visit</t>
        </is>
      </c>
      <c r="R5" s="329" t="n">
        <v>1</v>
      </c>
      <c r="S5" s="329" t="inlineStr">
        <is>
          <t>5874484</t>
        </is>
      </c>
      <c r="T5" s="667" t="n">
        <v>180</v>
      </c>
      <c r="U5" s="483" t="inlineStr">
        <is>
          <t>Eligible</t>
        </is>
      </c>
      <c r="V5" s="329" t="inlineStr">
        <is>
          <t>Maryland revenue included; hours inferred at $45/hr.</t>
        </is>
      </c>
      <c r="W5" s="329" t="inlineStr">
        <is>
          <t>Timeline + Service Calendar + Canonical Ledger</t>
        </is>
      </c>
      <c r="X5" s="329" t="inlineStr">
        <is>
          <t>Included</t>
        </is>
      </c>
      <c r="Y5" s="329" t="n"/>
      <c r="Z5" s="483" t="inlineStr">
        <is>
          <t>Yes</t>
        </is>
      </c>
      <c r="AA5" s="329" t="n"/>
      <c r="AB5" s="329" t="n"/>
      <c r="AC5" s="329" t="n"/>
      <c r="AD5" s="329" t="n"/>
      <c r="AE5" s="329" t="n"/>
    </row>
    <row r="6">
      <c r="A6" s="329" t="n">
        <v>5</v>
      </c>
      <c r="B6" s="665" t="inlineStr">
        <is>
          <t>EVT-0005</t>
        </is>
      </c>
      <c r="C6" s="666" t="n">
        <v>46136</v>
      </c>
      <c r="D6" s="483" t="inlineStr">
        <is>
          <t>Friday</t>
        </is>
      </c>
      <c r="E6" s="329" t="n">
        <v>1</v>
      </c>
      <c r="F6" s="329" t="inlineStr">
        <is>
          <t>MY_MONTH 1</t>
        </is>
      </c>
      <c r="G6" s="329" t="inlineStr">
        <is>
          <t>CL-003</t>
        </is>
      </c>
      <c r="H6" s="329" t="inlineStr">
        <is>
          <t>Hampton Inn &amp; Suites</t>
        </is>
      </c>
      <c r="I6" s="329" t="inlineStr">
        <is>
          <t>Hampton Inn &amp; Suites</t>
        </is>
      </c>
      <c r="J6" s="329" t="n"/>
      <c r="K6" s="329" t="inlineStr">
        <is>
          <t>Washington</t>
        </is>
      </c>
      <c r="L6" s="329" t="inlineStr">
        <is>
          <t>Washington, DC</t>
        </is>
      </c>
      <c r="M6" s="667" t="n"/>
      <c r="N6" s="329" t="inlineStr">
        <is>
          <t>DC</t>
        </is>
      </c>
      <c r="O6" s="483" t="inlineStr">
        <is>
          <t>Washington|DC</t>
        </is>
      </c>
      <c r="P6" s="329" t="inlineStr">
        <is>
          <t>Completed</t>
        </is>
      </c>
      <c r="Q6" s="329" t="inlineStr">
        <is>
          <t>Physical Service Visit</t>
        </is>
      </c>
      <c r="R6" s="329" t="n">
        <v>1</v>
      </c>
      <c r="S6" s="329" t="inlineStr">
        <is>
          <t>5876589</t>
        </is>
      </c>
      <c r="T6" s="667" t="n">
        <v>50</v>
      </c>
      <c r="U6" s="483" t="inlineStr">
        <is>
          <t>Eligible</t>
        </is>
      </c>
      <c r="V6" s="329" t="inlineStr">
        <is>
          <t>DC flat/equivalent event.</t>
        </is>
      </c>
      <c r="W6" s="329" t="inlineStr">
        <is>
          <t>Timeline + Service Calendar + Canonical Ledger</t>
        </is>
      </c>
      <c r="X6" s="329" t="inlineStr">
        <is>
          <t>Included</t>
        </is>
      </c>
      <c r="Y6" s="329" t="n"/>
      <c r="Z6" s="483" t="inlineStr">
        <is>
          <t>Yes</t>
        </is>
      </c>
      <c r="AA6" s="329" t="n"/>
      <c r="AB6" s="329" t="n"/>
      <c r="AC6" s="329" t="n"/>
      <c r="AD6" s="329" t="n"/>
      <c r="AE6" s="329" t="n"/>
    </row>
    <row r="7">
      <c r="A7" s="329" t="n">
        <v>6</v>
      </c>
      <c r="B7" s="665" t="inlineStr">
        <is>
          <t>EVT-0006</t>
        </is>
      </c>
      <c r="C7" s="666" t="n">
        <v>46139</v>
      </c>
      <c r="D7" s="483" t="inlineStr">
        <is>
          <t>Monday</t>
        </is>
      </c>
      <c r="E7" s="329" t="n">
        <v>2</v>
      </c>
      <c r="F7" s="329" t="inlineStr">
        <is>
          <t>MY_MONTH 1</t>
        </is>
      </c>
      <c r="G7" s="329" t="inlineStr">
        <is>
          <t>CL-001</t>
        </is>
      </c>
      <c r="H7" s="329" t="inlineStr">
        <is>
          <t>Macy's</t>
        </is>
      </c>
      <c r="I7" s="329" t="inlineStr">
        <is>
          <t>Macy's</t>
        </is>
      </c>
      <c r="J7" s="329" t="n"/>
      <c r="K7" s="329" t="inlineStr">
        <is>
          <t>Frederick</t>
        </is>
      </c>
      <c r="L7" s="329" t="inlineStr">
        <is>
          <t>Maryland</t>
        </is>
      </c>
      <c r="M7" s="667" t="n"/>
      <c r="N7" s="329" t="inlineStr">
        <is>
          <t>MD</t>
        </is>
      </c>
      <c r="O7" s="483" t="inlineStr">
        <is>
          <t>Frederick|MD</t>
        </is>
      </c>
      <c r="P7" s="329" t="inlineStr">
        <is>
          <t>Completed</t>
        </is>
      </c>
      <c r="Q7" s="329" t="inlineStr">
        <is>
          <t>Physical Service Visit</t>
        </is>
      </c>
      <c r="R7" s="329" t="n">
        <v>1</v>
      </c>
      <c r="S7" s="329" t="inlineStr">
        <is>
          <t>5874982</t>
        </is>
      </c>
      <c r="T7" s="667" t="n">
        <v>180</v>
      </c>
      <c r="U7" s="483" t="inlineStr">
        <is>
          <t>Eligible</t>
        </is>
      </c>
      <c r="V7" s="329" t="inlineStr">
        <is>
          <t>Maryland revenue included; hours inferred at $45/hr.</t>
        </is>
      </c>
      <c r="W7" s="329" t="inlineStr">
        <is>
          <t>Timeline + Service Calendar + Canonical Ledger</t>
        </is>
      </c>
      <c r="X7" s="329" t="inlineStr">
        <is>
          <t>Included</t>
        </is>
      </c>
      <c r="Y7" s="329" t="n"/>
      <c r="Z7" s="483" t="inlineStr">
        <is>
          <t>Yes</t>
        </is>
      </c>
      <c r="AA7" s="329" t="n"/>
      <c r="AB7" s="329" t="n"/>
      <c r="AC7" s="329" t="n"/>
      <c r="AD7" s="329" t="n"/>
      <c r="AE7" s="329" t="n"/>
    </row>
    <row r="8">
      <c r="A8" s="329" t="n">
        <v>7</v>
      </c>
      <c r="B8" s="665" t="inlineStr">
        <is>
          <t>EVT-0007</t>
        </is>
      </c>
      <c r="C8" s="666" t="n">
        <v>46141</v>
      </c>
      <c r="D8" s="483" t="inlineStr">
        <is>
          <t>Wednesday</t>
        </is>
      </c>
      <c r="E8" s="329" t="n">
        <v>2</v>
      </c>
      <c r="F8" s="329" t="inlineStr">
        <is>
          <t>MY_MONTH 1</t>
        </is>
      </c>
      <c r="G8" s="329" t="inlineStr">
        <is>
          <t>CL-004</t>
        </is>
      </c>
      <c r="H8" s="329" t="inlineStr">
        <is>
          <t>Davis Polk &amp; Wardwell</t>
        </is>
      </c>
      <c r="I8" s="329" t="inlineStr">
        <is>
          <t>Davis Polk &amp; Wardwell</t>
        </is>
      </c>
      <c r="J8" s="329" t="n"/>
      <c r="K8" s="329" t="inlineStr">
        <is>
          <t>Washington</t>
        </is>
      </c>
      <c r="L8" s="329" t="inlineStr">
        <is>
          <t>Washington, DC</t>
        </is>
      </c>
      <c r="M8" s="667" t="n"/>
      <c r="N8" s="329" t="inlineStr">
        <is>
          <t>DC</t>
        </is>
      </c>
      <c r="O8" s="483" t="inlineStr">
        <is>
          <t>Washington|DC</t>
        </is>
      </c>
      <c r="P8" s="329" t="inlineStr">
        <is>
          <t>Completed</t>
        </is>
      </c>
      <c r="Q8" s="329" t="inlineStr">
        <is>
          <t>Physical Service Visit</t>
        </is>
      </c>
      <c r="R8" s="329" t="n">
        <v>1</v>
      </c>
      <c r="S8" s="329" t="inlineStr">
        <is>
          <t>5876638</t>
        </is>
      </c>
      <c r="T8" s="667" t="n">
        <v>50</v>
      </c>
      <c r="U8" s="483" t="inlineStr">
        <is>
          <t>Eligible</t>
        </is>
      </c>
      <c r="V8" s="329" t="inlineStr">
        <is>
          <t>DC flat/equivalent event.</t>
        </is>
      </c>
      <c r="W8" s="329" t="inlineStr">
        <is>
          <t>Timeline + Service Calendar + Canonical Ledger</t>
        </is>
      </c>
      <c r="X8" s="329" t="inlineStr">
        <is>
          <t>Included</t>
        </is>
      </c>
      <c r="Y8" s="329" t="n"/>
      <c r="Z8" s="483" t="inlineStr">
        <is>
          <t>Yes</t>
        </is>
      </c>
      <c r="AA8" s="329" t="n"/>
      <c r="AB8" s="329" t="n"/>
      <c r="AC8" s="329" t="n"/>
      <c r="AD8" s="329" t="n"/>
      <c r="AE8" s="329" t="n"/>
    </row>
    <row r="9">
      <c r="A9" s="329" t="n">
        <v>8</v>
      </c>
      <c r="B9" s="665" t="inlineStr">
        <is>
          <t>EVT-0008</t>
        </is>
      </c>
      <c r="C9" s="666" t="n">
        <v>46141</v>
      </c>
      <c r="D9" s="483" t="inlineStr">
        <is>
          <t>Wednesday</t>
        </is>
      </c>
      <c r="E9" s="329" t="n">
        <v>2</v>
      </c>
      <c r="F9" s="329" t="inlineStr">
        <is>
          <t>MY_MONTH 1</t>
        </is>
      </c>
      <c r="G9" s="329" t="inlineStr">
        <is>
          <t>CL-005</t>
        </is>
      </c>
      <c r="H9" s="329" t="inlineStr">
        <is>
          <t>Hebrew Home of Greater Washington</t>
        </is>
      </c>
      <c r="I9" s="329" t="inlineStr">
        <is>
          <t>Hebrew Home of Greater Washington</t>
        </is>
      </c>
      <c r="J9" s="329" t="n"/>
      <c r="K9" s="329" t="inlineStr">
        <is>
          <t>North Bethesda</t>
        </is>
      </c>
      <c r="L9" s="329" t="inlineStr">
        <is>
          <t>Maryland</t>
        </is>
      </c>
      <c r="M9" s="667" t="n"/>
      <c r="N9" s="329" t="inlineStr">
        <is>
          <t>MD</t>
        </is>
      </c>
      <c r="O9" s="483" t="inlineStr">
        <is>
          <t>North Bethesda|MD</t>
        </is>
      </c>
      <c r="P9" s="329" t="inlineStr">
        <is>
          <t>Completed</t>
        </is>
      </c>
      <c r="Q9" s="329" t="inlineStr">
        <is>
          <t>Physical Service Visit</t>
        </is>
      </c>
      <c r="R9" s="329" t="n">
        <v>1</v>
      </c>
      <c r="S9" s="329" t="inlineStr">
        <is>
          <t>5878985</t>
        </is>
      </c>
      <c r="T9" s="667" t="n">
        <v>45</v>
      </c>
      <c r="U9" s="483" t="inlineStr">
        <is>
          <t>Eligible</t>
        </is>
      </c>
      <c r="V9" s="329" t="inlineStr">
        <is>
          <t>Maryland revenue included.</t>
        </is>
      </c>
      <c r="W9" s="329" t="inlineStr">
        <is>
          <t>Timeline + Service Calendar + Canonical Ledger</t>
        </is>
      </c>
      <c r="X9" s="329" t="inlineStr">
        <is>
          <t>Included</t>
        </is>
      </c>
      <c r="Y9" s="329" t="n"/>
      <c r="Z9" s="483" t="inlineStr">
        <is>
          <t>Yes</t>
        </is>
      </c>
      <c r="AA9" s="329" t="n"/>
      <c r="AB9" s="329" t="n"/>
      <c r="AC9" s="329" t="n"/>
      <c r="AD9" s="329" t="n"/>
      <c r="AE9" s="329" t="n"/>
    </row>
    <row r="10">
      <c r="A10" s="329" t="n">
        <v>9</v>
      </c>
      <c r="B10" s="665" t="inlineStr">
        <is>
          <t>EVT-0009</t>
        </is>
      </c>
      <c r="C10" s="666" t="n">
        <v>46142</v>
      </c>
      <c r="D10" s="483" t="inlineStr">
        <is>
          <t>Thursday</t>
        </is>
      </c>
      <c r="E10" s="329" t="n">
        <v>2</v>
      </c>
      <c r="F10" s="329" t="inlineStr">
        <is>
          <t>MY_MONTH 1</t>
        </is>
      </c>
      <c r="G10" s="329" t="inlineStr">
        <is>
          <t>CL-006</t>
        </is>
      </c>
      <c r="H10" s="329" t="inlineStr">
        <is>
          <t>7-Eleven</t>
        </is>
      </c>
      <c r="I10" s="329" t="inlineStr">
        <is>
          <t>7-Eleven</t>
        </is>
      </c>
      <c r="J10" s="329" t="n"/>
      <c r="K10" s="329" t="inlineStr">
        <is>
          <t>Baltimore</t>
        </is>
      </c>
      <c r="L10" s="329" t="inlineStr">
        <is>
          <t>Maryland</t>
        </is>
      </c>
      <c r="M10" s="667" t="n"/>
      <c r="N10" s="329" t="inlineStr">
        <is>
          <t>MD</t>
        </is>
      </c>
      <c r="O10" s="483" t="inlineStr">
        <is>
          <t>Baltimore|MD</t>
        </is>
      </c>
      <c r="P10" s="329" t="inlineStr">
        <is>
          <t>Completed</t>
        </is>
      </c>
      <c r="Q10" s="329" t="inlineStr">
        <is>
          <t>Physical Service Visit</t>
        </is>
      </c>
      <c r="R10" s="329" t="n">
        <v>1</v>
      </c>
      <c r="S10" s="329" t="inlineStr">
        <is>
          <t>UNRESOLVED-E009</t>
        </is>
      </c>
      <c r="T10" s="667" t="n">
        <v>135</v>
      </c>
      <c r="U10" s="483" t="inlineStr">
        <is>
          <t>Eligible</t>
        </is>
      </c>
      <c r="V10" s="329" t="inlineStr">
        <is>
          <t>User-authoritative financial correction: 3 hours × $45 = $135.00.</t>
        </is>
      </c>
      <c r="W10" s="329" t="inlineStr">
        <is>
          <t>User-authoritative correction 2026-07-26</t>
        </is>
      </c>
      <c r="X10" s="329" t="inlineStr">
        <is>
          <t>Included</t>
        </is>
      </c>
      <c r="Y10" s="329" t="n"/>
      <c r="Z10" s="483" t="inlineStr">
        <is>
          <t>Yes</t>
        </is>
      </c>
      <c r="AA10" s="329" t="n"/>
      <c r="AB10" s="329" t="n"/>
      <c r="AC10" s="329" t="n"/>
      <c r="AD10" s="329" t="n"/>
      <c r="AE10" s="329" t="n"/>
    </row>
    <row r="11">
      <c r="A11" s="329" t="n">
        <v>10</v>
      </c>
      <c r="B11" s="665" t="inlineStr">
        <is>
          <t>EVT-0010</t>
        </is>
      </c>
      <c r="C11" s="666" t="n">
        <v>46147</v>
      </c>
      <c r="D11" s="483" t="inlineStr">
        <is>
          <t>Tuesday</t>
        </is>
      </c>
      <c r="E11" s="329" t="n">
        <v>3</v>
      </c>
      <c r="F11" s="329" t="inlineStr">
        <is>
          <t>MY_MONTH 1</t>
        </is>
      </c>
      <c r="G11" s="329" t="inlineStr">
        <is>
          <t>CL-007</t>
        </is>
      </c>
      <c r="H11" s="329" t="inlineStr">
        <is>
          <t>Giant Food Stores</t>
        </is>
      </c>
      <c r="I11" s="329" t="inlineStr">
        <is>
          <t>Giant Food Stores</t>
        </is>
      </c>
      <c r="J11" s="329" t="n"/>
      <c r="K11" s="329" t="inlineStr">
        <is>
          <t>Hanover</t>
        </is>
      </c>
      <c r="L11" s="329" t="inlineStr">
        <is>
          <t>Pennsylvania</t>
        </is>
      </c>
      <c r="M11" s="667" t="n"/>
      <c r="N11" s="329" t="inlineStr">
        <is>
          <t>PA</t>
        </is>
      </c>
      <c r="O11" s="483" t="inlineStr">
        <is>
          <t>Hanover|PA</t>
        </is>
      </c>
      <c r="P11" s="329" t="inlineStr">
        <is>
          <t>Completed</t>
        </is>
      </c>
      <c r="Q11" s="329" t="inlineStr">
        <is>
          <t>Physical Service Visit</t>
        </is>
      </c>
      <c r="R11" s="329" t="n">
        <v>1</v>
      </c>
      <c r="S11" s="329" t="inlineStr">
        <is>
          <t>5882097</t>
        </is>
      </c>
      <c r="T11" s="667" t="n">
        <v>212.5</v>
      </c>
      <c r="U11" s="483" t="inlineStr">
        <is>
          <t>Eligible</t>
        </is>
      </c>
      <c r="V11" s="329" t="inlineStr">
        <is>
          <t>Corrected: Hanover PA WO 5882097.</t>
        </is>
      </c>
      <c r="W11" s="329" t="inlineStr">
        <is>
          <t>Timeline + Service Calendar + Canonical Ledger</t>
        </is>
      </c>
      <c r="X11" s="329" t="inlineStr">
        <is>
          <t>Included</t>
        </is>
      </c>
      <c r="Y11" s="329" t="n"/>
      <c r="Z11" s="483" t="inlineStr">
        <is>
          <t>Yes</t>
        </is>
      </c>
      <c r="AA11" s="329" t="n"/>
      <c r="AB11" s="329" t="n"/>
      <c r="AC11" s="329" t="n"/>
      <c r="AD11" s="329" t="n"/>
      <c r="AE11" s="329" t="n"/>
    </row>
    <row r="12">
      <c r="A12" s="329" t="n">
        <v>11</v>
      </c>
      <c r="B12" s="665" t="inlineStr">
        <is>
          <t>EVT-0011</t>
        </is>
      </c>
      <c r="C12" s="666" t="n">
        <v>46153</v>
      </c>
      <c r="D12" s="483" t="inlineStr">
        <is>
          <t>Monday</t>
        </is>
      </c>
      <c r="E12" s="329" t="n">
        <v>4</v>
      </c>
      <c r="F12" s="329" t="inlineStr">
        <is>
          <t>MY_MONTH 1</t>
        </is>
      </c>
      <c r="G12" s="329" t="inlineStr">
        <is>
          <t>CL-008</t>
        </is>
      </c>
      <c r="H12" s="329" t="inlineStr">
        <is>
          <t>Food Lion</t>
        </is>
      </c>
      <c r="I12" s="329" t="inlineStr">
        <is>
          <t>Food Lion</t>
        </is>
      </c>
      <c r="J12" s="329" t="n"/>
      <c r="K12" s="329" t="inlineStr">
        <is>
          <t>Leesburg</t>
        </is>
      </c>
      <c r="L12" s="329" t="inlineStr">
        <is>
          <t>Virginia</t>
        </is>
      </c>
      <c r="M12" s="667" t="n"/>
      <c r="N12" s="329" t="inlineStr">
        <is>
          <t>VA</t>
        </is>
      </c>
      <c r="O12" s="483" t="inlineStr">
        <is>
          <t>Leesburg|VA</t>
        </is>
      </c>
      <c r="P12" s="329" t="inlineStr">
        <is>
          <t>Completed</t>
        </is>
      </c>
      <c r="Q12" s="329" t="inlineStr">
        <is>
          <t>Physical Service Visit</t>
        </is>
      </c>
      <c r="R12" s="329" t="n">
        <v>1</v>
      </c>
      <c r="S12" s="329" t="inlineStr">
        <is>
          <t>5884987</t>
        </is>
      </c>
      <c r="T12" s="667" t="n">
        <v>157.5</v>
      </c>
      <c r="U12" s="483" t="inlineStr">
        <is>
          <t>Eligible</t>
        </is>
      </c>
      <c r="V12" s="329" t="inlineStr">
        <is>
          <t>VA model uses payment breakdown amount.</t>
        </is>
      </c>
      <c r="W12" s="329" t="inlineStr">
        <is>
          <t>Timeline + Service Calendar + Canonical Ledger</t>
        </is>
      </c>
      <c r="X12" s="329" t="inlineStr">
        <is>
          <t>Included</t>
        </is>
      </c>
      <c r="Y12" s="329" t="n"/>
      <c r="Z12" s="483" t="inlineStr">
        <is>
          <t>Yes</t>
        </is>
      </c>
      <c r="AA12" s="329" t="n"/>
      <c r="AB12" s="329" t="n"/>
      <c r="AC12" s="329" t="n"/>
      <c r="AD12" s="329" t="n"/>
      <c r="AE12" s="329" t="n"/>
    </row>
    <row r="13">
      <c r="A13" s="329" t="n">
        <v>12</v>
      </c>
      <c r="B13" s="665" t="inlineStr">
        <is>
          <t>EVT-0012</t>
        </is>
      </c>
      <c r="C13" s="666" t="n">
        <v>46154</v>
      </c>
      <c r="D13" s="483" t="inlineStr">
        <is>
          <t>Tuesday</t>
        </is>
      </c>
      <c r="E13" s="329" t="n">
        <v>4</v>
      </c>
      <c r="F13" s="329" t="inlineStr">
        <is>
          <t>MY_MONTH 1</t>
        </is>
      </c>
      <c r="G13" s="329" t="inlineStr">
        <is>
          <t>CL-009</t>
        </is>
      </c>
      <c r="H13" s="329" t="inlineStr">
        <is>
          <t>Weis Markets</t>
        </is>
      </c>
      <c r="I13" s="329" t="inlineStr">
        <is>
          <t>Weis Markets</t>
        </is>
      </c>
      <c r="J13" s="329" t="n"/>
      <c r="K13" s="329" t="inlineStr">
        <is>
          <t>Chambersburg</t>
        </is>
      </c>
      <c r="L13" s="329" t="inlineStr">
        <is>
          <t>Pennsylvania</t>
        </is>
      </c>
      <c r="M13" s="667" t="n"/>
      <c r="N13" s="329" t="inlineStr">
        <is>
          <t>PA</t>
        </is>
      </c>
      <c r="O13" s="483" t="inlineStr">
        <is>
          <t>Chambersburg|PA</t>
        </is>
      </c>
      <c r="P13" s="329" t="inlineStr">
        <is>
          <t>Completed</t>
        </is>
      </c>
      <c r="Q13" s="329" t="inlineStr">
        <is>
          <t>Physical Service Visit</t>
        </is>
      </c>
      <c r="R13" s="329" t="n">
        <v>1</v>
      </c>
      <c r="S13" s="329" t="inlineStr">
        <is>
          <t>5884369</t>
        </is>
      </c>
      <c r="T13" s="667" t="n">
        <v>85</v>
      </c>
      <c r="U13" s="483" t="inlineStr">
        <is>
          <t>Eligible</t>
        </is>
      </c>
      <c r="V13" s="329" t="inlineStr">
        <is>
          <t>User approved 2-hour $42.50/hr equivalent.</t>
        </is>
      </c>
      <c r="W13" s="329" t="inlineStr">
        <is>
          <t>Timeline + Service Calendar + Canonical Ledger</t>
        </is>
      </c>
      <c r="X13" s="329" t="inlineStr">
        <is>
          <t>Included</t>
        </is>
      </c>
      <c r="Y13" s="329" t="n"/>
      <c r="Z13" s="483" t="inlineStr">
        <is>
          <t>Yes</t>
        </is>
      </c>
      <c r="AA13" s="329" t="n"/>
      <c r="AB13" s="329" t="n"/>
      <c r="AC13" s="329" t="n"/>
      <c r="AD13" s="329" t="n"/>
      <c r="AE13" s="329" t="n"/>
    </row>
    <row r="14">
      <c r="A14" s="329" t="n">
        <v>13</v>
      </c>
      <c r="B14" s="665" t="inlineStr">
        <is>
          <t>EVT-0013</t>
        </is>
      </c>
      <c r="C14" s="666" t="n">
        <v>46155</v>
      </c>
      <c r="D14" s="483" t="inlineStr">
        <is>
          <t>Wednesday</t>
        </is>
      </c>
      <c r="E14" s="329" t="n">
        <v>4</v>
      </c>
      <c r="F14" s="329" t="inlineStr">
        <is>
          <t>MY_MONTH 1</t>
        </is>
      </c>
      <c r="G14" s="329" t="inlineStr">
        <is>
          <t>CL-010</t>
        </is>
      </c>
      <c r="H14" s="329" t="inlineStr">
        <is>
          <t>Office of MD Senator Chris Van Hollen</t>
        </is>
      </c>
      <c r="I14" s="329" t="inlineStr">
        <is>
          <t>Office of MD Senator Chris Van Hollen</t>
        </is>
      </c>
      <c r="J14" s="329" t="n"/>
      <c r="K14" s="329" t="inlineStr">
        <is>
          <t>Rockville</t>
        </is>
      </c>
      <c r="L14" s="329" t="inlineStr">
        <is>
          <t>Maryland</t>
        </is>
      </c>
      <c r="M14" s="667" t="n"/>
      <c r="N14" s="329" t="inlineStr">
        <is>
          <t>MD</t>
        </is>
      </c>
      <c r="O14" s="483" t="inlineStr">
        <is>
          <t>Rockville|MD</t>
        </is>
      </c>
      <c r="P14" s="329" t="inlineStr">
        <is>
          <t>Completed</t>
        </is>
      </c>
      <c r="Q14" s="329" t="inlineStr">
        <is>
          <t>Physical Service Visit</t>
        </is>
      </c>
      <c r="R14" s="329" t="n">
        <v>1</v>
      </c>
      <c r="S14" s="329" t="inlineStr">
        <is>
          <t>5885429</t>
        </is>
      </c>
      <c r="T14" s="667" t="n">
        <v>50</v>
      </c>
      <c r="U14" s="483" t="inlineStr">
        <is>
          <t>Eligible</t>
        </is>
      </c>
      <c r="V14" s="329" t="inlineStr">
        <is>
          <t>Maryland revenue included; Senate model estimated at $40/hr.</t>
        </is>
      </c>
      <c r="W14" s="329" t="inlineStr">
        <is>
          <t>Timeline + Service Calendar + Canonical Ledger</t>
        </is>
      </c>
      <c r="X14" s="329" t="inlineStr">
        <is>
          <t>Included</t>
        </is>
      </c>
      <c r="Y14" s="329" t="n"/>
      <c r="Z14" s="483" t="inlineStr">
        <is>
          <t>Yes</t>
        </is>
      </c>
      <c r="AA14" s="329" t="n"/>
      <c r="AB14" s="329" t="n"/>
      <c r="AC14" s="329" t="n"/>
      <c r="AD14" s="329" t="n"/>
      <c r="AE14" s="329" t="n"/>
    </row>
    <row r="15">
      <c r="A15" s="329" t="n">
        <v>14</v>
      </c>
      <c r="B15" s="665" t="inlineStr">
        <is>
          <t>EVT-0014</t>
        </is>
      </c>
      <c r="C15" s="666" t="n">
        <v>46155</v>
      </c>
      <c r="D15" s="483" t="inlineStr">
        <is>
          <t>Wednesday</t>
        </is>
      </c>
      <c r="E15" s="329" t="n">
        <v>4</v>
      </c>
      <c r="F15" s="329" t="inlineStr">
        <is>
          <t>MY_MONTH 1</t>
        </is>
      </c>
      <c r="G15" s="329" t="inlineStr">
        <is>
          <t>CL-011</t>
        </is>
      </c>
      <c r="H15" s="329" t="inlineStr">
        <is>
          <t>Residential – Annapolis Neck, MD</t>
        </is>
      </c>
      <c r="I15" s="329" t="inlineStr">
        <is>
          <t>Residential</t>
        </is>
      </c>
      <c r="J15" s="329" t="n"/>
      <c r="K15" s="329" t="inlineStr">
        <is>
          <t>Annapolis Neck</t>
        </is>
      </c>
      <c r="L15" s="329" t="inlineStr">
        <is>
          <t>Maryland</t>
        </is>
      </c>
      <c r="M15" s="667" t="n"/>
      <c r="N15" s="329" t="inlineStr">
        <is>
          <t>MD</t>
        </is>
      </c>
      <c r="O15" s="483" t="inlineStr">
        <is>
          <t>Annapolis Neck|MD</t>
        </is>
      </c>
      <c r="P15" s="329" t="inlineStr">
        <is>
          <t>Completed</t>
        </is>
      </c>
      <c r="Q15" s="329" t="inlineStr">
        <is>
          <t>Physical Service Visit</t>
        </is>
      </c>
      <c r="R15" s="329" t="n">
        <v>1</v>
      </c>
      <c r="S15" s="329" t="inlineStr">
        <is>
          <t>UNRESOLVED-E014</t>
        </is>
      </c>
      <c r="T15" s="667" t="n">
        <v>25</v>
      </c>
      <c r="U15" s="483" t="inlineStr">
        <is>
          <t>Eligible</t>
        </is>
      </c>
      <c r="V15" s="329" t="inlineStr">
        <is>
          <t>User-authoritative no-show compensation: $25.00.</t>
        </is>
      </c>
      <c r="W15" s="329" t="inlineStr">
        <is>
          <t>User-authoritative correction 2026-07-26</t>
        </is>
      </c>
      <c r="X15" s="329" t="inlineStr">
        <is>
          <t>Included</t>
        </is>
      </c>
      <c r="Y15" s="329" t="n"/>
      <c r="Z15" s="483" t="inlineStr">
        <is>
          <t>Yes</t>
        </is>
      </c>
      <c r="AA15" s="329" t="n"/>
      <c r="AB15" s="329" t="n"/>
      <c r="AC15" s="329" t="n"/>
      <c r="AD15" s="329" t="n"/>
      <c r="AE15" s="329" t="n"/>
    </row>
    <row r="16">
      <c r="A16" s="329" t="n">
        <v>15</v>
      </c>
      <c r="B16" s="665" t="inlineStr">
        <is>
          <t>EVT-0015</t>
        </is>
      </c>
      <c r="C16" s="666" t="n">
        <v>46156</v>
      </c>
      <c r="D16" s="483" t="inlineStr">
        <is>
          <t>Thursday</t>
        </is>
      </c>
      <c r="E16" s="329" t="n">
        <v>4</v>
      </c>
      <c r="F16" s="329" t="inlineStr">
        <is>
          <t>MY_MONTH 1</t>
        </is>
      </c>
      <c r="G16" s="329" t="inlineStr">
        <is>
          <t>CL-012</t>
        </is>
      </c>
      <c r="H16" s="329" t="inlineStr">
        <is>
          <t>Verizon</t>
        </is>
      </c>
      <c r="I16" s="329" t="inlineStr">
        <is>
          <t>Verizon</t>
        </is>
      </c>
      <c r="J16" s="329" t="n"/>
      <c r="K16" s="329" t="inlineStr">
        <is>
          <t>College Park</t>
        </is>
      </c>
      <c r="L16" s="329" t="inlineStr">
        <is>
          <t>Maryland</t>
        </is>
      </c>
      <c r="M16" s="667" t="n"/>
      <c r="N16" s="329" t="inlineStr">
        <is>
          <t>MD</t>
        </is>
      </c>
      <c r="O16" s="483" t="inlineStr">
        <is>
          <t>College Park|MD</t>
        </is>
      </c>
      <c r="P16" s="329" t="inlineStr">
        <is>
          <t>Completed</t>
        </is>
      </c>
      <c r="Q16" s="329" t="inlineStr">
        <is>
          <t>Physical Service Visit</t>
        </is>
      </c>
      <c r="R16" s="329" t="n">
        <v>1</v>
      </c>
      <c r="S16" s="329" t="inlineStr">
        <is>
          <t>5886658</t>
        </is>
      </c>
      <c r="T16" s="667" t="n">
        <v>75</v>
      </c>
      <c r="U16" s="483" t="inlineStr">
        <is>
          <t>Eligible</t>
        </is>
      </c>
      <c r="V16" s="329" t="inlineStr">
        <is>
          <t>Maryland revenue included; hours inferred.</t>
        </is>
      </c>
      <c r="W16" s="329" t="inlineStr">
        <is>
          <t>Timeline + Service Calendar + Canonical Ledger</t>
        </is>
      </c>
      <c r="X16" s="329" t="inlineStr">
        <is>
          <t>Included</t>
        </is>
      </c>
      <c r="Y16" s="329" t="n"/>
      <c r="Z16" s="483" t="inlineStr">
        <is>
          <t>Yes</t>
        </is>
      </c>
      <c r="AA16" s="329" t="n"/>
      <c r="AB16" s="329" t="n"/>
      <c r="AC16" s="329" t="n"/>
      <c r="AD16" s="329" t="n"/>
      <c r="AE16" s="329" t="n"/>
    </row>
    <row r="17">
      <c r="A17" s="329" t="n">
        <v>16</v>
      </c>
      <c r="B17" s="665" t="inlineStr">
        <is>
          <t>EVT-0016</t>
        </is>
      </c>
      <c r="C17" s="666" t="n">
        <v>46157</v>
      </c>
      <c r="D17" s="483" t="inlineStr">
        <is>
          <t>Friday</t>
        </is>
      </c>
      <c r="E17" s="329" t="n">
        <v>4</v>
      </c>
      <c r="F17" s="329" t="inlineStr">
        <is>
          <t>MY_MONTH 1</t>
        </is>
      </c>
      <c r="G17" s="329" t="inlineStr">
        <is>
          <t>CL-013</t>
        </is>
      </c>
      <c r="H17" s="329" t="inlineStr">
        <is>
          <t>Atrium Village</t>
        </is>
      </c>
      <c r="I17" s="329" t="inlineStr">
        <is>
          <t>Atrium Village</t>
        </is>
      </c>
      <c r="J17" s="329" t="n"/>
      <c r="K17" s="329" t="inlineStr">
        <is>
          <t>Owings Mills</t>
        </is>
      </c>
      <c r="L17" s="329" t="inlineStr">
        <is>
          <t>Maryland</t>
        </is>
      </c>
      <c r="M17" s="667" t="n"/>
      <c r="N17" s="329" t="inlineStr">
        <is>
          <t>MD</t>
        </is>
      </c>
      <c r="O17" s="483" t="inlineStr">
        <is>
          <t>Owings Mills|MD</t>
        </is>
      </c>
      <c r="P17" s="329" t="inlineStr">
        <is>
          <t>Completed</t>
        </is>
      </c>
      <c r="Q17" s="329" t="inlineStr">
        <is>
          <t>Physical Service Visit</t>
        </is>
      </c>
      <c r="R17" s="329" t="n">
        <v>1</v>
      </c>
      <c r="S17" s="329" t="inlineStr">
        <is>
          <t>5887090</t>
        </is>
      </c>
      <c r="T17" s="667" t="n">
        <v>45</v>
      </c>
      <c r="U17" s="483" t="inlineStr">
        <is>
          <t>Eligible</t>
        </is>
      </c>
      <c r="V17" s="329" t="inlineStr">
        <is>
          <t>Maryland revenue included.</t>
        </is>
      </c>
      <c r="W17" s="329" t="inlineStr">
        <is>
          <t>Timeline + Service Calendar + Canonical Ledger</t>
        </is>
      </c>
      <c r="X17" s="329" t="inlineStr">
        <is>
          <t>Included</t>
        </is>
      </c>
      <c r="Y17" s="329" t="n"/>
      <c r="Z17" s="483" t="inlineStr">
        <is>
          <t>Yes</t>
        </is>
      </c>
      <c r="AA17" s="329" t="n"/>
      <c r="AB17" s="329" t="n"/>
      <c r="AC17" s="329" t="n"/>
      <c r="AD17" s="329" t="n"/>
      <c r="AE17" s="329" t="n"/>
    </row>
    <row r="18">
      <c r="A18" s="329" t="n">
        <v>17</v>
      </c>
      <c r="B18" s="665" t="inlineStr">
        <is>
          <t>EVT-0017</t>
        </is>
      </c>
      <c r="C18" s="666" t="n">
        <v>46161</v>
      </c>
      <c r="D18" s="483" t="inlineStr">
        <is>
          <t>Tuesday</t>
        </is>
      </c>
      <c r="E18" s="329" t="n">
        <v>5</v>
      </c>
      <c r="F18" s="329" t="inlineStr">
        <is>
          <t>MY_MONTH 1</t>
        </is>
      </c>
      <c r="G18" s="329" t="inlineStr">
        <is>
          <t>CL-014</t>
        </is>
      </c>
      <c r="H18" s="329" t="inlineStr">
        <is>
          <t>Maryland Baptist Age Home</t>
        </is>
      </c>
      <c r="I18" s="329" t="inlineStr">
        <is>
          <t>Maryland Baptist Age Home</t>
        </is>
      </c>
      <c r="J18" s="329" t="n"/>
      <c r="K18" s="329" t="inlineStr">
        <is>
          <t>Baltimore</t>
        </is>
      </c>
      <c r="L18" s="329" t="inlineStr">
        <is>
          <t>Maryland</t>
        </is>
      </c>
      <c r="M18" s="667" t="n"/>
      <c r="N18" s="329" t="inlineStr">
        <is>
          <t>MD</t>
        </is>
      </c>
      <c r="O18" s="483" t="inlineStr">
        <is>
          <t>Baltimore|MD</t>
        </is>
      </c>
      <c r="P18" s="329" t="inlineStr">
        <is>
          <t>Completed</t>
        </is>
      </c>
      <c r="Q18" s="329" t="inlineStr">
        <is>
          <t>Physical Service Visit</t>
        </is>
      </c>
      <c r="R18" s="329" t="n">
        <v>1</v>
      </c>
      <c r="S18" s="329" t="inlineStr">
        <is>
          <t>5887094</t>
        </is>
      </c>
      <c r="T18" s="667" t="n">
        <v>50</v>
      </c>
      <c r="U18" s="483" t="inlineStr">
        <is>
          <t>Eligible</t>
        </is>
      </c>
      <c r="V18" s="329" t="inlineStr">
        <is>
          <t>Maryland revenue included.</t>
        </is>
      </c>
      <c r="W18" s="329" t="inlineStr">
        <is>
          <t>Timeline + Service Calendar + Canonical Ledger</t>
        </is>
      </c>
      <c r="X18" s="329" t="inlineStr">
        <is>
          <t>Included</t>
        </is>
      </c>
      <c r="Y18" s="329" t="n"/>
      <c r="Z18" s="483" t="inlineStr">
        <is>
          <t>Yes</t>
        </is>
      </c>
      <c r="AA18" s="329" t="n"/>
      <c r="AB18" s="329" t="n"/>
      <c r="AC18" s="329" t="n"/>
      <c r="AD18" s="329" t="n"/>
      <c r="AE18" s="329" t="n"/>
    </row>
    <row r="19">
      <c r="A19" s="329" t="n">
        <v>18</v>
      </c>
      <c r="B19" s="665" t="inlineStr">
        <is>
          <t>EVT-0018</t>
        </is>
      </c>
      <c r="C19" s="666" t="n">
        <v>46162</v>
      </c>
      <c r="D19" s="483" t="inlineStr">
        <is>
          <t>Wednesday</t>
        </is>
      </c>
      <c r="E19" s="329" t="n">
        <v>5</v>
      </c>
      <c r="F19" s="329" t="inlineStr">
        <is>
          <t>MY_MONTH 1</t>
        </is>
      </c>
      <c r="G19" s="329" t="inlineStr">
        <is>
          <t>CL-015</t>
        </is>
      </c>
      <c r="H19" s="329" t="inlineStr">
        <is>
          <t>Under Armour</t>
        </is>
      </c>
      <c r="I19" s="329" t="inlineStr">
        <is>
          <t>Under Armour Day 1</t>
        </is>
      </c>
      <c r="J19" s="329" t="n"/>
      <c r="K19" s="329" t="inlineStr">
        <is>
          <t>Hanover</t>
        </is>
      </c>
      <c r="L19" s="329" t="inlineStr">
        <is>
          <t>Maryland</t>
        </is>
      </c>
      <c r="M19" s="667" t="n"/>
      <c r="N19" s="329" t="inlineStr">
        <is>
          <t>MD</t>
        </is>
      </c>
      <c r="O19" s="483" t="inlineStr">
        <is>
          <t>Hanover|MD</t>
        </is>
      </c>
      <c r="P19" s="329" t="inlineStr">
        <is>
          <t>Completed</t>
        </is>
      </c>
      <c r="Q19" s="329" t="inlineStr">
        <is>
          <t>Physical Service Visit</t>
        </is>
      </c>
      <c r="R19" s="329" t="n">
        <v>1</v>
      </c>
      <c r="S19" s="329" t="inlineStr">
        <is>
          <t>5889356</t>
        </is>
      </c>
      <c r="T19" s="667" t="n">
        <v>106.67</v>
      </c>
      <c r="U19" s="483" t="inlineStr">
        <is>
          <t>Eligible</t>
        </is>
      </c>
      <c r="V19" s="329" t="inlineStr">
        <is>
          <t>Under Armour Day 1 split; total UA rounded to $260 with Day 2.</t>
        </is>
      </c>
      <c r="W19" s="329" t="inlineStr">
        <is>
          <t>Timeline + Service Calendar + Canonical Ledger</t>
        </is>
      </c>
      <c r="X19" s="329" t="inlineStr">
        <is>
          <t>Included</t>
        </is>
      </c>
      <c r="Y19" s="329" t="n"/>
      <c r="Z19" s="483" t="inlineStr">
        <is>
          <t>Yes</t>
        </is>
      </c>
      <c r="AA19" s="329" t="n"/>
      <c r="AB19" s="329" t="n"/>
      <c r="AC19" s="329" t="n"/>
      <c r="AD19" s="329" t="n"/>
      <c r="AE19" s="329" t="n"/>
    </row>
    <row r="20">
      <c r="A20" s="329" t="n">
        <v>19</v>
      </c>
      <c r="B20" s="665" t="inlineStr">
        <is>
          <t>EVT-0019</t>
        </is>
      </c>
      <c r="C20" s="666" t="n">
        <v>46163</v>
      </c>
      <c r="D20" s="483" t="inlineStr">
        <is>
          <t>Thursday</t>
        </is>
      </c>
      <c r="E20" s="329" t="n">
        <v>5</v>
      </c>
      <c r="F20" s="329" t="inlineStr">
        <is>
          <t>MY_MONTH 1</t>
        </is>
      </c>
      <c r="G20" s="329" t="inlineStr">
        <is>
          <t>CL-015</t>
        </is>
      </c>
      <c r="H20" s="329" t="inlineStr">
        <is>
          <t>Under Armour</t>
        </is>
      </c>
      <c r="I20" s="329" t="inlineStr">
        <is>
          <t>Under Armour Day 2</t>
        </is>
      </c>
      <c r="J20" s="329" t="n"/>
      <c r="K20" s="329" t="inlineStr">
        <is>
          <t>Hanover</t>
        </is>
      </c>
      <c r="L20" s="329" t="inlineStr">
        <is>
          <t>Maryland</t>
        </is>
      </c>
      <c r="M20" s="667" t="n"/>
      <c r="N20" s="329" t="inlineStr">
        <is>
          <t>MD</t>
        </is>
      </c>
      <c r="O20" s="483" t="inlineStr">
        <is>
          <t>Hanover|MD</t>
        </is>
      </c>
      <c r="P20" s="329" t="inlineStr">
        <is>
          <t>Completed</t>
        </is>
      </c>
      <c r="Q20" s="329" t="inlineStr">
        <is>
          <t>Physical Service Visit</t>
        </is>
      </c>
      <c r="R20" s="329" t="n">
        <v>1</v>
      </c>
      <c r="S20" s="329" t="inlineStr">
        <is>
          <t>5889356-D2</t>
        </is>
      </c>
      <c r="T20" s="667" t="n">
        <v>153.33</v>
      </c>
      <c r="U20" s="483" t="inlineStr">
        <is>
          <t>Eligible</t>
        </is>
      </c>
      <c r="V20" s="329" t="inlineStr">
        <is>
          <t>Under Armour Day 2 split; total UA rounded to $260 with Day 1.</t>
        </is>
      </c>
      <c r="W20" s="329" t="inlineStr">
        <is>
          <t>Timeline + Service Calendar + Canonical Ledger</t>
        </is>
      </c>
      <c r="X20" s="329" t="inlineStr">
        <is>
          <t>Included</t>
        </is>
      </c>
      <c r="Y20" s="329" t="n"/>
      <c r="Z20" s="483" t="inlineStr">
        <is>
          <t>Yes</t>
        </is>
      </c>
      <c r="AA20" s="329" t="n"/>
      <c r="AB20" s="329" t="n"/>
      <c r="AC20" s="329" t="n"/>
      <c r="AD20" s="329" t="n"/>
      <c r="AE20" s="329" t="n"/>
    </row>
    <row r="21">
      <c r="A21" s="329" t="n">
        <v>20</v>
      </c>
      <c r="B21" s="665" t="inlineStr">
        <is>
          <t>EVT-0020</t>
        </is>
      </c>
      <c r="C21" s="666" t="n">
        <v>46163</v>
      </c>
      <c r="D21" s="483" t="inlineStr">
        <is>
          <t>Thursday</t>
        </is>
      </c>
      <c r="E21" s="329" t="n">
        <v>5</v>
      </c>
      <c r="F21" s="329" t="inlineStr">
        <is>
          <t>MY_MONTH 1</t>
        </is>
      </c>
      <c r="G21" s="329" t="inlineStr">
        <is>
          <t>CL-007</t>
        </is>
      </c>
      <c r="H21" s="329" t="inlineStr">
        <is>
          <t>Giant Food Stores</t>
        </is>
      </c>
      <c r="I21" s="329" t="inlineStr">
        <is>
          <t>Giant / Martin's</t>
        </is>
      </c>
      <c r="J21" s="329" t="n"/>
      <c r="K21" s="329" t="inlineStr">
        <is>
          <t>Red Lion</t>
        </is>
      </c>
      <c r="L21" s="329" t="inlineStr">
        <is>
          <t>Pennsylvania</t>
        </is>
      </c>
      <c r="M21" s="667" t="n"/>
      <c r="N21" s="329" t="inlineStr">
        <is>
          <t>PA</t>
        </is>
      </c>
      <c r="O21" s="483" t="inlineStr">
        <is>
          <t>Red Lion|PA</t>
        </is>
      </c>
      <c r="P21" s="329" t="inlineStr">
        <is>
          <t>Completed</t>
        </is>
      </c>
      <c r="Q21" s="329" t="inlineStr">
        <is>
          <t>Physical Service Visit</t>
        </is>
      </c>
      <c r="R21" s="329" t="n">
        <v>1</v>
      </c>
      <c r="S21" s="329" t="inlineStr">
        <is>
          <t>5890220</t>
        </is>
      </c>
      <c r="T21" s="667" t="n">
        <v>112.5</v>
      </c>
      <c r="U21" s="483" t="inlineStr">
        <is>
          <t>Eligible</t>
        </is>
      </c>
      <c r="V21" s="329" t="inlineStr">
        <is>
          <t>Corrected: Red Lion PA WO 5890220.</t>
        </is>
      </c>
      <c r="W21" s="329" t="inlineStr">
        <is>
          <t>Timeline + Service Calendar + Canonical Ledger</t>
        </is>
      </c>
      <c r="X21" s="329" t="inlineStr">
        <is>
          <t>Included</t>
        </is>
      </c>
      <c r="Y21" s="329" t="n"/>
      <c r="Z21" s="483" t="inlineStr">
        <is>
          <t>Yes</t>
        </is>
      </c>
      <c r="AA21" s="329" t="n"/>
      <c r="AB21" s="329" t="n"/>
      <c r="AC21" s="329" t="n"/>
      <c r="AD21" s="329" t="n"/>
      <c r="AE21" s="329" t="n"/>
    </row>
    <row r="22">
      <c r="A22" s="329" t="n">
        <v>21</v>
      </c>
      <c r="B22" s="665" t="inlineStr">
        <is>
          <t>EVT-0021</t>
        </is>
      </c>
      <c r="C22" s="666" t="n">
        <v>46168</v>
      </c>
      <c r="D22" s="483" t="inlineStr">
        <is>
          <t>Tuesday</t>
        </is>
      </c>
      <c r="E22" s="329" t="n">
        <v>6</v>
      </c>
      <c r="F22" s="329" t="inlineStr">
        <is>
          <t>MY_MONTH 2</t>
        </is>
      </c>
      <c r="G22" s="329" t="inlineStr">
        <is>
          <t>CL-008</t>
        </is>
      </c>
      <c r="H22" s="329" t="inlineStr">
        <is>
          <t>Food Lion</t>
        </is>
      </c>
      <c r="I22" s="329" t="inlineStr">
        <is>
          <t>Food Lion</t>
        </is>
      </c>
      <c r="J22" s="329" t="n"/>
      <c r="K22" s="329" t="inlineStr">
        <is>
          <t>Middle River</t>
        </is>
      </c>
      <c r="L22" s="329" t="inlineStr">
        <is>
          <t>Maryland</t>
        </is>
      </c>
      <c r="M22" s="667" t="n"/>
      <c r="N22" s="329" t="inlineStr">
        <is>
          <t>MD</t>
        </is>
      </c>
      <c r="O22" s="483" t="inlineStr">
        <is>
          <t>Middle River|MD</t>
        </is>
      </c>
      <c r="P22" s="329" t="inlineStr">
        <is>
          <t>Completed</t>
        </is>
      </c>
      <c r="Q22" s="329" t="inlineStr">
        <is>
          <t>Physical Service Visit</t>
        </is>
      </c>
      <c r="R22" s="329" t="n">
        <v>1</v>
      </c>
      <c r="S22" s="329" t="inlineStr">
        <is>
          <t>5892123</t>
        </is>
      </c>
      <c r="T22" s="667" t="n">
        <v>97.91</v>
      </c>
      <c r="U22" s="483" t="inlineStr">
        <is>
          <t>Eligible</t>
        </is>
      </c>
      <c r="V22" s="329" t="inlineStr">
        <is>
          <t>Maryland revenue included; hours inferred.</t>
        </is>
      </c>
      <c r="W22" s="329" t="inlineStr">
        <is>
          <t>Timeline + Service Calendar + Canonical Ledger</t>
        </is>
      </c>
      <c r="X22" s="329" t="inlineStr">
        <is>
          <t>Included</t>
        </is>
      </c>
      <c r="Y22" s="329" t="n"/>
      <c r="Z22" s="483" t="inlineStr">
        <is>
          <t>Yes</t>
        </is>
      </c>
      <c r="AA22" s="329" t="n"/>
      <c r="AB22" s="329" t="n"/>
      <c r="AC22" s="329" t="n"/>
      <c r="AD22" s="329" t="n"/>
      <c r="AE22" s="329" t="n"/>
    </row>
    <row r="23">
      <c r="A23" s="329" t="n">
        <v>22</v>
      </c>
      <c r="B23" s="665" t="inlineStr">
        <is>
          <t>EVT-0022</t>
        </is>
      </c>
      <c r="C23" s="666" t="n">
        <v>46168</v>
      </c>
      <c r="D23" s="483" t="inlineStr">
        <is>
          <t>Tuesday</t>
        </is>
      </c>
      <c r="E23" s="329" t="n">
        <v>6</v>
      </c>
      <c r="F23" s="329" t="inlineStr">
        <is>
          <t>MY_MONTH 2</t>
        </is>
      </c>
      <c r="G23" s="329" t="inlineStr">
        <is>
          <t>CL-016</t>
        </is>
      </c>
      <c r="H23" s="329" t="inlineStr">
        <is>
          <t>HomeGoods</t>
        </is>
      </c>
      <c r="I23" s="329" t="inlineStr">
        <is>
          <t>HomeGoods</t>
        </is>
      </c>
      <c r="J23" s="329" t="n"/>
      <c r="K23" s="329" t="inlineStr">
        <is>
          <t>Gaithersburg</t>
        </is>
      </c>
      <c r="L23" s="329" t="inlineStr">
        <is>
          <t>Maryland</t>
        </is>
      </c>
      <c r="M23" s="667" t="n"/>
      <c r="N23" s="329" t="inlineStr">
        <is>
          <t>MD</t>
        </is>
      </c>
      <c r="O23" s="483" t="inlineStr">
        <is>
          <t>Gaithersburg|MD</t>
        </is>
      </c>
      <c r="P23" s="329" t="inlineStr">
        <is>
          <t>Completed</t>
        </is>
      </c>
      <c r="Q23" s="329" t="inlineStr">
        <is>
          <t>Physical Service Visit</t>
        </is>
      </c>
      <c r="R23" s="329" t="n">
        <v>1</v>
      </c>
      <c r="S23" s="329" t="inlineStr">
        <is>
          <t>5889718</t>
        </is>
      </c>
      <c r="T23" s="667" t="n">
        <v>50</v>
      </c>
      <c r="U23" s="483" t="inlineStr">
        <is>
          <t>Eligible</t>
        </is>
      </c>
      <c r="V23" s="329" t="inlineStr">
        <is>
          <t>Maryland revenue included; hours inferred.</t>
        </is>
      </c>
      <c r="W23" s="329" t="inlineStr">
        <is>
          <t>Timeline + Service Calendar + Canonical Ledger</t>
        </is>
      </c>
      <c r="X23" s="329" t="inlineStr">
        <is>
          <t>Included</t>
        </is>
      </c>
      <c r="Y23" s="329" t="n"/>
      <c r="Z23" s="483" t="inlineStr">
        <is>
          <t>Yes</t>
        </is>
      </c>
      <c r="AA23" s="329" t="n"/>
      <c r="AB23" s="329" t="n"/>
      <c r="AC23" s="329" t="n"/>
      <c r="AD23" s="329" t="n"/>
      <c r="AE23" s="329" t="n"/>
    </row>
    <row r="24">
      <c r="A24" s="329" t="n">
        <v>23</v>
      </c>
      <c r="B24" s="665" t="inlineStr">
        <is>
          <t>EVT-0023</t>
        </is>
      </c>
      <c r="C24" s="666" t="n">
        <v>46169</v>
      </c>
      <c r="D24" s="483" t="inlineStr">
        <is>
          <t>Wednesday</t>
        </is>
      </c>
      <c r="E24" s="329" t="n">
        <v>6</v>
      </c>
      <c r="F24" s="329" t="inlineStr">
        <is>
          <t>MY_MONTH 2</t>
        </is>
      </c>
      <c r="G24" s="329" t="inlineStr">
        <is>
          <t>CL-017</t>
        </is>
      </c>
      <c r="H24" s="329" t="inlineStr">
        <is>
          <t>Joint Base Andrews</t>
        </is>
      </c>
      <c r="I24" s="329" t="inlineStr">
        <is>
          <t>Joint Base Andrews</t>
        </is>
      </c>
      <c r="J24" s="329" t="n"/>
      <c r="K24" s="329" t="inlineStr">
        <is>
          <t>Andrews AFB</t>
        </is>
      </c>
      <c r="L24" s="329" t="inlineStr">
        <is>
          <t>Maryland</t>
        </is>
      </c>
      <c r="M24" s="667" t="n"/>
      <c r="N24" s="329" t="inlineStr">
        <is>
          <t>MD</t>
        </is>
      </c>
      <c r="O24" s="483" t="inlineStr">
        <is>
          <t>Andrews AFB|MD</t>
        </is>
      </c>
      <c r="P24" s="329" t="inlineStr">
        <is>
          <t>Completed</t>
        </is>
      </c>
      <c r="Q24" s="329" t="inlineStr">
        <is>
          <t>Physical Service Visit</t>
        </is>
      </c>
      <c r="R24" s="329" t="n">
        <v>1</v>
      </c>
      <c r="S24" s="329" t="inlineStr">
        <is>
          <t>UNRESOLVED-E023</t>
        </is>
      </c>
      <c r="T24" s="667" t="n">
        <v>50</v>
      </c>
      <c r="U24" s="483" t="inlineStr">
        <is>
          <t>Eligible</t>
        </is>
      </c>
      <c r="V24" s="329" t="inlineStr">
        <is>
          <t>User-authoritative first-hour no-show compensation: $50.00.</t>
        </is>
      </c>
      <c r="W24" s="329" t="inlineStr">
        <is>
          <t>User-authoritative correction 2026-07-26</t>
        </is>
      </c>
      <c r="X24" s="329" t="inlineStr">
        <is>
          <t>Included</t>
        </is>
      </c>
      <c r="Y24" s="329" t="n"/>
      <c r="Z24" s="483" t="inlineStr">
        <is>
          <t>Yes</t>
        </is>
      </c>
      <c r="AA24" s="329" t="n"/>
      <c r="AB24" s="329" t="n"/>
      <c r="AC24" s="329" t="n"/>
      <c r="AD24" s="329" t="n"/>
      <c r="AE24" s="329" t="n"/>
    </row>
    <row r="25">
      <c r="A25" s="329" t="n">
        <v>24</v>
      </c>
      <c r="B25" s="665" t="inlineStr">
        <is>
          <t>EVT-0024</t>
        </is>
      </c>
      <c r="C25" s="666" t="n">
        <v>46169</v>
      </c>
      <c r="D25" s="483" t="inlineStr">
        <is>
          <t>Wednesday</t>
        </is>
      </c>
      <c r="E25" s="329" t="n">
        <v>6</v>
      </c>
      <c r="F25" s="329" t="inlineStr">
        <is>
          <t>MY_MONTH 2</t>
        </is>
      </c>
      <c r="G25" s="329" t="inlineStr">
        <is>
          <t>CL-018</t>
        </is>
      </c>
      <c r="H25" s="329" t="inlineStr">
        <is>
          <t>USDA</t>
        </is>
      </c>
      <c r="I25" s="329" t="inlineStr">
        <is>
          <t>USDA Day 1</t>
        </is>
      </c>
      <c r="J25" s="329" t="n"/>
      <c r="K25" s="329" t="inlineStr">
        <is>
          <t>Washington</t>
        </is>
      </c>
      <c r="L25" s="329" t="inlineStr">
        <is>
          <t>Washington, DC</t>
        </is>
      </c>
      <c r="M25" s="667" t="n"/>
      <c r="N25" s="329" t="inlineStr">
        <is>
          <t>DC</t>
        </is>
      </c>
      <c r="O25" s="483" t="inlineStr">
        <is>
          <t>Washington|DC</t>
        </is>
      </c>
      <c r="P25" s="329" t="inlineStr">
        <is>
          <t>Completed</t>
        </is>
      </c>
      <c r="Q25" s="329" t="inlineStr">
        <is>
          <t>Physical Service Visit</t>
        </is>
      </c>
      <c r="R25" s="329" t="n">
        <v>1</v>
      </c>
      <c r="S25" s="329" t="inlineStr">
        <is>
          <t>USDA-SPECIAL-E024</t>
        </is>
      </c>
      <c r="T25" s="667" t="n">
        <v>200</v>
      </c>
      <c r="U25" s="483" t="inlineStr">
        <is>
          <t>Eligible</t>
        </is>
      </c>
      <c r="V25" s="329" t="inlineStr">
        <is>
          <t>USDA corrected day allocation: $200 / 5 hrs @ $40/hr.</t>
        </is>
      </c>
      <c r="W25" s="329" t="inlineStr">
        <is>
          <t>Timeline + Service Calendar + Canonical Ledger</t>
        </is>
      </c>
      <c r="X25" s="329" t="inlineStr">
        <is>
          <t>Included</t>
        </is>
      </c>
      <c r="Y25" s="329" t="n"/>
      <c r="Z25" s="483" t="inlineStr">
        <is>
          <t>Yes</t>
        </is>
      </c>
      <c r="AA25" s="329" t="n"/>
      <c r="AB25" s="329" t="n"/>
      <c r="AC25" s="329" t="n"/>
      <c r="AD25" s="329" t="n"/>
      <c r="AE25" s="329" t="n"/>
    </row>
    <row r="26">
      <c r="A26" s="329" t="n">
        <v>25</v>
      </c>
      <c r="B26" s="665" t="inlineStr">
        <is>
          <t>EVT-0025</t>
        </is>
      </c>
      <c r="C26" s="666" t="n">
        <v>46170</v>
      </c>
      <c r="D26" s="483" t="inlineStr">
        <is>
          <t>Thursday</t>
        </is>
      </c>
      <c r="E26" s="329" t="n">
        <v>6</v>
      </c>
      <c r="F26" s="329" t="inlineStr">
        <is>
          <t>MY_MONTH 2</t>
        </is>
      </c>
      <c r="G26" s="329" t="inlineStr">
        <is>
          <t>CL-019</t>
        </is>
      </c>
      <c r="H26" s="329" t="inlineStr">
        <is>
          <t>PepsiCo</t>
        </is>
      </c>
      <c r="I26" s="329" t="inlineStr">
        <is>
          <t>PepsiCo</t>
        </is>
      </c>
      <c r="J26" s="329" t="n"/>
      <c r="K26" s="329" t="inlineStr">
        <is>
          <t>Cheverly</t>
        </is>
      </c>
      <c r="L26" s="329" t="inlineStr">
        <is>
          <t>Maryland</t>
        </is>
      </c>
      <c r="M26" s="667" t="n"/>
      <c r="N26" s="329" t="inlineStr">
        <is>
          <t>MD</t>
        </is>
      </c>
      <c r="O26" s="483" t="inlineStr">
        <is>
          <t>Cheverly|MD</t>
        </is>
      </c>
      <c r="P26" s="329" t="inlineStr">
        <is>
          <t>Completed</t>
        </is>
      </c>
      <c r="Q26" s="329" t="inlineStr">
        <is>
          <t>Physical Service Visit</t>
        </is>
      </c>
      <c r="R26" s="329" t="n">
        <v>1</v>
      </c>
      <c r="S26" s="329" t="inlineStr">
        <is>
          <t>UNRESOLVED-E025</t>
        </is>
      </c>
      <c r="T26" s="667" t="n">
        <v>50</v>
      </c>
      <c r="U26" s="483" t="inlineStr">
        <is>
          <t>Eligible</t>
        </is>
      </c>
      <c r="V26" s="329" t="inlineStr">
        <is>
          <t>User-authoritative first-hour no-show compensation: $50.00.</t>
        </is>
      </c>
      <c r="W26" s="329" t="inlineStr">
        <is>
          <t>User-authoritative correction 2026-07-26</t>
        </is>
      </c>
      <c r="X26" s="329" t="inlineStr">
        <is>
          <t>Included</t>
        </is>
      </c>
      <c r="Y26" s="329" t="n"/>
      <c r="Z26" s="483" t="inlineStr">
        <is>
          <t>Yes</t>
        </is>
      </c>
      <c r="AA26" s="329" t="n"/>
      <c r="AB26" s="329" t="n"/>
      <c r="AC26" s="329" t="n"/>
      <c r="AD26" s="329" t="n"/>
      <c r="AE26" s="329" t="n"/>
    </row>
    <row r="27">
      <c r="A27" s="329" t="n">
        <v>26</v>
      </c>
      <c r="B27" s="665" t="inlineStr">
        <is>
          <t>EVT-0026</t>
        </is>
      </c>
      <c r="C27" s="666" t="n">
        <v>46170</v>
      </c>
      <c r="D27" s="483" t="inlineStr">
        <is>
          <t>Thursday</t>
        </is>
      </c>
      <c r="E27" s="329" t="n">
        <v>6</v>
      </c>
      <c r="F27" s="329" t="inlineStr">
        <is>
          <t>MY_MONTH 2</t>
        </is>
      </c>
      <c r="G27" s="329" t="inlineStr">
        <is>
          <t>CL-018</t>
        </is>
      </c>
      <c r="H27" s="329" t="inlineStr">
        <is>
          <t>USDA</t>
        </is>
      </c>
      <c r="I27" s="329" t="inlineStr">
        <is>
          <t>USDA Day 2</t>
        </is>
      </c>
      <c r="J27" s="329" t="n"/>
      <c r="K27" s="329" t="inlineStr">
        <is>
          <t>Washington</t>
        </is>
      </c>
      <c r="L27" s="329" t="inlineStr">
        <is>
          <t>Washington, DC</t>
        </is>
      </c>
      <c r="M27" s="667" t="n"/>
      <c r="N27" s="329" t="inlineStr">
        <is>
          <t>DC</t>
        </is>
      </c>
      <c r="O27" s="483" t="inlineStr">
        <is>
          <t>Washington|DC</t>
        </is>
      </c>
      <c r="P27" s="329" t="inlineStr">
        <is>
          <t>Completed</t>
        </is>
      </c>
      <c r="Q27" s="329" t="inlineStr">
        <is>
          <t>Physical Service Visit</t>
        </is>
      </c>
      <c r="R27" s="329" t="n">
        <v>1</v>
      </c>
      <c r="S27" s="329" t="inlineStr">
        <is>
          <t>USDA-SPECIAL-E026</t>
        </is>
      </c>
      <c r="T27" s="667" t="n">
        <v>175</v>
      </c>
      <c r="U27" s="483" t="inlineStr">
        <is>
          <t>Eligible</t>
        </is>
      </c>
      <c r="V27" s="329" t="inlineStr">
        <is>
          <t>USDA corrected day allocation: $175 / 4.375 hrs @ $40/hr.</t>
        </is>
      </c>
      <c r="W27" s="329" t="inlineStr">
        <is>
          <t>Timeline + Service Calendar + Canonical Ledger</t>
        </is>
      </c>
      <c r="X27" s="329" t="inlineStr">
        <is>
          <t>Included</t>
        </is>
      </c>
      <c r="Y27" s="329" t="n"/>
      <c r="Z27" s="483" t="inlineStr">
        <is>
          <t>Yes</t>
        </is>
      </c>
      <c r="AA27" s="329" t="n"/>
      <c r="AB27" s="329" t="n"/>
      <c r="AC27" s="329" t="n"/>
      <c r="AD27" s="329" t="n"/>
      <c r="AE27" s="329" t="n"/>
    </row>
    <row r="28">
      <c r="A28" s="329" t="n">
        <v>27</v>
      </c>
      <c r="B28" s="665" t="inlineStr">
        <is>
          <t>EVT-0027</t>
        </is>
      </c>
      <c r="C28" s="666" t="n">
        <v>46174</v>
      </c>
      <c r="D28" s="483" t="inlineStr">
        <is>
          <t>Monday</t>
        </is>
      </c>
      <c r="E28" s="329" t="n">
        <v>7</v>
      </c>
      <c r="F28" s="329" t="inlineStr">
        <is>
          <t>MY_MONTH 2</t>
        </is>
      </c>
      <c r="G28" s="329" t="inlineStr">
        <is>
          <t>CL-018</t>
        </is>
      </c>
      <c r="H28" s="329" t="inlineStr">
        <is>
          <t>USDA</t>
        </is>
      </c>
      <c r="I28" s="329" t="inlineStr">
        <is>
          <t>USDA Day 3</t>
        </is>
      </c>
      <c r="J28" s="329" t="n"/>
      <c r="K28" s="329" t="inlineStr">
        <is>
          <t>Washington</t>
        </is>
      </c>
      <c r="L28" s="329" t="inlineStr">
        <is>
          <t>Washington, DC</t>
        </is>
      </c>
      <c r="M28" s="667" t="n"/>
      <c r="N28" s="329" t="inlineStr">
        <is>
          <t>DC</t>
        </is>
      </c>
      <c r="O28" s="483" t="inlineStr">
        <is>
          <t>Washington|DC</t>
        </is>
      </c>
      <c r="P28" s="329" t="inlineStr">
        <is>
          <t>Completed</t>
        </is>
      </c>
      <c r="Q28" s="329" t="inlineStr">
        <is>
          <t>Physical Service Visit</t>
        </is>
      </c>
      <c r="R28" s="329" t="n">
        <v>1</v>
      </c>
      <c r="S28" s="329" t="inlineStr">
        <is>
          <t>USDA-SPECIAL-E027</t>
        </is>
      </c>
      <c r="T28" s="667" t="n">
        <v>320</v>
      </c>
      <c r="U28" s="483" t="inlineStr">
        <is>
          <t>Eligible</t>
        </is>
      </c>
      <c r="V28" s="329" t="inlineStr">
        <is>
          <t>USDA corrected day allocation: $320 / 8 hrs @ $40/hr.</t>
        </is>
      </c>
      <c r="W28" s="329" t="inlineStr">
        <is>
          <t>Timeline + Service Calendar + Canonical Ledger</t>
        </is>
      </c>
      <c r="X28" s="329" t="inlineStr">
        <is>
          <t>Included</t>
        </is>
      </c>
      <c r="Y28" s="329" t="n"/>
      <c r="Z28" s="483" t="inlineStr">
        <is>
          <t>Yes</t>
        </is>
      </c>
      <c r="AA28" s="329" t="n"/>
      <c r="AB28" s="329" t="n"/>
      <c r="AC28" s="329" t="n"/>
      <c r="AD28" s="329" t="n"/>
      <c r="AE28" s="329" t="n"/>
    </row>
    <row r="29">
      <c r="A29" s="329" t="n">
        <v>28</v>
      </c>
      <c r="B29" s="665" t="inlineStr">
        <is>
          <t>EVT-0028</t>
        </is>
      </c>
      <c r="C29" s="666" t="n">
        <v>46175</v>
      </c>
      <c r="D29" s="483" t="inlineStr">
        <is>
          <t>Tuesday</t>
        </is>
      </c>
      <c r="E29" s="329" t="n">
        <v>7</v>
      </c>
      <c r="F29" s="329" t="inlineStr">
        <is>
          <t>MY_MONTH 2</t>
        </is>
      </c>
      <c r="G29" s="329" t="inlineStr">
        <is>
          <t>CL-018</t>
        </is>
      </c>
      <c r="H29" s="329" t="inlineStr">
        <is>
          <t>USDA</t>
        </is>
      </c>
      <c r="I29" s="329" t="inlineStr">
        <is>
          <t>USDA Day 4</t>
        </is>
      </c>
      <c r="J29" s="329" t="n"/>
      <c r="K29" s="329" t="inlineStr">
        <is>
          <t>Washington</t>
        </is>
      </c>
      <c r="L29" s="329" t="inlineStr">
        <is>
          <t>Washington, DC</t>
        </is>
      </c>
      <c r="M29" s="667" t="n"/>
      <c r="N29" s="329" t="inlineStr">
        <is>
          <t>DC</t>
        </is>
      </c>
      <c r="O29" s="483" t="inlineStr">
        <is>
          <t>Washington|DC</t>
        </is>
      </c>
      <c r="P29" s="329" t="inlineStr">
        <is>
          <t>Completed</t>
        </is>
      </c>
      <c r="Q29" s="329" t="inlineStr">
        <is>
          <t>Physical Service Visit</t>
        </is>
      </c>
      <c r="R29" s="329" t="n">
        <v>1</v>
      </c>
      <c r="S29" s="329" t="inlineStr">
        <is>
          <t>USDA-SPECIAL-E028</t>
        </is>
      </c>
      <c r="T29" s="667" t="n">
        <v>320</v>
      </c>
      <c r="U29" s="483" t="inlineStr">
        <is>
          <t>Eligible</t>
        </is>
      </c>
      <c r="V29" s="329" t="inlineStr">
        <is>
          <t>USDA corrected day allocation: $320 / 8 hrs @ $40/hr.</t>
        </is>
      </c>
      <c r="W29" s="329" t="inlineStr">
        <is>
          <t>Timeline + Service Calendar + Canonical Ledger</t>
        </is>
      </c>
      <c r="X29" s="329" t="inlineStr">
        <is>
          <t>Included</t>
        </is>
      </c>
      <c r="Y29" s="329" t="n"/>
      <c r="Z29" s="483" t="inlineStr">
        <is>
          <t>Yes</t>
        </is>
      </c>
      <c r="AA29" s="329" t="n"/>
      <c r="AB29" s="329" t="n"/>
      <c r="AC29" s="329" t="n"/>
      <c r="AD29" s="329" t="n"/>
      <c r="AE29" s="329" t="n"/>
    </row>
    <row r="30">
      <c r="A30" s="329" t="n">
        <v>29</v>
      </c>
      <c r="B30" s="665" t="inlineStr">
        <is>
          <t>EVT-0029</t>
        </is>
      </c>
      <c r="C30" s="666" t="n">
        <v>46176</v>
      </c>
      <c r="D30" s="483" t="inlineStr">
        <is>
          <t>Wednesday</t>
        </is>
      </c>
      <c r="E30" s="329" t="n">
        <v>7</v>
      </c>
      <c r="F30" s="329" t="inlineStr">
        <is>
          <t>MY_MONTH 2</t>
        </is>
      </c>
      <c r="G30" s="329" t="inlineStr">
        <is>
          <t>CL-018</t>
        </is>
      </c>
      <c r="H30" s="329" t="inlineStr">
        <is>
          <t>USDA</t>
        </is>
      </c>
      <c r="I30" s="329" t="inlineStr">
        <is>
          <t>USDA Day 5</t>
        </is>
      </c>
      <c r="J30" s="329" t="n"/>
      <c r="K30" s="329" t="inlineStr">
        <is>
          <t>Washington</t>
        </is>
      </c>
      <c r="L30" s="329" t="inlineStr">
        <is>
          <t>Washington, DC</t>
        </is>
      </c>
      <c r="M30" s="667" t="n"/>
      <c r="N30" s="329" t="inlineStr">
        <is>
          <t>DC</t>
        </is>
      </c>
      <c r="O30" s="483" t="inlineStr">
        <is>
          <t>Washington|DC</t>
        </is>
      </c>
      <c r="P30" s="329" t="inlineStr">
        <is>
          <t>Completed</t>
        </is>
      </c>
      <c r="Q30" s="329" t="inlineStr">
        <is>
          <t>Physical Service Visit</t>
        </is>
      </c>
      <c r="R30" s="329" t="n">
        <v>1</v>
      </c>
      <c r="S30" s="329" t="inlineStr">
        <is>
          <t>USDA-SPECIAL-E029</t>
        </is>
      </c>
      <c r="T30" s="667" t="n">
        <v>200</v>
      </c>
      <c r="U30" s="483" t="inlineStr">
        <is>
          <t>Eligible</t>
        </is>
      </c>
      <c r="V30" s="329" t="inlineStr">
        <is>
          <t>USDA corrected day allocation: $200 / 5 hrs @ $40/hr.</t>
        </is>
      </c>
      <c r="W30" s="329" t="inlineStr">
        <is>
          <t>Timeline + Service Calendar + Canonical Ledger</t>
        </is>
      </c>
      <c r="X30" s="329" t="inlineStr">
        <is>
          <t>Included</t>
        </is>
      </c>
      <c r="Y30" s="329" t="n"/>
      <c r="Z30" s="483" t="inlineStr">
        <is>
          <t>Yes</t>
        </is>
      </c>
      <c r="AA30" s="329" t="n"/>
      <c r="AB30" s="329" t="n"/>
      <c r="AC30" s="329" t="n"/>
      <c r="AD30" s="329" t="n"/>
      <c r="AE30" s="329" t="n"/>
    </row>
    <row r="31">
      <c r="A31" s="329" t="n">
        <v>30</v>
      </c>
      <c r="B31" s="665" t="inlineStr">
        <is>
          <t>EVT-0030</t>
        </is>
      </c>
      <c r="C31" s="666" t="n">
        <v>46176</v>
      </c>
      <c r="D31" s="483" t="inlineStr">
        <is>
          <t>Wednesday</t>
        </is>
      </c>
      <c r="E31" s="329" t="n">
        <v>7</v>
      </c>
      <c r="F31" s="329" t="inlineStr">
        <is>
          <t>MY_MONTH 2</t>
        </is>
      </c>
      <c r="G31" s="329" t="inlineStr">
        <is>
          <t>CL-020</t>
        </is>
      </c>
      <c r="H31" s="329" t="inlineStr">
        <is>
          <t>TJ Maxx</t>
        </is>
      </c>
      <c r="I31" s="329" t="inlineStr">
        <is>
          <t>TJ Maxx</t>
        </is>
      </c>
      <c r="J31" s="329" t="n"/>
      <c r="K31" s="329" t="inlineStr">
        <is>
          <t>Rockville</t>
        </is>
      </c>
      <c r="L31" s="329" t="inlineStr">
        <is>
          <t>Maryland</t>
        </is>
      </c>
      <c r="M31" s="667" t="n"/>
      <c r="N31" s="329" t="inlineStr">
        <is>
          <t>MD</t>
        </is>
      </c>
      <c r="O31" s="483" t="inlineStr">
        <is>
          <t>Rockville|MD</t>
        </is>
      </c>
      <c r="P31" s="329" t="inlineStr">
        <is>
          <t>Completed</t>
        </is>
      </c>
      <c r="Q31" s="329" t="inlineStr">
        <is>
          <t>Physical Service Visit</t>
        </is>
      </c>
      <c r="R31" s="329" t="n">
        <v>1</v>
      </c>
      <c r="S31" s="329" t="inlineStr">
        <is>
          <t>5896733</t>
        </is>
      </c>
      <c r="T31" s="667" t="n">
        <v>96.66</v>
      </c>
      <c r="U31" s="483" t="inlineStr">
        <is>
          <t>Eligible</t>
        </is>
      </c>
      <c r="V31" s="329" t="inlineStr">
        <is>
          <t>Event #30 TJ Maxx Rockville verified at $96.66.</t>
        </is>
      </c>
      <c r="W31" s="329" t="inlineStr">
        <is>
          <t>Timeline + Service Calendar + Canonical Ledger</t>
        </is>
      </c>
      <c r="X31" s="329" t="inlineStr">
        <is>
          <t>Included</t>
        </is>
      </c>
      <c r="Y31" s="329" t="n"/>
      <c r="Z31" s="483" t="inlineStr">
        <is>
          <t>Yes</t>
        </is>
      </c>
      <c r="AA31" s="329" t="n"/>
      <c r="AB31" s="329" t="n"/>
      <c r="AC31" s="329" t="n"/>
      <c r="AD31" s="329" t="n"/>
      <c r="AE31" s="329" t="n"/>
    </row>
    <row r="32">
      <c r="A32" s="329" t="n">
        <v>31</v>
      </c>
      <c r="B32" s="665" t="inlineStr">
        <is>
          <t>EVT-0031</t>
        </is>
      </c>
      <c r="C32" s="666" t="n">
        <v>46177</v>
      </c>
      <c r="D32" s="483" t="inlineStr">
        <is>
          <t>Thursday</t>
        </is>
      </c>
      <c r="E32" s="329" t="n">
        <v>7</v>
      </c>
      <c r="F32" s="329" t="inlineStr">
        <is>
          <t>MY_MONTH 2</t>
        </is>
      </c>
      <c r="G32" s="329" t="inlineStr">
        <is>
          <t>CL-018</t>
        </is>
      </c>
      <c r="H32" s="329" t="inlineStr">
        <is>
          <t>USDA</t>
        </is>
      </c>
      <c r="I32" s="329" t="inlineStr">
        <is>
          <t>USDA Day 6</t>
        </is>
      </c>
      <c r="J32" s="329" t="n"/>
      <c r="K32" s="329" t="inlineStr">
        <is>
          <t>Washington</t>
        </is>
      </c>
      <c r="L32" s="329" t="inlineStr">
        <is>
          <t>Washington, DC</t>
        </is>
      </c>
      <c r="M32" s="667" t="n"/>
      <c r="N32" s="329" t="inlineStr">
        <is>
          <t>DC</t>
        </is>
      </c>
      <c r="O32" s="483" t="inlineStr">
        <is>
          <t>Washington|DC</t>
        </is>
      </c>
      <c r="P32" s="329" t="inlineStr">
        <is>
          <t>Completed</t>
        </is>
      </c>
      <c r="Q32" s="329" t="inlineStr">
        <is>
          <t>Physical Service Visit</t>
        </is>
      </c>
      <c r="R32" s="329" t="n">
        <v>1</v>
      </c>
      <c r="S32" s="329" t="inlineStr">
        <is>
          <t>USDA-SPECIAL-E031</t>
        </is>
      </c>
      <c r="T32" s="667" t="n">
        <v>140</v>
      </c>
      <c r="U32" s="483" t="inlineStr">
        <is>
          <t>Eligible</t>
        </is>
      </c>
      <c r="V32" s="329" t="inlineStr">
        <is>
          <t>USDA corrected day allocation: $140 / 3.5 hrs @ $40/hr.</t>
        </is>
      </c>
      <c r="W32" s="329" t="inlineStr">
        <is>
          <t>Timeline + Service Calendar + Canonical Ledger</t>
        </is>
      </c>
      <c r="X32" s="329" t="inlineStr">
        <is>
          <t>Included</t>
        </is>
      </c>
      <c r="Y32" s="329" t="n"/>
      <c r="Z32" s="483" t="inlineStr">
        <is>
          <t>Yes</t>
        </is>
      </c>
      <c r="AA32" s="329" t="n"/>
      <c r="AB32" s="329" t="n"/>
      <c r="AC32" s="329" t="n"/>
      <c r="AD32" s="329" t="n"/>
      <c r="AE32" s="329" t="n"/>
    </row>
    <row r="33">
      <c r="A33" s="329" t="n">
        <v>32</v>
      </c>
      <c r="B33" s="665" t="inlineStr">
        <is>
          <t>EVT-0032</t>
        </is>
      </c>
      <c r="C33" s="666" t="n">
        <v>46178</v>
      </c>
      <c r="D33" s="483" t="inlineStr">
        <is>
          <t>Friday</t>
        </is>
      </c>
      <c r="E33" s="329" t="n">
        <v>7</v>
      </c>
      <c r="F33" s="329" t="inlineStr">
        <is>
          <t>MY_MONTH 2</t>
        </is>
      </c>
      <c r="G33" s="329" t="inlineStr">
        <is>
          <t>CL-021</t>
        </is>
      </c>
      <c r="H33" s="329" t="inlineStr">
        <is>
          <t>Hilton Garden Inn</t>
        </is>
      </c>
      <c r="I33" s="329" t="inlineStr">
        <is>
          <t>Hilton Garden Inn</t>
        </is>
      </c>
      <c r="J33" s="329" t="n"/>
      <c r="K33" s="329" t="inlineStr">
        <is>
          <t>Fairfax</t>
        </is>
      </c>
      <c r="L33" s="329" t="inlineStr">
        <is>
          <t>Virginia</t>
        </is>
      </c>
      <c r="M33" s="667" t="n"/>
      <c r="N33" s="329" t="inlineStr">
        <is>
          <t>VA</t>
        </is>
      </c>
      <c r="O33" s="483" t="inlineStr">
        <is>
          <t>Fairfax|VA</t>
        </is>
      </c>
      <c r="P33" s="329" t="inlineStr">
        <is>
          <t>Completed</t>
        </is>
      </c>
      <c r="Q33" s="329" t="inlineStr">
        <is>
          <t>Physical Service Visit</t>
        </is>
      </c>
      <c r="R33" s="329" t="n">
        <v>1</v>
      </c>
      <c r="S33" s="329" t="inlineStr">
        <is>
          <t>5898007</t>
        </is>
      </c>
      <c r="T33" s="667" t="n">
        <v>25</v>
      </c>
      <c r="U33" s="483" t="inlineStr">
        <is>
          <t>Eligible</t>
        </is>
      </c>
      <c r="V33" s="329" t="inlineStr">
        <is>
          <t>VA Hilton Garden Inn historical row.</t>
        </is>
      </c>
      <c r="W33" s="329" t="inlineStr">
        <is>
          <t>Timeline + Service Calendar + Canonical Ledger</t>
        </is>
      </c>
      <c r="X33" s="329" t="inlineStr">
        <is>
          <t>Included</t>
        </is>
      </c>
      <c r="Y33" s="329" t="n"/>
      <c r="Z33" s="483" t="inlineStr">
        <is>
          <t>Yes</t>
        </is>
      </c>
      <c r="AA33" s="329" t="n"/>
      <c r="AB33" s="329" t="n"/>
      <c r="AC33" s="329" t="n"/>
      <c r="AD33" s="329" t="n"/>
      <c r="AE33" s="329" t="n"/>
    </row>
    <row r="34">
      <c r="A34" s="329" t="n">
        <v>33</v>
      </c>
      <c r="B34" s="665" t="inlineStr">
        <is>
          <t>EVT-0033</t>
        </is>
      </c>
      <c r="C34" s="666" t="n">
        <v>46178</v>
      </c>
      <c r="D34" s="483" t="inlineStr">
        <is>
          <t>Friday</t>
        </is>
      </c>
      <c r="E34" s="329" t="n">
        <v>7</v>
      </c>
      <c r="F34" s="329" t="inlineStr">
        <is>
          <t>MY_MONTH 2</t>
        </is>
      </c>
      <c r="G34" s="329" t="inlineStr">
        <is>
          <t>CL-005</t>
        </is>
      </c>
      <c r="H34" s="329" t="inlineStr">
        <is>
          <t>Hebrew Home of Greater Washington</t>
        </is>
      </c>
      <c r="I34" s="329" t="inlineStr">
        <is>
          <t>Hebrew Home of Greater Washington</t>
        </is>
      </c>
      <c r="J34" s="329" t="n"/>
      <c r="K34" s="329" t="inlineStr">
        <is>
          <t>North Bethesda</t>
        </is>
      </c>
      <c r="L34" s="329" t="inlineStr">
        <is>
          <t>Maryland</t>
        </is>
      </c>
      <c r="M34" s="667" t="n"/>
      <c r="N34" s="329" t="inlineStr">
        <is>
          <t>MD</t>
        </is>
      </c>
      <c r="O34" s="483" t="inlineStr">
        <is>
          <t>North Bethesda|MD</t>
        </is>
      </c>
      <c r="P34" s="329" t="inlineStr">
        <is>
          <t>Completed</t>
        </is>
      </c>
      <c r="Q34" s="329" t="inlineStr">
        <is>
          <t>Physical Service Visit</t>
        </is>
      </c>
      <c r="R34" s="329" t="n">
        <v>1</v>
      </c>
      <c r="S34" s="329" t="inlineStr">
        <is>
          <t>5896039</t>
        </is>
      </c>
      <c r="T34" s="667" t="n">
        <v>50</v>
      </c>
      <c r="U34" s="483" t="inlineStr">
        <is>
          <t>Eligible</t>
        </is>
      </c>
      <c r="V34" s="329" t="inlineStr">
        <is>
          <t>Maryland revenue included.</t>
        </is>
      </c>
      <c r="W34" s="329" t="inlineStr">
        <is>
          <t>Timeline + Service Calendar + Canonical Ledger</t>
        </is>
      </c>
      <c r="X34" s="329" t="inlineStr">
        <is>
          <t>Included</t>
        </is>
      </c>
      <c r="Y34" s="329" t="n"/>
      <c r="Z34" s="483" t="inlineStr">
        <is>
          <t>Yes</t>
        </is>
      </c>
      <c r="AA34" s="329" t="n"/>
      <c r="AB34" s="329" t="n"/>
      <c r="AC34" s="329" t="n"/>
      <c r="AD34" s="329" t="n"/>
      <c r="AE34" s="329" t="n"/>
    </row>
    <row r="35">
      <c r="A35" s="329" t="n">
        <v>34</v>
      </c>
      <c r="B35" s="665" t="inlineStr">
        <is>
          <t>EVT-0034</t>
        </is>
      </c>
      <c r="C35" s="666" t="n">
        <v>46178</v>
      </c>
      <c r="D35" s="483" t="inlineStr">
        <is>
          <t>Friday</t>
        </is>
      </c>
      <c r="E35" s="329" t="n">
        <v>7</v>
      </c>
      <c r="F35" s="329" t="inlineStr">
        <is>
          <t>MY_MONTH 2</t>
        </is>
      </c>
      <c r="G35" s="329" t="inlineStr">
        <is>
          <t>CL-020</t>
        </is>
      </c>
      <c r="H35" s="329" t="inlineStr">
        <is>
          <t>TJ Maxx</t>
        </is>
      </c>
      <c r="I35" s="329" t="inlineStr">
        <is>
          <t>TJ Maxx</t>
        </is>
      </c>
      <c r="J35" s="329" t="n"/>
      <c r="K35" s="329" t="inlineStr">
        <is>
          <t>Annapolis</t>
        </is>
      </c>
      <c r="L35" s="329" t="inlineStr">
        <is>
          <t>Maryland</t>
        </is>
      </c>
      <c r="M35" s="667" t="n"/>
      <c r="N35" s="329" t="inlineStr">
        <is>
          <t>MD</t>
        </is>
      </c>
      <c r="O35" s="483" t="inlineStr">
        <is>
          <t>Annapolis|MD</t>
        </is>
      </c>
      <c r="P35" s="329" t="inlineStr">
        <is>
          <t>Completed</t>
        </is>
      </c>
      <c r="Q35" s="329" t="inlineStr">
        <is>
          <t>Physical Service Visit</t>
        </is>
      </c>
      <c r="R35" s="329" t="n">
        <v>1</v>
      </c>
      <c r="S35" s="329" t="inlineStr">
        <is>
          <t>5898904</t>
        </is>
      </c>
      <c r="T35" s="667" t="n">
        <v>70</v>
      </c>
      <c r="U35" s="483" t="inlineStr">
        <is>
          <t>Eligible</t>
        </is>
      </c>
      <c r="V35" s="329" t="inlineStr">
        <is>
          <t>Maryland revenue included.</t>
        </is>
      </c>
      <c r="W35" s="329" t="inlineStr">
        <is>
          <t>Timeline + Service Calendar + Canonical Ledger</t>
        </is>
      </c>
      <c r="X35" s="329" t="inlineStr">
        <is>
          <t>Included</t>
        </is>
      </c>
      <c r="Y35" s="329" t="n"/>
      <c r="Z35" s="483" t="inlineStr">
        <is>
          <t>Yes</t>
        </is>
      </c>
      <c r="AA35" s="329" t="n"/>
      <c r="AB35" s="329" t="n"/>
      <c r="AC35" s="329" t="n"/>
      <c r="AD35" s="329" t="n"/>
      <c r="AE35" s="329" t="n"/>
    </row>
    <row r="36">
      <c r="A36" s="329" t="n">
        <v>35</v>
      </c>
      <c r="B36" s="665" t="inlineStr">
        <is>
          <t>EVT-0035</t>
        </is>
      </c>
      <c r="C36" s="666" t="n">
        <v>46181</v>
      </c>
      <c r="D36" s="483" t="inlineStr">
        <is>
          <t>Monday</t>
        </is>
      </c>
      <c r="E36" s="329" t="n">
        <v>8</v>
      </c>
      <c r="F36" s="329" t="inlineStr">
        <is>
          <t>MY_MONTH 2</t>
        </is>
      </c>
      <c r="G36" s="329" t="inlineStr">
        <is>
          <t>CL-022</t>
        </is>
      </c>
      <c r="H36" s="329" t="inlineStr">
        <is>
          <t>Marshalls</t>
        </is>
      </c>
      <c r="I36" s="329" t="inlineStr">
        <is>
          <t>Marshalls</t>
        </is>
      </c>
      <c r="J36" s="329" t="n"/>
      <c r="K36" s="329" t="inlineStr">
        <is>
          <t>Dunkirk</t>
        </is>
      </c>
      <c r="L36" s="329" t="inlineStr">
        <is>
          <t>Maryland</t>
        </is>
      </c>
      <c r="M36" s="667" t="n"/>
      <c r="N36" s="329" t="inlineStr">
        <is>
          <t>MD</t>
        </is>
      </c>
      <c r="O36" s="483" t="inlineStr">
        <is>
          <t>Dunkirk|MD</t>
        </is>
      </c>
      <c r="P36" s="329" t="inlineStr">
        <is>
          <t>Completed</t>
        </is>
      </c>
      <c r="Q36" s="329" t="inlineStr">
        <is>
          <t>Physical Service Visit</t>
        </is>
      </c>
      <c r="R36" s="329" t="n">
        <v>1</v>
      </c>
      <c r="S36" s="329" t="inlineStr">
        <is>
          <t>5899056</t>
        </is>
      </c>
      <c r="T36" s="667" t="n">
        <v>70</v>
      </c>
      <c r="U36" s="483" t="inlineStr">
        <is>
          <t>Eligible</t>
        </is>
      </c>
      <c r="V36" s="329" t="inlineStr">
        <is>
          <t>Payment breakdown reissued/verified; no financial change.</t>
        </is>
      </c>
      <c r="W36" s="329" t="inlineStr">
        <is>
          <t>Timeline + Service Calendar + Canonical Ledger</t>
        </is>
      </c>
      <c r="X36" s="329" t="inlineStr">
        <is>
          <t>Included</t>
        </is>
      </c>
      <c r="Y36" s="329" t="n"/>
      <c r="Z36" s="483" t="inlineStr">
        <is>
          <t>Yes</t>
        </is>
      </c>
      <c r="AA36" s="329" t="n"/>
      <c r="AB36" s="329" t="n"/>
      <c r="AC36" s="329" t="n"/>
      <c r="AD36" s="329" t="n"/>
      <c r="AE36" s="329" t="n"/>
    </row>
    <row r="37">
      <c r="A37" s="329" t="n">
        <v>36</v>
      </c>
      <c r="B37" s="665" t="inlineStr">
        <is>
          <t>EVT-0036</t>
        </is>
      </c>
      <c r="C37" s="666" t="n">
        <v>46182</v>
      </c>
      <c r="D37" s="483" t="inlineStr">
        <is>
          <t>Tuesday</t>
        </is>
      </c>
      <c r="E37" s="329" t="n">
        <v>8</v>
      </c>
      <c r="F37" s="329" t="inlineStr">
        <is>
          <t>MY_MONTH 2</t>
        </is>
      </c>
      <c r="G37" s="329" t="inlineStr">
        <is>
          <t>CL-003</t>
        </is>
      </c>
      <c r="H37" s="329" t="inlineStr">
        <is>
          <t>Hampton Inn &amp; Suites</t>
        </is>
      </c>
      <c r="I37" s="329" t="inlineStr">
        <is>
          <t>Hampton Inn &amp; Suites</t>
        </is>
      </c>
      <c r="J37" s="329" t="n"/>
      <c r="K37" s="329" t="inlineStr">
        <is>
          <t>Edgewood</t>
        </is>
      </c>
      <c r="L37" s="329" t="inlineStr">
        <is>
          <t>Maryland</t>
        </is>
      </c>
      <c r="M37" s="667" t="n"/>
      <c r="N37" s="329" t="inlineStr">
        <is>
          <t>MD</t>
        </is>
      </c>
      <c r="O37" s="483" t="inlineStr">
        <is>
          <t>Edgewood|MD</t>
        </is>
      </c>
      <c r="P37" s="329" t="inlineStr">
        <is>
          <t>Completed</t>
        </is>
      </c>
      <c r="Q37" s="329" t="inlineStr">
        <is>
          <t>Physical Service Visit</t>
        </is>
      </c>
      <c r="R37" s="329" t="n">
        <v>1</v>
      </c>
      <c r="S37" s="329" t="inlineStr">
        <is>
          <t>5899295</t>
        </is>
      </c>
      <c r="T37" s="667" t="n">
        <v>65</v>
      </c>
      <c r="U37" s="483" t="inlineStr">
        <is>
          <t>Eligible</t>
        </is>
      </c>
      <c r="V37" s="329" t="inlineStr">
        <is>
          <t>Maryland revenue included.</t>
        </is>
      </c>
      <c r="W37" s="329" t="inlineStr">
        <is>
          <t>Timeline + Service Calendar + Canonical Ledger</t>
        </is>
      </c>
      <c r="X37" s="329" t="inlineStr">
        <is>
          <t>Included</t>
        </is>
      </c>
      <c r="Y37" s="329" t="n"/>
      <c r="Z37" s="483" t="inlineStr">
        <is>
          <t>Yes</t>
        </is>
      </c>
      <c r="AA37" s="329" t="n"/>
      <c r="AB37" s="329" t="n"/>
      <c r="AC37" s="329" t="n"/>
      <c r="AD37" s="329" t="n"/>
      <c r="AE37" s="329" t="n"/>
    </row>
    <row r="38">
      <c r="A38" s="329" t="n">
        <v>37</v>
      </c>
      <c r="B38" s="665" t="inlineStr">
        <is>
          <t>EVT-0037</t>
        </is>
      </c>
      <c r="C38" s="666" t="n">
        <v>46182</v>
      </c>
      <c r="D38" s="483" t="inlineStr">
        <is>
          <t>Tuesday</t>
        </is>
      </c>
      <c r="E38" s="329" t="n">
        <v>8</v>
      </c>
      <c r="F38" s="329" t="inlineStr">
        <is>
          <t>MY_MONTH 2</t>
        </is>
      </c>
      <c r="G38" s="329" t="inlineStr">
        <is>
          <t>CL-016</t>
        </is>
      </c>
      <c r="H38" s="329" t="inlineStr">
        <is>
          <t>HomeGoods</t>
        </is>
      </c>
      <c r="I38" s="329" t="inlineStr">
        <is>
          <t>HomeGoods</t>
        </is>
      </c>
      <c r="J38" s="329" t="n"/>
      <c r="K38" s="329" t="inlineStr">
        <is>
          <t>Sterling</t>
        </is>
      </c>
      <c r="L38" s="329" t="inlineStr">
        <is>
          <t>Virginia</t>
        </is>
      </c>
      <c r="M38" s="667" t="n"/>
      <c r="N38" s="329" t="inlineStr">
        <is>
          <t>VA</t>
        </is>
      </c>
      <c r="O38" s="483" t="inlineStr">
        <is>
          <t>Sterling|VA</t>
        </is>
      </c>
      <c r="P38" s="329" t="inlineStr">
        <is>
          <t>Completed</t>
        </is>
      </c>
      <c r="Q38" s="329" t="inlineStr">
        <is>
          <t>Physical Service Visit</t>
        </is>
      </c>
      <c r="R38" s="329" t="n">
        <v>1</v>
      </c>
      <c r="S38" s="329" t="inlineStr">
        <is>
          <t>5899715</t>
        </is>
      </c>
      <c r="T38" s="667" t="n">
        <v>90</v>
      </c>
      <c r="U38" s="483" t="inlineStr">
        <is>
          <t>Eligible</t>
        </is>
      </c>
      <c r="V38" s="329" t="inlineStr">
        <is>
          <t>VA revenue included.</t>
        </is>
      </c>
      <c r="W38" s="329" t="inlineStr">
        <is>
          <t>Timeline + Service Calendar + Canonical Ledger</t>
        </is>
      </c>
      <c r="X38" s="329" t="inlineStr">
        <is>
          <t>Included</t>
        </is>
      </c>
      <c r="Y38" s="329" t="n"/>
      <c r="Z38" s="483" t="inlineStr">
        <is>
          <t>Yes</t>
        </is>
      </c>
      <c r="AA38" s="329" t="n"/>
      <c r="AB38" s="329" t="n"/>
      <c r="AC38" s="329" t="n"/>
      <c r="AD38" s="329" t="n"/>
      <c r="AE38" s="329" t="n"/>
    </row>
    <row r="39">
      <c r="A39" s="329" t="n">
        <v>38</v>
      </c>
      <c r="B39" s="665" t="inlineStr">
        <is>
          <t>EVT-0038</t>
        </is>
      </c>
      <c r="C39" s="666" t="n">
        <v>46183</v>
      </c>
      <c r="D39" s="483" t="inlineStr">
        <is>
          <t>Wednesday</t>
        </is>
      </c>
      <c r="E39" s="329" t="n">
        <v>8</v>
      </c>
      <c r="F39" s="329" t="inlineStr">
        <is>
          <t>MY_MONTH 2</t>
        </is>
      </c>
      <c r="G39" s="329" t="inlineStr">
        <is>
          <t>CL-006</t>
        </is>
      </c>
      <c r="H39" s="329" t="inlineStr">
        <is>
          <t>7-Eleven</t>
        </is>
      </c>
      <c r="I39" s="329" t="inlineStr">
        <is>
          <t>7-Eleven</t>
        </is>
      </c>
      <c r="J39" s="329" t="n"/>
      <c r="K39" s="329" t="inlineStr">
        <is>
          <t>Lanham</t>
        </is>
      </c>
      <c r="L39" s="329" t="inlineStr">
        <is>
          <t>Maryland</t>
        </is>
      </c>
      <c r="M39" s="667" t="n"/>
      <c r="N39" s="329" t="inlineStr">
        <is>
          <t>MD</t>
        </is>
      </c>
      <c r="O39" s="483" t="inlineStr">
        <is>
          <t>Lanham|MD</t>
        </is>
      </c>
      <c r="P39" s="329" t="inlineStr">
        <is>
          <t>Completed</t>
        </is>
      </c>
      <c r="Q39" s="329" t="inlineStr">
        <is>
          <t>Physical Service Visit</t>
        </is>
      </c>
      <c r="R39" s="329" t="n">
        <v>1</v>
      </c>
      <c r="S39" s="329" t="inlineStr">
        <is>
          <t>5900102</t>
        </is>
      </c>
      <c r="T39" s="667" t="n">
        <v>240</v>
      </c>
      <c r="U39" s="483" t="inlineStr">
        <is>
          <t>Eligible</t>
        </is>
      </c>
      <c r="V39" s="329" t="inlineStr">
        <is>
          <t>7-Eleven dispute cleared at $240.</t>
        </is>
      </c>
      <c r="W39" s="329" t="inlineStr">
        <is>
          <t>Timeline + Service Calendar + Canonical Ledger</t>
        </is>
      </c>
      <c r="X39" s="329" t="inlineStr">
        <is>
          <t>Included</t>
        </is>
      </c>
      <c r="Y39" s="329" t="n"/>
      <c r="Z39" s="483" t="inlineStr">
        <is>
          <t>Yes</t>
        </is>
      </c>
      <c r="AA39" s="329" t="n"/>
      <c r="AB39" s="329" t="n"/>
      <c r="AC39" s="329" t="n"/>
      <c r="AD39" s="329" t="n"/>
      <c r="AE39" s="329" t="n"/>
    </row>
    <row r="40">
      <c r="A40" s="329" t="n">
        <v>39</v>
      </c>
      <c r="B40" s="665" t="inlineStr">
        <is>
          <t>EVT-0039</t>
        </is>
      </c>
      <c r="C40" s="666" t="n">
        <v>46183</v>
      </c>
      <c r="D40" s="483" t="inlineStr">
        <is>
          <t>Wednesday</t>
        </is>
      </c>
      <c r="E40" s="329" t="n">
        <v>8</v>
      </c>
      <c r="F40" s="329" t="inlineStr">
        <is>
          <t>MY_MONTH 2</t>
        </is>
      </c>
      <c r="G40" s="329" t="inlineStr">
        <is>
          <t>CL-020</t>
        </is>
      </c>
      <c r="H40" s="329" t="inlineStr">
        <is>
          <t>TJ Maxx</t>
        </is>
      </c>
      <c r="I40" s="329" t="inlineStr">
        <is>
          <t>TJ Maxx</t>
        </is>
      </c>
      <c r="J40" s="329" t="n"/>
      <c r="K40" s="329" t="inlineStr">
        <is>
          <t>Annapolis</t>
        </is>
      </c>
      <c r="L40" s="329" t="inlineStr">
        <is>
          <t>Maryland</t>
        </is>
      </c>
      <c r="M40" s="667" t="n"/>
      <c r="N40" s="329" t="inlineStr">
        <is>
          <t>MD</t>
        </is>
      </c>
      <c r="O40" s="483" t="inlineStr">
        <is>
          <t>Annapolis|MD</t>
        </is>
      </c>
      <c r="P40" s="329" t="inlineStr">
        <is>
          <t>Completed</t>
        </is>
      </c>
      <c r="Q40" s="329" t="inlineStr">
        <is>
          <t>Physical Service Visit</t>
        </is>
      </c>
      <c r="R40" s="329" t="n">
        <v>1</v>
      </c>
      <c r="S40" s="329" t="inlineStr">
        <is>
          <t>5900492</t>
        </is>
      </c>
      <c r="T40" s="667" t="n">
        <v>90</v>
      </c>
      <c r="U40" s="483" t="inlineStr">
        <is>
          <t>Eligible</t>
        </is>
      </c>
      <c r="V40" s="329" t="inlineStr">
        <is>
          <t>Payment breakdown reissued/verified; no financial change.</t>
        </is>
      </c>
      <c r="W40" s="329" t="inlineStr">
        <is>
          <t>Timeline + Service Calendar + Canonical Ledger</t>
        </is>
      </c>
      <c r="X40" s="329" t="inlineStr">
        <is>
          <t>Included</t>
        </is>
      </c>
      <c r="Y40" s="329" t="n"/>
      <c r="Z40" s="483" t="inlineStr">
        <is>
          <t>Yes</t>
        </is>
      </c>
      <c r="AA40" s="329" t="n"/>
      <c r="AB40" s="329" t="n"/>
      <c r="AC40" s="329" t="n"/>
      <c r="AD40" s="329" t="n"/>
      <c r="AE40" s="329" t="n"/>
    </row>
    <row r="41">
      <c r="A41" s="329" t="n">
        <v>40</v>
      </c>
      <c r="B41" s="665" t="inlineStr">
        <is>
          <t>EVT-0040</t>
        </is>
      </c>
      <c r="C41" s="666" t="n">
        <v>46183</v>
      </c>
      <c r="D41" s="483" t="inlineStr">
        <is>
          <t>Wednesday</t>
        </is>
      </c>
      <c r="E41" s="329" t="n">
        <v>8</v>
      </c>
      <c r="F41" s="329" t="inlineStr">
        <is>
          <t>MY_MONTH 2</t>
        </is>
      </c>
      <c r="G41" s="329" t="inlineStr">
        <is>
          <t>CL-011</t>
        </is>
      </c>
      <c r="H41" s="329" t="inlineStr">
        <is>
          <t>Residential – Annapolis Neck, MD</t>
        </is>
      </c>
      <c r="I41" s="329" t="inlineStr">
        <is>
          <t>Residential</t>
        </is>
      </c>
      <c r="J41" s="329" t="n"/>
      <c r="K41" s="329" t="inlineStr">
        <is>
          <t>Annapolis Neck</t>
        </is>
      </c>
      <c r="L41" s="329" t="inlineStr">
        <is>
          <t>Maryland</t>
        </is>
      </c>
      <c r="M41" s="667" t="n"/>
      <c r="N41" s="329" t="inlineStr">
        <is>
          <t>MD</t>
        </is>
      </c>
      <c r="O41" s="483" t="inlineStr">
        <is>
          <t>Annapolis Neck|MD</t>
        </is>
      </c>
      <c r="P41" s="329" t="inlineStr">
        <is>
          <t>Completed</t>
        </is>
      </c>
      <c r="Q41" s="329" t="inlineStr">
        <is>
          <t>Physical Service Visit</t>
        </is>
      </c>
      <c r="R41" s="329" t="n">
        <v>1</v>
      </c>
      <c r="S41" s="329" t="inlineStr">
        <is>
          <t>5877236</t>
        </is>
      </c>
      <c r="T41" s="667" t="n">
        <v>60</v>
      </c>
      <c r="U41" s="483" t="inlineStr">
        <is>
          <t>Eligible</t>
        </is>
      </c>
      <c r="V41" s="329" t="inlineStr">
        <is>
          <t>Dynabook repair completed.</t>
        </is>
      </c>
      <c r="W41" s="329" t="inlineStr">
        <is>
          <t>Timeline + Service Calendar + Canonical Ledger</t>
        </is>
      </c>
      <c r="X41" s="329" t="inlineStr">
        <is>
          <t>Included</t>
        </is>
      </c>
      <c r="Y41" s="329" t="n"/>
      <c r="Z41" s="483" t="inlineStr">
        <is>
          <t>Yes</t>
        </is>
      </c>
      <c r="AA41" s="329" t="n"/>
      <c r="AB41" s="329" t="n"/>
      <c r="AC41" s="329" t="n"/>
      <c r="AD41" s="329" t="n"/>
      <c r="AE41" s="329" t="n"/>
    </row>
    <row r="42">
      <c r="A42" s="329" t="n">
        <v>41</v>
      </c>
      <c r="B42" s="665" t="inlineStr">
        <is>
          <t>EVT-0041</t>
        </is>
      </c>
      <c r="C42" s="666" t="n">
        <v>46184</v>
      </c>
      <c r="D42" s="483" t="inlineStr">
        <is>
          <t>Thursday</t>
        </is>
      </c>
      <c r="E42" s="329" t="n">
        <v>8</v>
      </c>
      <c r="F42" s="329" t="inlineStr">
        <is>
          <t>MY_MONTH 2</t>
        </is>
      </c>
      <c r="G42" s="329" t="inlineStr">
        <is>
          <t>CL-023</t>
        </is>
      </c>
      <c r="H42" s="329" t="inlineStr">
        <is>
          <t>Baskin-Robbins</t>
        </is>
      </c>
      <c r="I42" s="329" t="inlineStr">
        <is>
          <t>Baskin Robbins</t>
        </is>
      </c>
      <c r="J42" s="329" t="n"/>
      <c r="K42" s="329" t="inlineStr">
        <is>
          <t>Falls Church</t>
        </is>
      </c>
      <c r="L42" s="329" t="inlineStr">
        <is>
          <t>Virginia</t>
        </is>
      </c>
      <c r="M42" s="667" t="n"/>
      <c r="N42" s="329" t="inlineStr">
        <is>
          <t>VA</t>
        </is>
      </c>
      <c r="O42" s="483" t="inlineStr">
        <is>
          <t>Falls Church|VA</t>
        </is>
      </c>
      <c r="P42" s="329" t="inlineStr">
        <is>
          <t>Completed</t>
        </is>
      </c>
      <c r="Q42" s="329" t="inlineStr">
        <is>
          <t>Physical Service Visit</t>
        </is>
      </c>
      <c r="R42" s="329" t="n">
        <v>1</v>
      </c>
      <c r="S42" s="329" t="inlineStr">
        <is>
          <t>5887374</t>
        </is>
      </c>
      <c r="T42" s="667" t="n">
        <v>45</v>
      </c>
      <c r="U42" s="483" t="inlineStr">
        <is>
          <t>Eligible</t>
        </is>
      </c>
      <c r="V42" s="329" t="inlineStr">
        <is>
          <t>Corrected: WO 5887374 = Baskin Robbins. Breakdown and ACH confirmed at $45.</t>
        </is>
      </c>
      <c r="W42" s="329" t="inlineStr">
        <is>
          <t>Timeline + Service Calendar + Canonical Ledger</t>
        </is>
      </c>
      <c r="X42" s="329" t="inlineStr">
        <is>
          <t>Included</t>
        </is>
      </c>
      <c r="Y42" s="329" t="n"/>
      <c r="Z42" s="483" t="inlineStr">
        <is>
          <t>Yes</t>
        </is>
      </c>
      <c r="AA42" s="329" t="n"/>
      <c r="AB42" s="329" t="n"/>
      <c r="AC42" s="329" t="n"/>
      <c r="AD42" s="329" t="n"/>
      <c r="AE42" s="329" t="n"/>
    </row>
    <row r="43">
      <c r="A43" s="329" t="n">
        <v>42</v>
      </c>
      <c r="B43" s="665" t="inlineStr">
        <is>
          <t>EVT-0042</t>
        </is>
      </c>
      <c r="C43" s="666" t="n">
        <v>46184</v>
      </c>
      <c r="D43" s="483" t="inlineStr">
        <is>
          <t>Thursday</t>
        </is>
      </c>
      <c r="E43" s="329" t="n">
        <v>8</v>
      </c>
      <c r="F43" s="329" t="inlineStr">
        <is>
          <t>MY_MONTH 2</t>
        </is>
      </c>
      <c r="G43" s="329" t="inlineStr">
        <is>
          <t>CL-012</t>
        </is>
      </c>
      <c r="H43" s="329" t="inlineStr">
        <is>
          <t>Verizon</t>
        </is>
      </c>
      <c r="I43" s="329" t="inlineStr">
        <is>
          <t>Verizon</t>
        </is>
      </c>
      <c r="J43" s="329" t="n"/>
      <c r="K43" s="329" t="inlineStr">
        <is>
          <t>Ellicott City</t>
        </is>
      </c>
      <c r="L43" s="329" t="inlineStr">
        <is>
          <t>Maryland</t>
        </is>
      </c>
      <c r="M43" s="667" t="n"/>
      <c r="N43" s="329" t="inlineStr">
        <is>
          <t>MD</t>
        </is>
      </c>
      <c r="O43" s="483" t="inlineStr">
        <is>
          <t>Ellicott City|MD</t>
        </is>
      </c>
      <c r="P43" s="329" t="inlineStr">
        <is>
          <t>Completed</t>
        </is>
      </c>
      <c r="Q43" s="329" t="inlineStr">
        <is>
          <t>Physical Service Visit</t>
        </is>
      </c>
      <c r="R43" s="329" t="n">
        <v>1</v>
      </c>
      <c r="S43" s="329" t="inlineStr">
        <is>
          <t>5901061</t>
        </is>
      </c>
      <c r="T43" s="667" t="n">
        <v>50</v>
      </c>
      <c r="U43" s="483" t="inlineStr">
        <is>
          <t>Eligible</t>
        </is>
      </c>
      <c r="V43" s="329" t="inlineStr">
        <is>
          <t>Payment breakdown found; ACH B5901061T1 confirmed.</t>
        </is>
      </c>
      <c r="W43" s="329" t="inlineStr">
        <is>
          <t>Timeline + Service Calendar + Canonical Ledger</t>
        </is>
      </c>
      <c r="X43" s="329" t="inlineStr">
        <is>
          <t>Included</t>
        </is>
      </c>
      <c r="Y43" s="329" t="n"/>
      <c r="Z43" s="483" t="inlineStr">
        <is>
          <t>Yes</t>
        </is>
      </c>
      <c r="AA43" s="329" t="n"/>
      <c r="AB43" s="329" t="n"/>
      <c r="AC43" s="329" t="n"/>
      <c r="AD43" s="329" t="n"/>
      <c r="AE43" s="329" t="n"/>
    </row>
    <row r="44">
      <c r="A44" s="329" t="n">
        <v>43</v>
      </c>
      <c r="B44" s="665" t="inlineStr">
        <is>
          <t>EVT-0043</t>
        </is>
      </c>
      <c r="C44" s="666" t="n">
        <v>46185</v>
      </c>
      <c r="D44" s="483" t="inlineStr">
        <is>
          <t>Friday</t>
        </is>
      </c>
      <c r="E44" s="329" t="n">
        <v>8</v>
      </c>
      <c r="F44" s="329" t="inlineStr">
        <is>
          <t>MY_MONTH 2</t>
        </is>
      </c>
      <c r="G44" s="329" t="inlineStr">
        <is>
          <t>CL-012</t>
        </is>
      </c>
      <c r="H44" s="329" t="inlineStr">
        <is>
          <t>Verizon</t>
        </is>
      </c>
      <c r="I44" s="329" t="inlineStr">
        <is>
          <t>Verizon</t>
        </is>
      </c>
      <c r="J44" s="329" t="n"/>
      <c r="K44" s="329" t="inlineStr">
        <is>
          <t>Lanham</t>
        </is>
      </c>
      <c r="L44" s="329" t="inlineStr">
        <is>
          <t>Maryland</t>
        </is>
      </c>
      <c r="M44" s="667" t="n"/>
      <c r="N44" s="329" t="inlineStr">
        <is>
          <t>MD</t>
        </is>
      </c>
      <c r="O44" s="483" t="inlineStr">
        <is>
          <t>Lanham|MD</t>
        </is>
      </c>
      <c r="P44" s="329" t="inlineStr">
        <is>
          <t>Completed</t>
        </is>
      </c>
      <c r="Q44" s="329" t="inlineStr">
        <is>
          <t>Physical Service Visit</t>
        </is>
      </c>
      <c r="R44" s="329" t="n">
        <v>1</v>
      </c>
      <c r="S44" s="329" t="inlineStr">
        <is>
          <t>5902689</t>
        </is>
      </c>
      <c r="T44" s="667" t="n">
        <v>50</v>
      </c>
      <c r="U44" s="483" t="inlineStr">
        <is>
          <t>Eligible</t>
        </is>
      </c>
      <c r="V44" s="329" t="inlineStr">
        <is>
          <t>Verizon Lanham amount locked at $50.</t>
        </is>
      </c>
      <c r="W44" s="329" t="inlineStr">
        <is>
          <t>Timeline + Service Calendar + Canonical Ledger</t>
        </is>
      </c>
      <c r="X44" s="329" t="inlineStr">
        <is>
          <t>Included</t>
        </is>
      </c>
      <c r="Y44" s="329" t="n"/>
      <c r="Z44" s="483" t="inlineStr">
        <is>
          <t>Yes</t>
        </is>
      </c>
      <c r="AA44" s="329" t="n"/>
      <c r="AB44" s="329" t="n"/>
      <c r="AC44" s="329" t="n"/>
      <c r="AD44" s="329" t="n"/>
      <c r="AE44" s="329" t="n"/>
    </row>
    <row r="45">
      <c r="A45" s="329" t="n">
        <v>44</v>
      </c>
      <c r="B45" s="665" t="inlineStr">
        <is>
          <t>EVT-0044</t>
        </is>
      </c>
      <c r="C45" s="666" t="n">
        <v>46188</v>
      </c>
      <c r="D45" s="483" t="inlineStr">
        <is>
          <t>Monday</t>
        </is>
      </c>
      <c r="E45" s="329" t="n">
        <v>9</v>
      </c>
      <c r="F45" s="329" t="inlineStr">
        <is>
          <t>MY_MONTH 2</t>
        </is>
      </c>
      <c r="G45" s="329" t="inlineStr">
        <is>
          <t>CL-022</t>
        </is>
      </c>
      <c r="H45" s="329" t="inlineStr">
        <is>
          <t>Marshalls</t>
        </is>
      </c>
      <c r="I45" s="329" t="inlineStr">
        <is>
          <t>Marshalls</t>
        </is>
      </c>
      <c r="J45" s="329" t="n"/>
      <c r="K45" s="329" t="inlineStr">
        <is>
          <t>Frederick</t>
        </is>
      </c>
      <c r="L45" s="329" t="inlineStr">
        <is>
          <t>Maryland</t>
        </is>
      </c>
      <c r="M45" s="667" t="n"/>
      <c r="N45" s="329" t="inlineStr">
        <is>
          <t>MD</t>
        </is>
      </c>
      <c r="O45" s="483" t="inlineStr">
        <is>
          <t>Frederick|MD</t>
        </is>
      </c>
      <c r="P45" s="329" t="inlineStr">
        <is>
          <t>Completed</t>
        </is>
      </c>
      <c r="Q45" s="329" t="inlineStr">
        <is>
          <t>Physical Service Visit</t>
        </is>
      </c>
      <c r="R45" s="329" t="n">
        <v>1</v>
      </c>
      <c r="S45" s="329" t="inlineStr">
        <is>
          <t>5902930</t>
        </is>
      </c>
      <c r="T45" s="667" t="n">
        <v>123.75</v>
      </c>
      <c r="U45" s="483" t="inlineStr">
        <is>
          <t>Eligible</t>
        </is>
      </c>
      <c r="V45" s="329" t="inlineStr">
        <is>
          <t>ACH confirmed B5902930T2 at $123.75.</t>
        </is>
      </c>
      <c r="W45" s="329" t="inlineStr">
        <is>
          <t>Timeline + Service Calendar + Canonical Ledger</t>
        </is>
      </c>
      <c r="X45" s="329" t="inlineStr">
        <is>
          <t>Included</t>
        </is>
      </c>
      <c r="Y45" s="329" t="n"/>
      <c r="Z45" s="483" t="inlineStr">
        <is>
          <t>Yes</t>
        </is>
      </c>
      <c r="AA45" s="329" t="n"/>
      <c r="AB45" s="329" t="n"/>
      <c r="AC45" s="329" t="n"/>
      <c r="AD45" s="329" t="n"/>
      <c r="AE45" s="329" t="n"/>
    </row>
    <row r="46">
      <c r="A46" s="329" t="n">
        <v>45</v>
      </c>
      <c r="B46" s="665" t="inlineStr">
        <is>
          <t>EVT-0045</t>
        </is>
      </c>
      <c r="C46" s="666" t="n">
        <v>46190</v>
      </c>
      <c r="D46" s="483" t="inlineStr">
        <is>
          <t>Wednesday</t>
        </is>
      </c>
      <c r="E46" s="329" t="n">
        <v>9</v>
      </c>
      <c r="F46" s="329" t="inlineStr">
        <is>
          <t>MY_MONTH 2</t>
        </is>
      </c>
      <c r="G46" s="329" t="inlineStr">
        <is>
          <t>CL-024</t>
        </is>
      </c>
      <c r="H46" s="329" t="inlineStr">
        <is>
          <t>Montpelier Liquors</t>
        </is>
      </c>
      <c r="I46" s="329" t="inlineStr">
        <is>
          <t>Montpelier Liquors</t>
        </is>
      </c>
      <c r="J46" s="329" t="n"/>
      <c r="K46" s="329" t="inlineStr">
        <is>
          <t>Laurel</t>
        </is>
      </c>
      <c r="L46" s="329" t="inlineStr">
        <is>
          <t>Maryland</t>
        </is>
      </c>
      <c r="M46" s="667" t="n"/>
      <c r="N46" s="329" t="inlineStr">
        <is>
          <t>MD</t>
        </is>
      </c>
      <c r="O46" s="483" t="inlineStr">
        <is>
          <t>Laurel|MD</t>
        </is>
      </c>
      <c r="P46" s="329" t="inlineStr">
        <is>
          <t>Completed</t>
        </is>
      </c>
      <c r="Q46" s="329" t="inlineStr">
        <is>
          <t>Physical Service Visit</t>
        </is>
      </c>
      <c r="R46" s="329" t="n">
        <v>1</v>
      </c>
      <c r="S46" s="329" t="inlineStr">
        <is>
          <t>5900963</t>
        </is>
      </c>
      <c r="T46" s="667" t="n">
        <v>128</v>
      </c>
      <c r="U46" s="483" t="inlineStr">
        <is>
          <t>Eligible</t>
        </is>
      </c>
      <c r="V46" s="329" t="inlineStr">
        <is>
          <t>Montpelier Liquors WO 5900963; ACH confirmed July 1 at $128.</t>
        </is>
      </c>
      <c r="W46" s="329" t="inlineStr">
        <is>
          <t>Timeline + Service Calendar + Canonical Ledger</t>
        </is>
      </c>
      <c r="X46" s="329" t="inlineStr">
        <is>
          <t>Included</t>
        </is>
      </c>
      <c r="Y46" s="329" t="n"/>
      <c r="Z46" s="483" t="inlineStr">
        <is>
          <t>Yes</t>
        </is>
      </c>
      <c r="AA46" s="329" t="n"/>
      <c r="AB46" s="329" t="n"/>
      <c r="AC46" s="329" t="n"/>
      <c r="AD46" s="329" t="n"/>
      <c r="AE46" s="329" t="n"/>
    </row>
    <row r="47">
      <c r="A47" s="329" t="n">
        <v>46</v>
      </c>
      <c r="B47" s="665" t="inlineStr">
        <is>
          <t>EVT-0046</t>
        </is>
      </c>
      <c r="C47" s="666" t="n">
        <v>46190</v>
      </c>
      <c r="D47" s="483" t="inlineStr">
        <is>
          <t>Wednesday</t>
        </is>
      </c>
      <c r="E47" s="329" t="n">
        <v>9</v>
      </c>
      <c r="F47" s="329" t="inlineStr">
        <is>
          <t>MY_MONTH 2</t>
        </is>
      </c>
      <c r="G47" s="329" t="inlineStr">
        <is>
          <t>CL-022</t>
        </is>
      </c>
      <c r="H47" s="329" t="inlineStr">
        <is>
          <t>Marshalls</t>
        </is>
      </c>
      <c r="I47" s="329" t="inlineStr">
        <is>
          <t>Marshalls</t>
        </is>
      </c>
      <c r="J47" s="329" t="n"/>
      <c r="K47" s="329" t="inlineStr">
        <is>
          <t>Laurel</t>
        </is>
      </c>
      <c r="L47" s="329" t="inlineStr">
        <is>
          <t>Maryland</t>
        </is>
      </c>
      <c r="M47" s="667" t="n"/>
      <c r="N47" s="329" t="inlineStr">
        <is>
          <t>MD</t>
        </is>
      </c>
      <c r="O47" s="483" t="inlineStr">
        <is>
          <t>Laurel|MD</t>
        </is>
      </c>
      <c r="P47" s="329" t="inlineStr">
        <is>
          <t>Completed</t>
        </is>
      </c>
      <c r="Q47" s="329" t="inlineStr">
        <is>
          <t>Physical Service Visit</t>
        </is>
      </c>
      <c r="R47" s="329" t="n">
        <v>1</v>
      </c>
      <c r="S47" s="329" t="inlineStr">
        <is>
          <t>5904843</t>
        </is>
      </c>
      <c r="T47" s="667" t="n">
        <v>90</v>
      </c>
      <c r="U47" s="483" t="inlineStr">
        <is>
          <t>Eligible</t>
        </is>
      </c>
      <c r="V47" s="329" t="inlineStr">
        <is>
          <t>Marshalls Laurel WO 5904843; payment breakdown $90 and ACH confirmed July 1.</t>
        </is>
      </c>
      <c r="W47" s="329" t="inlineStr">
        <is>
          <t>Timeline + Service Calendar + Canonical Ledger</t>
        </is>
      </c>
      <c r="X47" s="329" t="inlineStr">
        <is>
          <t>Included</t>
        </is>
      </c>
      <c r="Y47" s="329" t="n"/>
      <c r="Z47" s="483" t="inlineStr">
        <is>
          <t>Yes</t>
        </is>
      </c>
      <c r="AA47" s="329" t="n"/>
      <c r="AB47" s="329" t="n"/>
      <c r="AC47" s="329" t="n"/>
      <c r="AD47" s="329" t="n"/>
      <c r="AE47" s="329" t="n"/>
    </row>
    <row r="48">
      <c r="A48" s="329" t="n">
        <v>47</v>
      </c>
      <c r="B48" s="665" t="inlineStr">
        <is>
          <t>EVT-0047</t>
        </is>
      </c>
      <c r="C48" s="666" t="n">
        <v>46191</v>
      </c>
      <c r="D48" s="483" t="inlineStr">
        <is>
          <t>Thursday</t>
        </is>
      </c>
      <c r="E48" s="329" t="n">
        <v>9</v>
      </c>
      <c r="F48" s="329" t="inlineStr">
        <is>
          <t>MY_MONTH 2</t>
        </is>
      </c>
      <c r="G48" s="329" t="inlineStr">
        <is>
          <t>CL-025</t>
        </is>
      </c>
      <c r="H48" s="329" t="inlineStr">
        <is>
          <t>Office of MD Senator Angela Alsobrooks</t>
        </is>
      </c>
      <c r="I48" s="329" t="inlineStr">
        <is>
          <t>Office of MD Senator Angela Alsobrooks</t>
        </is>
      </c>
      <c r="J48" s="329" t="n"/>
      <c r="K48" s="329" t="inlineStr">
        <is>
          <t>Bowie</t>
        </is>
      </c>
      <c r="L48" s="329" t="inlineStr">
        <is>
          <t>Maryland</t>
        </is>
      </c>
      <c r="M48" s="667" t="n"/>
      <c r="N48" s="329" t="inlineStr">
        <is>
          <t>MD</t>
        </is>
      </c>
      <c r="O48" s="483" t="inlineStr">
        <is>
          <t>Bowie|MD</t>
        </is>
      </c>
      <c r="P48" s="329" t="inlineStr">
        <is>
          <t>Completed</t>
        </is>
      </c>
      <c r="Q48" s="329" t="inlineStr">
        <is>
          <t>Physical Service Visit</t>
        </is>
      </c>
      <c r="R48" s="329" t="n">
        <v>1</v>
      </c>
      <c r="S48" s="329" t="inlineStr">
        <is>
          <t>5898644</t>
        </is>
      </c>
      <c r="T48" s="667" t="n">
        <v>130</v>
      </c>
      <c r="U48" s="483" t="inlineStr">
        <is>
          <t>Eligible</t>
        </is>
      </c>
      <c r="V48" s="329" t="inlineStr">
        <is>
          <t>Office of MD Senator Angela Alsobrooks Bowie WO 5898644; breakdown $130 and ACH confirmed July 2.</t>
        </is>
      </c>
      <c r="W48" s="329" t="inlineStr">
        <is>
          <t>Timeline + Service Calendar + Canonical Ledger</t>
        </is>
      </c>
      <c r="X48" s="329" t="inlineStr">
        <is>
          <t>Included</t>
        </is>
      </c>
      <c r="Y48" s="329" t="n"/>
      <c r="Z48" s="483" t="inlineStr">
        <is>
          <t>Yes</t>
        </is>
      </c>
      <c r="AA48" s="329" t="n"/>
      <c r="AB48" s="329" t="n"/>
      <c r="AC48" s="329" t="n"/>
      <c r="AD48" s="329" t="n"/>
      <c r="AE48" s="329" t="n"/>
    </row>
    <row r="49">
      <c r="A49" s="329" t="n">
        <v>48</v>
      </c>
      <c r="B49" s="665" t="inlineStr">
        <is>
          <t>EVT-0048</t>
        </is>
      </c>
      <c r="C49" s="666" t="n">
        <v>46191</v>
      </c>
      <c r="D49" s="483" t="inlineStr">
        <is>
          <t>Thursday</t>
        </is>
      </c>
      <c r="E49" s="329" t="n">
        <v>9</v>
      </c>
      <c r="F49" s="329" t="inlineStr">
        <is>
          <t>MY_MONTH 2</t>
        </is>
      </c>
      <c r="G49" s="329" t="inlineStr">
        <is>
          <t>CL-005</t>
        </is>
      </c>
      <c r="H49" s="329" t="inlineStr">
        <is>
          <t>Hebrew Home of Greater Washington</t>
        </is>
      </c>
      <c r="I49" s="329" t="inlineStr">
        <is>
          <t>Hebrew Home of Greater Washington</t>
        </is>
      </c>
      <c r="J49" s="329" t="n"/>
      <c r="K49" s="329" t="inlineStr">
        <is>
          <t>North Bethesda</t>
        </is>
      </c>
      <c r="L49" s="329" t="inlineStr">
        <is>
          <t>Maryland</t>
        </is>
      </c>
      <c r="M49" s="667" t="n"/>
      <c r="N49" s="329" t="inlineStr">
        <is>
          <t>MD</t>
        </is>
      </c>
      <c r="O49" s="483" t="inlineStr">
        <is>
          <t>North Bethesda|MD</t>
        </is>
      </c>
      <c r="P49" s="329" t="inlineStr">
        <is>
          <t>Completed</t>
        </is>
      </c>
      <c r="Q49" s="329" t="inlineStr">
        <is>
          <t>Physical Service Visit</t>
        </is>
      </c>
      <c r="R49" s="329" t="n">
        <v>1</v>
      </c>
      <c r="S49" s="329" t="inlineStr">
        <is>
          <t>5905576</t>
        </is>
      </c>
      <c r="T49" s="667" t="n">
        <v>70</v>
      </c>
      <c r="U49" s="483" t="inlineStr">
        <is>
          <t>Eligible</t>
        </is>
      </c>
      <c r="V49" s="329" t="inlineStr">
        <is>
          <t>Companion WO issue 5905576 / 5905579 remains under ACH mapping review; $35 ACH for 5905579 may relate to companion split or later no-show row.</t>
        </is>
      </c>
      <c r="W49" s="329" t="inlineStr">
        <is>
          <t>Timeline + Service Calendar + Canonical Ledger</t>
        </is>
      </c>
      <c r="X49" s="329" t="inlineStr">
        <is>
          <t>Included</t>
        </is>
      </c>
      <c r="Y49" s="329" t="n"/>
      <c r="Z49" s="483" t="inlineStr">
        <is>
          <t>Yes</t>
        </is>
      </c>
      <c r="AA49" s="329" t="n"/>
      <c r="AB49" s="329" t="n"/>
      <c r="AC49" s="329" t="n"/>
      <c r="AD49" s="329" t="n"/>
      <c r="AE49" s="329" t="n"/>
    </row>
    <row r="50">
      <c r="A50" s="329" t="n">
        <v>49</v>
      </c>
      <c r="B50" s="665" t="inlineStr">
        <is>
          <t>EVT-0049</t>
        </is>
      </c>
      <c r="C50" s="666" t="n">
        <v>46192</v>
      </c>
      <c r="D50" s="483" t="inlineStr">
        <is>
          <t>Friday</t>
        </is>
      </c>
      <c r="E50" s="329" t="n">
        <v>9</v>
      </c>
      <c r="F50" s="329" t="inlineStr">
        <is>
          <t>MY_MONTH 2</t>
        </is>
      </c>
      <c r="G50" s="329" t="inlineStr">
        <is>
          <t>CL-009</t>
        </is>
      </c>
      <c r="H50" s="329" t="inlineStr">
        <is>
          <t>Weis Markets</t>
        </is>
      </c>
      <c r="I50" s="329" t="inlineStr">
        <is>
          <t>Weis Markets</t>
        </is>
      </c>
      <c r="J50" s="329" t="n"/>
      <c r="K50" s="329" t="inlineStr">
        <is>
          <t>Callaway</t>
        </is>
      </c>
      <c r="L50" s="329" t="inlineStr">
        <is>
          <t>Maryland</t>
        </is>
      </c>
      <c r="M50" s="667" t="n"/>
      <c r="N50" s="329" t="inlineStr">
        <is>
          <t>MD</t>
        </is>
      </c>
      <c r="O50" s="483" t="inlineStr">
        <is>
          <t>Callaway|MD</t>
        </is>
      </c>
      <c r="P50" s="329" t="inlineStr">
        <is>
          <t>Completed</t>
        </is>
      </c>
      <c r="Q50" s="329" t="inlineStr">
        <is>
          <t>Physical Service Visit</t>
        </is>
      </c>
      <c r="R50" s="329" t="n">
        <v>1</v>
      </c>
      <c r="S50" s="329" t="inlineStr">
        <is>
          <t>5899546</t>
        </is>
      </c>
      <c r="T50" s="667" t="n">
        <v>90</v>
      </c>
      <c r="U50" s="483" t="inlineStr">
        <is>
          <t>Eligible</t>
        </is>
      </c>
      <c r="V50" s="329" t="inlineStr">
        <is>
          <t>Weis Markets Callaway WO 5899546; breakdown $90 and ACH confirmed July 2.</t>
        </is>
      </c>
      <c r="W50" s="329" t="inlineStr">
        <is>
          <t>Timeline + Service Calendar + Canonical Ledger</t>
        </is>
      </c>
      <c r="X50" s="329" t="inlineStr">
        <is>
          <t>Included</t>
        </is>
      </c>
      <c r="Y50" s="329" t="n"/>
      <c r="Z50" s="483" t="inlineStr">
        <is>
          <t>Yes</t>
        </is>
      </c>
      <c r="AA50" s="329" t="n"/>
      <c r="AB50" s="329" t="n"/>
      <c r="AC50" s="329" t="n"/>
      <c r="AD50" s="329" t="n"/>
      <c r="AE50" s="329" t="n"/>
    </row>
    <row r="51">
      <c r="A51" s="329" t="n">
        <v>50</v>
      </c>
      <c r="B51" s="665" t="inlineStr">
        <is>
          <t>EVT-0050</t>
        </is>
      </c>
      <c r="C51" s="666" t="n">
        <v>46192</v>
      </c>
      <c r="D51" s="483" t="inlineStr">
        <is>
          <t>Friday</t>
        </is>
      </c>
      <c r="E51" s="329" t="n">
        <v>9</v>
      </c>
      <c r="F51" s="329" t="inlineStr">
        <is>
          <t>MY_MONTH 2</t>
        </is>
      </c>
      <c r="G51" s="329" t="inlineStr">
        <is>
          <t>CL-007</t>
        </is>
      </c>
      <c r="H51" s="329" t="inlineStr">
        <is>
          <t>Giant Food Stores</t>
        </is>
      </c>
      <c r="I51" s="329" t="inlineStr">
        <is>
          <t>Giant Food Stores</t>
        </is>
      </c>
      <c r="J51" s="329" t="n"/>
      <c r="K51" s="329" t="inlineStr">
        <is>
          <t>Washington</t>
        </is>
      </c>
      <c r="L51" s="329" t="inlineStr">
        <is>
          <t>Washington, DC</t>
        </is>
      </c>
      <c r="M51" s="667" t="n"/>
      <c r="N51" s="329" t="inlineStr">
        <is>
          <t>DC</t>
        </is>
      </c>
      <c r="O51" s="483" t="inlineStr">
        <is>
          <t>Washington|DC</t>
        </is>
      </c>
      <c r="P51" s="329" t="inlineStr">
        <is>
          <t>Completed</t>
        </is>
      </c>
      <c r="Q51" s="329" t="inlineStr">
        <is>
          <t>Physical Service Visit</t>
        </is>
      </c>
      <c r="R51" s="329" t="n">
        <v>1</v>
      </c>
      <c r="S51" s="329" t="inlineStr">
        <is>
          <t>5903036</t>
        </is>
      </c>
      <c r="T51" s="667" t="n">
        <v>50</v>
      </c>
      <c r="U51" s="483" t="inlineStr">
        <is>
          <t>Eligible</t>
        </is>
      </c>
      <c r="V51" s="329" t="inlineStr">
        <is>
          <t>Giant Food Stores DC/Wisconsin Ave WO 5903036; breakdown $50 and ACH confirmed July 2. Corrected from prior TBD/missing state.</t>
        </is>
      </c>
      <c r="W51" s="329" t="inlineStr">
        <is>
          <t>Timeline + Service Calendar + Canonical Ledger</t>
        </is>
      </c>
      <c r="X51" s="329" t="inlineStr">
        <is>
          <t>Included</t>
        </is>
      </c>
      <c r="Y51" s="329" t="n"/>
      <c r="Z51" s="483" t="inlineStr">
        <is>
          <t>Yes</t>
        </is>
      </c>
      <c r="AA51" s="329" t="n"/>
      <c r="AB51" s="329" t="n"/>
      <c r="AC51" s="329" t="n"/>
      <c r="AD51" s="329" t="n"/>
      <c r="AE51" s="329" t="n"/>
    </row>
    <row r="52">
      <c r="A52" s="329" t="n">
        <v>51</v>
      </c>
      <c r="B52" s="665" t="inlineStr">
        <is>
          <t>EVT-0051</t>
        </is>
      </c>
      <c r="C52" s="666" t="n">
        <v>46195</v>
      </c>
      <c r="D52" s="483" t="inlineStr">
        <is>
          <t>Monday</t>
        </is>
      </c>
      <c r="E52" s="329" t="n">
        <v>10</v>
      </c>
      <c r="F52" s="329" t="inlineStr">
        <is>
          <t>MY_MONTH 3</t>
        </is>
      </c>
      <c r="G52" s="329" t="inlineStr">
        <is>
          <t>CL-005</t>
        </is>
      </c>
      <c r="H52" s="329" t="inlineStr">
        <is>
          <t>Hebrew Home of Greater Washington</t>
        </is>
      </c>
      <c r="I52" s="329" t="inlineStr">
        <is>
          <t>Hebrew Home of Greater Washington</t>
        </is>
      </c>
      <c r="J52" s="329" t="n"/>
      <c r="K52" s="329" t="inlineStr">
        <is>
          <t>North Bethesda</t>
        </is>
      </c>
      <c r="L52" s="329" t="inlineStr">
        <is>
          <t>Maryland</t>
        </is>
      </c>
      <c r="M52" s="667" t="n"/>
      <c r="N52" s="329" t="inlineStr">
        <is>
          <t>MD</t>
        </is>
      </c>
      <c r="O52" s="483" t="inlineStr">
        <is>
          <t>North Bethesda|MD</t>
        </is>
      </c>
      <c r="P52" s="329" t="inlineStr">
        <is>
          <t>Completed</t>
        </is>
      </c>
      <c r="Q52" s="329" t="inlineStr">
        <is>
          <t>Physical Service Visit</t>
        </is>
      </c>
      <c r="R52" s="329" t="n">
        <v>0</v>
      </c>
      <c r="S52" s="329" t="inlineStr">
        <is>
          <t>5905579</t>
        </is>
      </c>
      <c r="T52" s="667" t="n">
        <v>60</v>
      </c>
      <c r="U52" s="483" t="inlineStr">
        <is>
          <t>Eligible</t>
        </is>
      </c>
      <c r="V52" s="329" t="inlineStr">
        <is>
          <t>Breakdown $60 is confirmed and remains eligible for revenue metrics. ACH $35 is under mapping/variance review; payment mapping does not invalidate the confirmed breakdown.</t>
        </is>
      </c>
      <c r="W52" s="329" t="inlineStr">
        <is>
          <t>Timeline + Service Calendar + Canonical Ledger</t>
        </is>
      </c>
      <c r="X52" s="329" t="inlineStr">
        <is>
          <t>Included</t>
        </is>
      </c>
      <c r="Y52" s="329" t="n"/>
      <c r="Z52" s="483" t="inlineStr">
        <is>
          <t>Yes</t>
        </is>
      </c>
      <c r="AA52" s="329" t="n"/>
      <c r="AB52" s="329" t="n"/>
      <c r="AC52" s="329" t="n"/>
      <c r="AD52" s="329" t="n"/>
      <c r="AE52" s="329" t="n"/>
    </row>
    <row r="53">
      <c r="A53" s="329" t="n">
        <v>52</v>
      </c>
      <c r="B53" s="665" t="inlineStr">
        <is>
          <t>EVT-0052</t>
        </is>
      </c>
      <c r="C53" s="666" t="n">
        <v>46196</v>
      </c>
      <c r="D53" s="483" t="inlineStr">
        <is>
          <t>Tuesday</t>
        </is>
      </c>
      <c r="E53" s="329" t="n">
        <v>10</v>
      </c>
      <c r="F53" s="329" t="inlineStr">
        <is>
          <t>MY_MONTH 3</t>
        </is>
      </c>
      <c r="G53" s="329" t="inlineStr">
        <is>
          <t>CL-008</t>
        </is>
      </c>
      <c r="H53" s="329" t="inlineStr">
        <is>
          <t>Food Lion</t>
        </is>
      </c>
      <c r="I53" s="329" t="inlineStr">
        <is>
          <t>Food Lion</t>
        </is>
      </c>
      <c r="J53" s="329" t="n"/>
      <c r="K53" s="329" t="inlineStr">
        <is>
          <t>Upper Marlboro</t>
        </is>
      </c>
      <c r="L53" s="329" t="inlineStr">
        <is>
          <t>Maryland</t>
        </is>
      </c>
      <c r="M53" s="667" t="n"/>
      <c r="N53" s="329" t="inlineStr">
        <is>
          <t>MD</t>
        </is>
      </c>
      <c r="O53" s="483" t="inlineStr">
        <is>
          <t>Upper Marlboro|MD</t>
        </is>
      </c>
      <c r="P53" s="329" t="inlineStr">
        <is>
          <t>Completed</t>
        </is>
      </c>
      <c r="Q53" s="329" t="inlineStr">
        <is>
          <t>Physical Service Visit</t>
        </is>
      </c>
      <c r="R53" s="329" t="n">
        <v>1</v>
      </c>
      <c r="S53" s="329" t="inlineStr">
        <is>
          <t>5906380</t>
        </is>
      </c>
      <c r="T53" s="667" t="n">
        <v>116.24</v>
      </c>
      <c r="U53" s="483" t="inlineStr">
        <is>
          <t>Eligible</t>
        </is>
      </c>
      <c r="V53" s="329" t="inlineStr">
        <is>
          <t>Food Lion payment breakdown confirmed.</t>
        </is>
      </c>
      <c r="W53" s="329" t="inlineStr">
        <is>
          <t>Timeline + Service Calendar + Canonical Ledger</t>
        </is>
      </c>
      <c r="X53" s="329" t="inlineStr">
        <is>
          <t>Included</t>
        </is>
      </c>
      <c r="Y53" s="329" t="n"/>
      <c r="Z53" s="483" t="inlineStr">
        <is>
          <t>Yes</t>
        </is>
      </c>
      <c r="AA53" s="329" t="n"/>
      <c r="AB53" s="329" t="n"/>
      <c r="AC53" s="329" t="n"/>
      <c r="AD53" s="329" t="n"/>
      <c r="AE53" s="329" t="n"/>
    </row>
    <row r="54">
      <c r="A54" s="329" t="n">
        <v>53</v>
      </c>
      <c r="B54" s="665" t="inlineStr">
        <is>
          <t>EVT-0053</t>
        </is>
      </c>
      <c r="C54" s="666" t="n">
        <v>46197</v>
      </c>
      <c r="D54" s="483" t="inlineStr">
        <is>
          <t>Wednesday</t>
        </is>
      </c>
      <c r="E54" s="329" t="n">
        <v>10</v>
      </c>
      <c r="F54" s="329" t="inlineStr">
        <is>
          <t>MY_MONTH 3</t>
        </is>
      </c>
      <c r="G54" s="329" t="inlineStr">
        <is>
          <t>CL-021</t>
        </is>
      </c>
      <c r="H54" s="329" t="inlineStr">
        <is>
          <t>Hilton Garden Inn</t>
        </is>
      </c>
      <c r="I54" s="329" t="inlineStr">
        <is>
          <t>Hilton Garden Inn DC</t>
        </is>
      </c>
      <c r="J54" s="329" t="n"/>
      <c r="K54" s="329" t="inlineStr">
        <is>
          <t>Washington</t>
        </is>
      </c>
      <c r="L54" s="329" t="inlineStr">
        <is>
          <t>Washington, DC</t>
        </is>
      </c>
      <c r="M54" s="667" t="n"/>
      <c r="N54" s="329" t="inlineStr">
        <is>
          <t>DC</t>
        </is>
      </c>
      <c r="O54" s="483" t="inlineStr">
        <is>
          <t>Washington|DC</t>
        </is>
      </c>
      <c r="P54" s="329" t="inlineStr">
        <is>
          <t>Completed</t>
        </is>
      </c>
      <c r="Q54" s="329" t="inlineStr">
        <is>
          <t>Physical Service Visit</t>
        </is>
      </c>
      <c r="R54" s="329" t="n">
        <v>1</v>
      </c>
      <c r="S54" s="329" t="inlineStr">
        <is>
          <t>5907571</t>
        </is>
      </c>
      <c r="T54" s="667" t="n">
        <v>132.03</v>
      </c>
      <c r="U54" s="483" t="inlineStr">
        <is>
          <t>Eligible</t>
        </is>
      </c>
      <c r="V54" s="329" t="inlineStr">
        <is>
          <t>Hilton Garden Inn DC payment breakdown confirmed; ACH B5907571T1 processed $132.03 on 2026-07-08.</t>
        </is>
      </c>
      <c r="W54" s="329" t="inlineStr">
        <is>
          <t>Timeline + Service Calendar + Canonical Ledger</t>
        </is>
      </c>
      <c r="X54" s="329" t="inlineStr">
        <is>
          <t>Included</t>
        </is>
      </c>
      <c r="Y54" s="329" t="n"/>
      <c r="Z54" s="483" t="inlineStr">
        <is>
          <t>Yes</t>
        </is>
      </c>
      <c r="AA54" s="329" t="n"/>
      <c r="AB54" s="329" t="n"/>
      <c r="AC54" s="329" t="n"/>
      <c r="AD54" s="329" t="n"/>
      <c r="AE54" s="329" t="n"/>
    </row>
    <row r="55">
      <c r="A55" s="329" t="n">
        <v>54</v>
      </c>
      <c r="B55" s="665" t="inlineStr">
        <is>
          <t>EVT-0054</t>
        </is>
      </c>
      <c r="C55" s="666" t="n">
        <v>46203</v>
      </c>
      <c r="D55" s="483" t="inlineStr">
        <is>
          <t>Tuesday</t>
        </is>
      </c>
      <c r="E55" s="329" t="n">
        <v>11</v>
      </c>
      <c r="F55" s="329" t="inlineStr">
        <is>
          <t>MY_MONTH 3</t>
        </is>
      </c>
      <c r="G55" s="329" t="inlineStr">
        <is>
          <t>CL-006</t>
        </is>
      </c>
      <c r="H55" s="329" t="inlineStr">
        <is>
          <t>7-Eleven</t>
        </is>
      </c>
      <c r="I55" s="329" t="inlineStr">
        <is>
          <t>7-Eleven</t>
        </is>
      </c>
      <c r="J55" s="329" t="n"/>
      <c r="K55" s="329" t="inlineStr">
        <is>
          <t>Owings Mills</t>
        </is>
      </c>
      <c r="L55" s="329" t="inlineStr">
        <is>
          <t>Maryland</t>
        </is>
      </c>
      <c r="M55" s="667" t="n"/>
      <c r="N55" s="329" t="inlineStr">
        <is>
          <t>MD</t>
        </is>
      </c>
      <c r="O55" s="483" t="inlineStr">
        <is>
          <t>Owings Mills|MD</t>
        </is>
      </c>
      <c r="P55" s="329" t="inlineStr">
        <is>
          <t>Completed</t>
        </is>
      </c>
      <c r="Q55" s="329" t="inlineStr">
        <is>
          <t>Physical Service Visit</t>
        </is>
      </c>
      <c r="R55" s="329" t="n">
        <v>1</v>
      </c>
      <c r="S55" s="329" t="inlineStr">
        <is>
          <t>5910094</t>
        </is>
      </c>
      <c r="T55" s="667" t="n">
        <v>120</v>
      </c>
      <c r="U55" s="483" t="inlineStr">
        <is>
          <t>Eligible</t>
        </is>
      </c>
      <c r="V55" s="329" t="inlineStr">
        <is>
          <t>7-Eleven Owings Mills WO 5910094; payment breakdown $120 confirmed and ACH processed 2026-07-14.</t>
        </is>
      </c>
      <c r="W55" s="329" t="inlineStr">
        <is>
          <t>Timeline + Canonical Ledger + Gmail ACH confirmation 2026-07-14</t>
        </is>
      </c>
      <c r="X55" s="329" t="inlineStr">
        <is>
          <t>Included</t>
        </is>
      </c>
      <c r="Y55" s="329" t="n"/>
      <c r="Z55" s="483" t="inlineStr">
        <is>
          <t>Yes</t>
        </is>
      </c>
      <c r="AA55" s="329" t="n"/>
      <c r="AB55" s="329" t="n"/>
      <c r="AC55" s="329" t="n"/>
      <c r="AD55" s="329" t="n"/>
      <c r="AE55" s="329" t="n"/>
    </row>
    <row r="56">
      <c r="A56" s="329" t="n">
        <v>55</v>
      </c>
      <c r="B56" s="665" t="inlineStr">
        <is>
          <t>EVT-0055</t>
        </is>
      </c>
      <c r="C56" s="666" t="n">
        <v>46204</v>
      </c>
      <c r="D56" s="483" t="inlineStr">
        <is>
          <t>Wednesday</t>
        </is>
      </c>
      <c r="E56" s="329" t="n">
        <v>11</v>
      </c>
      <c r="F56" s="329" t="inlineStr">
        <is>
          <t>MY_MONTH 3</t>
        </is>
      </c>
      <c r="G56" s="329" t="inlineStr">
        <is>
          <t>CL-025</t>
        </is>
      </c>
      <c r="H56" s="329" t="inlineStr">
        <is>
          <t>Office of MD Senator Angela Alsobrooks</t>
        </is>
      </c>
      <c r="I56" s="329" t="inlineStr">
        <is>
          <t>Office of MD Senator Angela Alsobrooks</t>
        </is>
      </c>
      <c r="J56" s="329" t="n"/>
      <c r="K56" s="329" t="inlineStr">
        <is>
          <t>Largo</t>
        </is>
      </c>
      <c r="L56" s="329" t="inlineStr">
        <is>
          <t>Maryland</t>
        </is>
      </c>
      <c r="M56" s="667" t="n"/>
      <c r="N56" s="329" t="inlineStr">
        <is>
          <t>MD</t>
        </is>
      </c>
      <c r="O56" s="483" t="inlineStr">
        <is>
          <t>Largo|MD</t>
        </is>
      </c>
      <c r="P56" s="329" t="inlineStr">
        <is>
          <t>Completed</t>
        </is>
      </c>
      <c r="Q56" s="329" t="inlineStr">
        <is>
          <t>Physical Service Visit</t>
        </is>
      </c>
      <c r="R56" s="329" t="n">
        <v>1</v>
      </c>
      <c r="S56" s="329" t="inlineStr">
        <is>
          <t>5898645</t>
        </is>
      </c>
      <c r="T56" s="667" t="n">
        <v>120</v>
      </c>
      <c r="U56" s="483" t="inlineStr">
        <is>
          <t>Eligible</t>
        </is>
      </c>
      <c r="V56" s="329" t="inlineStr">
        <is>
          <t>Largo office deployment; payment breakdown $120 received; ACH pending.</t>
        </is>
      </c>
      <c r="W56" s="329" t="inlineStr">
        <is>
          <t>Timeline + Service Calendar + Canonical Ledger</t>
        </is>
      </c>
      <c r="X56" s="329" t="inlineStr">
        <is>
          <t>Included</t>
        </is>
      </c>
      <c r="Y56" s="329" t="n"/>
      <c r="Z56" s="483" t="inlineStr">
        <is>
          <t>Yes</t>
        </is>
      </c>
      <c r="AA56" s="329" t="n"/>
      <c r="AB56" s="329" t="n"/>
      <c r="AC56" s="329" t="n"/>
      <c r="AD56" s="329" t="n"/>
      <c r="AE56" s="329" t="n"/>
    </row>
    <row r="57">
      <c r="A57" s="329" t="n">
        <v>56</v>
      </c>
      <c r="B57" s="665" t="inlineStr">
        <is>
          <t>EVT-0056</t>
        </is>
      </c>
      <c r="C57" s="666" t="n">
        <v>46205</v>
      </c>
      <c r="D57" s="483" t="inlineStr">
        <is>
          <t>Thursday</t>
        </is>
      </c>
      <c r="E57" s="329" t="n">
        <v>11</v>
      </c>
      <c r="F57" s="329" t="inlineStr">
        <is>
          <t>MY_MONTH 3</t>
        </is>
      </c>
      <c r="G57" s="329" t="inlineStr">
        <is>
          <t>CL-026</t>
        </is>
      </c>
      <c r="H57" s="329" t="inlineStr">
        <is>
          <t>Dunkin</t>
        </is>
      </c>
      <c r="I57" s="329" t="inlineStr">
        <is>
          <t>Dunkin</t>
        </is>
      </c>
      <c r="J57" s="329" t="n"/>
      <c r="K57" s="329" t="inlineStr">
        <is>
          <t>Reisterstown</t>
        </is>
      </c>
      <c r="L57" s="329" t="inlineStr">
        <is>
          <t>Maryland</t>
        </is>
      </c>
      <c r="M57" s="667" t="n"/>
      <c r="N57" s="329" t="inlineStr">
        <is>
          <t>MD</t>
        </is>
      </c>
      <c r="O57" s="483" t="inlineStr">
        <is>
          <t>Reisterstown|MD</t>
        </is>
      </c>
      <c r="P57" s="329" t="inlineStr">
        <is>
          <t>Completed</t>
        </is>
      </c>
      <c r="Q57" s="329" t="inlineStr">
        <is>
          <t>Physical Service Visit</t>
        </is>
      </c>
      <c r="R57" s="329" t="n">
        <v>1</v>
      </c>
      <c r="S57" s="329" t="inlineStr">
        <is>
          <t>5900784</t>
        </is>
      </c>
      <c r="T57" s="667" t="n">
        <v>170.66</v>
      </c>
      <c r="U57" s="483" t="inlineStr">
        <is>
          <t>Eligible</t>
        </is>
      </c>
      <c r="V57" s="329" t="inlineStr">
        <is>
          <t>Dunkin Reisterstown completed; payment breakdown $170.66; ACH pending.</t>
        </is>
      </c>
      <c r="W57" s="329" t="inlineStr">
        <is>
          <t>Timeline + Service Calendar + Canonical Ledger</t>
        </is>
      </c>
      <c r="X57" s="329" t="inlineStr">
        <is>
          <t>Included</t>
        </is>
      </c>
      <c r="Y57" s="329" t="n"/>
      <c r="Z57" s="483" t="inlineStr">
        <is>
          <t>Yes</t>
        </is>
      </c>
      <c r="AA57" s="329" t="n"/>
      <c r="AB57" s="329" t="n"/>
      <c r="AC57" s="329" t="n"/>
      <c r="AD57" s="329" t="n"/>
      <c r="AE57" s="329" t="n"/>
    </row>
    <row r="58">
      <c r="A58" s="329" t="n">
        <v>57</v>
      </c>
      <c r="B58" s="665" t="inlineStr">
        <is>
          <t>EVT-0057</t>
        </is>
      </c>
      <c r="C58" s="666" t="n">
        <v>46209</v>
      </c>
      <c r="D58" s="483" t="inlineStr">
        <is>
          <t>Monday</t>
        </is>
      </c>
      <c r="E58" s="329" t="n">
        <v>12</v>
      </c>
      <c r="F58" s="329" t="inlineStr">
        <is>
          <t>MY_MONTH 3</t>
        </is>
      </c>
      <c r="G58" s="329" t="inlineStr">
        <is>
          <t>CL-024</t>
        </is>
      </c>
      <c r="H58" s="329" t="inlineStr">
        <is>
          <t>Montpelier Liquors</t>
        </is>
      </c>
      <c r="I58" s="329" t="inlineStr">
        <is>
          <t>Montpelier Liquors</t>
        </is>
      </c>
      <c r="J58" s="329" t="n"/>
      <c r="K58" s="329" t="inlineStr">
        <is>
          <t>Laurel</t>
        </is>
      </c>
      <c r="L58" s="329" t="inlineStr">
        <is>
          <t>Maryland</t>
        </is>
      </c>
      <c r="M58" s="667" t="n"/>
      <c r="N58" s="329" t="inlineStr">
        <is>
          <t>MD</t>
        </is>
      </c>
      <c r="O58" s="483" t="inlineStr">
        <is>
          <t>Laurel|MD</t>
        </is>
      </c>
      <c r="P58" s="329" t="inlineStr">
        <is>
          <t>Completed</t>
        </is>
      </c>
      <c r="Q58" s="329" t="inlineStr">
        <is>
          <t>Physical Service Visit</t>
        </is>
      </c>
      <c r="R58" s="329" t="n">
        <v>1</v>
      </c>
      <c r="S58" s="329" t="inlineStr">
        <is>
          <t>5911577</t>
        </is>
      </c>
      <c r="T58" s="667" t="n">
        <v>66.73999999999999</v>
      </c>
      <c r="U58" s="483" t="inlineStr">
        <is>
          <t>Eligible</t>
        </is>
      </c>
      <c r="V58" s="329" t="inlineStr">
        <is>
          <t>No-access visit; onsite approx. 1.5 hours; released by TRG PM Nick; payment breakdown $66.74; ACH pending.</t>
        </is>
      </c>
      <c r="W58" s="329" t="inlineStr">
        <is>
          <t>Timeline + Service Calendar + Canonical Ledger</t>
        </is>
      </c>
      <c r="X58" s="329" t="inlineStr">
        <is>
          <t>Included</t>
        </is>
      </c>
      <c r="Y58" s="329" t="n"/>
      <c r="Z58" s="483" t="inlineStr">
        <is>
          <t>Yes</t>
        </is>
      </c>
      <c r="AA58" s="329" t="n"/>
      <c r="AB58" s="329" t="n"/>
      <c r="AC58" s="329" t="n"/>
      <c r="AD58" s="329" t="n"/>
      <c r="AE58" s="329" t="n"/>
    </row>
    <row r="59">
      <c r="A59" s="329" t="n">
        <v>58</v>
      </c>
      <c r="B59" s="665" t="inlineStr">
        <is>
          <t>EVT-0058</t>
        </is>
      </c>
      <c r="C59" s="666" t="n">
        <v>46209</v>
      </c>
      <c r="D59" s="483" t="inlineStr">
        <is>
          <t>Monday</t>
        </is>
      </c>
      <c r="E59" s="329" t="n">
        <v>12</v>
      </c>
      <c r="F59" s="329" t="inlineStr">
        <is>
          <t>MY_MONTH 3</t>
        </is>
      </c>
      <c r="G59" s="329" t="inlineStr">
        <is>
          <t>CL-026</t>
        </is>
      </c>
      <c r="H59" s="329" t="inlineStr">
        <is>
          <t>Dunkin</t>
        </is>
      </c>
      <c r="I59" s="329" t="inlineStr">
        <is>
          <t>Dunkin</t>
        </is>
      </c>
      <c r="J59" s="329" t="n"/>
      <c r="K59" s="329" t="inlineStr">
        <is>
          <t>Lutherville</t>
        </is>
      </c>
      <c r="L59" s="329" t="inlineStr">
        <is>
          <t>Maryland</t>
        </is>
      </c>
      <c r="M59" s="667" t="n"/>
      <c r="N59" s="329" t="inlineStr">
        <is>
          <t>MD</t>
        </is>
      </c>
      <c r="O59" s="483" t="inlineStr">
        <is>
          <t>Lutherville|MD</t>
        </is>
      </c>
      <c r="P59" s="329" t="inlineStr">
        <is>
          <t>Completed</t>
        </is>
      </c>
      <c r="Q59" s="329" t="inlineStr">
        <is>
          <t>Physical Service Visit</t>
        </is>
      </c>
      <c r="R59" s="329" t="n">
        <v>1</v>
      </c>
      <c r="S59" s="329" t="inlineStr">
        <is>
          <t>5900780</t>
        </is>
      </c>
      <c r="T59" s="667" t="n">
        <v>202.5</v>
      </c>
      <c r="U59" s="483" t="inlineStr">
        <is>
          <t>Eligible</t>
        </is>
      </c>
      <c r="V59" s="329" t="inlineStr">
        <is>
          <t>Dunkin Lutherville completed; 3-lane Verifone/PED installation; payment breakdown $202.50; ACH pending.</t>
        </is>
      </c>
      <c r="W59" s="329" t="inlineStr">
        <is>
          <t>Timeline + Service Calendar + Canonical Ledger</t>
        </is>
      </c>
      <c r="X59" s="329" t="inlineStr">
        <is>
          <t>Included</t>
        </is>
      </c>
      <c r="Y59" s="329" t="n"/>
      <c r="Z59" s="483" t="inlineStr">
        <is>
          <t>Yes</t>
        </is>
      </c>
      <c r="AA59" s="329" t="n"/>
      <c r="AB59" s="329" t="n"/>
      <c r="AC59" s="329" t="n"/>
      <c r="AD59" s="329" t="n"/>
      <c r="AE59" s="329" t="n"/>
    </row>
    <row r="60">
      <c r="A60" s="329" t="n">
        <v>59</v>
      </c>
      <c r="B60" s="665" t="inlineStr">
        <is>
          <t>EVT-0059</t>
        </is>
      </c>
      <c r="C60" s="666" t="n">
        <v>46210</v>
      </c>
      <c r="D60" s="483" t="inlineStr">
        <is>
          <t>Tuesday</t>
        </is>
      </c>
      <c r="E60" s="329" t="n">
        <v>12</v>
      </c>
      <c r="F60" s="329" t="inlineStr">
        <is>
          <t>MY_MONTH 3</t>
        </is>
      </c>
      <c r="G60" s="329" t="inlineStr">
        <is>
          <t>CL-026</t>
        </is>
      </c>
      <c r="H60" s="329" t="inlineStr">
        <is>
          <t>Dunkin</t>
        </is>
      </c>
      <c r="I60" s="329" t="inlineStr">
        <is>
          <t>Dunkin</t>
        </is>
      </c>
      <c r="J60" s="329" t="n"/>
      <c r="K60" s="329" t="inlineStr">
        <is>
          <t>Aberdeen</t>
        </is>
      </c>
      <c r="L60" s="329" t="inlineStr">
        <is>
          <t>Maryland</t>
        </is>
      </c>
      <c r="M60" s="667" t="n"/>
      <c r="N60" s="329" t="inlineStr">
        <is>
          <t>MD</t>
        </is>
      </c>
      <c r="O60" s="483" t="inlineStr">
        <is>
          <t>Aberdeen|MD</t>
        </is>
      </c>
      <c r="P60" s="329" t="inlineStr">
        <is>
          <t>Completed</t>
        </is>
      </c>
      <c r="Q60" s="329" t="inlineStr">
        <is>
          <t>Physical Service Visit</t>
        </is>
      </c>
      <c r="R60" s="329" t="n">
        <v>1</v>
      </c>
      <c r="S60" s="329" t="inlineStr">
        <is>
          <t>5900830</t>
        </is>
      </c>
      <c r="T60" s="667" t="n">
        <v>250</v>
      </c>
      <c r="U60" s="483" t="inlineStr">
        <is>
          <t>Eligible</t>
        </is>
      </c>
      <c r="V60" s="329" t="inlineStr">
        <is>
          <t>Dunkin Aberdeen completed; 3 lanes + K27 kiosk; extended Verifone validation call; payment breakdown $250.00; ACH pending.</t>
        </is>
      </c>
      <c r="W60" s="329" t="inlineStr">
        <is>
          <t>Timeline + Service Calendar + Canonical Ledger</t>
        </is>
      </c>
      <c r="X60" s="329" t="inlineStr">
        <is>
          <t>Included</t>
        </is>
      </c>
      <c r="Y60" s="329" t="n"/>
      <c r="Z60" s="483" t="inlineStr">
        <is>
          <t>Yes</t>
        </is>
      </c>
      <c r="AA60" s="329" t="n"/>
      <c r="AB60" s="329" t="n"/>
      <c r="AC60" s="329" t="n"/>
      <c r="AD60" s="329" t="n"/>
      <c r="AE60" s="329" t="n"/>
    </row>
    <row r="61">
      <c r="A61" s="329" t="n">
        <v>60</v>
      </c>
      <c r="B61" s="665" t="inlineStr">
        <is>
          <t>EVT-0060</t>
        </is>
      </c>
      <c r="C61" s="666" t="n">
        <v>46211</v>
      </c>
      <c r="D61" s="483" t="inlineStr">
        <is>
          <t>Wednesday</t>
        </is>
      </c>
      <c r="E61" s="329" t="n">
        <v>12</v>
      </c>
      <c r="F61" s="329" t="inlineStr">
        <is>
          <t>MY_MONTH 3</t>
        </is>
      </c>
      <c r="G61" s="329" t="inlineStr">
        <is>
          <t>CL-027</t>
        </is>
      </c>
      <c r="H61" s="329" t="inlineStr">
        <is>
          <t>Carvana</t>
        </is>
      </c>
      <c r="I61" s="329" t="inlineStr">
        <is>
          <t>Carvana</t>
        </is>
      </c>
      <c r="J61" s="329" t="n"/>
      <c r="K61" s="329" t="inlineStr">
        <is>
          <t>Baltimore</t>
        </is>
      </c>
      <c r="L61" s="329" t="inlineStr">
        <is>
          <t>Maryland</t>
        </is>
      </c>
      <c r="M61" s="667" t="n"/>
      <c r="N61" s="329" t="inlineStr">
        <is>
          <t>MD</t>
        </is>
      </c>
      <c r="O61" s="483" t="inlineStr">
        <is>
          <t>Baltimore|MD</t>
        </is>
      </c>
      <c r="P61" s="329" t="inlineStr">
        <is>
          <t>Completed</t>
        </is>
      </c>
      <c r="Q61" s="329" t="inlineStr">
        <is>
          <t>Same-site multi-WO visit</t>
        </is>
      </c>
      <c r="R61" s="329" t="n">
        <v>2</v>
      </c>
      <c r="S61" s="329" t="inlineStr">
        <is>
          <t>5912364 / 5914049</t>
        </is>
      </c>
      <c r="T61" s="667" t="n"/>
      <c r="U61" s="483" t="inlineStr">
        <is>
          <t>Excluded</t>
        </is>
      </c>
      <c r="V61" s="329" t="inlineStr">
        <is>
          <t>One physical Carvana visit with two work orders: 5914049 firmware resolved 98.00.0C; 5912364 cyan cleanup/blank-page escalation documented. One event, two WOs, $130 total.</t>
        </is>
      </c>
      <c r="W61" s="329" t="inlineStr">
        <is>
          <t>Timeline + Service Calendar + Canonical Ledger</t>
        </is>
      </c>
      <c r="X61" s="329" t="inlineStr">
        <is>
          <t>Included</t>
        </is>
      </c>
      <c r="Y61" s="329" t="n"/>
      <c r="Z61" s="483" t="inlineStr">
        <is>
          <t>Yes</t>
        </is>
      </c>
      <c r="AA61" s="329" t="n"/>
      <c r="AB61" s="329" t="n"/>
      <c r="AC61" s="329" t="n"/>
      <c r="AD61" s="329" t="n"/>
      <c r="AE61" s="329" t="n"/>
    </row>
    <row r="62">
      <c r="A62" s="329" t="n">
        <v>61</v>
      </c>
      <c r="B62" s="665" t="inlineStr">
        <is>
          <t>EVT-0061</t>
        </is>
      </c>
      <c r="C62" s="666" t="n">
        <v>46212</v>
      </c>
      <c r="D62" s="483" t="inlineStr">
        <is>
          <t>Thursday</t>
        </is>
      </c>
      <c r="E62" s="329" t="n">
        <v>12</v>
      </c>
      <c r="F62" s="329" t="inlineStr">
        <is>
          <t>MY_MONTH 3</t>
        </is>
      </c>
      <c r="G62" s="329" t="inlineStr">
        <is>
          <t>CL-020</t>
        </is>
      </c>
      <c r="H62" s="329" t="inlineStr">
        <is>
          <t>TJ Maxx</t>
        </is>
      </c>
      <c r="I62" s="329" t="inlineStr">
        <is>
          <t>TJ Maxx</t>
        </is>
      </c>
      <c r="J62" s="329" t="n"/>
      <c r="K62" s="329" t="inlineStr">
        <is>
          <t>Germantown</t>
        </is>
      </c>
      <c r="L62" s="329" t="inlineStr">
        <is>
          <t>Maryland</t>
        </is>
      </c>
      <c r="M62" s="667" t="n"/>
      <c r="N62" s="329" t="inlineStr">
        <is>
          <t>MD</t>
        </is>
      </c>
      <c r="O62" s="483" t="inlineStr">
        <is>
          <t>Germantown|MD</t>
        </is>
      </c>
      <c r="P62" s="329" t="inlineStr">
        <is>
          <t>Completed</t>
        </is>
      </c>
      <c r="Q62" s="329" t="inlineStr">
        <is>
          <t>Physical Service Visit</t>
        </is>
      </c>
      <c r="R62" s="329" t="n">
        <v>1</v>
      </c>
      <c r="S62" s="329" t="inlineStr">
        <is>
          <t>5909344</t>
        </is>
      </c>
      <c r="T62" s="667" t="n">
        <v>194.99</v>
      </c>
      <c r="U62" s="483" t="inlineStr">
        <is>
          <t>Eligible</t>
        </is>
      </c>
      <c r="V62" s="329" t="inlineStr">
        <is>
          <t>TJ Maxx Germantown server refresh completed 2026-07-09. Payment breakdown confirmed at $194.99 with no deductions; expected payment 2026-07-23; ACH pending.</t>
        </is>
      </c>
      <c r="W62" s="329" t="inlineStr">
        <is>
          <t>Gmail payment breakdown 2026-07-11 + Timeline + Service Calendar</t>
        </is>
      </c>
      <c r="X62" s="329" t="inlineStr">
        <is>
          <t>Included</t>
        </is>
      </c>
      <c r="Y62" s="329" t="n"/>
      <c r="Z62" s="483" t="inlineStr">
        <is>
          <t>Yes</t>
        </is>
      </c>
      <c r="AA62" s="329" t="n"/>
      <c r="AB62" s="329" t="n"/>
      <c r="AC62" s="329" t="n"/>
      <c r="AD62" s="329" t="n"/>
      <c r="AE62" s="329" t="n"/>
    </row>
    <row r="63">
      <c r="A63" s="329" t="n">
        <v>62</v>
      </c>
      <c r="B63" s="665" t="inlineStr">
        <is>
          <t>EVT-0062</t>
        </is>
      </c>
      <c r="C63" s="666" t="n">
        <v>46212</v>
      </c>
      <c r="D63" s="483" t="inlineStr">
        <is>
          <t>Thursday</t>
        </is>
      </c>
      <c r="E63" s="329" t="n">
        <v>12</v>
      </c>
      <c r="F63" s="329" t="inlineStr">
        <is>
          <t>MY_MONTH 3</t>
        </is>
      </c>
      <c r="G63" s="329" t="inlineStr">
        <is>
          <t>CL-020</t>
        </is>
      </c>
      <c r="H63" s="329" t="inlineStr">
        <is>
          <t>TJ Maxx</t>
        </is>
      </c>
      <c r="I63" s="329" t="inlineStr">
        <is>
          <t>TJ Maxx</t>
        </is>
      </c>
      <c r="J63" s="329" t="n"/>
      <c r="K63" s="329" t="inlineStr">
        <is>
          <t>Martinsburg</t>
        </is>
      </c>
      <c r="L63" s="329" t="inlineStr">
        <is>
          <t>West Virginia</t>
        </is>
      </c>
      <c r="M63" s="667" t="n"/>
      <c r="N63" s="329" t="inlineStr">
        <is>
          <t>WV</t>
        </is>
      </c>
      <c r="O63" s="483" t="inlineStr">
        <is>
          <t>Martinsburg|WV</t>
        </is>
      </c>
      <c r="P63" s="329" t="inlineStr">
        <is>
          <t>Completed</t>
        </is>
      </c>
      <c r="Q63" s="329" t="inlineStr">
        <is>
          <t>Physical Service Visit</t>
        </is>
      </c>
      <c r="R63" s="329" t="n">
        <v>1</v>
      </c>
      <c r="S63" s="329" t="inlineStr">
        <is>
          <t>5913868</t>
        </is>
      </c>
      <c r="T63" s="667" t="n">
        <v>100.83</v>
      </c>
      <c r="U63" s="483" t="inlineStr">
        <is>
          <t>Eligible</t>
        </is>
      </c>
      <c r="V63" s="329" t="inlineStr">
        <is>
          <t>TJ Maxx Martinsburg completed 2026-07-09. Negotiated $150; payment breakdown received for $100.83; variance -$49.17; expected payment 2026-07-23.</t>
        </is>
      </c>
      <c r="W63" s="329" t="inlineStr">
        <is>
          <t>Timeline + Service Calendar + Canonical Ledger</t>
        </is>
      </c>
      <c r="X63" s="329" t="inlineStr">
        <is>
          <t>Included</t>
        </is>
      </c>
      <c r="Y63" s="329" t="n"/>
      <c r="Z63" s="483" t="inlineStr">
        <is>
          <t>Yes</t>
        </is>
      </c>
      <c r="AA63" s="329" t="n"/>
      <c r="AB63" s="329" t="n"/>
      <c r="AC63" s="329" t="n"/>
      <c r="AD63" s="329" t="n"/>
      <c r="AE63" s="329" t="n"/>
    </row>
    <row r="64">
      <c r="A64" s="329" t="n">
        <v>63</v>
      </c>
      <c r="B64" s="483" t="inlineStr">
        <is>
          <t>EVT-0063</t>
        </is>
      </c>
      <c r="C64" s="666" t="n">
        <v>46216</v>
      </c>
      <c r="D64" s="483" t="inlineStr">
        <is>
          <t>Monday</t>
        </is>
      </c>
      <c r="E64" s="329" t="n">
        <v>13</v>
      </c>
      <c r="F64" s="329" t="inlineStr">
        <is>
          <t>MY_MONTH 3</t>
        </is>
      </c>
      <c r="G64" s="329" t="inlineStr">
        <is>
          <t>CL-022</t>
        </is>
      </c>
      <c r="H64" s="329" t="inlineStr">
        <is>
          <t>Marshalls</t>
        </is>
      </c>
      <c r="I64" s="329" t="inlineStr">
        <is>
          <t>Marshalls — Hunt Valley Town Center</t>
        </is>
      </c>
      <c r="J64" s="329" t="inlineStr">
        <is>
          <t>118 Shawan Rd Ste W</t>
        </is>
      </c>
      <c r="K64" s="329" t="inlineStr">
        <is>
          <t>Cockeysville</t>
        </is>
      </c>
      <c r="L64" s="329" t="inlineStr">
        <is>
          <t>Maryland</t>
        </is>
      </c>
      <c r="M64" s="329" t="inlineStr">
        <is>
          <t>21030</t>
        </is>
      </c>
      <c r="N64" s="329" t="inlineStr">
        <is>
          <t>MD</t>
        </is>
      </c>
      <c r="O64" s="483" t="inlineStr">
        <is>
          <t>Cockeysville|MD</t>
        </is>
      </c>
      <c r="P64" s="329" t="inlineStr">
        <is>
          <t>Completed</t>
        </is>
      </c>
      <c r="Q64" s="329" t="inlineStr">
        <is>
          <t>Physical Service Visit</t>
        </is>
      </c>
      <c r="R64" s="329" t="n">
        <v>1</v>
      </c>
      <c r="S64" s="329" t="inlineStr">
        <is>
          <t>5909368</t>
        </is>
      </c>
      <c r="T64" s="329" t="n"/>
      <c r="U64" s="483" t="inlineStr">
        <is>
          <t>Excluded</t>
        </is>
      </c>
      <c r="V64" s="329" t="inlineStr">
        <is>
          <t>Marshalls Cockeysville server refresh completed. Replacement store server installed and validated; front-left sliding rail was corrected during installation. Hourly rate $40; final breakdown pending.</t>
        </is>
      </c>
      <c r="W64" s="329" t="inlineStr">
        <is>
          <t>5909368_MarshallsCockeysville.pdf + user-authoritative completion 2026-07-13</t>
        </is>
      </c>
      <c r="X64" s="329" t="inlineStr">
        <is>
          <t>Included</t>
        </is>
      </c>
      <c r="Y64" s="329" t="n"/>
      <c r="Z64" s="483" t="inlineStr">
        <is>
          <t>Yes</t>
        </is>
      </c>
      <c r="AA64" s="329" t="n"/>
      <c r="AB64" s="329" t="n"/>
      <c r="AC64" s="329" t="n"/>
      <c r="AD64" s="329" t="n"/>
      <c r="AE64" s="329" t="n"/>
    </row>
    <row r="65">
      <c r="A65" s="329" t="n">
        <v>64</v>
      </c>
      <c r="B65" s="483" t="inlineStr">
        <is>
          <t>EVT-0064</t>
        </is>
      </c>
      <c r="C65" s="666" t="n">
        <v>46216</v>
      </c>
      <c r="D65" s="483" t="inlineStr">
        <is>
          <t>Monday</t>
        </is>
      </c>
      <c r="E65" s="329" t="n">
        <v>13</v>
      </c>
      <c r="F65" s="329" t="inlineStr">
        <is>
          <t>MY_MONTH 3</t>
        </is>
      </c>
      <c r="G65" s="329" t="inlineStr">
        <is>
          <t>CL-022</t>
        </is>
      </c>
      <c r="H65" s="329" t="inlineStr">
        <is>
          <t>Marshalls</t>
        </is>
      </c>
      <c r="I65" s="329" t="inlineStr">
        <is>
          <t>Marshalls 0764</t>
        </is>
      </c>
      <c r="J65" s="329" t="inlineStr">
        <is>
          <t>17646 Garland Groh Blvd</t>
        </is>
      </c>
      <c r="K65" s="329" t="inlineStr">
        <is>
          <t>Hagerstown</t>
        </is>
      </c>
      <c r="L65" s="329" t="inlineStr">
        <is>
          <t>Maryland</t>
        </is>
      </c>
      <c r="M65" s="329" t="inlineStr">
        <is>
          <t>21740</t>
        </is>
      </c>
      <c r="N65" s="329" t="inlineStr">
        <is>
          <t>MD</t>
        </is>
      </c>
      <c r="O65" s="483" t="inlineStr">
        <is>
          <t>Hagerstown|MD</t>
        </is>
      </c>
      <c r="P65" s="329" t="inlineStr">
        <is>
          <t>Completed</t>
        </is>
      </c>
      <c r="Q65" s="329" t="inlineStr">
        <is>
          <t>Physical Service Visit</t>
        </is>
      </c>
      <c r="R65" s="329" t="n">
        <v>1</v>
      </c>
      <c r="S65" s="329" t="inlineStr">
        <is>
          <t>5916961</t>
        </is>
      </c>
      <c r="T65" s="329" t="n"/>
      <c r="U65" s="483" t="inlineStr">
        <is>
          <t>Excluded</t>
        </is>
      </c>
      <c r="V65" s="329" t="inlineStr">
        <is>
          <t>Marshalls Hagerstown Register 2 M440 replacement completed. Arrived 12:55 PM; extended onsite time was caused by support unavailability and incorrect IP/gateway values in the ticket. Barrister confirmed documented onsite hours would be paid at $55/hour. Final breakdown pending.</t>
        </is>
      </c>
      <c r="W65" s="329" t="inlineStr">
        <is>
          <t>5916961_MarshallsHagerstown.pdf + user-authoritative completion and onsite timeline 2026-07-13</t>
        </is>
      </c>
      <c r="X65" s="329" t="inlineStr">
        <is>
          <t>Included</t>
        </is>
      </c>
      <c r="Y65" s="329" t="n"/>
      <c r="Z65" s="483" t="inlineStr">
        <is>
          <t>Yes</t>
        </is>
      </c>
      <c r="AA65" s="329" t="n"/>
      <c r="AB65" s="329" t="n"/>
      <c r="AC65" s="329" t="n"/>
      <c r="AD65" s="329" t="n"/>
      <c r="AE65" s="329" t="n"/>
    </row>
    <row r="66">
      <c r="A66" s="329" t="n">
        <v>65</v>
      </c>
      <c r="B66" s="483" t="inlineStr">
        <is>
          <t>EVT-0065</t>
        </is>
      </c>
      <c r="C66" s="666" t="n">
        <v>46216</v>
      </c>
      <c r="D66" s="483" t="inlineStr">
        <is>
          <t>Monday</t>
        </is>
      </c>
      <c r="E66" s="329" t="n">
        <v>13</v>
      </c>
      <c r="F66" s="329" t="inlineStr">
        <is>
          <t>MY_MONTH 3</t>
        </is>
      </c>
      <c r="G66" s="329" t="inlineStr">
        <is>
          <t>CL-016</t>
        </is>
      </c>
      <c r="H66" s="329" t="inlineStr">
        <is>
          <t>HomeGoods</t>
        </is>
      </c>
      <c r="I66" s="329" t="inlineStr">
        <is>
          <t>HomeGoods 0652</t>
        </is>
      </c>
      <c r="J66" s="329" t="inlineStr">
        <is>
          <t>606 Quince Orchard Road</t>
        </is>
      </c>
      <c r="K66" s="329" t="inlineStr">
        <is>
          <t>Gaithersburg</t>
        </is>
      </c>
      <c r="L66" s="329" t="inlineStr">
        <is>
          <t>Maryland</t>
        </is>
      </c>
      <c r="M66" s="329" t="inlineStr">
        <is>
          <t>20878</t>
        </is>
      </c>
      <c r="N66" s="329" t="inlineStr">
        <is>
          <t>MD</t>
        </is>
      </c>
      <c r="O66" s="483" t="inlineStr">
        <is>
          <t>Gaithersburg|MD</t>
        </is>
      </c>
      <c r="P66" s="329" t="inlineStr">
        <is>
          <t>Completed</t>
        </is>
      </c>
      <c r="Q66" s="329" t="inlineStr">
        <is>
          <t>Physical Service Visit</t>
        </is>
      </c>
      <c r="R66" s="329" t="n">
        <v>1</v>
      </c>
      <c r="S66" s="329" t="inlineStr">
        <is>
          <t>5917407</t>
        </is>
      </c>
      <c r="T66" s="329" t="n">
        <v>129.16</v>
      </c>
      <c r="U66" s="483" t="inlineStr">
        <is>
          <t>Eligible</t>
        </is>
      </c>
      <c r="V66" s="329" t="inlineStr">
        <is>
          <t>Payment breakdown confirmed at $129.16.</t>
        </is>
      </c>
      <c r="W66" s="329" t="inlineStr">
        <is>
          <t>User-verified payment breakdown record</t>
        </is>
      </c>
      <c r="X66" s="329" t="inlineStr">
        <is>
          <t>Included</t>
        </is>
      </c>
      <c r="Y66" s="329" t="n"/>
      <c r="Z66" s="483" t="inlineStr">
        <is>
          <t>Yes</t>
        </is>
      </c>
      <c r="AA66" s="329" t="n"/>
      <c r="AB66" s="329" t="n"/>
      <c r="AC66" s="329" t="n"/>
      <c r="AD66" s="329" t="n"/>
      <c r="AE66" s="329" t="n"/>
    </row>
    <row r="67">
      <c r="A67" s="329" t="n">
        <v>66</v>
      </c>
      <c r="B67" s="329" t="inlineStr">
        <is>
          <t>EVT-0066</t>
        </is>
      </c>
      <c r="C67" s="666" t="n">
        <v>46217</v>
      </c>
      <c r="D67" s="329" t="inlineStr">
        <is>
          <t>Tuesday</t>
        </is>
      </c>
      <c r="E67" s="329" t="n">
        <v>13</v>
      </c>
      <c r="F67" s="329" t="inlineStr">
        <is>
          <t>MY_MONTH 3</t>
        </is>
      </c>
      <c r="G67" s="329" t="inlineStr">
        <is>
          <t>CL-020</t>
        </is>
      </c>
      <c r="H67" s="329" t="inlineStr">
        <is>
          <t>TJ Maxx</t>
        </is>
      </c>
      <c r="I67" s="329" t="inlineStr">
        <is>
          <t>TJ Maxx — Tollgate Mall</t>
        </is>
      </c>
      <c r="J67" s="329" t="inlineStr">
        <is>
          <t>615 Bel Air Road</t>
        </is>
      </c>
      <c r="K67" s="329" t="inlineStr">
        <is>
          <t>Bel Air</t>
        </is>
      </c>
      <c r="L67" s="329" t="inlineStr">
        <is>
          <t>Maryland</t>
        </is>
      </c>
      <c r="M67" s="329" t="inlineStr">
        <is>
          <t>21014</t>
        </is>
      </c>
      <c r="N67" s="329" t="inlineStr">
        <is>
          <t>MD</t>
        </is>
      </c>
      <c r="O67" s="329" t="inlineStr">
        <is>
          <t>Bel Air|MD</t>
        </is>
      </c>
      <c r="P67" s="329" t="inlineStr">
        <is>
          <t>Completed</t>
        </is>
      </c>
      <c r="Q67" s="329" t="inlineStr">
        <is>
          <t>Physical Service Visit</t>
        </is>
      </c>
      <c r="R67" s="329" t="n">
        <v>1</v>
      </c>
      <c r="S67" s="329" t="inlineStr">
        <is>
          <t>5909385</t>
        </is>
      </c>
      <c r="T67" s="329" t="n"/>
      <c r="U67" s="329" t="inlineStr">
        <is>
          <t>Excluded</t>
        </is>
      </c>
      <c r="V67" s="329" t="inlineStr">
        <is>
          <t>TJ Maxx Bel Air server refresh completed. Installed the NextGen 11 server in available rack space after labeling the VH1 and VH2 cabling. NCR completed the HDD/data migration and the replacement server came online successfully. All required functions were validated. VH1 was decommissioned, boxed, labeled, and prepared for return with shipping labels. No Mood Media, Tripplite, or Frontline equipment was installed. New server S/N 2M2D3000F3; asset tag A929164. MOD Lori Fox. Hourly rate $45; final payment breakdown pending.</t>
        </is>
      </c>
      <c r="W67" s="329" t="inlineStr">
        <is>
          <t>WO 5909385 RFS + FastField/photo evidence + user-authoritative completion 2026-07-14</t>
        </is>
      </c>
      <c r="X67" s="329" t="inlineStr">
        <is>
          <t>Included</t>
        </is>
      </c>
      <c r="Y67" s="329" t="n"/>
      <c r="Z67" s="329" t="inlineStr">
        <is>
          <t>Yes</t>
        </is>
      </c>
      <c r="AA67" s="329" t="n"/>
      <c r="AB67" s="329" t="n"/>
      <c r="AC67" s="329" t="n"/>
      <c r="AD67" s="329" t="n"/>
      <c r="AE67" s="329" t="n"/>
    </row>
    <row r="68">
      <c r="A68" s="329" t="n">
        <v>67</v>
      </c>
      <c r="B68" s="329" t="inlineStr">
        <is>
          <t>EVT-0067</t>
        </is>
      </c>
      <c r="C68" s="666" t="n">
        <v>46217</v>
      </c>
      <c r="D68" s="329" t="inlineStr">
        <is>
          <t>Tuesday</t>
        </is>
      </c>
      <c r="E68" s="329" t="n">
        <v>13</v>
      </c>
      <c r="F68" s="329" t="inlineStr">
        <is>
          <t>MY_MONTH 3</t>
        </is>
      </c>
      <c r="G68" s="329" t="inlineStr">
        <is>
          <t>CL-026</t>
        </is>
      </c>
      <c r="H68" s="329" t="inlineStr">
        <is>
          <t>Dunkin</t>
        </is>
      </c>
      <c r="I68" s="329" t="inlineStr">
        <is>
          <t>Dunkin Donuts #342406</t>
        </is>
      </c>
      <c r="J68" s="329" t="inlineStr">
        <is>
          <t>645 S. Philadelphia Blvd</t>
        </is>
      </c>
      <c r="K68" s="329" t="inlineStr">
        <is>
          <t>Aberdeen</t>
        </is>
      </c>
      <c r="L68" s="329" t="inlineStr">
        <is>
          <t>Maryland</t>
        </is>
      </c>
      <c r="M68" s="329" t="inlineStr">
        <is>
          <t>21001</t>
        </is>
      </c>
      <c r="N68" s="329" t="inlineStr">
        <is>
          <t>MD</t>
        </is>
      </c>
      <c r="O68" s="329" t="inlineStr">
        <is>
          <t>Aberdeen|MD</t>
        </is>
      </c>
      <c r="P68" s="329" t="inlineStr">
        <is>
          <t>Completed</t>
        </is>
      </c>
      <c r="Q68" s="329" t="inlineStr">
        <is>
          <t>Physical Service Visit</t>
        </is>
      </c>
      <c r="R68" s="329" t="n">
        <v>1</v>
      </c>
      <c r="S68" s="329" t="inlineStr">
        <is>
          <t>5914898</t>
        </is>
      </c>
      <c r="T68" s="329" t="n">
        <v>183.74</v>
      </c>
      <c r="U68" s="329" t="inlineStr">
        <is>
          <t>Eligible</t>
        </is>
      </c>
      <c r="V68" s="329" t="inlineStr">
        <is>
          <t>Dunkin Aberdeen return visit completed. Continued troubleshooting the K27 kiosk issue. Verifone kept the technician on an extended support call and contacted the third-party kiosk provider, which advised that no technician was available and the issue required escalation to the United Service Desk. At the United Service Desk's direction, additional troubleshooting was completed, including rebooting POS 1 despite the issue remaining isolated to Kiosk 1. The unresolved kiosk issue was escalated for additional follow-up/dispatch, and support formally released the technician from site. Payment breakdown confirmed at $183.74 with no deductions; expected payment 2026-07-28; ACH pending.</t>
        </is>
      </c>
      <c r="W68" s="329" t="inlineStr">
        <is>
          <t>WO 5914898 RFS + user-authoritative completion + Gmail payment breakdown 2026-07-14</t>
        </is>
      </c>
      <c r="X68" s="329" t="inlineStr">
        <is>
          <t>Included</t>
        </is>
      </c>
      <c r="Y68" s="329" t="n"/>
      <c r="Z68" s="329" t="inlineStr">
        <is>
          <t>Yes</t>
        </is>
      </c>
      <c r="AA68" s="329" t="n"/>
      <c r="AB68" s="329" t="n"/>
      <c r="AC68" s="329" t="n"/>
      <c r="AD68" s="329" t="n"/>
      <c r="AE68" s="329" t="n"/>
    </row>
    <row r="69">
      <c r="A69" s="329" t="n">
        <v>68</v>
      </c>
      <c r="B69" s="329" t="inlineStr">
        <is>
          <t>EVT-0068</t>
        </is>
      </c>
      <c r="C69" s="666" t="n">
        <v>46218</v>
      </c>
      <c r="D69" s="329" t="inlineStr">
        <is>
          <t>Wednesday</t>
        </is>
      </c>
      <c r="E69" s="329" t="n">
        <v>13</v>
      </c>
      <c r="F69" s="329" t="inlineStr">
        <is>
          <t>MY_MONTH 3</t>
        </is>
      </c>
      <c r="G69" s="329" t="inlineStr">
        <is>
          <t>CL-026</t>
        </is>
      </c>
      <c r="H69" s="329" t="inlineStr">
        <is>
          <t>Dunkin</t>
        </is>
      </c>
      <c r="I69" s="329" t="inlineStr">
        <is>
          <t>Dunkin — Fallston</t>
        </is>
      </c>
      <c r="J69" s="329" t="n"/>
      <c r="K69" s="329" t="inlineStr">
        <is>
          <t>Fallston</t>
        </is>
      </c>
      <c r="L69" s="329" t="inlineStr">
        <is>
          <t>Maryland</t>
        </is>
      </c>
      <c r="M69" s="329" t="n"/>
      <c r="N69" s="329" t="inlineStr">
        <is>
          <t>MD</t>
        </is>
      </c>
      <c r="O69" s="329" t="inlineStr">
        <is>
          <t>Fallston|MD</t>
        </is>
      </c>
      <c r="P69" s="329" t="inlineStr">
        <is>
          <t>Completed</t>
        </is>
      </c>
      <c r="Q69" s="329" t="inlineStr">
        <is>
          <t>Physical Service Visit</t>
        </is>
      </c>
      <c r="R69" s="329" t="n">
        <v>1</v>
      </c>
      <c r="S69" s="329" t="inlineStr">
        <is>
          <t>5900854</t>
        </is>
      </c>
      <c r="T69" s="329" t="n">
        <v>350</v>
      </c>
      <c r="U69" s="329" t="inlineStr">
        <is>
          <t>Eligible</t>
        </is>
      </c>
      <c r="V69" s="329" t="inlineStr">
        <is>
          <t>Dunkin Fallston visit completed. Payment breakdown confirmed at $350.00; Speed ACH expected 2026-07-29.</t>
        </is>
      </c>
      <c r="W69" s="329" t="inlineStr">
        <is>
          <t>User-authoritative completion + Gmail payment breakdown</t>
        </is>
      </c>
      <c r="X69" s="329" t="inlineStr">
        <is>
          <t>Included</t>
        </is>
      </c>
      <c r="Y69" s="329" t="n"/>
      <c r="Z69" s="329" t="inlineStr">
        <is>
          <t>Yes</t>
        </is>
      </c>
      <c r="AA69" s="329" t="n"/>
      <c r="AB69" s="329" t="n"/>
      <c r="AC69" s="329" t="n"/>
      <c r="AD69" s="329" t="n"/>
      <c r="AE69" s="329" t="n"/>
    </row>
    <row r="70">
      <c r="A70" s="329" t="n">
        <v>69</v>
      </c>
      <c r="B70" s="329" t="inlineStr">
        <is>
          <t>EVT-0069</t>
        </is>
      </c>
      <c r="C70" s="666" t="n">
        <v>46219</v>
      </c>
      <c r="D70" s="329" t="inlineStr">
        <is>
          <t>Thursday</t>
        </is>
      </c>
      <c r="E70" s="329" t="n">
        <v>13</v>
      </c>
      <c r="F70" s="329" t="inlineStr">
        <is>
          <t>MY_MONTH 3</t>
        </is>
      </c>
      <c r="G70" s="329" t="inlineStr">
        <is>
          <t>CL-020</t>
        </is>
      </c>
      <c r="H70" s="329" t="inlineStr">
        <is>
          <t>TJ Maxx</t>
        </is>
      </c>
      <c r="I70" s="329" t="inlineStr">
        <is>
          <t>TJ Maxx — Columbia</t>
        </is>
      </c>
      <c r="J70" s="329" t="n"/>
      <c r="K70" s="329" t="inlineStr">
        <is>
          <t>Columbia</t>
        </is>
      </c>
      <c r="L70" s="329" t="inlineStr">
        <is>
          <t>Maryland</t>
        </is>
      </c>
      <c r="M70" s="329" t="n"/>
      <c r="N70" s="329" t="inlineStr">
        <is>
          <t>MD</t>
        </is>
      </c>
      <c r="O70" s="329" t="inlineStr">
        <is>
          <t>Columbia|MD</t>
        </is>
      </c>
      <c r="P70" s="329" t="inlineStr">
        <is>
          <t>Completed</t>
        </is>
      </c>
      <c r="Q70" s="329" t="inlineStr">
        <is>
          <t>Physical Service Visit</t>
        </is>
      </c>
      <c r="R70" s="329" t="n">
        <v>1</v>
      </c>
      <c r="S70" s="329" t="inlineStr">
        <is>
          <t>5909418</t>
        </is>
      </c>
      <c r="T70" s="329" t="n">
        <v>180</v>
      </c>
      <c r="U70" s="329" t="inlineStr">
        <is>
          <t>Eligible</t>
        </is>
      </c>
      <c r="V70" s="329" t="inlineStr">
        <is>
          <t>TJ Maxx Columbia visit completed. Hourly rate $40.00; final payment breakdown pending. Payment breakdown confirmed at $180.00 with no deductions; expected payment 2026-07-30.</t>
        </is>
      </c>
      <c r="W70" s="329" t="inlineStr">
        <is>
          <t>User-authoritative completion + ticket details + Gmail payment breakdown</t>
        </is>
      </c>
      <c r="X70" s="329" t="inlineStr">
        <is>
          <t>Included</t>
        </is>
      </c>
      <c r="Y70" s="329" t="n"/>
      <c r="Z70" s="329" t="inlineStr">
        <is>
          <t>Yes</t>
        </is>
      </c>
      <c r="AA70" s="329" t="n"/>
      <c r="AB70" s="329" t="n"/>
      <c r="AC70" s="329" t="n"/>
      <c r="AD70" s="329" t="n"/>
      <c r="AE70" s="329" t="n"/>
    </row>
    <row r="71">
      <c r="A71" s="329" t="n">
        <v>70</v>
      </c>
      <c r="B71" s="329" t="inlineStr">
        <is>
          <t>EVT-0070</t>
        </is>
      </c>
      <c r="C71" s="666" t="n">
        <v>46219</v>
      </c>
      <c r="D71" s="329" t="inlineStr">
        <is>
          <t>Thursday</t>
        </is>
      </c>
      <c r="E71" s="329" t="n">
        <v>13</v>
      </c>
      <c r="F71" s="329" t="inlineStr">
        <is>
          <t>MY_MONTH 3</t>
        </is>
      </c>
      <c r="G71" s="329" t="inlineStr">
        <is>
          <t>CL-007</t>
        </is>
      </c>
      <c r="H71" s="329" t="inlineStr">
        <is>
          <t>Giant Food Stores</t>
        </is>
      </c>
      <c r="I71" s="329" t="inlineStr">
        <is>
          <t>Giant Food — Olney</t>
        </is>
      </c>
      <c r="J71" s="329" t="n"/>
      <c r="K71" s="329" t="inlineStr">
        <is>
          <t>Olney</t>
        </is>
      </c>
      <c r="L71" s="329" t="inlineStr">
        <is>
          <t>Maryland</t>
        </is>
      </c>
      <c r="M71" s="329" t="n"/>
      <c r="N71" s="329" t="inlineStr">
        <is>
          <t>MD</t>
        </is>
      </c>
      <c r="O71" s="329" t="inlineStr">
        <is>
          <t>Olney|MD</t>
        </is>
      </c>
      <c r="P71" s="329" t="inlineStr">
        <is>
          <t>Completed</t>
        </is>
      </c>
      <c r="Q71" s="329" t="inlineStr">
        <is>
          <t>Physical Service Visit</t>
        </is>
      </c>
      <c r="R71" s="329" t="n">
        <v>1</v>
      </c>
      <c r="S71" s="329" t="inlineStr">
        <is>
          <t>5918899</t>
        </is>
      </c>
      <c r="T71" s="329" t="n">
        <v>103.33</v>
      </c>
      <c r="U71" s="329" t="inlineStr">
        <is>
          <t>Eligible</t>
        </is>
      </c>
      <c r="V71" s="329" t="inlineStr">
        <is>
          <t>Giant Food Olney HCL network troubleshooting completed and technician released. Roof and server-room cabling were traced and tested; final payment breakdown pending. Payment breakdown confirmed at $103.33 with no deductions; expected payment 2026-07-30.</t>
        </is>
      </c>
      <c r="W71" s="329" t="inlineStr">
        <is>
          <t>User-authoritative completion + onsite troubleshooting notes + Gmail payment breakdown</t>
        </is>
      </c>
      <c r="X71" s="329" t="inlineStr">
        <is>
          <t>Included</t>
        </is>
      </c>
      <c r="Y71" s="329" t="n"/>
      <c r="Z71" s="329" t="inlineStr">
        <is>
          <t>Yes</t>
        </is>
      </c>
      <c r="AA71" s="329" t="n"/>
      <c r="AB71" s="329" t="n"/>
      <c r="AC71" s="329" t="n"/>
      <c r="AD71" s="329" t="n"/>
      <c r="AE71" s="329" t="n"/>
    </row>
    <row r="72">
      <c r="A72" s="329" t="n">
        <v>71</v>
      </c>
      <c r="B72" s="329" t="inlineStr">
        <is>
          <t>EVT-0071</t>
        </is>
      </c>
      <c r="C72" s="666" t="n">
        <v>46220</v>
      </c>
      <c r="D72" s="329" t="inlineStr">
        <is>
          <t>Friday</t>
        </is>
      </c>
      <c r="E72" s="329" t="n">
        <v>13</v>
      </c>
      <c r="F72" s="329" t="inlineStr">
        <is>
          <t>MY_MONTH 3</t>
        </is>
      </c>
      <c r="G72" s="329" t="inlineStr">
        <is>
          <t>CL-028</t>
        </is>
      </c>
      <c r="H72" s="329" t="inlineStr">
        <is>
          <t>WeWork</t>
        </is>
      </c>
      <c r="I72" s="329" t="inlineStr">
        <is>
          <t>WeWork DC18</t>
        </is>
      </c>
      <c r="J72" s="329" t="inlineStr">
        <is>
          <t>200 Massachusetts Ave NW</t>
        </is>
      </c>
      <c r="K72" s="329" t="inlineStr">
        <is>
          <t>Washington</t>
        </is>
      </c>
      <c r="L72" s="329" t="inlineStr">
        <is>
          <t>Washington, DC</t>
        </is>
      </c>
      <c r="M72" s="329" t="inlineStr">
        <is>
          <t>20001</t>
        </is>
      </c>
      <c r="N72" s="329" t="inlineStr">
        <is>
          <t>DC</t>
        </is>
      </c>
      <c r="O72" s="329" t="inlineStr">
        <is>
          <t>Washington|DC</t>
        </is>
      </c>
      <c r="P72" s="329" t="inlineStr">
        <is>
          <t>Completed</t>
        </is>
      </c>
      <c r="Q72" s="329" t="inlineStr">
        <is>
          <t>Physical Service Visit</t>
        </is>
      </c>
      <c r="R72" s="329" t="n">
        <v>1</v>
      </c>
      <c r="S72" s="329" t="inlineStr">
        <is>
          <t>5918348</t>
        </is>
      </c>
      <c r="T72" s="329" t="n">
        <v>90</v>
      </c>
      <c r="U72" s="329" t="inlineStr">
        <is>
          <t>Eligible</t>
        </is>
      </c>
      <c r="V72" s="329" t="inlineStr">
        <is>
          <t>User-authoritative confirmed amount: 2 hours × $45 = $90.00.</t>
        </is>
      </c>
      <c r="W72" s="329" t="inlineStr">
        <is>
          <t>User-authoritative correction 2026-07-26</t>
        </is>
      </c>
      <c r="X72" s="329" t="inlineStr">
        <is>
          <t>Included</t>
        </is>
      </c>
      <c r="Y72" s="329" t="n"/>
      <c r="Z72" s="329" t="inlineStr">
        <is>
          <t>Yes</t>
        </is>
      </c>
      <c r="AA72" s="329" t="n"/>
      <c r="AB72" s="329" t="n"/>
      <c r="AC72" s="329" t="n"/>
      <c r="AD72" s="329" t="n"/>
      <c r="AE72" s="329" t="n"/>
    </row>
    <row r="73">
      <c r="A73" s="329" t="n">
        <v>72</v>
      </c>
      <c r="B73" s="329" t="inlineStr">
        <is>
          <t>EVT-0072</t>
        </is>
      </c>
      <c r="C73" s="666" t="n">
        <v>46220</v>
      </c>
      <c r="D73" s="329" t="inlineStr">
        <is>
          <t>Friday</t>
        </is>
      </c>
      <c r="E73" s="329" t="n">
        <v>13</v>
      </c>
      <c r="F73" s="329" t="inlineStr">
        <is>
          <t>MY_MONTH 3</t>
        </is>
      </c>
      <c r="G73" s="329" t="inlineStr">
        <is>
          <t>CL-029</t>
        </is>
      </c>
      <c r="H73" s="329" t="inlineStr">
        <is>
          <t>Miramar</t>
        </is>
      </c>
      <c r="I73" s="329" t="inlineStr">
        <is>
          <t>Hebrew Home of Greater Washington</t>
        </is>
      </c>
      <c r="J73" s="329" t="n"/>
      <c r="K73" s="329" t="inlineStr">
        <is>
          <t>North Bethesda</t>
        </is>
      </c>
      <c r="L73" s="329" t="inlineStr">
        <is>
          <t>Maryland</t>
        </is>
      </c>
      <c r="M73" s="329" t="n"/>
      <c r="N73" s="329" t="inlineStr">
        <is>
          <t>MD</t>
        </is>
      </c>
      <c r="O73" s="329" t="inlineStr">
        <is>
          <t>North Bethesda|MD</t>
        </is>
      </c>
      <c r="P73" s="329" t="inlineStr">
        <is>
          <t>Completed</t>
        </is>
      </c>
      <c r="Q73" s="329" t="inlineStr">
        <is>
          <t>Physical Service Visit</t>
        </is>
      </c>
      <c r="R73" s="329" t="n">
        <v>1</v>
      </c>
      <c r="S73" s="329" t="inlineStr">
        <is>
          <t>5913115</t>
        </is>
      </c>
      <c r="T73" s="329" t="n">
        <v>50</v>
      </c>
      <c r="U73" s="329" t="inlineStr">
        <is>
          <t>Eligible</t>
        </is>
      </c>
      <c r="V73" s="329" t="inlineStr">
        <is>
          <t>Miramar ticket at Hebrew Home closed by the client system after technician arrival and escalation. Promised flat rate $50.00 Speed ACH; completed chronology, but compensation classification and payment breakdown remain unresolved. Payment breakdown confirmed at $50.00 with no deductions; expected payment 2026-07-31.</t>
        </is>
      </c>
      <c r="W73" s="329" t="inlineStr">
        <is>
          <t>WO 5913115 + user-authoritative closed-ticket completion + Omnicare/Eric call notes + Gmail payment breakdown</t>
        </is>
      </c>
      <c r="X73" s="329" t="inlineStr">
        <is>
          <t>Included</t>
        </is>
      </c>
      <c r="Y73" s="329" t="n"/>
      <c r="Z73" s="329" t="inlineStr">
        <is>
          <t>Yes</t>
        </is>
      </c>
      <c r="AA73" s="329" t="n"/>
      <c r="AB73" s="329" t="n"/>
      <c r="AC73" s="329" t="n"/>
      <c r="AD73" s="329" t="n"/>
      <c r="AE73" s="329" t="n"/>
    </row>
    <row r="74">
      <c r="A74" s="329" t="n">
        <v>73</v>
      </c>
      <c r="B74" s="329" t="inlineStr">
        <is>
          <t>EVT-0073</t>
        </is>
      </c>
      <c r="C74" s="668" t="n">
        <v>46223</v>
      </c>
      <c r="D74" s="329" t="inlineStr">
        <is>
          <t>Monday</t>
        </is>
      </c>
      <c r="E74" s="329" t="n">
        <v>14</v>
      </c>
      <c r="F74" s="329" t="inlineStr">
        <is>
          <t>MY_MONTH 4</t>
        </is>
      </c>
      <c r="G74" s="329" t="inlineStr">
        <is>
          <t>CL-030</t>
        </is>
      </c>
      <c r="H74" s="329" t="inlineStr">
        <is>
          <t>Homesense</t>
        </is>
      </c>
      <c r="I74" s="329" t="inlineStr">
        <is>
          <t>Homesense TJH0030</t>
        </is>
      </c>
      <c r="J74" s="329" t="inlineStr">
        <is>
          <t>10220 Mill Run Cir</t>
        </is>
      </c>
      <c r="K74" s="329" t="inlineStr">
        <is>
          <t>Owings Mills</t>
        </is>
      </c>
      <c r="L74" s="329" t="inlineStr">
        <is>
          <t>Maryland</t>
        </is>
      </c>
      <c r="M74" s="329" t="inlineStr">
        <is>
          <t>21117</t>
        </is>
      </c>
      <c r="N74" s="329" t="inlineStr">
        <is>
          <t>MD</t>
        </is>
      </c>
      <c r="O74" s="329" t="inlineStr">
        <is>
          <t>Owings Mills|MD</t>
        </is>
      </c>
      <c r="P74" s="329" t="inlineStr">
        <is>
          <t>Completed</t>
        </is>
      </c>
      <c r="Q74" s="329" t="inlineStr">
        <is>
          <t>Physical Service Visit</t>
        </is>
      </c>
      <c r="R74" s="329" t="n">
        <v>1</v>
      </c>
      <c r="S74" s="329" t="inlineStr">
        <is>
          <t>5906821</t>
        </is>
      </c>
      <c r="T74" s="667" t="n">
        <v>180</v>
      </c>
      <c r="U74" s="329" t="inlineStr">
        <is>
          <t>Eligible</t>
        </is>
      </c>
      <c r="V74" s="329" t="inlineStr">
        <is>
          <t>VH2 server deinstall completed. Arrived 5:30 AM; store opened 7:00 AM. Delay joining NCR Bridgeline/Teams support. NCR confirmed additional Music Mood Media and Lounge Mood Media replacement scope, but the box onsite did not contain the replacement players and store management could not locate them. Additional delay obtaining the FedEx waybill and MOD signature. VH2 was removed, packaged, documented, and prepared for return. Payment breakdown confirmed at $180.00; expected payment 2026-08-03.</t>
        </is>
      </c>
      <c r="W74" s="329" t="inlineStr">
        <is>
          <t>WO 5906821 RFS + onsite completion notes + Gmail payment breakdown</t>
        </is>
      </c>
      <c r="X74" s="329" t="inlineStr">
        <is>
          <t>Included</t>
        </is>
      </c>
      <c r="Y74" s="329" t="n"/>
      <c r="Z74" s="329" t="inlineStr">
        <is>
          <t>Yes</t>
        </is>
      </c>
      <c r="AA74" s="329" t="n"/>
      <c r="AB74" s="329" t="n"/>
      <c r="AC74" s="329" t="n"/>
      <c r="AD74" s="329" t="n"/>
      <c r="AE74" s="329" t="n"/>
    </row>
    <row r="75">
      <c r="A75" s="329" t="n">
        <v>74</v>
      </c>
      <c r="B75" s="329" t="inlineStr">
        <is>
          <t>EVT-0074</t>
        </is>
      </c>
      <c r="C75" s="668" t="n">
        <v>46223</v>
      </c>
      <c r="D75" s="329" t="inlineStr">
        <is>
          <t>Monday</t>
        </is>
      </c>
      <c r="E75" s="329" t="n">
        <v>14</v>
      </c>
      <c r="F75" s="329" t="inlineStr">
        <is>
          <t>MY_MONTH 4</t>
        </is>
      </c>
      <c r="G75" s="329" t="inlineStr">
        <is>
          <t>CL-031</t>
        </is>
      </c>
      <c r="H75" s="329" t="inlineStr">
        <is>
          <t>Autumn Lake Healthcare</t>
        </is>
      </c>
      <c r="I75" s="329" t="inlineStr">
        <is>
          <t>Autumn Lake at Baltimore Washington</t>
        </is>
      </c>
      <c r="J75" s="329" t="inlineStr">
        <is>
          <t>313 Hospital Dr</t>
        </is>
      </c>
      <c r="K75" s="329" t="inlineStr">
        <is>
          <t>Glen Burnie</t>
        </is>
      </c>
      <c r="L75" s="329" t="inlineStr">
        <is>
          <t>Maryland</t>
        </is>
      </c>
      <c r="M75" s="329" t="inlineStr">
        <is>
          <t>21061</t>
        </is>
      </c>
      <c r="N75" s="329" t="inlineStr">
        <is>
          <t>MD</t>
        </is>
      </c>
      <c r="O75" s="329" t="inlineStr">
        <is>
          <t>Glen Burnie|MD</t>
        </is>
      </c>
      <c r="P75" s="329" t="inlineStr">
        <is>
          <t>Completed</t>
        </is>
      </c>
      <c r="Q75" s="329" t="inlineStr">
        <is>
          <t>Physical Service Visit</t>
        </is>
      </c>
      <c r="R75" s="329" t="n">
        <v>1</v>
      </c>
      <c r="S75" s="329" t="inlineStr">
        <is>
          <t>5919707</t>
        </is>
      </c>
      <c r="T75" s="667" t="n">
        <v>50</v>
      </c>
      <c r="U75" s="329" t="inlineStr">
        <is>
          <t>Eligible</t>
        </is>
      </c>
      <c r="V75" s="329" t="inlineStr">
        <is>
          <t>Customer/site no-show. Technician called both listed numbers and spoke with front desk; staff did not recognize Nina or the reported fax issue. Equipment could not be identified or accessed. Payment breakdown confirmed at $50.00 with no deductions.</t>
        </is>
      </c>
      <c r="W75" s="329" t="inlineStr">
        <is>
          <t>WO 5919707 RFS + user-authoritative completion/no-show notes + Gmail payment breakdown received 2026-07-21</t>
        </is>
      </c>
      <c r="X75" s="329" t="inlineStr">
        <is>
          <t>Included</t>
        </is>
      </c>
      <c r="Y75" s="329" t="n"/>
      <c r="Z75" s="329" t="inlineStr">
        <is>
          <t>Yes</t>
        </is>
      </c>
      <c r="AA75" s="329" t="n"/>
      <c r="AB75" s="329" t="n"/>
      <c r="AC75" s="329" t="n"/>
      <c r="AD75" s="329" t="n"/>
      <c r="AE75" s="329" t="n"/>
    </row>
    <row r="76">
      <c r="A76" s="329" t="n">
        <v>75</v>
      </c>
      <c r="B76" s="329" t="inlineStr">
        <is>
          <t>EVT-0075</t>
        </is>
      </c>
      <c r="C76" s="668" t="n">
        <v>46223</v>
      </c>
      <c r="D76" s="329" t="inlineStr">
        <is>
          <t>Monday</t>
        </is>
      </c>
      <c r="E76" s="329" t="n">
        <v>14</v>
      </c>
      <c r="F76" s="329" t="inlineStr">
        <is>
          <t>MY_MONTH 4</t>
        </is>
      </c>
      <c r="G76" s="329" t="inlineStr">
        <is>
          <t>CL-031</t>
        </is>
      </c>
      <c r="H76" s="329" t="inlineStr">
        <is>
          <t>Autumn Lake Healthcare</t>
        </is>
      </c>
      <c r="I76" s="329" t="inlineStr">
        <is>
          <t>Autumn Lake at Glen Burnie — Rosemary Unit</t>
        </is>
      </c>
      <c r="J76" s="329" t="inlineStr">
        <is>
          <t>7355 E Furnace Branch Rd</t>
        </is>
      </c>
      <c r="K76" s="329" t="inlineStr">
        <is>
          <t>Glen Burnie</t>
        </is>
      </c>
      <c r="L76" s="329" t="inlineStr">
        <is>
          <t>Maryland</t>
        </is>
      </c>
      <c r="M76" s="329" t="inlineStr">
        <is>
          <t>21060</t>
        </is>
      </c>
      <c r="N76" s="329" t="inlineStr">
        <is>
          <t>MD</t>
        </is>
      </c>
      <c r="O76" s="329" t="inlineStr">
        <is>
          <t>Glen Burnie|MD</t>
        </is>
      </c>
      <c r="P76" s="329" t="inlineStr">
        <is>
          <t>Completed</t>
        </is>
      </c>
      <c r="Q76" s="329" t="inlineStr">
        <is>
          <t>Physical Service Visit</t>
        </is>
      </c>
      <c r="R76" s="329" t="n">
        <v>1</v>
      </c>
      <c r="S76" s="329" t="inlineStr">
        <is>
          <t>5920784</t>
        </is>
      </c>
      <c r="T76" s="667" t="n">
        <v>50</v>
      </c>
      <c r="U76" s="329" t="inlineStr">
        <is>
          <t>Eligible</t>
        </is>
      </c>
      <c r="V76" s="329" t="inlineStr">
        <is>
          <t>New Sharp MX-B427W installed in the Rosemary Unit. Fax testing failed because of a facility fax-line issue. Technician contacted Omnicare and troubleshot with Wade, who confirmed the line requires repair and will coordinate next steps. Printer/fax installation was completed, work area and packaging were cleaned, and required form was completed and signed. Payment breakdown confirmed at $50.00; expected payment 2026-08-03.</t>
        </is>
      </c>
      <c r="W76" s="329" t="inlineStr">
        <is>
          <t>WO 5920784 RFS + signed installation form/photo + user completion + Gmail payment breakdown</t>
        </is>
      </c>
      <c r="X76" s="329" t="inlineStr">
        <is>
          <t>Included</t>
        </is>
      </c>
      <c r="Y76" s="329" t="n"/>
      <c r="Z76" s="329" t="inlineStr">
        <is>
          <t>Yes</t>
        </is>
      </c>
      <c r="AA76" s="329" t="n"/>
      <c r="AB76" s="329" t="n"/>
      <c r="AC76" s="329" t="n"/>
      <c r="AD76" s="329" t="n"/>
      <c r="AE76" s="329" t="n"/>
    </row>
    <row r="77">
      <c r="A77" t="n">
        <v>76</v>
      </c>
      <c r="B77" t="inlineStr">
        <is>
          <t>EVT-0076</t>
        </is>
      </c>
      <c r="C77" s="669" t="n">
        <v>46224</v>
      </c>
      <c r="D77" t="inlineStr">
        <is>
          <t>Tuesday</t>
        </is>
      </c>
      <c r="E77" t="n">
        <v>14</v>
      </c>
      <c r="F77" t="inlineStr">
        <is>
          <t>MY_MONTH 4</t>
        </is>
      </c>
      <c r="G77" t="inlineStr">
        <is>
          <t>CL-022</t>
        </is>
      </c>
      <c r="H77" t="inlineStr">
        <is>
          <t>Marshalls</t>
        </is>
      </c>
      <c r="I77" t="inlineStr">
        <is>
          <t>Marshalls — Owings Mills</t>
        </is>
      </c>
      <c r="K77" t="inlineStr">
        <is>
          <t>Owings Mills</t>
        </is>
      </c>
      <c r="L77" t="inlineStr">
        <is>
          <t>Maryland</t>
        </is>
      </c>
      <c r="N77" t="inlineStr">
        <is>
          <t>MD</t>
        </is>
      </c>
      <c r="O77" t="inlineStr">
        <is>
          <t>Owings Mills|MD</t>
        </is>
      </c>
      <c r="P77" t="inlineStr">
        <is>
          <t>Completed</t>
        </is>
      </c>
      <c r="Q77" t="inlineStr">
        <is>
          <t>Physical Service Visit</t>
        </is>
      </c>
      <c r="R77" t="n">
        <v>1</v>
      </c>
      <c r="S77" t="inlineStr">
        <is>
          <t>5906834</t>
        </is>
      </c>
      <c r="T77" t="n">
        <v>120</v>
      </c>
      <c r="U77" t="inlineStr">
        <is>
          <t>Eligible</t>
        </is>
      </c>
      <c r="V77" t="inlineStr">
        <is>
          <t>Payment breakdown confirmed at $120.00.</t>
        </is>
      </c>
      <c r="W77" t="inlineStr">
        <is>
          <t>User-verified payment breakdown record</t>
        </is>
      </c>
      <c r="X77" t="inlineStr">
        <is>
          <t>Included</t>
        </is>
      </c>
      <c r="Z77" t="inlineStr">
        <is>
          <t>Yes</t>
        </is>
      </c>
    </row>
    <row r="78">
      <c r="A78" t="n">
        <v>77</v>
      </c>
      <c r="B78" t="inlineStr">
        <is>
          <t>EVT-0077</t>
        </is>
      </c>
      <c r="C78" s="669" t="n">
        <v>46225</v>
      </c>
      <c r="D78" t="inlineStr">
        <is>
          <t>Wednesday</t>
        </is>
      </c>
      <c r="E78" t="n">
        <v>14</v>
      </c>
      <c r="F78" t="inlineStr">
        <is>
          <t>MY_MONTH 4</t>
        </is>
      </c>
      <c r="G78" t="inlineStr">
        <is>
          <t>CL-022</t>
        </is>
      </c>
      <c r="H78" t="inlineStr">
        <is>
          <t>Marshalls</t>
        </is>
      </c>
      <c r="I78" t="inlineStr">
        <is>
          <t>Marshalls — Towson</t>
        </is>
      </c>
      <c r="K78" t="inlineStr">
        <is>
          <t>Towson</t>
        </is>
      </c>
      <c r="L78" t="inlineStr">
        <is>
          <t>Maryland</t>
        </is>
      </c>
      <c r="N78" t="inlineStr">
        <is>
          <t>MD</t>
        </is>
      </c>
      <c r="O78" t="inlineStr">
        <is>
          <t>Towson|MD</t>
        </is>
      </c>
      <c r="P78" t="inlineStr">
        <is>
          <t>Completed</t>
        </is>
      </c>
      <c r="Q78" t="inlineStr">
        <is>
          <t>Physical Service Visit</t>
        </is>
      </c>
      <c r="R78" t="n">
        <v>1</v>
      </c>
      <c r="S78" t="inlineStr">
        <is>
          <t>UNRESOLVED-E077</t>
        </is>
      </c>
      <c r="U78" t="inlineStr">
        <is>
          <t>Pending</t>
        </is>
      </c>
      <c r="V78" t="inlineStr">
        <is>
          <t>Completed visit; work-order and payment breakdown mapping pending.</t>
        </is>
      </c>
      <c r="W78" t="inlineStr">
        <is>
          <t>User-authoritative chronology correction</t>
        </is>
      </c>
      <c r="X78" t="inlineStr">
        <is>
          <t>Included</t>
        </is>
      </c>
      <c r="Z78" t="inlineStr">
        <is>
          <t>Yes</t>
        </is>
      </c>
    </row>
    <row r="79">
      <c r="A79" t="n">
        <v>78</v>
      </c>
      <c r="B79" t="inlineStr">
        <is>
          <t>EVT-0078</t>
        </is>
      </c>
      <c r="C79" s="669" t="n">
        <v>46225</v>
      </c>
      <c r="D79" t="inlineStr">
        <is>
          <t>Wednesday</t>
        </is>
      </c>
      <c r="E79" t="n">
        <v>14</v>
      </c>
      <c r="F79" t="inlineStr">
        <is>
          <t>MY_MONTH 4</t>
        </is>
      </c>
      <c r="G79" t="inlineStr">
        <is>
          <t>CL-026</t>
        </is>
      </c>
      <c r="H79" t="inlineStr">
        <is>
          <t>Dunkin</t>
        </is>
      </c>
      <c r="I79" t="inlineStr">
        <is>
          <t>Dunkin — Owings Mills</t>
        </is>
      </c>
      <c r="K79" t="inlineStr">
        <is>
          <t>Owings Mills</t>
        </is>
      </c>
      <c r="L79" t="inlineStr">
        <is>
          <t>Maryland</t>
        </is>
      </c>
      <c r="N79" t="inlineStr">
        <is>
          <t>MD</t>
        </is>
      </c>
      <c r="O79" t="inlineStr">
        <is>
          <t>Owings Mills|MD</t>
        </is>
      </c>
      <c r="P79" t="inlineStr">
        <is>
          <t>Completed</t>
        </is>
      </c>
      <c r="Q79" t="inlineStr">
        <is>
          <t>Physical Service Visit</t>
        </is>
      </c>
      <c r="R79" t="n">
        <v>1</v>
      </c>
      <c r="S79" t="inlineStr">
        <is>
          <t>5900769</t>
        </is>
      </c>
      <c r="T79" t="n">
        <v>160.29</v>
      </c>
      <c r="U79" t="inlineStr">
        <is>
          <t>Eligible</t>
        </is>
      </c>
      <c r="V79" t="inlineStr">
        <is>
          <t>Payment breakdown confirmed at $160.29.</t>
        </is>
      </c>
      <c r="W79" t="inlineStr">
        <is>
          <t>User-verified payment breakdown record</t>
        </is>
      </c>
      <c r="X79" t="inlineStr">
        <is>
          <t>Included</t>
        </is>
      </c>
      <c r="Z79" t="inlineStr">
        <is>
          <t>Yes</t>
        </is>
      </c>
    </row>
    <row r="80">
      <c r="A80" t="n">
        <v>79</v>
      </c>
      <c r="B80" t="inlineStr">
        <is>
          <t>EVT-0079</t>
        </is>
      </c>
      <c r="C80" s="669" t="n">
        <v>46225</v>
      </c>
      <c r="D80" t="inlineStr">
        <is>
          <t>Wednesday</t>
        </is>
      </c>
      <c r="E80" t="n">
        <v>14</v>
      </c>
      <c r="F80" t="inlineStr">
        <is>
          <t>MY_MONTH 4</t>
        </is>
      </c>
      <c r="G80" t="inlineStr">
        <is>
          <t>CL-006</t>
        </is>
      </c>
      <c r="H80" t="inlineStr">
        <is>
          <t>7-Eleven</t>
        </is>
      </c>
      <c r="I80" t="inlineStr">
        <is>
          <t>7-Eleven — Fallston</t>
        </is>
      </c>
      <c r="J80" t="inlineStr">
        <is>
          <t>2400 Pleasantville Rd</t>
        </is>
      </c>
      <c r="K80" t="inlineStr">
        <is>
          <t>Fallston</t>
        </is>
      </c>
      <c r="L80" t="inlineStr">
        <is>
          <t>Maryland</t>
        </is>
      </c>
      <c r="M80" t="inlineStr">
        <is>
          <t>21047</t>
        </is>
      </c>
      <c r="N80" t="inlineStr">
        <is>
          <t>MD</t>
        </is>
      </c>
      <c r="O80" t="inlineStr">
        <is>
          <t>Fallston|MD</t>
        </is>
      </c>
      <c r="P80" t="inlineStr">
        <is>
          <t>Completed</t>
        </is>
      </c>
      <c r="Q80" t="inlineStr">
        <is>
          <t>Physical Service Visit</t>
        </is>
      </c>
      <c r="R80" t="n">
        <v>1</v>
      </c>
      <c r="S80" t="inlineStr">
        <is>
          <t>5921549</t>
        </is>
      </c>
      <c r="T80" t="n">
        <v>168.75</v>
      </c>
      <c r="U80" t="inlineStr">
        <is>
          <t>Eligible</t>
        </is>
      </c>
      <c r="V80" t="inlineStr">
        <is>
          <t>Digital menu board service completed. Payment breakdown confirmed at $168.75; no deductions.</t>
        </is>
      </c>
      <c r="W80" t="inlineStr">
        <is>
          <t>User chronology + Gmail WO assignment and payment breakdown</t>
        </is>
      </c>
      <c r="X80" t="inlineStr">
        <is>
          <t>Included</t>
        </is>
      </c>
      <c r="Z80" t="inlineStr">
        <is>
          <t>Yes</t>
        </is>
      </c>
    </row>
    <row r="81">
      <c r="A81" t="n">
        <v>80</v>
      </c>
      <c r="B81" t="inlineStr">
        <is>
          <t>EVT-0080</t>
        </is>
      </c>
      <c r="C81" s="669" t="n">
        <v>46226</v>
      </c>
      <c r="D81" t="inlineStr">
        <is>
          <t>Thursday</t>
        </is>
      </c>
      <c r="E81" t="n">
        <v>14</v>
      </c>
      <c r="F81" t="inlineStr">
        <is>
          <t>MY_MONTH 4</t>
        </is>
      </c>
      <c r="G81" t="inlineStr">
        <is>
          <t>CL-022</t>
        </is>
      </c>
      <c r="H81" t="inlineStr">
        <is>
          <t>Marshalls</t>
        </is>
      </c>
      <c r="I81" t="inlineStr">
        <is>
          <t>Marshalls — Westminster</t>
        </is>
      </c>
      <c r="J81" t="inlineStr">
        <is>
          <t>200 Clifton Blvd, Suite C</t>
        </is>
      </c>
      <c r="K81" t="inlineStr">
        <is>
          <t>Westminster</t>
        </is>
      </c>
      <c r="L81" t="inlineStr">
        <is>
          <t>Maryland</t>
        </is>
      </c>
      <c r="M81" t="inlineStr">
        <is>
          <t>21157</t>
        </is>
      </c>
      <c r="N81" t="inlineStr">
        <is>
          <t>MD</t>
        </is>
      </c>
      <c r="O81" t="inlineStr">
        <is>
          <t>Westminster|MD</t>
        </is>
      </c>
      <c r="P81" t="inlineStr">
        <is>
          <t>Completed</t>
        </is>
      </c>
      <c r="Q81" t="inlineStr">
        <is>
          <t>Physical Service Visit</t>
        </is>
      </c>
      <c r="R81" t="n">
        <v>1</v>
      </c>
      <c r="S81" t="inlineStr">
        <is>
          <t>5906863</t>
        </is>
      </c>
      <c r="T81" t="n">
        <v>163.33</v>
      </c>
      <c r="U81" t="inlineStr">
        <is>
          <t>Eligible</t>
        </is>
      </c>
      <c r="V81" t="inlineStr">
        <is>
          <t>TJX server-refresh work completed. Payment breakdown confirmed at $163.33; no deductions.</t>
        </is>
      </c>
      <c r="W81" t="inlineStr">
        <is>
          <t>User chronology + Gmail WO assignment and payment breakdown</t>
        </is>
      </c>
      <c r="X81" t="inlineStr">
        <is>
          <t>Included</t>
        </is>
      </c>
      <c r="Z81" t="inlineStr">
        <is>
          <t>Yes</t>
        </is>
      </c>
    </row>
    <row r="82">
      <c r="A82" t="n">
        <v>81</v>
      </c>
      <c r="B82" t="inlineStr">
        <is>
          <t>EVT-0081</t>
        </is>
      </c>
      <c r="C82" s="669" t="n">
        <v>46226</v>
      </c>
      <c r="D82" t="inlineStr">
        <is>
          <t>Thursday</t>
        </is>
      </c>
      <c r="E82" t="n">
        <v>14</v>
      </c>
      <c r="F82" t="inlineStr">
        <is>
          <t>MY_MONTH 4</t>
        </is>
      </c>
      <c r="G82" t="inlineStr">
        <is>
          <t>CL-016</t>
        </is>
      </c>
      <c r="H82" t="inlineStr">
        <is>
          <t>HomeGoods</t>
        </is>
      </c>
      <c r="I82" t="inlineStr">
        <is>
          <t>HomeGoods — Fairfax</t>
        </is>
      </c>
      <c r="K82" t="inlineStr">
        <is>
          <t>Fairfax</t>
        </is>
      </c>
      <c r="L82" t="inlineStr">
        <is>
          <t>Virginia</t>
        </is>
      </c>
      <c r="N82" t="inlineStr">
        <is>
          <t>VA</t>
        </is>
      </c>
      <c r="O82" t="inlineStr">
        <is>
          <t>Fairfax|VA</t>
        </is>
      </c>
      <c r="P82" t="inlineStr">
        <is>
          <t>Completed</t>
        </is>
      </c>
      <c r="Q82" t="inlineStr">
        <is>
          <t>Physical Service Visit</t>
        </is>
      </c>
      <c r="R82" t="n">
        <v>1</v>
      </c>
      <c r="S82" t="inlineStr">
        <is>
          <t>5922660</t>
        </is>
      </c>
      <c r="T82" t="n">
        <v>125</v>
      </c>
      <c r="U82" t="inlineStr">
        <is>
          <t>Eligible</t>
        </is>
      </c>
      <c r="V82" t="inlineStr">
        <is>
          <t>Power USB cable service completed. Payment breakdown confirmed at $125.00; no deductions.</t>
        </is>
      </c>
      <c r="W82" t="inlineStr">
        <is>
          <t>User chronology + Gmail ETA and payment breakdown</t>
        </is>
      </c>
      <c r="X82" t="inlineStr">
        <is>
          <t>Included</t>
        </is>
      </c>
      <c r="Z82" t="inlineStr">
        <is>
          <t>Yes</t>
        </is>
      </c>
    </row>
    <row r="83">
      <c r="A83" t="n">
        <v>82</v>
      </c>
      <c r="B83" t="inlineStr">
        <is>
          <t>EVT-0082</t>
        </is>
      </c>
      <c r="C83" s="669" t="n">
        <v>46226</v>
      </c>
      <c r="D83" t="inlineStr">
        <is>
          <t>Thursday</t>
        </is>
      </c>
      <c r="E83" t="n">
        <v>14</v>
      </c>
      <c r="F83" t="inlineStr">
        <is>
          <t>MY_MONTH 4</t>
        </is>
      </c>
      <c r="G83" t="inlineStr">
        <is>
          <t>CL-020</t>
        </is>
      </c>
      <c r="H83" t="inlineStr">
        <is>
          <t>TJ Maxx</t>
        </is>
      </c>
      <c r="I83" t="inlineStr">
        <is>
          <t>TJ Maxx — Alexandria</t>
        </is>
      </c>
      <c r="K83" t="inlineStr">
        <is>
          <t>Alexandria</t>
        </is>
      </c>
      <c r="L83" t="inlineStr">
        <is>
          <t>Virginia</t>
        </is>
      </c>
      <c r="N83" t="inlineStr">
        <is>
          <t>VA</t>
        </is>
      </c>
      <c r="O83" t="inlineStr">
        <is>
          <t>Alexandria|VA</t>
        </is>
      </c>
      <c r="P83" t="inlineStr">
        <is>
          <t>Completed</t>
        </is>
      </c>
      <c r="Q83" t="inlineStr">
        <is>
          <t>Physical Service Visit</t>
        </is>
      </c>
      <c r="R83" t="n">
        <v>1</v>
      </c>
      <c r="S83" t="inlineStr">
        <is>
          <t>5922683</t>
        </is>
      </c>
      <c r="T83" t="n">
        <v>110</v>
      </c>
      <c r="U83" t="inlineStr">
        <is>
          <t>Eligible</t>
        </is>
      </c>
      <c r="V83" t="inlineStr">
        <is>
          <t>BERG adapter service completed. Payment breakdown confirmed at $110.00; no deductions.</t>
        </is>
      </c>
      <c r="W83" t="inlineStr">
        <is>
          <t>User chronology + Gmail ETA and payment breakdown</t>
        </is>
      </c>
      <c r="X83" t="inlineStr">
        <is>
          <t>Included</t>
        </is>
      </c>
      <c r="Z83" t="inlineStr">
        <is>
          <t>Yes</t>
        </is>
      </c>
    </row>
    <row r="84">
      <c r="A84" t="n">
        <v>83</v>
      </c>
      <c r="B84" t="inlineStr">
        <is>
          <t>EVT-0083</t>
        </is>
      </c>
      <c r="C84" s="669" t="n">
        <v>46227</v>
      </c>
      <c r="D84" t="inlineStr">
        <is>
          <t>Friday</t>
        </is>
      </c>
      <c r="E84" t="n">
        <v>14</v>
      </c>
      <c r="F84" t="inlineStr">
        <is>
          <t>MY_MONTH 4</t>
        </is>
      </c>
      <c r="G84" t="inlineStr">
        <is>
          <t>CL-027</t>
        </is>
      </c>
      <c r="H84" t="inlineStr">
        <is>
          <t>Carvana</t>
        </is>
      </c>
      <c r="I84" t="inlineStr">
        <is>
          <t>Carvana — Baltimore</t>
        </is>
      </c>
      <c r="J84" t="inlineStr">
        <is>
          <t>4901 Holabird Ave</t>
        </is>
      </c>
      <c r="K84" t="inlineStr">
        <is>
          <t>Baltimore</t>
        </is>
      </c>
      <c r="L84" t="inlineStr">
        <is>
          <t>Maryland</t>
        </is>
      </c>
      <c r="M84" t="inlineStr">
        <is>
          <t>21224</t>
        </is>
      </c>
      <c r="N84" t="inlineStr">
        <is>
          <t>MD</t>
        </is>
      </c>
      <c r="O84" t="inlineStr">
        <is>
          <t>Baltimore|MD</t>
        </is>
      </c>
      <c r="P84" t="inlineStr">
        <is>
          <t>Completed</t>
        </is>
      </c>
      <c r="Q84" t="inlineStr">
        <is>
          <t>Physical Service Visit</t>
        </is>
      </c>
      <c r="R84" t="n">
        <v>1</v>
      </c>
      <c r="S84" t="inlineStr">
        <is>
          <t>5919318</t>
        </is>
      </c>
      <c r="T84" t="n">
        <v>65</v>
      </c>
      <c r="U84" t="inlineStr">
        <is>
          <t>Eligible</t>
        </is>
      </c>
      <c r="V84" t="inlineStr">
        <is>
          <t>HP Color LaserJet Managed MFP fuser replaced and ticket completed. Payment breakdown confirmed at $65.00; no deductions.</t>
        </is>
      </c>
      <c r="W84" t="inlineStr">
        <is>
          <t>User completion + Gmail WO assignment and payment breakdown</t>
        </is>
      </c>
      <c r="X84" t="inlineStr">
        <is>
          <t>Included</t>
        </is>
      </c>
      <c r="Z84" t="inlineStr">
        <is>
          <t>Yes</t>
        </is>
      </c>
    </row>
    <row r="85">
      <c r="A85" t="n">
        <v>84</v>
      </c>
      <c r="B85" t="inlineStr">
        <is>
          <t>EVT-0084</t>
        </is>
      </c>
      <c r="C85" s="669" t="n">
        <v>46227</v>
      </c>
      <c r="D85" t="inlineStr">
        <is>
          <t>Friday</t>
        </is>
      </c>
      <c r="E85" t="n">
        <v>14</v>
      </c>
      <c r="F85" t="inlineStr">
        <is>
          <t>MY_MONTH 4</t>
        </is>
      </c>
      <c r="G85" t="inlineStr">
        <is>
          <t>CL-007</t>
        </is>
      </c>
      <c r="H85" t="inlineStr">
        <is>
          <t>Giant Food Stores</t>
        </is>
      </c>
      <c r="I85" t="inlineStr">
        <is>
          <t>Giant Food — Wheaton</t>
        </is>
      </c>
      <c r="J85" t="inlineStr">
        <is>
          <t>2900 University Boulevard West</t>
        </is>
      </c>
      <c r="K85" t="inlineStr">
        <is>
          <t>Wheaton</t>
        </is>
      </c>
      <c r="L85" t="inlineStr">
        <is>
          <t>Maryland</t>
        </is>
      </c>
      <c r="M85" t="inlineStr">
        <is>
          <t>20902</t>
        </is>
      </c>
      <c r="N85" t="inlineStr">
        <is>
          <t>MD</t>
        </is>
      </c>
      <c r="O85" t="inlineStr">
        <is>
          <t>Wheaton|MD</t>
        </is>
      </c>
      <c r="P85" t="inlineStr">
        <is>
          <t>Completed</t>
        </is>
      </c>
      <c r="Q85" t="inlineStr">
        <is>
          <t>Physical Service Visit</t>
        </is>
      </c>
      <c r="R85" t="n">
        <v>1</v>
      </c>
      <c r="S85" t="inlineStr">
        <is>
          <t>5922604</t>
        </is>
      </c>
      <c r="U85" t="inlineStr">
        <is>
          <t>Pending</t>
        </is>
      </c>
      <c r="V85" t="inlineStr">
        <is>
          <t>Cradlepoint outage resolved after replacing the rooftop unit and PoE injector; Port 42 restored and site operational. Payment breakdown pending.</t>
        </is>
      </c>
      <c r="W85" t="inlineStr">
        <is>
          <t>User-authoritative completion + Gmail WO assignment and closeout correspondence</t>
        </is>
      </c>
      <c r="X85" t="inlineStr">
        <is>
          <t>Included</t>
        </is>
      </c>
      <c r="Z85" t="inlineStr">
        <is>
          <t>Yes</t>
        </is>
      </c>
    </row>
    <row r="86">
      <c r="A86" t="n">
        <v>85</v>
      </c>
      <c r="C86" s="663" t="n">
        <v>46230</v>
      </c>
      <c r="H86" t="inlineStr">
        <is>
          <t>Dunkin</t>
        </is>
      </c>
      <c r="K86" t="inlineStr">
        <is>
          <t>Bel Air</t>
        </is>
      </c>
      <c r="L86" t="inlineStr">
        <is>
          <t>Maryland</t>
        </is>
      </c>
      <c r="N86" t="inlineStr">
        <is>
          <t>MD</t>
        </is>
      </c>
      <c r="P86" t="inlineStr">
        <is>
          <t>Completed</t>
        </is>
      </c>
    </row>
    <row r="87">
      <c r="A87" t="n">
        <v>86</v>
      </c>
      <c r="C87" s="663" t="n">
        <v>46231</v>
      </c>
      <c r="H87" t="inlineStr">
        <is>
          <t>Marshalls</t>
        </is>
      </c>
      <c r="K87" t="inlineStr">
        <is>
          <t>Hyattsville</t>
        </is>
      </c>
      <c r="L87" t="inlineStr">
        <is>
          <t>Maryland</t>
        </is>
      </c>
      <c r="N87" t="inlineStr">
        <is>
          <t>MD</t>
        </is>
      </c>
      <c r="P87" t="inlineStr">
        <is>
          <t>Completed</t>
        </is>
      </c>
    </row>
    <row r="88">
      <c r="A88" t="n">
        <v>87</v>
      </c>
      <c r="C88" s="663" t="n">
        <v>46231</v>
      </c>
      <c r="H88" t="inlineStr">
        <is>
          <t>WeWork</t>
        </is>
      </c>
      <c r="K88" t="inlineStr">
        <is>
          <t>Washington</t>
        </is>
      </c>
      <c r="L88" t="inlineStr">
        <is>
          <t>Washington, DC</t>
        </is>
      </c>
      <c r="N88" t="inlineStr">
        <is>
          <t>DC</t>
        </is>
      </c>
      <c r="P88" t="inlineStr">
        <is>
          <t>Completed</t>
        </is>
      </c>
    </row>
    <row r="89">
      <c r="A89" t="n">
        <v>88</v>
      </c>
      <c r="C89" s="663" t="n">
        <v>46232</v>
      </c>
      <c r="H89" t="inlineStr">
        <is>
          <t>Dunkin</t>
        </is>
      </c>
      <c r="K89" t="inlineStr">
        <is>
          <t>Reisterstown</t>
        </is>
      </c>
      <c r="L89" t="inlineStr">
        <is>
          <t>Maryland</t>
        </is>
      </c>
      <c r="N89" t="inlineStr">
        <is>
          <t>MD</t>
        </is>
      </c>
      <c r="P89" t="inlineStr">
        <is>
          <t>Completed</t>
        </is>
      </c>
    </row>
  </sheetData>
  <conditionalFormatting sqref="I2:I63">
    <cfRule type="expression" priority="1" dxfId="3">
      <formula>I2="Completed"</formula>
    </cfRule>
  </conditionalFormatting>
  <conditionalFormatting sqref="P2:P66">
    <cfRule type="expression" priority="2" dxfId="21">
      <formula>$P2="Completed"</formula>
    </cfRule>
    <cfRule type="expression" priority="3" dxfId="46">
      <formula>$P2="Scheduled"</formula>
    </cfRule>
    <cfRule type="expression" priority="4" dxfId="48">
      <formula>OR($P2="Cancelled",$P2="Dispatched/Reassigned")</formula>
    </cfRule>
    <cfRule type="expression" priority="5" dxfId="26">
      <formula>OR($P2="Incomplete",$P2="No Access",$P2="Failed")</formula>
    </cfRule>
  </conditionalFormatting>
  <conditionalFormatting sqref="T2:T66">
    <cfRule type="expression" priority="6" dxfId="21">
      <formula>AND($X2="Included",$Z2="Yes",$U2="Eligible")</formula>
    </cfRule>
    <cfRule type="expression" priority="7" dxfId="22">
      <formula>AND($X2="Included",$Z2="Yes",$U2="Excluded")</formula>
    </cfRule>
    <cfRule type="expression" priority="8" dxfId="48">
      <formula>$X2="Excluded"</formula>
    </cfRule>
  </conditionalFormatting>
  <conditionalFormatting sqref="U2:U66">
    <cfRule type="expression" priority="9" dxfId="21">
      <formula>$U2="Eligible"</formula>
    </cfRule>
    <cfRule type="expression" priority="10" dxfId="22">
      <formula>AND($U2="Excluded",$X2="Included")</formula>
    </cfRule>
    <cfRule type="expression" priority="11" dxfId="48">
      <formula>$X2="Excluded"</formula>
    </cfRule>
  </conditionalFormatting>
  <conditionalFormatting sqref="V2:W66">
    <cfRule type="expression" priority="12" dxfId="59">
      <formula>AND($X2="Included",$Z2="Yes",$U2="Excluded")</formula>
    </cfRule>
    <cfRule type="expression" priority="13" dxfId="60">
      <formula>$X2="Excluded"</formula>
    </cfRule>
  </conditionalFormatting>
  <conditionalFormatting sqref="X2:X66">
    <cfRule type="expression" priority="14" dxfId="46">
      <formula>$X2="Included"</formula>
    </cfRule>
    <cfRule type="expression" priority="15" dxfId="48">
      <formula>$X2="Excluded"</formula>
    </cfRule>
  </conditionalFormatting>
  <conditionalFormatting sqref="Y2:Y66">
    <cfRule type="expression" priority="16" dxfId="60">
      <formula>$X2="Excluded"</formula>
    </cfRule>
  </conditionalFormatting>
  <conditionalFormatting sqref="Z2:Z66">
    <cfRule type="expression" priority="17" dxfId="46">
      <formula>$Z2="Yes"</formula>
    </cfRule>
    <cfRule type="expression" priority="18" dxfId="48">
      <formula>$Z2="No"</formula>
    </cfRule>
  </conditionalFormatting>
  <dataValidations count="7">
    <dataValidation sqref="I2:I63" showDropDown="0" showInputMessage="0" showErrorMessage="0" allowBlank="0" type="list">
      <formula1>"Completed,Scheduled,Cancelled,No Access,Closed"</formula1>
    </dataValidation>
    <dataValidation sqref="J2:J63" showDropDown="0" showInputMessage="0" showErrorMessage="0" allowBlank="0" type="list">
      <formula1>"Physical Service Visit,Same-site multi-WO visit,Project Deployment,Repair,Install,No Access"</formula1>
    </dataValidation>
    <dataValidation sqref="P2:P63" showDropDown="0" showInputMessage="0" showErrorMessage="0" allowBlank="0" type="list">
      <formula1>"Completed,Scheduled,Cancelled,No Access,Closed"</formula1>
    </dataValidation>
    <dataValidation sqref="Q2:Q63" showDropDown="0" showInputMessage="0" showErrorMessage="0" allowBlank="0" type="list">
      <formula1>"Physical Service Visit,Same-site multi-WO visit,Project Deployment,Repair,Install,No Access"</formula1>
    </dataValidation>
    <dataValidation sqref="X2:X500" showDropDown="0" showInputMessage="0" showErrorMessage="0" allowBlank="0" type="list">
      <formula1>"Included,Excluded"</formula1>
    </dataValidation>
    <dataValidation sqref="Z2:Z500" showDropDown="0" showInputMessage="0" showErrorMessage="0" allowBlank="0" type="list">
      <formula1>"Yes,No"</formula1>
    </dataValidation>
    <dataValidation sqref="U2:U500" showDropDown="0" showInputMessage="0" showErrorMessage="0" allowBlank="0" type="list">
      <formula1>"Eligible,Excluded"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E85"/>
  <sheetViews>
    <sheetView showGridLines="0" workbookViewId="0">
      <selection activeCell="A1" sqref="A1"/>
    </sheetView>
  </sheetViews>
  <sheetFormatPr baseColWidth="8" defaultRowHeight="15"/>
  <cols>
    <col width="14" customWidth="1" style="192" min="1" max="1"/>
    <col width="18" customWidth="1" style="192" min="2" max="2"/>
    <col width="10" customWidth="1" style="192" min="3" max="3"/>
    <col width="18" customWidth="1" style="192" min="4" max="4"/>
    <col width="12" customWidth="1" style="192" min="5" max="5"/>
    <col width="28" customWidth="1" style="192" min="6" max="6"/>
    <col width="13" customWidth="1" style="192" min="7" max="7"/>
    <col width="12" customWidth="1" style="192" min="8" max="8"/>
    <col width="24" customWidth="1" style="192" min="9" max="9"/>
    <col width="22" customWidth="1" style="192" min="10" max="10"/>
    <col width="18" customWidth="1" style="192" min="11" max="11"/>
    <col width="18" customWidth="1" style="192" min="12" max="12"/>
    <col width="10" customWidth="1" style="192" min="13" max="13"/>
    <col width="14" customWidth="1" style="192" min="14" max="14"/>
    <col width="22" customWidth="1" style="192" min="15" max="15"/>
    <col width="14" customWidth="1" style="192" min="16" max="16"/>
    <col width="14" customWidth="1" style="192" min="17" max="17"/>
    <col width="18" customWidth="1" style="192" min="18" max="18"/>
    <col width="16" customWidth="1" style="192" min="19" max="19"/>
    <col width="13" customWidth="1" style="192" min="20" max="20"/>
    <col width="16" customWidth="1" style="192" min="21" max="21"/>
    <col width="15" customWidth="1" style="192" min="22" max="22"/>
    <col width="14" customWidth="1" style="192" min="23" max="23"/>
    <col width="13" customWidth="1" style="192" min="24" max="24"/>
    <col width="14" customWidth="1" style="192" min="25" max="25"/>
    <col width="24" customWidth="1" style="192" min="26" max="26"/>
    <col width="20" customWidth="1" style="192" min="27" max="27"/>
    <col width="28" customWidth="1" style="192" min="28" max="28"/>
    <col width="44" customWidth="1" style="192" min="29" max="29"/>
    <col width="30" customWidth="1" style="192" min="30" max="30"/>
  </cols>
  <sheetData>
    <row r="1">
      <c r="A1" s="51" t="inlineStr">
        <is>
          <t>Ledger Record ID</t>
        </is>
      </c>
      <c r="B1" s="51" t="inlineStr">
        <is>
          <t>Work Order #</t>
        </is>
      </c>
      <c r="C1" s="51" t="inlineStr">
        <is>
          <t>Event #</t>
        </is>
      </c>
      <c r="D1" s="51" t="inlineStr">
        <is>
          <t>Candidate Event(s)</t>
        </is>
      </c>
      <c r="E1" s="51" t="inlineStr">
        <is>
          <t>Client ID</t>
        </is>
      </c>
      <c r="F1" s="51" t="inlineStr">
        <is>
          <t>Client</t>
        </is>
      </c>
      <c r="G1" s="51" t="inlineStr">
        <is>
          <t>Service Date</t>
        </is>
      </c>
      <c r="H1" s="51" t="inlineStr">
        <is>
          <t>Weekday</t>
        </is>
      </c>
      <c r="I1" s="51" t="inlineStr">
        <is>
          <t>Site Name</t>
        </is>
      </c>
      <c r="J1" s="51" t="inlineStr">
        <is>
          <t>Address</t>
        </is>
      </c>
      <c r="K1" s="51" t="inlineStr">
        <is>
          <t>City</t>
        </is>
      </c>
      <c r="L1" s="51" t="inlineStr">
        <is>
          <t>State</t>
        </is>
      </c>
      <c r="M1" s="51" t="inlineStr">
        <is>
          <t>ZIP</t>
        </is>
      </c>
      <c r="N1" s="51" t="inlineStr">
        <is>
          <t>Jurisdiction</t>
        </is>
      </c>
      <c r="O1" s="51" t="inlineStr">
        <is>
          <t>Location Key</t>
        </is>
      </c>
      <c r="P1" s="51" t="inlineStr">
        <is>
          <t>Agreed Amount</t>
        </is>
      </c>
      <c r="Q1" s="51" t="inlineStr">
        <is>
          <t>Pay Type</t>
        </is>
      </c>
      <c r="R1" s="51" t="inlineStr">
        <is>
          <t>Breakdown Confirmed</t>
        </is>
      </c>
      <c r="S1" s="51" t="inlineStr">
        <is>
          <t>Breakdown Amount</t>
        </is>
      </c>
      <c r="T1" s="51" t="inlineStr">
        <is>
          <t>Breakdown Date</t>
        </is>
      </c>
      <c r="U1" s="51" t="inlineStr">
        <is>
          <t>Expected Payment Date</t>
        </is>
      </c>
      <c r="V1" s="51" t="inlineStr">
        <is>
          <t>ACH Confirmed</t>
        </is>
      </c>
      <c r="W1" s="51" t="inlineStr">
        <is>
          <t>ACH Amount</t>
        </is>
      </c>
      <c r="X1" s="51" t="inlineStr">
        <is>
          <t>ACH Date</t>
        </is>
      </c>
      <c r="Y1" s="51" t="inlineStr">
        <is>
          <t>Variance</t>
        </is>
      </c>
      <c r="Z1" s="51" t="inlineStr">
        <is>
          <t>Reconciliation Status</t>
        </is>
      </c>
      <c r="AA1" s="51" t="inlineStr">
        <is>
          <t>Mapping Status</t>
        </is>
      </c>
      <c r="AB1" s="51" t="inlineStr">
        <is>
          <t>Alias / Related WO</t>
        </is>
      </c>
      <c r="AC1" s="51" t="inlineStr">
        <is>
          <t>Notes</t>
        </is>
      </c>
      <c r="AD1" s="51" t="inlineStr">
        <is>
          <t>Source / Evidence</t>
        </is>
      </c>
      <c r="AE1" s="52" t="n"/>
    </row>
    <row r="2">
      <c r="A2" s="329" t="inlineStr">
        <is>
          <t>LED-0001</t>
        </is>
      </c>
      <c r="B2" s="329" t="inlineStr">
        <is>
          <t>5847113</t>
        </is>
      </c>
      <c r="C2" s="329" t="n">
        <v>1</v>
      </c>
      <c r="D2" s="666" t="n"/>
      <c r="E2" s="329" t="inlineStr">
        <is>
          <t>CL-001</t>
        </is>
      </c>
      <c r="F2" s="329" t="inlineStr">
        <is>
          <t>Macy's</t>
        </is>
      </c>
      <c r="G2" s="666" t="n">
        <v>46132</v>
      </c>
      <c r="H2" s="670" t="inlineStr">
        <is>
          <t>Monday</t>
        </is>
      </c>
      <c r="I2" s="329" t="inlineStr">
        <is>
          <t>Macy's</t>
        </is>
      </c>
      <c r="J2" s="329" t="n"/>
      <c r="K2" s="667" t="inlineStr">
        <is>
          <t>Fairfax</t>
        </is>
      </c>
      <c r="L2" s="666" t="inlineStr">
        <is>
          <t>Virginia</t>
        </is>
      </c>
      <c r="M2" s="666" t="n"/>
      <c r="N2" s="329" t="inlineStr">
        <is>
          <t>VA</t>
        </is>
      </c>
      <c r="O2" s="670" t="inlineStr">
        <is>
          <t>Fairfax|VA</t>
        </is>
      </c>
      <c r="P2" s="667" t="n"/>
      <c r="Q2" s="667" t="n"/>
      <c r="R2" s="329" t="inlineStr">
        <is>
          <t>Yes</t>
        </is>
      </c>
      <c r="S2" s="667" t="n">
        <v>90</v>
      </c>
      <c r="T2" s="666" t="n"/>
      <c r="U2" s="666" t="n"/>
      <c r="V2" s="329" t="inlineStr">
        <is>
          <t>Yes</t>
        </is>
      </c>
      <c r="W2" s="667" t="n">
        <v>90</v>
      </c>
      <c r="X2" s="666" t="n"/>
      <c r="Y2" s="670" t="str"/>
      <c r="Z2" s="329" t="inlineStr">
        <is>
          <t>Complete with note</t>
        </is>
      </c>
      <c r="AA2" s="329" t="inlineStr">
        <is>
          <t>Unique</t>
        </is>
      </c>
      <c r="AB2" s="329" t="n"/>
      <c r="AC2" s="329" t="inlineStr">
        <is>
          <t>VA model from prior approved calculation.</t>
        </is>
      </c>
      <c r="AD2" s="329" t="inlineStr">
        <is>
          <t>WO Alias Index + Canonical Ledger</t>
        </is>
      </c>
      <c r="AE2" s="329" t="n"/>
    </row>
    <row r="3">
      <c r="A3" s="329" t="inlineStr">
        <is>
          <t>LED-0002</t>
        </is>
      </c>
      <c r="B3" s="329" t="inlineStr">
        <is>
          <t>5860365</t>
        </is>
      </c>
      <c r="C3" s="329" t="n">
        <v>2</v>
      </c>
      <c r="D3" s="666" t="n"/>
      <c r="E3" s="329" t="inlineStr">
        <is>
          <t>CL-002</t>
        </is>
      </c>
      <c r="F3" s="329" t="inlineStr">
        <is>
          <t>Bloomingdale's</t>
        </is>
      </c>
      <c r="G3" s="666" t="n">
        <v>46133</v>
      </c>
      <c r="H3" s="670" t="inlineStr">
        <is>
          <t>Tuesday</t>
        </is>
      </c>
      <c r="I3" s="329" t="inlineStr">
        <is>
          <t>Bloomingdale's</t>
        </is>
      </c>
      <c r="J3" s="329" t="n"/>
      <c r="K3" s="667" t="inlineStr">
        <is>
          <t>Tysons</t>
        </is>
      </c>
      <c r="L3" s="666" t="inlineStr">
        <is>
          <t>Virginia</t>
        </is>
      </c>
      <c r="M3" s="666" t="n"/>
      <c r="N3" s="329" t="inlineStr">
        <is>
          <t>VA</t>
        </is>
      </c>
      <c r="O3" s="670" t="inlineStr">
        <is>
          <t>Tysons|VA</t>
        </is>
      </c>
      <c r="P3" s="667" t="n"/>
      <c r="Q3" s="667" t="n"/>
      <c r="R3" s="329" t="inlineStr">
        <is>
          <t>Yes</t>
        </is>
      </c>
      <c r="S3" s="667" t="n">
        <v>344</v>
      </c>
      <c r="T3" s="666" t="n"/>
      <c r="U3" s="666" t="n"/>
      <c r="V3" s="329" t="inlineStr">
        <is>
          <t>Yes</t>
        </is>
      </c>
      <c r="W3" s="667" t="n">
        <v>344</v>
      </c>
      <c r="X3" s="666" t="n"/>
      <c r="Y3" s="670" t="str"/>
      <c r="Z3" s="329" t="inlineStr">
        <is>
          <t>Complete</t>
        </is>
      </c>
      <c r="AA3" s="329" t="inlineStr">
        <is>
          <t>Unique</t>
        </is>
      </c>
      <c r="AB3" s="329" t="n"/>
      <c r="AC3" s="329" t="inlineStr">
        <is>
          <t>8-hour assist tech; effective $43/hr.</t>
        </is>
      </c>
      <c r="AD3" s="329" t="inlineStr">
        <is>
          <t>WO Alias Index + Canonical Ledger</t>
        </is>
      </c>
      <c r="AE3" s="329" t="n"/>
    </row>
    <row r="4">
      <c r="A4" s="329" t="inlineStr">
        <is>
          <t>LED-0003</t>
        </is>
      </c>
      <c r="B4" s="329" t="inlineStr">
        <is>
          <t>5860393</t>
        </is>
      </c>
      <c r="C4" s="329" t="n">
        <v>3</v>
      </c>
      <c r="D4" s="666" t="n"/>
      <c r="E4" s="329" t="inlineStr">
        <is>
          <t>CL-002</t>
        </is>
      </c>
      <c r="F4" s="329" t="inlineStr">
        <is>
          <t>Bloomingdale's</t>
        </is>
      </c>
      <c r="G4" s="666" t="n">
        <v>46134</v>
      </c>
      <c r="H4" s="670" t="inlineStr">
        <is>
          <t>Wednesday</t>
        </is>
      </c>
      <c r="I4" s="329" t="inlineStr">
        <is>
          <t>Bloomingdale's</t>
        </is>
      </c>
      <c r="J4" s="329" t="n"/>
      <c r="K4" s="667" t="inlineStr">
        <is>
          <t>Tysons</t>
        </is>
      </c>
      <c r="L4" s="666" t="inlineStr">
        <is>
          <t>Virginia</t>
        </is>
      </c>
      <c r="M4" s="666" t="n"/>
      <c r="N4" s="329" t="inlineStr">
        <is>
          <t>VA</t>
        </is>
      </c>
      <c r="O4" s="670" t="inlineStr">
        <is>
          <t>Tysons|VA</t>
        </is>
      </c>
      <c r="P4" s="667" t="n"/>
      <c r="Q4" s="667" t="n"/>
      <c r="R4" s="329" t="inlineStr">
        <is>
          <t>Yes</t>
        </is>
      </c>
      <c r="S4" s="667" t="n">
        <v>344</v>
      </c>
      <c r="T4" s="666" t="n"/>
      <c r="U4" s="666" t="n"/>
      <c r="V4" s="329" t="inlineStr">
        <is>
          <t>Yes</t>
        </is>
      </c>
      <c r="W4" s="667" t="n">
        <v>344</v>
      </c>
      <c r="X4" s="666" t="n"/>
      <c r="Y4" s="670" t="str"/>
      <c r="Z4" s="329" t="inlineStr">
        <is>
          <t>Complete</t>
        </is>
      </c>
      <c r="AA4" s="329" t="inlineStr">
        <is>
          <t>Unique</t>
        </is>
      </c>
      <c r="AB4" s="329" t="n"/>
      <c r="AC4" s="329" t="inlineStr">
        <is>
          <t>8-hour assist tech; effective $43/hr.</t>
        </is>
      </c>
      <c r="AD4" s="329" t="inlineStr">
        <is>
          <t>WO Alias Index + Canonical Ledger</t>
        </is>
      </c>
      <c r="AE4" s="329" t="n"/>
    </row>
    <row r="5">
      <c r="A5" s="329" t="inlineStr">
        <is>
          <t>LED-0004</t>
        </is>
      </c>
      <c r="B5" s="329" t="inlineStr">
        <is>
          <t>5874484</t>
        </is>
      </c>
      <c r="C5" s="329" t="n">
        <v>4</v>
      </c>
      <c r="D5" s="666" t="n"/>
      <c r="E5" s="329" t="inlineStr">
        <is>
          <t>CL-001</t>
        </is>
      </c>
      <c r="F5" s="329" t="inlineStr">
        <is>
          <t>Macy's</t>
        </is>
      </c>
      <c r="G5" s="666" t="n">
        <v>46135</v>
      </c>
      <c r="H5" s="670" t="inlineStr">
        <is>
          <t>Thursday</t>
        </is>
      </c>
      <c r="I5" s="329" t="inlineStr">
        <is>
          <t>Macy's</t>
        </is>
      </c>
      <c r="J5" s="329" t="n"/>
      <c r="K5" s="667" t="inlineStr">
        <is>
          <t>Frederick</t>
        </is>
      </c>
      <c r="L5" s="666" t="inlineStr">
        <is>
          <t>Maryland</t>
        </is>
      </c>
      <c r="M5" s="666" t="n"/>
      <c r="N5" s="329" t="inlineStr">
        <is>
          <t>MD</t>
        </is>
      </c>
      <c r="O5" s="670" t="inlineStr">
        <is>
          <t>Frederick|MD</t>
        </is>
      </c>
      <c r="P5" s="667" t="n"/>
      <c r="Q5" s="667" t="n"/>
      <c r="R5" s="329" t="inlineStr">
        <is>
          <t>Yes</t>
        </is>
      </c>
      <c r="S5" s="667" t="n">
        <v>180</v>
      </c>
      <c r="T5" s="666" t="n"/>
      <c r="U5" s="666" t="n"/>
      <c r="V5" s="329" t="inlineStr">
        <is>
          <t>Yes</t>
        </is>
      </c>
      <c r="W5" s="667" t="n">
        <v>180</v>
      </c>
      <c r="X5" s="666" t="n"/>
      <c r="Y5" s="670" t="str"/>
      <c r="Z5" s="329" t="inlineStr">
        <is>
          <t>Complete</t>
        </is>
      </c>
      <c r="AA5" s="329" t="inlineStr">
        <is>
          <t>Unique</t>
        </is>
      </c>
      <c r="AB5" s="329" t="n"/>
      <c r="AC5" s="329" t="inlineStr">
        <is>
          <t>Maryland revenue included; hours inferred at $45/hr.</t>
        </is>
      </c>
      <c r="AD5" s="329" t="inlineStr">
        <is>
          <t>WO Alias Index + Canonical Ledger</t>
        </is>
      </c>
      <c r="AE5" s="329" t="n"/>
    </row>
    <row r="6">
      <c r="A6" s="329" t="inlineStr">
        <is>
          <t>LED-0005</t>
        </is>
      </c>
      <c r="B6" s="329" t="inlineStr">
        <is>
          <t>5876589</t>
        </is>
      </c>
      <c r="C6" s="329" t="n">
        <v>5</v>
      </c>
      <c r="D6" s="666" t="n"/>
      <c r="E6" s="329" t="inlineStr">
        <is>
          <t>CL-003</t>
        </is>
      </c>
      <c r="F6" s="329" t="inlineStr">
        <is>
          <t>Hampton Inn &amp; Suites</t>
        </is>
      </c>
      <c r="G6" s="666" t="n">
        <v>46136</v>
      </c>
      <c r="H6" s="670" t="inlineStr">
        <is>
          <t>Friday</t>
        </is>
      </c>
      <c r="I6" s="329" t="inlineStr">
        <is>
          <t>Hampton Inn &amp; Suites</t>
        </is>
      </c>
      <c r="J6" s="329" t="n"/>
      <c r="K6" s="667" t="inlineStr">
        <is>
          <t>Washington</t>
        </is>
      </c>
      <c r="L6" s="666" t="inlineStr">
        <is>
          <t>Washington, DC</t>
        </is>
      </c>
      <c r="M6" s="666" t="n"/>
      <c r="N6" s="329" t="inlineStr">
        <is>
          <t>DC</t>
        </is>
      </c>
      <c r="O6" s="670" t="inlineStr">
        <is>
          <t>Washington|DC</t>
        </is>
      </c>
      <c r="P6" s="667" t="n"/>
      <c r="Q6" s="667" t="n"/>
      <c r="R6" s="329" t="inlineStr">
        <is>
          <t>Yes</t>
        </is>
      </c>
      <c r="S6" s="667" t="n">
        <v>50</v>
      </c>
      <c r="T6" s="666" t="n"/>
      <c r="U6" s="666" t="n"/>
      <c r="V6" s="329" t="inlineStr">
        <is>
          <t>Yes</t>
        </is>
      </c>
      <c r="W6" s="667" t="n">
        <v>50</v>
      </c>
      <c r="X6" s="666" t="n"/>
      <c r="Y6" s="670" t="str"/>
      <c r="Z6" s="329" t="inlineStr">
        <is>
          <t>Complete</t>
        </is>
      </c>
      <c r="AA6" s="329" t="inlineStr">
        <is>
          <t>Unique</t>
        </is>
      </c>
      <c r="AB6" s="329" t="n"/>
      <c r="AC6" s="329" t="inlineStr">
        <is>
          <t>DC flat/equivalent event.</t>
        </is>
      </c>
      <c r="AD6" s="329" t="inlineStr">
        <is>
          <t>WO Alias Index + Canonical Ledger</t>
        </is>
      </c>
      <c r="AE6" s="329" t="n"/>
    </row>
    <row r="7">
      <c r="A7" s="329" t="inlineStr">
        <is>
          <t>LED-0006</t>
        </is>
      </c>
      <c r="B7" s="329" t="inlineStr">
        <is>
          <t>5874982</t>
        </is>
      </c>
      <c r="C7" s="329" t="n">
        <v>6</v>
      </c>
      <c r="D7" s="666" t="n"/>
      <c r="E7" s="329" t="inlineStr">
        <is>
          <t>CL-001</t>
        </is>
      </c>
      <c r="F7" s="329" t="inlineStr">
        <is>
          <t>Macy's</t>
        </is>
      </c>
      <c r="G7" s="666" t="n">
        <v>46139</v>
      </c>
      <c r="H7" s="670" t="inlineStr">
        <is>
          <t>Monday</t>
        </is>
      </c>
      <c r="I7" s="329" t="inlineStr">
        <is>
          <t>Macy's</t>
        </is>
      </c>
      <c r="J7" s="329" t="n"/>
      <c r="K7" s="667" t="inlineStr">
        <is>
          <t>Frederick</t>
        </is>
      </c>
      <c r="L7" s="666" t="inlineStr">
        <is>
          <t>Maryland</t>
        </is>
      </c>
      <c r="M7" s="666" t="n"/>
      <c r="N7" s="329" t="inlineStr">
        <is>
          <t>MD</t>
        </is>
      </c>
      <c r="O7" s="670" t="inlineStr">
        <is>
          <t>Frederick|MD</t>
        </is>
      </c>
      <c r="P7" s="667" t="n"/>
      <c r="Q7" s="667" t="n"/>
      <c r="R7" s="329" t="inlineStr">
        <is>
          <t>Yes</t>
        </is>
      </c>
      <c r="S7" s="667" t="n">
        <v>180</v>
      </c>
      <c r="T7" s="666" t="n"/>
      <c r="U7" s="666" t="n"/>
      <c r="V7" s="329" t="inlineStr">
        <is>
          <t>Yes</t>
        </is>
      </c>
      <c r="W7" s="667" t="n">
        <v>180</v>
      </c>
      <c r="X7" s="666" t="n"/>
      <c r="Y7" s="670" t="str"/>
      <c r="Z7" s="329" t="inlineStr">
        <is>
          <t>Complete</t>
        </is>
      </c>
      <c r="AA7" s="329" t="inlineStr">
        <is>
          <t>Unique</t>
        </is>
      </c>
      <c r="AB7" s="329" t="n"/>
      <c r="AC7" s="329" t="inlineStr">
        <is>
          <t>Maryland revenue included; hours inferred at $45/hr.</t>
        </is>
      </c>
      <c r="AD7" s="329" t="inlineStr">
        <is>
          <t>WO Alias Index + Canonical Ledger</t>
        </is>
      </c>
      <c r="AE7" s="329" t="n"/>
    </row>
    <row r="8">
      <c r="A8" s="329" t="inlineStr">
        <is>
          <t>LED-0007</t>
        </is>
      </c>
      <c r="B8" s="329" t="inlineStr">
        <is>
          <t>5876638</t>
        </is>
      </c>
      <c r="C8" s="329" t="n">
        <v>7</v>
      </c>
      <c r="D8" s="666" t="n"/>
      <c r="E8" s="329" t="inlineStr">
        <is>
          <t>CL-004</t>
        </is>
      </c>
      <c r="F8" s="329" t="inlineStr">
        <is>
          <t>Davis Polk &amp; Wardwell</t>
        </is>
      </c>
      <c r="G8" s="666" t="n">
        <v>46141</v>
      </c>
      <c r="H8" s="670" t="inlineStr">
        <is>
          <t>Wednesday</t>
        </is>
      </c>
      <c r="I8" s="329" t="inlineStr">
        <is>
          <t>Davis Polk &amp; Wardwell</t>
        </is>
      </c>
      <c r="J8" s="329" t="n"/>
      <c r="K8" s="667" t="inlineStr">
        <is>
          <t>Washington</t>
        </is>
      </c>
      <c r="L8" s="666" t="inlineStr">
        <is>
          <t>Washington, DC</t>
        </is>
      </c>
      <c r="M8" s="666" t="n"/>
      <c r="N8" s="329" t="inlineStr">
        <is>
          <t>DC</t>
        </is>
      </c>
      <c r="O8" s="670" t="inlineStr">
        <is>
          <t>Washington|DC</t>
        </is>
      </c>
      <c r="P8" s="667" t="n"/>
      <c r="Q8" s="667" t="n"/>
      <c r="R8" s="329" t="inlineStr">
        <is>
          <t>Yes</t>
        </is>
      </c>
      <c r="S8" s="667" t="n">
        <v>50</v>
      </c>
      <c r="T8" s="666" t="n"/>
      <c r="U8" s="666" t="n"/>
      <c r="V8" s="329" t="inlineStr">
        <is>
          <t>Yes</t>
        </is>
      </c>
      <c r="W8" s="667" t="n">
        <v>50</v>
      </c>
      <c r="X8" s="666" t="n"/>
      <c r="Y8" s="670" t="str"/>
      <c r="Z8" s="329" t="inlineStr">
        <is>
          <t>Complete</t>
        </is>
      </c>
      <c r="AA8" s="329" t="inlineStr">
        <is>
          <t>Unique</t>
        </is>
      </c>
      <c r="AB8" s="329" t="n"/>
      <c r="AC8" s="329" t="inlineStr">
        <is>
          <t>DC flat/equivalent event.</t>
        </is>
      </c>
      <c r="AD8" s="329" t="inlineStr">
        <is>
          <t>WO Alias Index + Canonical Ledger</t>
        </is>
      </c>
      <c r="AE8" s="329" t="n"/>
    </row>
    <row r="9">
      <c r="A9" s="329" t="inlineStr">
        <is>
          <t>LED-0008</t>
        </is>
      </c>
      <c r="B9" s="329" t="inlineStr">
        <is>
          <t>5878985</t>
        </is>
      </c>
      <c r="C9" s="329" t="n">
        <v>8</v>
      </c>
      <c r="D9" s="666" t="n"/>
      <c r="E9" s="329" t="inlineStr">
        <is>
          <t>CL-005</t>
        </is>
      </c>
      <c r="F9" s="329" t="inlineStr">
        <is>
          <t>Hebrew Home of Greater Washington</t>
        </is>
      </c>
      <c r="G9" s="666" t="n">
        <v>46141</v>
      </c>
      <c r="H9" s="670" t="inlineStr">
        <is>
          <t>Wednesday</t>
        </is>
      </c>
      <c r="I9" s="329" t="inlineStr">
        <is>
          <t>Hebrew Home of Greater Washington</t>
        </is>
      </c>
      <c r="J9" s="329" t="n"/>
      <c r="K9" s="667" t="inlineStr">
        <is>
          <t>North Bethesda</t>
        </is>
      </c>
      <c r="L9" s="666" t="inlineStr">
        <is>
          <t>Maryland</t>
        </is>
      </c>
      <c r="M9" s="666" t="n"/>
      <c r="N9" s="329" t="inlineStr">
        <is>
          <t>MD</t>
        </is>
      </c>
      <c r="O9" s="670" t="inlineStr">
        <is>
          <t>North Bethesda|MD</t>
        </is>
      </c>
      <c r="P9" s="667" t="n"/>
      <c r="Q9" s="667" t="n"/>
      <c r="R9" s="329" t="inlineStr">
        <is>
          <t>Yes</t>
        </is>
      </c>
      <c r="S9" s="667" t="n">
        <v>45</v>
      </c>
      <c r="T9" s="666" t="n"/>
      <c r="U9" s="666" t="n"/>
      <c r="V9" s="329" t="inlineStr">
        <is>
          <t>Yes</t>
        </is>
      </c>
      <c r="W9" s="667" t="n">
        <v>45</v>
      </c>
      <c r="X9" s="666" t="n"/>
      <c r="Y9" s="670" t="str"/>
      <c r="Z9" s="329" t="inlineStr">
        <is>
          <t>Complete</t>
        </is>
      </c>
      <c r="AA9" s="329" t="inlineStr">
        <is>
          <t>Unique</t>
        </is>
      </c>
      <c r="AB9" s="329" t="n"/>
      <c r="AC9" s="329" t="inlineStr">
        <is>
          <t>Maryland revenue included.</t>
        </is>
      </c>
      <c r="AD9" s="329" t="inlineStr">
        <is>
          <t>WO Alias Index + Canonical Ledger</t>
        </is>
      </c>
      <c r="AE9" s="329" t="n"/>
    </row>
    <row r="10">
      <c r="A10" s="329" t="inlineStr">
        <is>
          <t>LED-0009</t>
        </is>
      </c>
      <c r="B10" s="329" t="inlineStr">
        <is>
          <t>UNRESOLVED-E009</t>
        </is>
      </c>
      <c r="C10" s="329" t="n">
        <v>9</v>
      </c>
      <c r="D10" s="666" t="n"/>
      <c r="E10" s="329" t="inlineStr">
        <is>
          <t>CL-006</t>
        </is>
      </c>
      <c r="F10" s="329" t="inlineStr">
        <is>
          <t>7-Eleven</t>
        </is>
      </c>
      <c r="G10" s="666" t="n">
        <v>46142</v>
      </c>
      <c r="H10" s="670" t="inlineStr">
        <is>
          <t>Thursday</t>
        </is>
      </c>
      <c r="I10" s="329" t="inlineStr">
        <is>
          <t>7-Eleven</t>
        </is>
      </c>
      <c r="J10" s="329" t="n"/>
      <c r="K10" s="667" t="inlineStr">
        <is>
          <t>Baltimore</t>
        </is>
      </c>
      <c r="L10" s="666" t="inlineStr">
        <is>
          <t>Maryland</t>
        </is>
      </c>
      <c r="M10" s="666" t="n"/>
      <c r="N10" s="329" t="inlineStr">
        <is>
          <t>MD</t>
        </is>
      </c>
      <c r="O10" s="670" t="inlineStr">
        <is>
          <t>Baltimore|MD</t>
        </is>
      </c>
      <c r="P10" s="667" t="n"/>
      <c r="Q10" s="667" t="inlineStr">
        <is>
          <t>User-confirmed compensation</t>
        </is>
      </c>
      <c r="R10" s="329" t="inlineStr">
        <is>
          <t>Yes</t>
        </is>
      </c>
      <c r="S10" s="667" t="n">
        <v>135</v>
      </c>
      <c r="T10" s="666" t="n">
        <v>46229</v>
      </c>
      <c r="U10" s="666" t="n"/>
      <c r="V10" s="329" t="inlineStr">
        <is>
          <t>No</t>
        </is>
      </c>
      <c r="W10" s="667" t="n"/>
      <c r="X10" s="666" t="n"/>
      <c r="Y10" s="670" t="n">
        <v>0</v>
      </c>
      <c r="Z10" s="329" t="inlineStr">
        <is>
          <t>ACH missing</t>
        </is>
      </c>
      <c r="AA10" s="329" t="inlineStr">
        <is>
          <t>Unique</t>
        </is>
      </c>
      <c r="AB10" s="329" t="n"/>
      <c r="AC10" s="329" t="inlineStr">
        <is>
          <t>User-authoritative financial correction: 3 hours × $45 = $135.00.</t>
        </is>
      </c>
      <c r="AD10" s="329" t="inlineStr">
        <is>
          <t>User-authoritative correction 2026-07-26</t>
        </is>
      </c>
      <c r="AE10" s="329" t="n"/>
    </row>
    <row r="11">
      <c r="A11" s="329" t="inlineStr">
        <is>
          <t>LED-0010</t>
        </is>
      </c>
      <c r="B11" s="329" t="inlineStr">
        <is>
          <t>5882097</t>
        </is>
      </c>
      <c r="C11" s="329" t="n">
        <v>10</v>
      </c>
      <c r="D11" s="666" t="n"/>
      <c r="E11" s="329" t="inlineStr">
        <is>
          <t>CL-007</t>
        </is>
      </c>
      <c r="F11" s="329" t="inlineStr">
        <is>
          <t>Giant Food Stores</t>
        </is>
      </c>
      <c r="G11" s="666" t="n">
        <v>46147</v>
      </c>
      <c r="H11" s="670" t="inlineStr">
        <is>
          <t>Tuesday</t>
        </is>
      </c>
      <c r="I11" s="329" t="inlineStr">
        <is>
          <t>Giant Food Stores</t>
        </is>
      </c>
      <c r="J11" s="329" t="n"/>
      <c r="K11" s="667" t="inlineStr">
        <is>
          <t>Hanover</t>
        </is>
      </c>
      <c r="L11" s="666" t="inlineStr">
        <is>
          <t>Pennsylvania</t>
        </is>
      </c>
      <c r="M11" s="666" t="n"/>
      <c r="N11" s="329" t="inlineStr">
        <is>
          <t>PA</t>
        </is>
      </c>
      <c r="O11" s="670" t="inlineStr">
        <is>
          <t>Hanover|PA</t>
        </is>
      </c>
      <c r="P11" s="667" t="n"/>
      <c r="Q11" s="667" t="n"/>
      <c r="R11" s="329" t="inlineStr">
        <is>
          <t>Yes</t>
        </is>
      </c>
      <c r="S11" s="667" t="n">
        <v>212.5</v>
      </c>
      <c r="T11" s="666" t="n"/>
      <c r="U11" s="666" t="n"/>
      <c r="V11" s="329" t="inlineStr">
        <is>
          <t>Yes</t>
        </is>
      </c>
      <c r="W11" s="667" t="n">
        <v>212.5</v>
      </c>
      <c r="X11" s="666" t="n"/>
      <c r="Y11" s="670" t="str"/>
      <c r="Z11" s="329" t="inlineStr">
        <is>
          <t>Complete</t>
        </is>
      </c>
      <c r="AA11" s="329" t="inlineStr">
        <is>
          <t>Unique</t>
        </is>
      </c>
      <c r="AB11" s="329" t="n"/>
      <c r="AC11" s="329" t="inlineStr">
        <is>
          <t>Corrected: Hanover PA WO 5882097.</t>
        </is>
      </c>
      <c r="AD11" s="329" t="inlineStr">
        <is>
          <t>WO Alias Index + Canonical Ledger</t>
        </is>
      </c>
      <c r="AE11" s="329" t="n"/>
    </row>
    <row r="12">
      <c r="A12" s="329" t="inlineStr">
        <is>
          <t>LED-0011</t>
        </is>
      </c>
      <c r="B12" s="329" t="inlineStr">
        <is>
          <t>5884987</t>
        </is>
      </c>
      <c r="C12" s="329" t="n">
        <v>11</v>
      </c>
      <c r="D12" s="666" t="n"/>
      <c r="E12" s="329" t="inlineStr">
        <is>
          <t>CL-008</t>
        </is>
      </c>
      <c r="F12" s="329" t="inlineStr">
        <is>
          <t>Food Lion</t>
        </is>
      </c>
      <c r="G12" s="666" t="n">
        <v>46153</v>
      </c>
      <c r="H12" s="670" t="inlineStr">
        <is>
          <t>Monday</t>
        </is>
      </c>
      <c r="I12" s="329" t="inlineStr">
        <is>
          <t>Food Lion</t>
        </is>
      </c>
      <c r="J12" s="329" t="n"/>
      <c r="K12" s="667" t="inlineStr">
        <is>
          <t>Leesburg</t>
        </is>
      </c>
      <c r="L12" s="666" t="inlineStr">
        <is>
          <t>Virginia</t>
        </is>
      </c>
      <c r="M12" s="666" t="n"/>
      <c r="N12" s="329" t="inlineStr">
        <is>
          <t>VA</t>
        </is>
      </c>
      <c r="O12" s="670" t="inlineStr">
        <is>
          <t>Leesburg|VA</t>
        </is>
      </c>
      <c r="P12" s="667" t="n"/>
      <c r="Q12" s="667" t="n"/>
      <c r="R12" s="329" t="inlineStr">
        <is>
          <t>Yes</t>
        </is>
      </c>
      <c r="S12" s="667" t="n">
        <v>157.5</v>
      </c>
      <c r="T12" s="666" t="n"/>
      <c r="U12" s="666" t="n"/>
      <c r="V12" s="329" t="inlineStr">
        <is>
          <t>Yes</t>
        </is>
      </c>
      <c r="W12" s="667" t="n">
        <v>157.5</v>
      </c>
      <c r="X12" s="666" t="n"/>
      <c r="Y12" s="670" t="str"/>
      <c r="Z12" s="329" t="inlineStr">
        <is>
          <t>Complete with note</t>
        </is>
      </c>
      <c r="AA12" s="329" t="inlineStr">
        <is>
          <t>Unique</t>
        </is>
      </c>
      <c r="AB12" s="329" t="n"/>
      <c r="AC12" s="329" t="inlineStr">
        <is>
          <t>VA model uses payment breakdown amount.</t>
        </is>
      </c>
      <c r="AD12" s="329" t="inlineStr">
        <is>
          <t>WO Alias Index + Canonical Ledger</t>
        </is>
      </c>
      <c r="AE12" s="329" t="n"/>
    </row>
    <row r="13">
      <c r="A13" s="329" t="inlineStr">
        <is>
          <t>LED-0012</t>
        </is>
      </c>
      <c r="B13" s="329" t="inlineStr">
        <is>
          <t>5884369</t>
        </is>
      </c>
      <c r="C13" s="329" t="n">
        <v>12</v>
      </c>
      <c r="D13" s="666" t="n"/>
      <c r="E13" s="329" t="inlineStr">
        <is>
          <t>CL-009</t>
        </is>
      </c>
      <c r="F13" s="329" t="inlineStr">
        <is>
          <t>Weis Markets</t>
        </is>
      </c>
      <c r="G13" s="666" t="n">
        <v>46154</v>
      </c>
      <c r="H13" s="670" t="inlineStr">
        <is>
          <t>Tuesday</t>
        </is>
      </c>
      <c r="I13" s="329" t="inlineStr">
        <is>
          <t>Weis Markets</t>
        </is>
      </c>
      <c r="J13" s="329" t="n"/>
      <c r="K13" s="667" t="inlineStr">
        <is>
          <t>Chambersburg</t>
        </is>
      </c>
      <c r="L13" s="666" t="inlineStr">
        <is>
          <t>Pennsylvania</t>
        </is>
      </c>
      <c r="M13" s="666" t="n"/>
      <c r="N13" s="329" t="inlineStr">
        <is>
          <t>PA</t>
        </is>
      </c>
      <c r="O13" s="670" t="inlineStr">
        <is>
          <t>Chambersburg|PA</t>
        </is>
      </c>
      <c r="P13" s="667" t="n"/>
      <c r="Q13" s="667" t="n"/>
      <c r="R13" s="329" t="inlineStr">
        <is>
          <t>Yes</t>
        </is>
      </c>
      <c r="S13" s="667" t="n">
        <v>85</v>
      </c>
      <c r="T13" s="666" t="n"/>
      <c r="U13" s="666" t="n"/>
      <c r="V13" s="329" t="inlineStr">
        <is>
          <t>Yes</t>
        </is>
      </c>
      <c r="W13" s="667" t="n">
        <v>85</v>
      </c>
      <c r="X13" s="666" t="n"/>
      <c r="Y13" s="670" t="str"/>
      <c r="Z13" s="329" t="inlineStr">
        <is>
          <t>Complete</t>
        </is>
      </c>
      <c r="AA13" s="329" t="inlineStr">
        <is>
          <t>Unique</t>
        </is>
      </c>
      <c r="AB13" s="329" t="n"/>
      <c r="AC13" s="329" t="inlineStr">
        <is>
          <t>User approved 2-hour $42.50/hr equivalent.</t>
        </is>
      </c>
      <c r="AD13" s="329" t="inlineStr">
        <is>
          <t>WO Alias Index + Canonical Ledger</t>
        </is>
      </c>
      <c r="AE13" s="329" t="n"/>
    </row>
    <row r="14">
      <c r="A14" s="329" t="inlineStr">
        <is>
          <t>LED-0013</t>
        </is>
      </c>
      <c r="B14" s="329" t="inlineStr">
        <is>
          <t>5885429</t>
        </is>
      </c>
      <c r="C14" s="329" t="n">
        <v>13</v>
      </c>
      <c r="D14" s="666" t="n"/>
      <c r="E14" s="329" t="inlineStr">
        <is>
          <t>CL-010</t>
        </is>
      </c>
      <c r="F14" s="329" t="inlineStr">
        <is>
          <t>Office of MD Senator Chris Van Hollen</t>
        </is>
      </c>
      <c r="G14" s="666" t="n">
        <v>46155</v>
      </c>
      <c r="H14" s="670" t="inlineStr">
        <is>
          <t>Wednesday</t>
        </is>
      </c>
      <c r="I14" s="329" t="inlineStr">
        <is>
          <t>Office of MD Senator Chris Van Hollen</t>
        </is>
      </c>
      <c r="J14" s="329" t="n"/>
      <c r="K14" s="667" t="inlineStr">
        <is>
          <t>Rockville</t>
        </is>
      </c>
      <c r="L14" s="666" t="inlineStr">
        <is>
          <t>Maryland</t>
        </is>
      </c>
      <c r="M14" s="666" t="n"/>
      <c r="N14" s="329" t="inlineStr">
        <is>
          <t>MD</t>
        </is>
      </c>
      <c r="O14" s="670" t="inlineStr">
        <is>
          <t>Rockville|MD</t>
        </is>
      </c>
      <c r="P14" s="667" t="n"/>
      <c r="Q14" s="667" t="n"/>
      <c r="R14" s="329" t="inlineStr">
        <is>
          <t>Yes</t>
        </is>
      </c>
      <c r="S14" s="667" t="n">
        <v>50</v>
      </c>
      <c r="T14" s="666" t="n"/>
      <c r="U14" s="666" t="n"/>
      <c r="V14" s="329" t="inlineStr">
        <is>
          <t>Yes</t>
        </is>
      </c>
      <c r="W14" s="667" t="n">
        <v>50</v>
      </c>
      <c r="X14" s="666" t="n"/>
      <c r="Y14" s="670" t="str"/>
      <c r="Z14" s="329" t="inlineStr">
        <is>
          <t>Complete</t>
        </is>
      </c>
      <c r="AA14" s="329" t="inlineStr">
        <is>
          <t>Unique</t>
        </is>
      </c>
      <c r="AB14" s="329" t="n"/>
      <c r="AC14" s="329" t="inlineStr">
        <is>
          <t>Maryland revenue included; Senate model estimated at $40/hr.</t>
        </is>
      </c>
      <c r="AD14" s="329" t="inlineStr">
        <is>
          <t>WO Alias Index + Canonical Ledger</t>
        </is>
      </c>
      <c r="AE14" s="329" t="n"/>
    </row>
    <row r="15">
      <c r="A15" s="329" t="inlineStr">
        <is>
          <t>LED-0014</t>
        </is>
      </c>
      <c r="B15" s="329" t="inlineStr">
        <is>
          <t>UNRESOLVED-E014</t>
        </is>
      </c>
      <c r="C15" s="329" t="n">
        <v>14</v>
      </c>
      <c r="D15" s="666" t="n"/>
      <c r="E15" s="329" t="inlineStr">
        <is>
          <t>CL-011</t>
        </is>
      </c>
      <c r="F15" s="329" t="inlineStr">
        <is>
          <t>Residential – Annapolis Neck, MD</t>
        </is>
      </c>
      <c r="G15" s="666" t="n">
        <v>46155</v>
      </c>
      <c r="H15" s="670" t="inlineStr">
        <is>
          <t>Wednesday</t>
        </is>
      </c>
      <c r="I15" s="329" t="inlineStr">
        <is>
          <t>Residential</t>
        </is>
      </c>
      <c r="J15" s="329" t="n"/>
      <c r="K15" s="667" t="inlineStr">
        <is>
          <t>Annapolis Neck</t>
        </is>
      </c>
      <c r="L15" s="666" t="inlineStr">
        <is>
          <t>Maryland</t>
        </is>
      </c>
      <c r="M15" s="666" t="n"/>
      <c r="N15" s="329" t="inlineStr">
        <is>
          <t>MD</t>
        </is>
      </c>
      <c r="O15" s="670" t="inlineStr">
        <is>
          <t>Annapolis Neck|MD</t>
        </is>
      </c>
      <c r="P15" s="667" t="n"/>
      <c r="Q15" s="667" t="inlineStr">
        <is>
          <t>User-confirmed compensation</t>
        </is>
      </c>
      <c r="R15" s="329" t="inlineStr">
        <is>
          <t>Yes</t>
        </is>
      </c>
      <c r="S15" s="667" t="n">
        <v>25</v>
      </c>
      <c r="T15" s="666" t="n">
        <v>46229</v>
      </c>
      <c r="U15" s="666" t="n"/>
      <c r="V15" s="329" t="inlineStr">
        <is>
          <t>No</t>
        </is>
      </c>
      <c r="W15" s="667" t="n"/>
      <c r="X15" s="666" t="n"/>
      <c r="Y15" s="670" t="n">
        <v>0</v>
      </c>
      <c r="Z15" s="329" t="inlineStr">
        <is>
          <t>ACH missing</t>
        </is>
      </c>
      <c r="AA15" s="329" t="inlineStr">
        <is>
          <t>Unique</t>
        </is>
      </c>
      <c r="AB15" s="329" t="n"/>
      <c r="AC15" s="329" t="inlineStr">
        <is>
          <t>User-authoritative no-show compensation: $25.00.</t>
        </is>
      </c>
      <c r="AD15" s="329" t="inlineStr">
        <is>
          <t>User-authoritative correction 2026-07-26</t>
        </is>
      </c>
      <c r="AE15" s="329" t="n"/>
    </row>
    <row r="16">
      <c r="A16" s="329" t="inlineStr">
        <is>
          <t>LED-0015</t>
        </is>
      </c>
      <c r="B16" s="329" t="inlineStr">
        <is>
          <t>5886658</t>
        </is>
      </c>
      <c r="C16" s="329" t="n">
        <v>15</v>
      </c>
      <c r="D16" s="666" t="n"/>
      <c r="E16" s="329" t="inlineStr">
        <is>
          <t>CL-012</t>
        </is>
      </c>
      <c r="F16" s="329" t="inlineStr">
        <is>
          <t>Verizon</t>
        </is>
      </c>
      <c r="G16" s="666" t="n">
        <v>46156</v>
      </c>
      <c r="H16" s="670" t="inlineStr">
        <is>
          <t>Thursday</t>
        </is>
      </c>
      <c r="I16" s="329" t="inlineStr">
        <is>
          <t>Verizon</t>
        </is>
      </c>
      <c r="J16" s="329" t="n"/>
      <c r="K16" s="667" t="inlineStr">
        <is>
          <t>College Park</t>
        </is>
      </c>
      <c r="L16" s="666" t="inlineStr">
        <is>
          <t>Maryland</t>
        </is>
      </c>
      <c r="M16" s="666" t="n"/>
      <c r="N16" s="329" t="inlineStr">
        <is>
          <t>MD</t>
        </is>
      </c>
      <c r="O16" s="670" t="inlineStr">
        <is>
          <t>College Park|MD</t>
        </is>
      </c>
      <c r="P16" s="667" t="n"/>
      <c r="Q16" s="667" t="n"/>
      <c r="R16" s="329" t="inlineStr">
        <is>
          <t>Yes</t>
        </is>
      </c>
      <c r="S16" s="667" t="n">
        <v>75</v>
      </c>
      <c r="T16" s="666" t="n"/>
      <c r="U16" s="666" t="n"/>
      <c r="V16" s="329" t="inlineStr">
        <is>
          <t>Yes</t>
        </is>
      </c>
      <c r="W16" s="667" t="n">
        <v>75</v>
      </c>
      <c r="X16" s="666" t="n"/>
      <c r="Y16" s="670" t="str"/>
      <c r="Z16" s="329" t="inlineStr">
        <is>
          <t>Complete</t>
        </is>
      </c>
      <c r="AA16" s="329" t="inlineStr">
        <is>
          <t>Unique</t>
        </is>
      </c>
      <c r="AB16" s="329" t="n"/>
      <c r="AC16" s="329" t="inlineStr">
        <is>
          <t>Maryland revenue included; hours inferred.</t>
        </is>
      </c>
      <c r="AD16" s="329" t="inlineStr">
        <is>
          <t>WO Alias Index + Canonical Ledger</t>
        </is>
      </c>
      <c r="AE16" s="329" t="n"/>
    </row>
    <row r="17">
      <c r="A17" s="329" t="inlineStr">
        <is>
          <t>LED-0016</t>
        </is>
      </c>
      <c r="B17" s="329" t="inlineStr">
        <is>
          <t>5887090</t>
        </is>
      </c>
      <c r="C17" s="329" t="n">
        <v>16</v>
      </c>
      <c r="D17" s="666" t="n"/>
      <c r="E17" s="329" t="inlineStr">
        <is>
          <t>CL-013</t>
        </is>
      </c>
      <c r="F17" s="329" t="inlineStr">
        <is>
          <t>Atrium Village</t>
        </is>
      </c>
      <c r="G17" s="666" t="n">
        <v>46157</v>
      </c>
      <c r="H17" s="670" t="inlineStr">
        <is>
          <t>Friday</t>
        </is>
      </c>
      <c r="I17" s="329" t="inlineStr">
        <is>
          <t>Atrium Village</t>
        </is>
      </c>
      <c r="J17" s="329" t="n"/>
      <c r="K17" s="667" t="inlineStr">
        <is>
          <t>Owings Mills</t>
        </is>
      </c>
      <c r="L17" s="666" t="inlineStr">
        <is>
          <t>Maryland</t>
        </is>
      </c>
      <c r="M17" s="666" t="n"/>
      <c r="N17" s="329" t="inlineStr">
        <is>
          <t>MD</t>
        </is>
      </c>
      <c r="O17" s="670" t="inlineStr">
        <is>
          <t>Owings Mills|MD</t>
        </is>
      </c>
      <c r="P17" s="667" t="n"/>
      <c r="Q17" s="667" t="n"/>
      <c r="R17" s="329" t="inlineStr">
        <is>
          <t>Yes</t>
        </is>
      </c>
      <c r="S17" s="667" t="n">
        <v>45</v>
      </c>
      <c r="T17" s="666" t="n"/>
      <c r="U17" s="666" t="n"/>
      <c r="V17" s="329" t="inlineStr">
        <is>
          <t>Yes</t>
        </is>
      </c>
      <c r="W17" s="667" t="n">
        <v>45</v>
      </c>
      <c r="X17" s="666" t="n"/>
      <c r="Y17" s="670" t="str"/>
      <c r="Z17" s="329" t="inlineStr">
        <is>
          <t>Complete</t>
        </is>
      </c>
      <c r="AA17" s="329" t="inlineStr">
        <is>
          <t>Unique</t>
        </is>
      </c>
      <c r="AB17" s="329" t="n"/>
      <c r="AC17" s="329" t="inlineStr">
        <is>
          <t>Maryland revenue included.</t>
        </is>
      </c>
      <c r="AD17" s="329" t="inlineStr">
        <is>
          <t>WO Alias Index + Canonical Ledger</t>
        </is>
      </c>
      <c r="AE17" s="329" t="n"/>
    </row>
    <row r="18">
      <c r="A18" s="329" t="inlineStr">
        <is>
          <t>LED-0017</t>
        </is>
      </c>
      <c r="B18" s="329" t="inlineStr">
        <is>
          <t>5887094</t>
        </is>
      </c>
      <c r="C18" s="329" t="n">
        <v>17</v>
      </c>
      <c r="D18" s="666" t="n"/>
      <c r="E18" s="329" t="inlineStr">
        <is>
          <t>CL-014</t>
        </is>
      </c>
      <c r="F18" s="329" t="inlineStr">
        <is>
          <t>Maryland Baptist Age Home</t>
        </is>
      </c>
      <c r="G18" s="666" t="n">
        <v>46161</v>
      </c>
      <c r="H18" s="670" t="inlineStr">
        <is>
          <t>Tuesday</t>
        </is>
      </c>
      <c r="I18" s="329" t="inlineStr">
        <is>
          <t>Maryland Baptist Age Home</t>
        </is>
      </c>
      <c r="J18" s="329" t="n"/>
      <c r="K18" s="667" t="inlineStr">
        <is>
          <t>Baltimore</t>
        </is>
      </c>
      <c r="L18" s="666" t="inlineStr">
        <is>
          <t>Maryland</t>
        </is>
      </c>
      <c r="M18" s="666" t="n"/>
      <c r="N18" s="329" t="inlineStr">
        <is>
          <t>MD</t>
        </is>
      </c>
      <c r="O18" s="670" t="inlineStr">
        <is>
          <t>Baltimore|MD</t>
        </is>
      </c>
      <c r="P18" s="667" t="n"/>
      <c r="Q18" s="667" t="n"/>
      <c r="R18" s="329" t="inlineStr">
        <is>
          <t>Yes</t>
        </is>
      </c>
      <c r="S18" s="667" t="n">
        <v>50</v>
      </c>
      <c r="T18" s="666" t="n"/>
      <c r="U18" s="666" t="n"/>
      <c r="V18" s="329" t="inlineStr">
        <is>
          <t>Yes</t>
        </is>
      </c>
      <c r="W18" s="667" t="n">
        <v>50</v>
      </c>
      <c r="X18" s="666" t="n"/>
      <c r="Y18" s="670" t="str"/>
      <c r="Z18" s="329" t="inlineStr">
        <is>
          <t>Complete</t>
        </is>
      </c>
      <c r="AA18" s="329" t="inlineStr">
        <is>
          <t>Unique</t>
        </is>
      </c>
      <c r="AB18" s="329" t="n"/>
      <c r="AC18" s="329" t="inlineStr">
        <is>
          <t>Maryland revenue included.</t>
        </is>
      </c>
      <c r="AD18" s="329" t="inlineStr">
        <is>
          <t>WO Alias Index + Canonical Ledger</t>
        </is>
      </c>
      <c r="AE18" s="329" t="n"/>
    </row>
    <row r="19">
      <c r="A19" s="329" t="inlineStr">
        <is>
          <t>LED-0018</t>
        </is>
      </c>
      <c r="B19" s="329" t="inlineStr">
        <is>
          <t>5889356</t>
        </is>
      </c>
      <c r="C19" s="329" t="n">
        <v>18</v>
      </c>
      <c r="D19" s="666" t="n"/>
      <c r="E19" s="329" t="inlineStr">
        <is>
          <t>CL-015</t>
        </is>
      </c>
      <c r="F19" s="329" t="inlineStr">
        <is>
          <t>Under Armour</t>
        </is>
      </c>
      <c r="G19" s="666" t="n">
        <v>46162</v>
      </c>
      <c r="H19" s="670" t="inlineStr">
        <is>
          <t>Wednesday</t>
        </is>
      </c>
      <c r="I19" s="329" t="inlineStr">
        <is>
          <t>Under Armour Day 1</t>
        </is>
      </c>
      <c r="J19" s="329" t="n"/>
      <c r="K19" s="667" t="inlineStr">
        <is>
          <t>Hanover</t>
        </is>
      </c>
      <c r="L19" s="666" t="inlineStr">
        <is>
          <t>Maryland</t>
        </is>
      </c>
      <c r="M19" s="666" t="n"/>
      <c r="N19" s="329" t="inlineStr">
        <is>
          <t>MD</t>
        </is>
      </c>
      <c r="O19" s="670" t="inlineStr">
        <is>
          <t>Hanover|MD</t>
        </is>
      </c>
      <c r="P19" s="667" t="n"/>
      <c r="Q19" s="667" t="n"/>
      <c r="R19" s="329" t="inlineStr">
        <is>
          <t>Yes</t>
        </is>
      </c>
      <c r="S19" s="667" t="n">
        <v>106.67</v>
      </c>
      <c r="T19" s="666" t="n"/>
      <c r="U19" s="666" t="n"/>
      <c r="V19" s="329" t="inlineStr">
        <is>
          <t>Yes</t>
        </is>
      </c>
      <c r="W19" s="667" t="n">
        <v>106.67</v>
      </c>
      <c r="X19" s="666" t="n"/>
      <c r="Y19" s="670" t="str"/>
      <c r="Z19" s="329" t="inlineStr">
        <is>
          <t>Complete</t>
        </is>
      </c>
      <c r="AA19" s="329" t="inlineStr">
        <is>
          <t>Unique</t>
        </is>
      </c>
      <c r="AB19" s="329" t="n"/>
      <c r="AC19" s="329" t="inlineStr">
        <is>
          <t>Under Armour Day 1 split; total UA rounded to $260 with Day 2.</t>
        </is>
      </c>
      <c r="AD19" s="329" t="inlineStr">
        <is>
          <t>WO Alias Index + Canonical Ledger</t>
        </is>
      </c>
      <c r="AE19" s="329" t="n"/>
    </row>
    <row r="20">
      <c r="A20" s="329" t="inlineStr">
        <is>
          <t>LED-0019</t>
        </is>
      </c>
      <c r="B20" s="329" t="inlineStr">
        <is>
          <t>5889356-D2</t>
        </is>
      </c>
      <c r="C20" s="329" t="n">
        <v>19</v>
      </c>
      <c r="D20" s="666" t="n"/>
      <c r="E20" s="329" t="inlineStr">
        <is>
          <t>CL-015</t>
        </is>
      </c>
      <c r="F20" s="329" t="inlineStr">
        <is>
          <t>Under Armour</t>
        </is>
      </c>
      <c r="G20" s="666" t="n">
        <v>46163</v>
      </c>
      <c r="H20" s="670" t="inlineStr">
        <is>
          <t>Thursday</t>
        </is>
      </c>
      <c r="I20" s="329" t="inlineStr">
        <is>
          <t>Under Armour Day 2</t>
        </is>
      </c>
      <c r="J20" s="329" t="n"/>
      <c r="K20" s="667" t="inlineStr">
        <is>
          <t>Hanover</t>
        </is>
      </c>
      <c r="L20" s="666" t="inlineStr">
        <is>
          <t>Maryland</t>
        </is>
      </c>
      <c r="M20" s="666" t="n"/>
      <c r="N20" s="329" t="inlineStr">
        <is>
          <t>MD</t>
        </is>
      </c>
      <c r="O20" s="670" t="inlineStr">
        <is>
          <t>Hanover|MD</t>
        </is>
      </c>
      <c r="P20" s="667" t="n"/>
      <c r="Q20" s="667" t="n"/>
      <c r="R20" s="329" t="inlineStr">
        <is>
          <t>Yes</t>
        </is>
      </c>
      <c r="S20" s="667" t="n">
        <v>153.33</v>
      </c>
      <c r="T20" s="666" t="n"/>
      <c r="U20" s="666" t="n"/>
      <c r="V20" s="329" t="inlineStr">
        <is>
          <t>Yes</t>
        </is>
      </c>
      <c r="W20" s="667" t="n">
        <v>153.33</v>
      </c>
      <c r="X20" s="666" t="n"/>
      <c r="Y20" s="670" t="str"/>
      <c r="Z20" s="329" t="inlineStr">
        <is>
          <t>Complete</t>
        </is>
      </c>
      <c r="AA20" s="329" t="inlineStr">
        <is>
          <t>Unique</t>
        </is>
      </c>
      <c r="AB20" s="329" t="n"/>
      <c r="AC20" s="329" t="inlineStr">
        <is>
          <t>Under Armour Day 2 split; total UA rounded to $260 with Day 1.</t>
        </is>
      </c>
      <c r="AD20" s="329" t="inlineStr">
        <is>
          <t>WO Alias Index + Canonical Ledger</t>
        </is>
      </c>
      <c r="AE20" s="329" t="n"/>
    </row>
    <row r="21">
      <c r="A21" s="329" t="inlineStr">
        <is>
          <t>LED-0020</t>
        </is>
      </c>
      <c r="B21" s="329" t="inlineStr">
        <is>
          <t>5890220</t>
        </is>
      </c>
      <c r="C21" s="329" t="n">
        <v>20</v>
      </c>
      <c r="D21" s="666" t="n"/>
      <c r="E21" s="329" t="inlineStr">
        <is>
          <t>CL-007</t>
        </is>
      </c>
      <c r="F21" s="329" t="inlineStr">
        <is>
          <t>Giant Food Stores</t>
        </is>
      </c>
      <c r="G21" s="666" t="n">
        <v>46163</v>
      </c>
      <c r="H21" s="670" t="inlineStr">
        <is>
          <t>Thursday</t>
        </is>
      </c>
      <c r="I21" s="329" t="inlineStr">
        <is>
          <t>Giant / Martin's</t>
        </is>
      </c>
      <c r="J21" s="329" t="n"/>
      <c r="K21" s="667" t="inlineStr">
        <is>
          <t>Red Lion</t>
        </is>
      </c>
      <c r="L21" s="666" t="inlineStr">
        <is>
          <t>Pennsylvania</t>
        </is>
      </c>
      <c r="M21" s="666" t="n"/>
      <c r="N21" s="329" t="inlineStr">
        <is>
          <t>PA</t>
        </is>
      </c>
      <c r="O21" s="670" t="inlineStr">
        <is>
          <t>Red Lion|PA</t>
        </is>
      </c>
      <c r="P21" s="667" t="n"/>
      <c r="Q21" s="667" t="n"/>
      <c r="R21" s="329" t="inlineStr">
        <is>
          <t>Yes</t>
        </is>
      </c>
      <c r="S21" s="667" t="n">
        <v>112.5</v>
      </c>
      <c r="T21" s="666" t="n"/>
      <c r="U21" s="666" t="n"/>
      <c r="V21" s="329" t="inlineStr">
        <is>
          <t>Yes</t>
        </is>
      </c>
      <c r="W21" s="667" t="n">
        <v>112.5</v>
      </c>
      <c r="X21" s="666" t="n"/>
      <c r="Y21" s="670" t="str"/>
      <c r="Z21" s="329" t="inlineStr">
        <is>
          <t>Complete</t>
        </is>
      </c>
      <c r="AA21" s="329" t="inlineStr">
        <is>
          <t>Unique</t>
        </is>
      </c>
      <c r="AB21" s="329" t="n"/>
      <c r="AC21" s="329" t="inlineStr">
        <is>
          <t>Corrected: Red Lion PA WO 5890220.</t>
        </is>
      </c>
      <c r="AD21" s="329" t="inlineStr">
        <is>
          <t>WO Alias Index + Canonical Ledger</t>
        </is>
      </c>
      <c r="AE21" s="329" t="n"/>
    </row>
    <row r="22">
      <c r="A22" s="329" t="inlineStr">
        <is>
          <t>LED-0021</t>
        </is>
      </c>
      <c r="B22" s="329" t="inlineStr">
        <is>
          <t>5892123</t>
        </is>
      </c>
      <c r="C22" s="329" t="n">
        <v>21</v>
      </c>
      <c r="D22" s="666" t="n"/>
      <c r="E22" s="329" t="inlineStr">
        <is>
          <t>CL-008</t>
        </is>
      </c>
      <c r="F22" s="329" t="inlineStr">
        <is>
          <t>Food Lion</t>
        </is>
      </c>
      <c r="G22" s="666" t="n">
        <v>46168</v>
      </c>
      <c r="H22" s="670" t="inlineStr">
        <is>
          <t>Tuesday</t>
        </is>
      </c>
      <c r="I22" s="329" t="inlineStr">
        <is>
          <t>Food Lion</t>
        </is>
      </c>
      <c r="J22" s="329" t="n"/>
      <c r="K22" s="667" t="inlineStr">
        <is>
          <t>Middle River</t>
        </is>
      </c>
      <c r="L22" s="666" t="inlineStr">
        <is>
          <t>Maryland</t>
        </is>
      </c>
      <c r="M22" s="666" t="n"/>
      <c r="N22" s="329" t="inlineStr">
        <is>
          <t>MD</t>
        </is>
      </c>
      <c r="O22" s="670" t="inlineStr">
        <is>
          <t>Middle River|MD</t>
        </is>
      </c>
      <c r="P22" s="667" t="n"/>
      <c r="Q22" s="667" t="n"/>
      <c r="R22" s="329" t="inlineStr">
        <is>
          <t>Yes</t>
        </is>
      </c>
      <c r="S22" s="667" t="n">
        <v>97.91</v>
      </c>
      <c r="T22" s="666" t="n"/>
      <c r="U22" s="666" t="n"/>
      <c r="V22" s="329" t="inlineStr">
        <is>
          <t>Yes</t>
        </is>
      </c>
      <c r="W22" s="667" t="n">
        <v>97.91</v>
      </c>
      <c r="X22" s="666" t="n"/>
      <c r="Y22" s="670" t="str"/>
      <c r="Z22" s="329" t="inlineStr">
        <is>
          <t>Complete</t>
        </is>
      </c>
      <c r="AA22" s="329" t="inlineStr">
        <is>
          <t>Unique</t>
        </is>
      </c>
      <c r="AB22" s="329" t="n"/>
      <c r="AC22" s="329" t="inlineStr">
        <is>
          <t>Maryland revenue included; hours inferred.</t>
        </is>
      </c>
      <c r="AD22" s="329" t="inlineStr">
        <is>
          <t>WO Alias Index + Canonical Ledger</t>
        </is>
      </c>
      <c r="AE22" s="329" t="n"/>
    </row>
    <row r="23">
      <c r="A23" s="329" t="inlineStr">
        <is>
          <t>LED-0022</t>
        </is>
      </c>
      <c r="B23" s="329" t="inlineStr">
        <is>
          <t>5889718</t>
        </is>
      </c>
      <c r="C23" s="329" t="n">
        <v>22</v>
      </c>
      <c r="D23" s="666" t="n"/>
      <c r="E23" s="329" t="inlineStr">
        <is>
          <t>CL-016</t>
        </is>
      </c>
      <c r="F23" s="329" t="inlineStr">
        <is>
          <t>HomeGoods</t>
        </is>
      </c>
      <c r="G23" s="666" t="n">
        <v>46168</v>
      </c>
      <c r="H23" s="670" t="inlineStr">
        <is>
          <t>Tuesday</t>
        </is>
      </c>
      <c r="I23" s="329" t="inlineStr">
        <is>
          <t>HomeGoods</t>
        </is>
      </c>
      <c r="J23" s="329" t="n"/>
      <c r="K23" s="667" t="inlineStr">
        <is>
          <t>Gaithersburg</t>
        </is>
      </c>
      <c r="L23" s="666" t="inlineStr">
        <is>
          <t>Maryland</t>
        </is>
      </c>
      <c r="M23" s="666" t="n"/>
      <c r="N23" s="329" t="inlineStr">
        <is>
          <t>MD</t>
        </is>
      </c>
      <c r="O23" s="670" t="inlineStr">
        <is>
          <t>Gaithersburg|MD</t>
        </is>
      </c>
      <c r="P23" s="667" t="n"/>
      <c r="Q23" s="667" t="n"/>
      <c r="R23" s="329" t="inlineStr">
        <is>
          <t>Yes</t>
        </is>
      </c>
      <c r="S23" s="667" t="n">
        <v>50</v>
      </c>
      <c r="T23" s="666" t="n"/>
      <c r="U23" s="666" t="n"/>
      <c r="V23" s="329" t="inlineStr">
        <is>
          <t>Yes</t>
        </is>
      </c>
      <c r="W23" s="667" t="n">
        <v>50</v>
      </c>
      <c r="X23" s="666" t="n"/>
      <c r="Y23" s="670" t="str"/>
      <c r="Z23" s="329" t="inlineStr">
        <is>
          <t>Complete</t>
        </is>
      </c>
      <c r="AA23" s="329" t="inlineStr">
        <is>
          <t>Unique</t>
        </is>
      </c>
      <c r="AB23" s="329" t="n"/>
      <c r="AC23" s="329" t="inlineStr">
        <is>
          <t>Maryland revenue included; hours inferred.</t>
        </is>
      </c>
      <c r="AD23" s="329" t="inlineStr">
        <is>
          <t>WO Alias Index + Canonical Ledger</t>
        </is>
      </c>
      <c r="AE23" s="329" t="n"/>
    </row>
    <row r="24">
      <c r="A24" s="329" t="inlineStr">
        <is>
          <t>LED-0023</t>
        </is>
      </c>
      <c r="B24" s="329" t="inlineStr">
        <is>
          <t>UNRESOLVED-E023</t>
        </is>
      </c>
      <c r="C24" s="329" t="n">
        <v>23</v>
      </c>
      <c r="D24" s="666" t="n"/>
      <c r="E24" s="329" t="inlineStr">
        <is>
          <t>CL-017</t>
        </is>
      </c>
      <c r="F24" s="329" t="inlineStr">
        <is>
          <t>Joint Base Andrews</t>
        </is>
      </c>
      <c r="G24" s="666" t="n">
        <v>46169</v>
      </c>
      <c r="H24" s="670" t="inlineStr">
        <is>
          <t>Wednesday</t>
        </is>
      </c>
      <c r="I24" s="329" t="inlineStr">
        <is>
          <t>Joint Base Andrews</t>
        </is>
      </c>
      <c r="J24" s="329" t="n"/>
      <c r="K24" s="667" t="inlineStr">
        <is>
          <t>Andrews AFB</t>
        </is>
      </c>
      <c r="L24" s="666" t="inlineStr">
        <is>
          <t>Maryland</t>
        </is>
      </c>
      <c r="M24" s="666" t="n"/>
      <c r="N24" s="329" t="inlineStr">
        <is>
          <t>MD</t>
        </is>
      </c>
      <c r="O24" s="670" t="inlineStr">
        <is>
          <t>Andrews AFB|MD</t>
        </is>
      </c>
      <c r="P24" s="667" t="n"/>
      <c r="Q24" s="667" t="inlineStr">
        <is>
          <t>User-confirmed compensation</t>
        </is>
      </c>
      <c r="R24" s="329" t="inlineStr">
        <is>
          <t>Yes</t>
        </is>
      </c>
      <c r="S24" s="667" t="n">
        <v>50</v>
      </c>
      <c r="T24" s="666" t="n">
        <v>46229</v>
      </c>
      <c r="U24" s="666" t="n"/>
      <c r="V24" s="329" t="inlineStr">
        <is>
          <t>No</t>
        </is>
      </c>
      <c r="W24" s="667" t="n"/>
      <c r="X24" s="666" t="n"/>
      <c r="Y24" s="670" t="n">
        <v>0</v>
      </c>
      <c r="Z24" s="329" t="inlineStr">
        <is>
          <t>ACH missing</t>
        </is>
      </c>
      <c r="AA24" s="329" t="inlineStr">
        <is>
          <t>Unique</t>
        </is>
      </c>
      <c r="AB24" s="329" t="n"/>
      <c r="AC24" s="329" t="inlineStr">
        <is>
          <t>User-authoritative first-hour no-show compensation: $50.00.</t>
        </is>
      </c>
      <c r="AD24" s="329" t="inlineStr">
        <is>
          <t>User-authoritative correction 2026-07-26</t>
        </is>
      </c>
      <c r="AE24" s="329" t="n"/>
    </row>
    <row r="25">
      <c r="A25" s="329" t="inlineStr">
        <is>
          <t>LED-0024</t>
        </is>
      </c>
      <c r="B25" s="329" t="inlineStr">
        <is>
          <t>USDA-SPECIAL-E024</t>
        </is>
      </c>
      <c r="C25" s="329" t="n">
        <v>24</v>
      </c>
      <c r="D25" s="666" t="n"/>
      <c r="E25" s="329" t="inlineStr">
        <is>
          <t>CL-018</t>
        </is>
      </c>
      <c r="F25" s="329" t="inlineStr">
        <is>
          <t>USDA</t>
        </is>
      </c>
      <c r="G25" s="666" t="n">
        <v>46169</v>
      </c>
      <c r="H25" s="670" t="inlineStr">
        <is>
          <t>Wednesday</t>
        </is>
      </c>
      <c r="I25" s="329" t="inlineStr">
        <is>
          <t>USDA Day 1</t>
        </is>
      </c>
      <c r="J25" s="329" t="n"/>
      <c r="K25" s="667" t="inlineStr">
        <is>
          <t>Washington</t>
        </is>
      </c>
      <c r="L25" s="666" t="inlineStr">
        <is>
          <t>Washington, DC</t>
        </is>
      </c>
      <c r="M25" s="666" t="n"/>
      <c r="N25" s="329" t="inlineStr">
        <is>
          <t>DC</t>
        </is>
      </c>
      <c r="O25" s="670" t="inlineStr">
        <is>
          <t>Washington|DC</t>
        </is>
      </c>
      <c r="P25" s="667" t="n"/>
      <c r="Q25" s="667" t="n"/>
      <c r="R25" s="329" t="inlineStr">
        <is>
          <t>Yes</t>
        </is>
      </c>
      <c r="S25" s="667" t="n">
        <v>200</v>
      </c>
      <c r="T25" s="666" t="n"/>
      <c r="U25" s="666" t="n"/>
      <c r="V25" s="329" t="inlineStr">
        <is>
          <t>Yes</t>
        </is>
      </c>
      <c r="W25" s="667" t="n">
        <v>200</v>
      </c>
      <c r="X25" s="666" t="n"/>
      <c r="Y25" s="670" t="str"/>
      <c r="Z25" s="329" t="inlineStr">
        <is>
          <t>Complete</t>
        </is>
      </c>
      <c r="AA25" s="329" t="inlineStr">
        <is>
          <t>DUPLICATE / REVIEW</t>
        </is>
      </c>
      <c r="AB25" s="329" t="n"/>
      <c r="AC25" s="329" t="inlineStr">
        <is>
          <t>USDA corrected day allocation: $200 / 5 hrs @ $40/hr.</t>
        </is>
      </c>
      <c r="AD25" s="329" t="inlineStr">
        <is>
          <t>WO Alias Index + Canonical Ledger</t>
        </is>
      </c>
      <c r="AE25" s="329" t="n"/>
    </row>
    <row r="26">
      <c r="A26" s="329" t="inlineStr">
        <is>
          <t>LED-0025</t>
        </is>
      </c>
      <c r="B26" s="329" t="inlineStr">
        <is>
          <t>UNRESOLVED-E025</t>
        </is>
      </c>
      <c r="C26" s="329" t="n">
        <v>25</v>
      </c>
      <c r="D26" s="666" t="n"/>
      <c r="E26" s="329" t="inlineStr">
        <is>
          <t>CL-019</t>
        </is>
      </c>
      <c r="F26" s="329" t="inlineStr">
        <is>
          <t>PepsiCo</t>
        </is>
      </c>
      <c r="G26" s="666" t="n">
        <v>46170</v>
      </c>
      <c r="H26" s="670" t="inlineStr">
        <is>
          <t>Thursday</t>
        </is>
      </c>
      <c r="I26" s="329" t="inlineStr">
        <is>
          <t>PepsiCo</t>
        </is>
      </c>
      <c r="J26" s="329" t="n"/>
      <c r="K26" s="667" t="inlineStr">
        <is>
          <t>Cheverly</t>
        </is>
      </c>
      <c r="L26" s="666" t="inlineStr">
        <is>
          <t>Maryland</t>
        </is>
      </c>
      <c r="M26" s="666" t="n"/>
      <c r="N26" s="329" t="inlineStr">
        <is>
          <t>MD</t>
        </is>
      </c>
      <c r="O26" s="670" t="inlineStr">
        <is>
          <t>Cheverly|MD</t>
        </is>
      </c>
      <c r="P26" s="667" t="n"/>
      <c r="Q26" s="667" t="inlineStr">
        <is>
          <t>User-confirmed compensation</t>
        </is>
      </c>
      <c r="R26" s="329" t="inlineStr">
        <is>
          <t>Yes</t>
        </is>
      </c>
      <c r="S26" s="667" t="n">
        <v>50</v>
      </c>
      <c r="T26" s="666" t="n">
        <v>46229</v>
      </c>
      <c r="U26" s="666" t="n"/>
      <c r="V26" s="329" t="inlineStr">
        <is>
          <t>No</t>
        </is>
      </c>
      <c r="W26" s="667" t="n"/>
      <c r="X26" s="666" t="n"/>
      <c r="Y26" s="670" t="n">
        <v>0</v>
      </c>
      <c r="Z26" s="329" t="inlineStr">
        <is>
          <t>ACH missing</t>
        </is>
      </c>
      <c r="AA26" s="329" t="inlineStr">
        <is>
          <t>Unique</t>
        </is>
      </c>
      <c r="AB26" s="329" t="n"/>
      <c r="AC26" s="329" t="inlineStr">
        <is>
          <t>User-authoritative first-hour no-show compensation: $50.00.</t>
        </is>
      </c>
      <c r="AD26" s="329" t="inlineStr">
        <is>
          <t>User-authoritative correction 2026-07-26</t>
        </is>
      </c>
      <c r="AE26" s="329" t="n"/>
    </row>
    <row r="27">
      <c r="A27" s="329" t="inlineStr">
        <is>
          <t>LED-0026</t>
        </is>
      </c>
      <c r="B27" s="329" t="inlineStr">
        <is>
          <t>USDA-SPECIAL-E026</t>
        </is>
      </c>
      <c r="C27" s="329" t="n">
        <v>26</v>
      </c>
      <c r="D27" s="666" t="n"/>
      <c r="E27" s="329" t="inlineStr">
        <is>
          <t>CL-018</t>
        </is>
      </c>
      <c r="F27" s="329" t="inlineStr">
        <is>
          <t>USDA</t>
        </is>
      </c>
      <c r="G27" s="666" t="n">
        <v>46170</v>
      </c>
      <c r="H27" s="670" t="inlineStr">
        <is>
          <t>Thursday</t>
        </is>
      </c>
      <c r="I27" s="329" t="inlineStr">
        <is>
          <t>USDA Day 2</t>
        </is>
      </c>
      <c r="J27" s="329" t="n"/>
      <c r="K27" s="667" t="inlineStr">
        <is>
          <t>Washington</t>
        </is>
      </c>
      <c r="L27" s="666" t="inlineStr">
        <is>
          <t>Washington, DC</t>
        </is>
      </c>
      <c r="M27" s="666" t="n"/>
      <c r="N27" s="329" t="inlineStr">
        <is>
          <t>DC</t>
        </is>
      </c>
      <c r="O27" s="670" t="inlineStr">
        <is>
          <t>Washington|DC</t>
        </is>
      </c>
      <c r="P27" s="667" t="n"/>
      <c r="Q27" s="667" t="n"/>
      <c r="R27" s="329" t="inlineStr">
        <is>
          <t>Yes</t>
        </is>
      </c>
      <c r="S27" s="667" t="n">
        <v>175</v>
      </c>
      <c r="T27" s="666" t="n"/>
      <c r="U27" s="666" t="n"/>
      <c r="V27" s="329" t="inlineStr">
        <is>
          <t>Yes</t>
        </is>
      </c>
      <c r="W27" s="667" t="n">
        <v>175</v>
      </c>
      <c r="X27" s="666" t="n"/>
      <c r="Y27" s="670" t="str"/>
      <c r="Z27" s="329" t="inlineStr">
        <is>
          <t>Complete</t>
        </is>
      </c>
      <c r="AA27" s="329" t="inlineStr">
        <is>
          <t>DUPLICATE / REVIEW</t>
        </is>
      </c>
      <c r="AB27" s="329" t="n"/>
      <c r="AC27" s="329" t="inlineStr">
        <is>
          <t>USDA corrected day allocation: $175 / 4.375 hrs @ $40/hr.</t>
        </is>
      </c>
      <c r="AD27" s="329" t="inlineStr">
        <is>
          <t>WO Alias Index + Canonical Ledger</t>
        </is>
      </c>
      <c r="AE27" s="329" t="n"/>
    </row>
    <row r="28">
      <c r="A28" s="329" t="inlineStr">
        <is>
          <t>LED-0027</t>
        </is>
      </c>
      <c r="B28" s="329" t="inlineStr">
        <is>
          <t>USDA-SPECIAL-E027</t>
        </is>
      </c>
      <c r="C28" s="329" t="n">
        <v>27</v>
      </c>
      <c r="D28" s="666" t="n"/>
      <c r="E28" s="329" t="inlineStr">
        <is>
          <t>CL-018</t>
        </is>
      </c>
      <c r="F28" s="329" t="inlineStr">
        <is>
          <t>USDA</t>
        </is>
      </c>
      <c r="G28" s="666" t="n">
        <v>46174</v>
      </c>
      <c r="H28" s="670" t="inlineStr">
        <is>
          <t>Monday</t>
        </is>
      </c>
      <c r="I28" s="329" t="inlineStr">
        <is>
          <t>USDA Day 3</t>
        </is>
      </c>
      <c r="J28" s="329" t="n"/>
      <c r="K28" s="667" t="inlineStr">
        <is>
          <t>Washington</t>
        </is>
      </c>
      <c r="L28" s="666" t="inlineStr">
        <is>
          <t>Washington, DC</t>
        </is>
      </c>
      <c r="M28" s="666" t="n"/>
      <c r="N28" s="329" t="inlineStr">
        <is>
          <t>DC</t>
        </is>
      </c>
      <c r="O28" s="670" t="inlineStr">
        <is>
          <t>Washington|DC</t>
        </is>
      </c>
      <c r="P28" s="667" t="n"/>
      <c r="Q28" s="667" t="n"/>
      <c r="R28" s="329" t="inlineStr">
        <is>
          <t>Yes</t>
        </is>
      </c>
      <c r="S28" s="667" t="n">
        <v>320</v>
      </c>
      <c r="T28" s="666" t="n"/>
      <c r="U28" s="666" t="n"/>
      <c r="V28" s="329" t="inlineStr">
        <is>
          <t>Yes</t>
        </is>
      </c>
      <c r="W28" s="667" t="n">
        <v>320</v>
      </c>
      <c r="X28" s="666" t="n"/>
      <c r="Y28" s="670" t="str"/>
      <c r="Z28" s="329" t="inlineStr">
        <is>
          <t>Complete</t>
        </is>
      </c>
      <c r="AA28" s="329" t="inlineStr">
        <is>
          <t>DUPLICATE / REVIEW</t>
        </is>
      </c>
      <c r="AB28" s="329" t="n"/>
      <c r="AC28" s="329" t="inlineStr">
        <is>
          <t>USDA corrected day allocation: $320 / 8 hrs @ $40/hr.</t>
        </is>
      </c>
      <c r="AD28" s="329" t="inlineStr">
        <is>
          <t>WO Alias Index + Canonical Ledger</t>
        </is>
      </c>
      <c r="AE28" s="329" t="n"/>
    </row>
    <row r="29">
      <c r="A29" s="329" t="inlineStr">
        <is>
          <t>LED-0028</t>
        </is>
      </c>
      <c r="B29" s="329" t="inlineStr">
        <is>
          <t>USDA-SPECIAL-E028</t>
        </is>
      </c>
      <c r="C29" s="329" t="n">
        <v>28</v>
      </c>
      <c r="D29" s="666" t="n"/>
      <c r="E29" s="329" t="inlineStr">
        <is>
          <t>CL-018</t>
        </is>
      </c>
      <c r="F29" s="329" t="inlineStr">
        <is>
          <t>USDA</t>
        </is>
      </c>
      <c r="G29" s="666" t="n">
        <v>46175</v>
      </c>
      <c r="H29" s="670" t="inlineStr">
        <is>
          <t>Tuesday</t>
        </is>
      </c>
      <c r="I29" s="329" t="inlineStr">
        <is>
          <t>USDA Day 4</t>
        </is>
      </c>
      <c r="J29" s="329" t="n"/>
      <c r="K29" s="667" t="inlineStr">
        <is>
          <t>Washington</t>
        </is>
      </c>
      <c r="L29" s="666" t="inlineStr">
        <is>
          <t>Washington, DC</t>
        </is>
      </c>
      <c r="M29" s="666" t="n"/>
      <c r="N29" s="329" t="inlineStr">
        <is>
          <t>DC</t>
        </is>
      </c>
      <c r="O29" s="670" t="inlineStr">
        <is>
          <t>Washington|DC</t>
        </is>
      </c>
      <c r="P29" s="667" t="n"/>
      <c r="Q29" s="667" t="n"/>
      <c r="R29" s="329" t="inlineStr">
        <is>
          <t>Yes</t>
        </is>
      </c>
      <c r="S29" s="667" t="n">
        <v>320</v>
      </c>
      <c r="T29" s="666" t="n"/>
      <c r="U29" s="666" t="n"/>
      <c r="V29" s="329" t="inlineStr">
        <is>
          <t>Yes</t>
        </is>
      </c>
      <c r="W29" s="667" t="n">
        <v>320</v>
      </c>
      <c r="X29" s="666" t="n"/>
      <c r="Y29" s="670" t="str"/>
      <c r="Z29" s="329" t="inlineStr">
        <is>
          <t>Complete</t>
        </is>
      </c>
      <c r="AA29" s="329" t="inlineStr">
        <is>
          <t>DUPLICATE / REVIEW</t>
        </is>
      </c>
      <c r="AB29" s="329" t="n"/>
      <c r="AC29" s="329" t="inlineStr">
        <is>
          <t>USDA corrected day allocation: $320 / 8 hrs @ $40/hr.</t>
        </is>
      </c>
      <c r="AD29" s="329" t="inlineStr">
        <is>
          <t>WO Alias Index + Canonical Ledger</t>
        </is>
      </c>
      <c r="AE29" s="329" t="n"/>
    </row>
    <row r="30">
      <c r="A30" s="329" t="inlineStr">
        <is>
          <t>LED-0029</t>
        </is>
      </c>
      <c r="B30" s="329" t="inlineStr">
        <is>
          <t>USDA-SPECIAL-E029</t>
        </is>
      </c>
      <c r="C30" s="329" t="n">
        <v>29</v>
      </c>
      <c r="D30" s="666" t="n"/>
      <c r="E30" s="329" t="inlineStr">
        <is>
          <t>CL-018</t>
        </is>
      </c>
      <c r="F30" s="329" t="inlineStr">
        <is>
          <t>USDA</t>
        </is>
      </c>
      <c r="G30" s="666" t="n">
        <v>46176</v>
      </c>
      <c r="H30" s="670" t="inlineStr">
        <is>
          <t>Wednesday</t>
        </is>
      </c>
      <c r="I30" s="329" t="inlineStr">
        <is>
          <t>USDA Day 5</t>
        </is>
      </c>
      <c r="J30" s="329" t="n"/>
      <c r="K30" s="667" t="inlineStr">
        <is>
          <t>Washington</t>
        </is>
      </c>
      <c r="L30" s="666" t="inlineStr">
        <is>
          <t>Washington, DC</t>
        </is>
      </c>
      <c r="M30" s="666" t="n"/>
      <c r="N30" s="329" t="inlineStr">
        <is>
          <t>DC</t>
        </is>
      </c>
      <c r="O30" s="670" t="inlineStr">
        <is>
          <t>Washington|DC</t>
        </is>
      </c>
      <c r="P30" s="667" t="n"/>
      <c r="Q30" s="667" t="n"/>
      <c r="R30" s="329" t="inlineStr">
        <is>
          <t>Yes</t>
        </is>
      </c>
      <c r="S30" s="667" t="n">
        <v>200</v>
      </c>
      <c r="T30" s="666" t="n"/>
      <c r="U30" s="666" t="n"/>
      <c r="V30" s="329" t="inlineStr">
        <is>
          <t>Yes</t>
        </is>
      </c>
      <c r="W30" s="667" t="n">
        <v>200</v>
      </c>
      <c r="X30" s="666" t="n"/>
      <c r="Y30" s="670" t="str"/>
      <c r="Z30" s="329" t="inlineStr">
        <is>
          <t>Complete</t>
        </is>
      </c>
      <c r="AA30" s="329" t="inlineStr">
        <is>
          <t>DUPLICATE / REVIEW</t>
        </is>
      </c>
      <c r="AB30" s="329" t="n"/>
      <c r="AC30" s="329" t="inlineStr">
        <is>
          <t>USDA corrected day allocation: $200 / 5 hrs @ $40/hr.</t>
        </is>
      </c>
      <c r="AD30" s="329" t="inlineStr">
        <is>
          <t>WO Alias Index + Canonical Ledger</t>
        </is>
      </c>
      <c r="AE30" s="329" t="n"/>
    </row>
    <row r="31">
      <c r="A31" s="329" t="inlineStr">
        <is>
          <t>LED-0030</t>
        </is>
      </c>
      <c r="B31" s="329" t="inlineStr">
        <is>
          <t>5896733</t>
        </is>
      </c>
      <c r="C31" s="329" t="n">
        <v>30</v>
      </c>
      <c r="D31" s="666" t="n"/>
      <c r="E31" s="329" t="inlineStr">
        <is>
          <t>CL-020</t>
        </is>
      </c>
      <c r="F31" s="329" t="inlineStr">
        <is>
          <t>TJ Maxx</t>
        </is>
      </c>
      <c r="G31" s="666" t="n">
        <v>46176</v>
      </c>
      <c r="H31" s="670" t="inlineStr">
        <is>
          <t>Wednesday</t>
        </is>
      </c>
      <c r="I31" s="329" t="inlineStr">
        <is>
          <t>TJ Maxx</t>
        </is>
      </c>
      <c r="J31" s="329" t="n"/>
      <c r="K31" s="667" t="inlineStr">
        <is>
          <t>Rockville</t>
        </is>
      </c>
      <c r="L31" s="666" t="inlineStr">
        <is>
          <t>Maryland</t>
        </is>
      </c>
      <c r="M31" s="666" t="n"/>
      <c r="N31" s="329" t="inlineStr">
        <is>
          <t>MD</t>
        </is>
      </c>
      <c r="O31" s="670" t="inlineStr">
        <is>
          <t>Rockville|MD</t>
        </is>
      </c>
      <c r="P31" s="667" t="n"/>
      <c r="Q31" s="667" t="n"/>
      <c r="R31" s="329" t="inlineStr">
        <is>
          <t>Yes</t>
        </is>
      </c>
      <c r="S31" s="667" t="n">
        <v>96.66</v>
      </c>
      <c r="T31" s="666" t="n"/>
      <c r="U31" s="666" t="n"/>
      <c r="V31" s="329" t="inlineStr">
        <is>
          <t>Yes</t>
        </is>
      </c>
      <c r="W31" s="667" t="n">
        <v>96.66</v>
      </c>
      <c r="X31" s="666" t="n"/>
      <c r="Y31" s="670" t="str"/>
      <c r="Z31" s="329" t="inlineStr">
        <is>
          <t>Complete</t>
        </is>
      </c>
      <c r="AA31" s="329" t="inlineStr">
        <is>
          <t>Unique</t>
        </is>
      </c>
      <c r="AB31" s="329" t="n"/>
      <c r="AC31" s="329" t="inlineStr">
        <is>
          <t>Event #30 TJ Maxx Rockville verified at $96.66.</t>
        </is>
      </c>
      <c r="AD31" s="329" t="inlineStr">
        <is>
          <t>WO Alias Index + Canonical Ledger</t>
        </is>
      </c>
      <c r="AE31" s="329" t="n"/>
    </row>
    <row r="32">
      <c r="A32" s="329" t="inlineStr">
        <is>
          <t>LED-0031</t>
        </is>
      </c>
      <c r="B32" s="329" t="inlineStr">
        <is>
          <t>USDA-SPECIAL-E031</t>
        </is>
      </c>
      <c r="C32" s="329" t="n">
        <v>31</v>
      </c>
      <c r="D32" s="666" t="n"/>
      <c r="E32" s="329" t="inlineStr">
        <is>
          <t>CL-018</t>
        </is>
      </c>
      <c r="F32" s="329" t="inlineStr">
        <is>
          <t>USDA</t>
        </is>
      </c>
      <c r="G32" s="666" t="n">
        <v>46177</v>
      </c>
      <c r="H32" s="670" t="inlineStr">
        <is>
          <t>Thursday</t>
        </is>
      </c>
      <c r="I32" s="329" t="inlineStr">
        <is>
          <t>USDA Day 6</t>
        </is>
      </c>
      <c r="J32" s="329" t="n"/>
      <c r="K32" s="667" t="inlineStr">
        <is>
          <t>Washington</t>
        </is>
      </c>
      <c r="L32" s="666" t="inlineStr">
        <is>
          <t>Washington, DC</t>
        </is>
      </c>
      <c r="M32" s="666" t="n"/>
      <c r="N32" s="329" t="inlineStr">
        <is>
          <t>DC</t>
        </is>
      </c>
      <c r="O32" s="670" t="inlineStr">
        <is>
          <t>Washington|DC</t>
        </is>
      </c>
      <c r="P32" s="667" t="n"/>
      <c r="Q32" s="667" t="n"/>
      <c r="R32" s="329" t="inlineStr">
        <is>
          <t>Yes</t>
        </is>
      </c>
      <c r="S32" s="667" t="n">
        <v>140</v>
      </c>
      <c r="T32" s="666" t="n"/>
      <c r="U32" s="666" t="n"/>
      <c r="V32" s="329" t="inlineStr">
        <is>
          <t>Yes</t>
        </is>
      </c>
      <c r="W32" s="667" t="n">
        <v>140</v>
      </c>
      <c r="X32" s="666" t="n"/>
      <c r="Y32" s="670" t="str"/>
      <c r="Z32" s="329" t="inlineStr">
        <is>
          <t>Complete</t>
        </is>
      </c>
      <c r="AA32" s="329" t="inlineStr">
        <is>
          <t>DUPLICATE / REVIEW</t>
        </is>
      </c>
      <c r="AB32" s="329" t="n"/>
      <c r="AC32" s="329" t="inlineStr">
        <is>
          <t>USDA corrected day allocation: $140 / 3.5 hrs @ $40/hr.</t>
        </is>
      </c>
      <c r="AD32" s="329" t="inlineStr">
        <is>
          <t>WO Alias Index + Canonical Ledger</t>
        </is>
      </c>
      <c r="AE32" s="329" t="n"/>
    </row>
    <row r="33">
      <c r="A33" s="329" t="inlineStr">
        <is>
          <t>LED-0032</t>
        </is>
      </c>
      <c r="B33" s="329" t="inlineStr">
        <is>
          <t>5898007</t>
        </is>
      </c>
      <c r="C33" s="329" t="n">
        <v>32</v>
      </c>
      <c r="D33" s="666" t="n"/>
      <c r="E33" s="329" t="inlineStr">
        <is>
          <t>CL-021</t>
        </is>
      </c>
      <c r="F33" s="329" t="inlineStr">
        <is>
          <t>Hilton Garden Inn</t>
        </is>
      </c>
      <c r="G33" s="666" t="n">
        <v>46178</v>
      </c>
      <c r="H33" s="670" t="inlineStr">
        <is>
          <t>Friday</t>
        </is>
      </c>
      <c r="I33" s="329" t="inlineStr">
        <is>
          <t>Hilton Garden Inn</t>
        </is>
      </c>
      <c r="J33" s="329" t="n"/>
      <c r="K33" s="667" t="inlineStr">
        <is>
          <t>Fairfax</t>
        </is>
      </c>
      <c r="L33" s="666" t="inlineStr">
        <is>
          <t>Virginia</t>
        </is>
      </c>
      <c r="M33" s="666" t="n"/>
      <c r="N33" s="329" t="inlineStr">
        <is>
          <t>VA</t>
        </is>
      </c>
      <c r="O33" s="670" t="inlineStr">
        <is>
          <t>Fairfax|VA</t>
        </is>
      </c>
      <c r="P33" s="667" t="n"/>
      <c r="Q33" s="667" t="n"/>
      <c r="R33" s="329" t="inlineStr">
        <is>
          <t>Yes</t>
        </is>
      </c>
      <c r="S33" s="667" t="n">
        <v>25</v>
      </c>
      <c r="T33" s="666" t="n"/>
      <c r="U33" s="666" t="n"/>
      <c r="V33" s="329" t="inlineStr">
        <is>
          <t>Yes</t>
        </is>
      </c>
      <c r="W33" s="667" t="n">
        <v>25</v>
      </c>
      <c r="X33" s="666" t="n"/>
      <c r="Y33" s="670" t="str"/>
      <c r="Z33" s="329" t="inlineStr">
        <is>
          <t>Complete</t>
        </is>
      </c>
      <c r="AA33" s="329" t="inlineStr">
        <is>
          <t>Unique</t>
        </is>
      </c>
      <c r="AB33" s="329" t="n"/>
      <c r="AC33" s="329" t="inlineStr">
        <is>
          <t>VA Hilton Garden Inn historical row.</t>
        </is>
      </c>
      <c r="AD33" s="329" t="inlineStr">
        <is>
          <t>WO Alias Index + Canonical Ledger</t>
        </is>
      </c>
      <c r="AE33" s="329" t="n"/>
    </row>
    <row r="34">
      <c r="A34" s="329" t="inlineStr">
        <is>
          <t>LED-0033</t>
        </is>
      </c>
      <c r="B34" s="329" t="inlineStr">
        <is>
          <t>5896039</t>
        </is>
      </c>
      <c r="C34" s="329" t="n">
        <v>33</v>
      </c>
      <c r="D34" s="666" t="n"/>
      <c r="E34" s="329" t="inlineStr">
        <is>
          <t>CL-005</t>
        </is>
      </c>
      <c r="F34" s="329" t="inlineStr">
        <is>
          <t>Hebrew Home of Greater Washington</t>
        </is>
      </c>
      <c r="G34" s="666" t="n">
        <v>46178</v>
      </c>
      <c r="H34" s="670" t="inlineStr">
        <is>
          <t>Friday</t>
        </is>
      </c>
      <c r="I34" s="329" t="inlineStr">
        <is>
          <t>Hebrew Home of Greater Washington</t>
        </is>
      </c>
      <c r="J34" s="329" t="n"/>
      <c r="K34" s="667" t="inlineStr">
        <is>
          <t>North Bethesda</t>
        </is>
      </c>
      <c r="L34" s="666" t="inlineStr">
        <is>
          <t>Maryland</t>
        </is>
      </c>
      <c r="M34" s="666" t="n"/>
      <c r="N34" s="329" t="inlineStr">
        <is>
          <t>MD</t>
        </is>
      </c>
      <c r="O34" s="670" t="inlineStr">
        <is>
          <t>North Bethesda|MD</t>
        </is>
      </c>
      <c r="P34" s="667" t="n"/>
      <c r="Q34" s="667" t="n"/>
      <c r="R34" s="329" t="inlineStr">
        <is>
          <t>Yes</t>
        </is>
      </c>
      <c r="S34" s="667" t="n">
        <v>50</v>
      </c>
      <c r="T34" s="666" t="n"/>
      <c r="U34" s="666" t="n"/>
      <c r="V34" s="329" t="inlineStr">
        <is>
          <t>Yes</t>
        </is>
      </c>
      <c r="W34" s="667" t="n">
        <v>50</v>
      </c>
      <c r="X34" s="666" t="n"/>
      <c r="Y34" s="670" t="str"/>
      <c r="Z34" s="329" t="inlineStr">
        <is>
          <t>Complete</t>
        </is>
      </c>
      <c r="AA34" s="329" t="inlineStr">
        <is>
          <t>Unique</t>
        </is>
      </c>
      <c r="AB34" s="329" t="n"/>
      <c r="AC34" s="329" t="inlineStr">
        <is>
          <t>Maryland revenue included.</t>
        </is>
      </c>
      <c r="AD34" s="329" t="inlineStr">
        <is>
          <t>WO Alias Index + Canonical Ledger</t>
        </is>
      </c>
      <c r="AE34" s="329" t="n"/>
    </row>
    <row r="35">
      <c r="A35" s="329" t="inlineStr">
        <is>
          <t>LED-0034</t>
        </is>
      </c>
      <c r="B35" s="329" t="inlineStr">
        <is>
          <t>5898904</t>
        </is>
      </c>
      <c r="C35" s="329" t="n">
        <v>34</v>
      </c>
      <c r="D35" s="666" t="n"/>
      <c r="E35" s="329" t="inlineStr">
        <is>
          <t>CL-020</t>
        </is>
      </c>
      <c r="F35" s="329" t="inlineStr">
        <is>
          <t>TJ Maxx</t>
        </is>
      </c>
      <c r="G35" s="666" t="n">
        <v>46178</v>
      </c>
      <c r="H35" s="670" t="inlineStr">
        <is>
          <t>Friday</t>
        </is>
      </c>
      <c r="I35" s="329" t="inlineStr">
        <is>
          <t>TJ Maxx</t>
        </is>
      </c>
      <c r="J35" s="329" t="n"/>
      <c r="K35" s="667" t="inlineStr">
        <is>
          <t>Annapolis</t>
        </is>
      </c>
      <c r="L35" s="666" t="inlineStr">
        <is>
          <t>Maryland</t>
        </is>
      </c>
      <c r="M35" s="666" t="n"/>
      <c r="N35" s="329" t="inlineStr">
        <is>
          <t>MD</t>
        </is>
      </c>
      <c r="O35" s="670" t="inlineStr">
        <is>
          <t>Annapolis|MD</t>
        </is>
      </c>
      <c r="P35" s="667" t="n"/>
      <c r="Q35" s="667" t="n"/>
      <c r="R35" s="329" t="inlineStr">
        <is>
          <t>Yes</t>
        </is>
      </c>
      <c r="S35" s="667" t="n">
        <v>70</v>
      </c>
      <c r="T35" s="666" t="n"/>
      <c r="U35" s="666" t="n"/>
      <c r="V35" s="329" t="inlineStr">
        <is>
          <t>Yes</t>
        </is>
      </c>
      <c r="W35" s="667" t="n">
        <v>70</v>
      </c>
      <c r="X35" s="666" t="n"/>
      <c r="Y35" s="670" t="str"/>
      <c r="Z35" s="329" t="inlineStr">
        <is>
          <t>Complete</t>
        </is>
      </c>
      <c r="AA35" s="329" t="inlineStr">
        <is>
          <t>Unique</t>
        </is>
      </c>
      <c r="AB35" s="329" t="n"/>
      <c r="AC35" s="329" t="inlineStr">
        <is>
          <t>Maryland revenue included.</t>
        </is>
      </c>
      <c r="AD35" s="329" t="inlineStr">
        <is>
          <t>WO Alias Index + Canonical Ledger</t>
        </is>
      </c>
      <c r="AE35" s="329" t="n"/>
    </row>
    <row r="36">
      <c r="A36" s="329" t="inlineStr">
        <is>
          <t>LED-0035</t>
        </is>
      </c>
      <c r="B36" s="329" t="inlineStr">
        <is>
          <t>5899056</t>
        </is>
      </c>
      <c r="C36" s="329" t="n">
        <v>35</v>
      </c>
      <c r="D36" s="666" t="n"/>
      <c r="E36" s="329" t="inlineStr">
        <is>
          <t>CL-022</t>
        </is>
      </c>
      <c r="F36" s="329" t="inlineStr">
        <is>
          <t>Marshalls</t>
        </is>
      </c>
      <c r="G36" s="666" t="n">
        <v>46181</v>
      </c>
      <c r="H36" s="670" t="inlineStr">
        <is>
          <t>Monday</t>
        </is>
      </c>
      <c r="I36" s="329" t="inlineStr">
        <is>
          <t>Marshalls</t>
        </is>
      </c>
      <c r="J36" s="329" t="n"/>
      <c r="K36" s="667" t="inlineStr">
        <is>
          <t>Dunkirk</t>
        </is>
      </c>
      <c r="L36" s="666" t="inlineStr">
        <is>
          <t>Maryland</t>
        </is>
      </c>
      <c r="M36" s="666" t="n"/>
      <c r="N36" s="329" t="inlineStr">
        <is>
          <t>MD</t>
        </is>
      </c>
      <c r="O36" s="670" t="inlineStr">
        <is>
          <t>Dunkirk|MD</t>
        </is>
      </c>
      <c r="P36" s="667" t="n"/>
      <c r="Q36" s="667" t="n"/>
      <c r="R36" s="329" t="inlineStr">
        <is>
          <t>Yes</t>
        </is>
      </c>
      <c r="S36" s="667" t="n">
        <v>70</v>
      </c>
      <c r="T36" s="666" t="n"/>
      <c r="U36" s="666" t="n"/>
      <c r="V36" s="329" t="inlineStr">
        <is>
          <t>Yes</t>
        </is>
      </c>
      <c r="W36" s="667" t="n">
        <v>70</v>
      </c>
      <c r="X36" s="666" t="n"/>
      <c r="Y36" s="670" t="str"/>
      <c r="Z36" s="329" t="inlineStr">
        <is>
          <t>Complete</t>
        </is>
      </c>
      <c r="AA36" s="329" t="inlineStr">
        <is>
          <t>Unique</t>
        </is>
      </c>
      <c r="AB36" s="329" t="n"/>
      <c r="AC36" s="329" t="inlineStr">
        <is>
          <t>Payment breakdown reissued/verified; no financial change.</t>
        </is>
      </c>
      <c r="AD36" s="329" t="inlineStr">
        <is>
          <t>WO Alias Index + Canonical Ledger</t>
        </is>
      </c>
      <c r="AE36" s="329" t="n"/>
    </row>
    <row r="37">
      <c r="A37" s="329" t="inlineStr">
        <is>
          <t>LED-0036</t>
        </is>
      </c>
      <c r="B37" s="329" t="inlineStr">
        <is>
          <t>5899295</t>
        </is>
      </c>
      <c r="C37" s="329" t="n">
        <v>36</v>
      </c>
      <c r="D37" s="666" t="n"/>
      <c r="E37" s="329" t="inlineStr">
        <is>
          <t>CL-003</t>
        </is>
      </c>
      <c r="F37" s="329" t="inlineStr">
        <is>
          <t>Hampton Inn &amp; Suites</t>
        </is>
      </c>
      <c r="G37" s="666" t="n">
        <v>46182</v>
      </c>
      <c r="H37" s="670" t="inlineStr">
        <is>
          <t>Tuesday</t>
        </is>
      </c>
      <c r="I37" s="329" t="inlineStr">
        <is>
          <t>Hampton Inn &amp; Suites</t>
        </is>
      </c>
      <c r="J37" s="329" t="n"/>
      <c r="K37" s="667" t="inlineStr">
        <is>
          <t>Edgewood</t>
        </is>
      </c>
      <c r="L37" s="666" t="inlineStr">
        <is>
          <t>Maryland</t>
        </is>
      </c>
      <c r="M37" s="666" t="n"/>
      <c r="N37" s="329" t="inlineStr">
        <is>
          <t>MD</t>
        </is>
      </c>
      <c r="O37" s="670" t="inlineStr">
        <is>
          <t>Edgewood|MD</t>
        </is>
      </c>
      <c r="P37" s="667" t="n"/>
      <c r="Q37" s="667" t="n"/>
      <c r="R37" s="329" t="inlineStr">
        <is>
          <t>Yes</t>
        </is>
      </c>
      <c r="S37" s="667" t="n">
        <v>65</v>
      </c>
      <c r="T37" s="666" t="n"/>
      <c r="U37" s="666" t="n"/>
      <c r="V37" s="329" t="inlineStr">
        <is>
          <t>Yes</t>
        </is>
      </c>
      <c r="W37" s="667" t="n">
        <v>65</v>
      </c>
      <c r="X37" s="666" t="n"/>
      <c r="Y37" s="670" t="str"/>
      <c r="Z37" s="329" t="inlineStr">
        <is>
          <t>Complete</t>
        </is>
      </c>
      <c r="AA37" s="329" t="inlineStr">
        <is>
          <t>Unique</t>
        </is>
      </c>
      <c r="AB37" s="329" t="n"/>
      <c r="AC37" s="329" t="inlineStr">
        <is>
          <t>Maryland revenue included.</t>
        </is>
      </c>
      <c r="AD37" s="329" t="inlineStr">
        <is>
          <t>WO Alias Index + Canonical Ledger</t>
        </is>
      </c>
      <c r="AE37" s="329" t="n"/>
    </row>
    <row r="38">
      <c r="A38" s="329" t="inlineStr">
        <is>
          <t>LED-0037</t>
        </is>
      </c>
      <c r="B38" s="329" t="inlineStr">
        <is>
          <t>5899715</t>
        </is>
      </c>
      <c r="C38" s="329" t="n">
        <v>37</v>
      </c>
      <c r="D38" s="666" t="n"/>
      <c r="E38" s="329" t="inlineStr">
        <is>
          <t>CL-016</t>
        </is>
      </c>
      <c r="F38" s="329" t="inlineStr">
        <is>
          <t>HomeGoods</t>
        </is>
      </c>
      <c r="G38" s="666" t="n">
        <v>46182</v>
      </c>
      <c r="H38" s="670" t="inlineStr">
        <is>
          <t>Tuesday</t>
        </is>
      </c>
      <c r="I38" s="329" t="inlineStr">
        <is>
          <t>HomeGoods</t>
        </is>
      </c>
      <c r="J38" s="329" t="n"/>
      <c r="K38" s="667" t="inlineStr">
        <is>
          <t>Sterling</t>
        </is>
      </c>
      <c r="L38" s="666" t="inlineStr">
        <is>
          <t>Virginia</t>
        </is>
      </c>
      <c r="M38" s="666" t="n"/>
      <c r="N38" s="329" t="inlineStr">
        <is>
          <t>VA</t>
        </is>
      </c>
      <c r="O38" s="670" t="inlineStr">
        <is>
          <t>Sterling|VA</t>
        </is>
      </c>
      <c r="P38" s="667" t="n"/>
      <c r="Q38" s="667" t="n"/>
      <c r="R38" s="329" t="inlineStr">
        <is>
          <t>Yes</t>
        </is>
      </c>
      <c r="S38" s="667" t="n">
        <v>90</v>
      </c>
      <c r="T38" s="666" t="n"/>
      <c r="U38" s="666" t="n"/>
      <c r="V38" s="329" t="inlineStr">
        <is>
          <t>Yes</t>
        </is>
      </c>
      <c r="W38" s="667" t="n">
        <v>90</v>
      </c>
      <c r="X38" s="666" t="n"/>
      <c r="Y38" s="670" t="str"/>
      <c r="Z38" s="329" t="inlineStr">
        <is>
          <t>Complete</t>
        </is>
      </c>
      <c r="AA38" s="329" t="inlineStr">
        <is>
          <t>Unique</t>
        </is>
      </c>
      <c r="AB38" s="329" t="n"/>
      <c r="AC38" s="329" t="inlineStr">
        <is>
          <t>VA revenue included.</t>
        </is>
      </c>
      <c r="AD38" s="329" t="inlineStr">
        <is>
          <t>WO Alias Index + Canonical Ledger</t>
        </is>
      </c>
      <c r="AE38" s="329" t="n"/>
    </row>
    <row r="39">
      <c r="A39" s="329" t="inlineStr">
        <is>
          <t>LED-0038</t>
        </is>
      </c>
      <c r="B39" s="329" t="inlineStr">
        <is>
          <t>5900102</t>
        </is>
      </c>
      <c r="C39" s="329" t="n">
        <v>38</v>
      </c>
      <c r="D39" s="666" t="n"/>
      <c r="E39" s="329" t="inlineStr">
        <is>
          <t>CL-006</t>
        </is>
      </c>
      <c r="F39" s="329" t="inlineStr">
        <is>
          <t>7-Eleven</t>
        </is>
      </c>
      <c r="G39" s="666" t="n">
        <v>46183</v>
      </c>
      <c r="H39" s="670" t="inlineStr">
        <is>
          <t>Wednesday</t>
        </is>
      </c>
      <c r="I39" s="329" t="inlineStr">
        <is>
          <t>7-Eleven</t>
        </is>
      </c>
      <c r="J39" s="329" t="n"/>
      <c r="K39" s="667" t="inlineStr">
        <is>
          <t>Lanham</t>
        </is>
      </c>
      <c r="L39" s="666" t="inlineStr">
        <is>
          <t>Maryland</t>
        </is>
      </c>
      <c r="M39" s="666" t="n"/>
      <c r="N39" s="329" t="inlineStr">
        <is>
          <t>MD</t>
        </is>
      </c>
      <c r="O39" s="670" t="inlineStr">
        <is>
          <t>Lanham|MD</t>
        </is>
      </c>
      <c r="P39" s="667" t="n"/>
      <c r="Q39" s="667" t="n"/>
      <c r="R39" s="329" t="inlineStr">
        <is>
          <t>Yes</t>
        </is>
      </c>
      <c r="S39" s="667" t="n">
        <v>240</v>
      </c>
      <c r="T39" s="666" t="n"/>
      <c r="U39" s="666" t="n"/>
      <c r="V39" s="329" t="inlineStr">
        <is>
          <t>Yes</t>
        </is>
      </c>
      <c r="W39" s="667" t="n">
        <v>240</v>
      </c>
      <c r="X39" s="666" t="n"/>
      <c r="Y39" s="670" t="str"/>
      <c r="Z39" s="329" t="inlineStr">
        <is>
          <t>Complete with note</t>
        </is>
      </c>
      <c r="AA39" s="329" t="inlineStr">
        <is>
          <t>Unique</t>
        </is>
      </c>
      <c r="AB39" s="329" t="n"/>
      <c r="AC39" s="329" t="inlineStr">
        <is>
          <t>7-Eleven dispute cleared at $240.</t>
        </is>
      </c>
      <c r="AD39" s="329" t="inlineStr">
        <is>
          <t>WO Alias Index + Canonical Ledger</t>
        </is>
      </c>
      <c r="AE39" s="329" t="n"/>
    </row>
    <row r="40">
      <c r="A40" s="329" t="inlineStr">
        <is>
          <t>LED-0039</t>
        </is>
      </c>
      <c r="B40" s="329" t="inlineStr">
        <is>
          <t>5900492</t>
        </is>
      </c>
      <c r="C40" s="329" t="n">
        <v>39</v>
      </c>
      <c r="D40" s="666" t="n"/>
      <c r="E40" s="329" t="inlineStr">
        <is>
          <t>CL-020</t>
        </is>
      </c>
      <c r="F40" s="329" t="inlineStr">
        <is>
          <t>TJ Maxx</t>
        </is>
      </c>
      <c r="G40" s="666" t="n">
        <v>46183</v>
      </c>
      <c r="H40" s="670" t="inlineStr">
        <is>
          <t>Wednesday</t>
        </is>
      </c>
      <c r="I40" s="329" t="inlineStr">
        <is>
          <t>TJ Maxx</t>
        </is>
      </c>
      <c r="J40" s="329" t="n"/>
      <c r="K40" s="667" t="inlineStr">
        <is>
          <t>Annapolis</t>
        </is>
      </c>
      <c r="L40" s="666" t="inlineStr">
        <is>
          <t>Maryland</t>
        </is>
      </c>
      <c r="M40" s="666" t="n"/>
      <c r="N40" s="329" t="inlineStr">
        <is>
          <t>MD</t>
        </is>
      </c>
      <c r="O40" s="670" t="inlineStr">
        <is>
          <t>Annapolis|MD</t>
        </is>
      </c>
      <c r="P40" s="667" t="n"/>
      <c r="Q40" s="667" t="n"/>
      <c r="R40" s="329" t="inlineStr">
        <is>
          <t>Yes</t>
        </is>
      </c>
      <c r="S40" s="667" t="n">
        <v>90</v>
      </c>
      <c r="T40" s="666" t="n"/>
      <c r="U40" s="666" t="n"/>
      <c r="V40" s="329" t="inlineStr">
        <is>
          <t>Yes</t>
        </is>
      </c>
      <c r="W40" s="667" t="n">
        <v>90</v>
      </c>
      <c r="X40" s="666" t="n"/>
      <c r="Y40" s="670" t="str"/>
      <c r="Z40" s="329" t="inlineStr">
        <is>
          <t>Complete</t>
        </is>
      </c>
      <c r="AA40" s="329" t="inlineStr">
        <is>
          <t>Unique</t>
        </is>
      </c>
      <c r="AB40" s="329" t="n"/>
      <c r="AC40" s="329" t="inlineStr">
        <is>
          <t>Payment breakdown reissued/verified; no financial change.</t>
        </is>
      </c>
      <c r="AD40" s="329" t="inlineStr">
        <is>
          <t>WO Alias Index + Canonical Ledger</t>
        </is>
      </c>
      <c r="AE40" s="329" t="n"/>
    </row>
    <row r="41">
      <c r="A41" s="329" t="inlineStr">
        <is>
          <t>LED-0040</t>
        </is>
      </c>
      <c r="B41" s="329" t="inlineStr">
        <is>
          <t>5877236</t>
        </is>
      </c>
      <c r="C41" s="329" t="n">
        <v>40</v>
      </c>
      <c r="D41" s="666" t="n"/>
      <c r="E41" s="329" t="inlineStr">
        <is>
          <t>CL-011</t>
        </is>
      </c>
      <c r="F41" s="329" t="inlineStr">
        <is>
          <t>Residential – Annapolis Neck, MD</t>
        </is>
      </c>
      <c r="G41" s="666" t="n">
        <v>46183</v>
      </c>
      <c r="H41" s="670" t="inlineStr">
        <is>
          <t>Wednesday</t>
        </is>
      </c>
      <c r="I41" s="329" t="inlineStr">
        <is>
          <t>Residential</t>
        </is>
      </c>
      <c r="J41" s="329" t="n"/>
      <c r="K41" s="667" t="inlineStr">
        <is>
          <t>Annapolis Neck</t>
        </is>
      </c>
      <c r="L41" s="666" t="inlineStr">
        <is>
          <t>Maryland</t>
        </is>
      </c>
      <c r="M41" s="666" t="n"/>
      <c r="N41" s="329" t="inlineStr">
        <is>
          <t>MD</t>
        </is>
      </c>
      <c r="O41" s="670" t="inlineStr">
        <is>
          <t>Annapolis Neck|MD</t>
        </is>
      </c>
      <c r="P41" s="667" t="n"/>
      <c r="Q41" s="667" t="n"/>
      <c r="R41" s="329" t="inlineStr">
        <is>
          <t>Yes</t>
        </is>
      </c>
      <c r="S41" s="667" t="n">
        <v>60</v>
      </c>
      <c r="T41" s="666" t="n"/>
      <c r="U41" s="666" t="n"/>
      <c r="V41" s="329" t="inlineStr">
        <is>
          <t>Yes</t>
        </is>
      </c>
      <c r="W41" s="667" t="n">
        <v>60</v>
      </c>
      <c r="X41" s="666" t="n"/>
      <c r="Y41" s="670" t="str"/>
      <c r="Z41" s="329" t="inlineStr">
        <is>
          <t>Complete</t>
        </is>
      </c>
      <c r="AA41" s="329" t="inlineStr">
        <is>
          <t>Unique</t>
        </is>
      </c>
      <c r="AB41" s="329" t="n"/>
      <c r="AC41" s="329" t="inlineStr">
        <is>
          <t>Dynabook repair completed.</t>
        </is>
      </c>
      <c r="AD41" s="329" t="inlineStr">
        <is>
          <t>WO Alias Index + Canonical Ledger</t>
        </is>
      </c>
      <c r="AE41" s="329" t="n"/>
    </row>
    <row r="42">
      <c r="A42" s="329" t="inlineStr">
        <is>
          <t>LED-0041</t>
        </is>
      </c>
      <c r="B42" s="329" t="inlineStr">
        <is>
          <t>5887374</t>
        </is>
      </c>
      <c r="C42" s="329" t="n">
        <v>41</v>
      </c>
      <c r="D42" s="666" t="n"/>
      <c r="E42" s="329" t="inlineStr">
        <is>
          <t>CL-023</t>
        </is>
      </c>
      <c r="F42" s="329" t="inlineStr">
        <is>
          <t>Baskin-Robbins</t>
        </is>
      </c>
      <c r="G42" s="666" t="n">
        <v>46184</v>
      </c>
      <c r="H42" s="670" t="inlineStr">
        <is>
          <t>Thursday</t>
        </is>
      </c>
      <c r="I42" s="329" t="inlineStr">
        <is>
          <t>Baskin Robbins</t>
        </is>
      </c>
      <c r="J42" s="329" t="n"/>
      <c r="K42" s="667" t="inlineStr">
        <is>
          <t>Falls Church</t>
        </is>
      </c>
      <c r="L42" s="666" t="inlineStr">
        <is>
          <t>Virginia</t>
        </is>
      </c>
      <c r="M42" s="666" t="n"/>
      <c r="N42" s="329" t="inlineStr">
        <is>
          <t>VA</t>
        </is>
      </c>
      <c r="O42" s="670" t="inlineStr">
        <is>
          <t>Falls Church|VA</t>
        </is>
      </c>
      <c r="P42" s="667" t="n"/>
      <c r="Q42" s="667" t="n"/>
      <c r="R42" s="329" t="inlineStr">
        <is>
          <t>Yes</t>
        </is>
      </c>
      <c r="S42" s="667" t="n">
        <v>45</v>
      </c>
      <c r="T42" s="666" t="n"/>
      <c r="U42" s="666" t="n"/>
      <c r="V42" s="329" t="inlineStr">
        <is>
          <t>Yes</t>
        </is>
      </c>
      <c r="W42" s="667" t="n">
        <v>45</v>
      </c>
      <c r="X42" s="666" t="n"/>
      <c r="Y42" s="670" t="str"/>
      <c r="Z42" s="329" t="inlineStr">
        <is>
          <t>Complete</t>
        </is>
      </c>
      <c r="AA42" s="329" t="inlineStr">
        <is>
          <t>Unique</t>
        </is>
      </c>
      <c r="AB42" s="329" t="n"/>
      <c r="AC42" s="329" t="inlineStr">
        <is>
          <t>Corrected: WO 5887374 = Baskin Robbins. Breakdown and ACH confirmed at $45.</t>
        </is>
      </c>
      <c r="AD42" s="329" t="inlineStr">
        <is>
          <t>WO Alias Index + Canonical Ledger</t>
        </is>
      </c>
      <c r="AE42" s="329" t="n"/>
    </row>
    <row r="43">
      <c r="A43" s="329" t="inlineStr">
        <is>
          <t>LED-0042</t>
        </is>
      </c>
      <c r="B43" s="329" t="inlineStr">
        <is>
          <t>5901061</t>
        </is>
      </c>
      <c r="C43" s="329" t="n">
        <v>42</v>
      </c>
      <c r="D43" s="666" t="n"/>
      <c r="E43" s="329" t="inlineStr">
        <is>
          <t>CL-012</t>
        </is>
      </c>
      <c r="F43" s="329" t="inlineStr">
        <is>
          <t>Verizon</t>
        </is>
      </c>
      <c r="G43" s="666" t="n">
        <v>46184</v>
      </c>
      <c r="H43" s="670" t="inlineStr">
        <is>
          <t>Thursday</t>
        </is>
      </c>
      <c r="I43" s="329" t="inlineStr">
        <is>
          <t>Verizon</t>
        </is>
      </c>
      <c r="J43" s="329" t="n"/>
      <c r="K43" s="667" t="inlineStr">
        <is>
          <t>Ellicott City</t>
        </is>
      </c>
      <c r="L43" s="666" t="inlineStr">
        <is>
          <t>Maryland</t>
        </is>
      </c>
      <c r="M43" s="666" t="n"/>
      <c r="N43" s="329" t="inlineStr">
        <is>
          <t>MD</t>
        </is>
      </c>
      <c r="O43" s="670" t="inlineStr">
        <is>
          <t>Ellicott City|MD</t>
        </is>
      </c>
      <c r="P43" s="667" t="n"/>
      <c r="Q43" s="667" t="n"/>
      <c r="R43" s="329" t="inlineStr">
        <is>
          <t>Yes</t>
        </is>
      </c>
      <c r="S43" s="667" t="n">
        <v>50</v>
      </c>
      <c r="T43" s="666" t="n"/>
      <c r="U43" s="666" t="n"/>
      <c r="V43" s="329" t="inlineStr">
        <is>
          <t>Yes</t>
        </is>
      </c>
      <c r="W43" s="667" t="n">
        <v>50</v>
      </c>
      <c r="X43" s="666" t="n"/>
      <c r="Y43" s="670" t="str"/>
      <c r="Z43" s="329" t="inlineStr">
        <is>
          <t>Breakdown missing / ACH confirmed</t>
        </is>
      </c>
      <c r="AA43" s="329" t="inlineStr">
        <is>
          <t>Unique</t>
        </is>
      </c>
      <c r="AB43" s="329" t="n"/>
      <c r="AC43" s="329" t="inlineStr">
        <is>
          <t>Payment breakdown found; ACH B5901061T1 confirmed.</t>
        </is>
      </c>
      <c r="AD43" s="329" t="inlineStr">
        <is>
          <t>WO Alias Index + Canonical Ledger</t>
        </is>
      </c>
      <c r="AE43" s="329" t="n"/>
    </row>
    <row r="44">
      <c r="A44" s="329" t="inlineStr">
        <is>
          <t>LED-0043</t>
        </is>
      </c>
      <c r="B44" s="329" t="inlineStr">
        <is>
          <t>5902689</t>
        </is>
      </c>
      <c r="C44" s="329" t="n">
        <v>43</v>
      </c>
      <c r="D44" s="666" t="n"/>
      <c r="E44" s="329" t="inlineStr">
        <is>
          <t>CL-012</t>
        </is>
      </c>
      <c r="F44" s="329" t="inlineStr">
        <is>
          <t>Verizon</t>
        </is>
      </c>
      <c r="G44" s="666" t="n">
        <v>46185</v>
      </c>
      <c r="H44" s="670" t="inlineStr">
        <is>
          <t>Friday</t>
        </is>
      </c>
      <c r="I44" s="329" t="inlineStr">
        <is>
          <t>Verizon</t>
        </is>
      </c>
      <c r="J44" s="329" t="n"/>
      <c r="K44" s="667" t="inlineStr">
        <is>
          <t>Lanham</t>
        </is>
      </c>
      <c r="L44" s="666" t="inlineStr">
        <is>
          <t>Maryland</t>
        </is>
      </c>
      <c r="M44" s="666" t="n"/>
      <c r="N44" s="329" t="inlineStr">
        <is>
          <t>MD</t>
        </is>
      </c>
      <c r="O44" s="670" t="inlineStr">
        <is>
          <t>Lanham|MD</t>
        </is>
      </c>
      <c r="P44" s="667" t="n"/>
      <c r="Q44" s="667" t="n"/>
      <c r="R44" s="329" t="inlineStr">
        <is>
          <t>Yes</t>
        </is>
      </c>
      <c r="S44" s="667" t="n">
        <v>50</v>
      </c>
      <c r="T44" s="666" t="n"/>
      <c r="U44" s="666" t="n"/>
      <c r="V44" s="329" t="inlineStr">
        <is>
          <t>Yes</t>
        </is>
      </c>
      <c r="W44" s="667" t="n">
        <v>50</v>
      </c>
      <c r="X44" s="666" t="n"/>
      <c r="Y44" s="670" t="str"/>
      <c r="Z44" s="329" t="inlineStr">
        <is>
          <t>Complete</t>
        </is>
      </c>
      <c r="AA44" s="329" t="inlineStr">
        <is>
          <t>Unique</t>
        </is>
      </c>
      <c r="AB44" s="329" t="n"/>
      <c r="AC44" s="329" t="inlineStr">
        <is>
          <t>Verizon Lanham amount locked at $50.</t>
        </is>
      </c>
      <c r="AD44" s="329" t="inlineStr">
        <is>
          <t>WO Alias Index + Canonical Ledger</t>
        </is>
      </c>
      <c r="AE44" s="329" t="n"/>
    </row>
    <row r="45">
      <c r="A45" s="329" t="inlineStr">
        <is>
          <t>LED-0044</t>
        </is>
      </c>
      <c r="B45" s="329" t="inlineStr">
        <is>
          <t>5902930</t>
        </is>
      </c>
      <c r="C45" s="329" t="n">
        <v>44</v>
      </c>
      <c r="D45" s="666" t="n"/>
      <c r="E45" s="329" t="inlineStr">
        <is>
          <t>CL-022</t>
        </is>
      </c>
      <c r="F45" s="329" t="inlineStr">
        <is>
          <t>Marshalls</t>
        </is>
      </c>
      <c r="G45" s="666" t="n">
        <v>46188</v>
      </c>
      <c r="H45" s="670" t="inlineStr">
        <is>
          <t>Monday</t>
        </is>
      </c>
      <c r="I45" s="329" t="inlineStr">
        <is>
          <t>Marshalls</t>
        </is>
      </c>
      <c r="J45" s="329" t="n"/>
      <c r="K45" s="667" t="inlineStr">
        <is>
          <t>Frederick</t>
        </is>
      </c>
      <c r="L45" s="666" t="inlineStr">
        <is>
          <t>Maryland</t>
        </is>
      </c>
      <c r="M45" s="666" t="n"/>
      <c r="N45" s="329" t="inlineStr">
        <is>
          <t>MD</t>
        </is>
      </c>
      <c r="O45" s="670" t="inlineStr">
        <is>
          <t>Frederick|MD</t>
        </is>
      </c>
      <c r="P45" s="667" t="n"/>
      <c r="Q45" s="667" t="n"/>
      <c r="R45" s="329" t="inlineStr">
        <is>
          <t>Yes</t>
        </is>
      </c>
      <c r="S45" s="667" t="n">
        <v>123.75</v>
      </c>
      <c r="T45" s="666" t="n"/>
      <c r="U45" s="666" t="n"/>
      <c r="V45" s="329" t="inlineStr">
        <is>
          <t>Yes</t>
        </is>
      </c>
      <c r="W45" s="667" t="n">
        <v>123.75</v>
      </c>
      <c r="X45" s="666" t="n"/>
      <c r="Y45" s="670" t="str"/>
      <c r="Z45" s="329" t="inlineStr">
        <is>
          <t>Complete</t>
        </is>
      </c>
      <c r="AA45" s="329" t="inlineStr">
        <is>
          <t>Unique</t>
        </is>
      </c>
      <c r="AB45" s="329" t="n"/>
      <c r="AC45" s="329" t="inlineStr">
        <is>
          <t>ACH confirmed B5902930T2 at $123.75.</t>
        </is>
      </c>
      <c r="AD45" s="329" t="inlineStr">
        <is>
          <t>WO Alias Index + Canonical Ledger</t>
        </is>
      </c>
      <c r="AE45" s="329" t="n"/>
    </row>
    <row r="46">
      <c r="A46" s="329" t="inlineStr">
        <is>
          <t>LED-0045</t>
        </is>
      </c>
      <c r="B46" s="329" t="inlineStr">
        <is>
          <t>5900963</t>
        </is>
      </c>
      <c r="C46" s="329" t="n">
        <v>45</v>
      </c>
      <c r="D46" s="666" t="n"/>
      <c r="E46" s="329" t="inlineStr">
        <is>
          <t>CL-024</t>
        </is>
      </c>
      <c r="F46" s="329" t="inlineStr">
        <is>
          <t>Montpelier Liquors</t>
        </is>
      </c>
      <c r="G46" s="666" t="n">
        <v>46190</v>
      </c>
      <c r="H46" s="670" t="inlineStr">
        <is>
          <t>Wednesday</t>
        </is>
      </c>
      <c r="I46" s="329" t="inlineStr">
        <is>
          <t>Montpelier Liquors</t>
        </is>
      </c>
      <c r="J46" s="329" t="n"/>
      <c r="K46" s="667" t="inlineStr">
        <is>
          <t>Laurel</t>
        </is>
      </c>
      <c r="L46" s="666" t="inlineStr">
        <is>
          <t>Maryland</t>
        </is>
      </c>
      <c r="M46" s="666" t="n"/>
      <c r="N46" s="329" t="inlineStr">
        <is>
          <t>MD</t>
        </is>
      </c>
      <c r="O46" s="670" t="inlineStr">
        <is>
          <t>Laurel|MD</t>
        </is>
      </c>
      <c r="P46" s="667" t="n"/>
      <c r="Q46" s="667" t="n"/>
      <c r="R46" s="329" t="inlineStr">
        <is>
          <t>Yes</t>
        </is>
      </c>
      <c r="S46" s="667" t="n">
        <v>128</v>
      </c>
      <c r="T46" s="666" t="n"/>
      <c r="U46" s="666" t="n"/>
      <c r="V46" s="329" t="inlineStr">
        <is>
          <t>Yes</t>
        </is>
      </c>
      <c r="W46" s="667" t="n">
        <v>128</v>
      </c>
      <c r="X46" s="666" t="n"/>
      <c r="Y46" s="670" t="str"/>
      <c r="Z46" s="329" t="inlineStr">
        <is>
          <t>Complete</t>
        </is>
      </c>
      <c r="AA46" s="329" t="inlineStr">
        <is>
          <t>Unique</t>
        </is>
      </c>
      <c r="AB46" s="329" t="n"/>
      <c r="AC46" s="329" t="inlineStr">
        <is>
          <t>Montpelier Liquors WO 5900963; ACH confirmed July 1 at $128.</t>
        </is>
      </c>
      <c r="AD46" s="329" t="inlineStr">
        <is>
          <t>WO Alias Index + Canonical Ledger</t>
        </is>
      </c>
      <c r="AE46" s="329" t="n"/>
    </row>
    <row r="47">
      <c r="A47" s="329" t="inlineStr">
        <is>
          <t>LED-0046</t>
        </is>
      </c>
      <c r="B47" s="329" t="inlineStr">
        <is>
          <t>5904843</t>
        </is>
      </c>
      <c r="C47" s="329" t="n">
        <v>46</v>
      </c>
      <c r="D47" s="666" t="n"/>
      <c r="E47" s="329" t="inlineStr">
        <is>
          <t>CL-022</t>
        </is>
      </c>
      <c r="F47" s="329" t="inlineStr">
        <is>
          <t>Marshalls</t>
        </is>
      </c>
      <c r="G47" s="666" t="n">
        <v>46190</v>
      </c>
      <c r="H47" s="670" t="inlineStr">
        <is>
          <t>Wednesday</t>
        </is>
      </c>
      <c r="I47" s="329" t="inlineStr">
        <is>
          <t>Marshalls</t>
        </is>
      </c>
      <c r="J47" s="329" t="n"/>
      <c r="K47" s="667" t="inlineStr">
        <is>
          <t>Laurel</t>
        </is>
      </c>
      <c r="L47" s="666" t="inlineStr">
        <is>
          <t>Maryland</t>
        </is>
      </c>
      <c r="M47" s="666" t="n"/>
      <c r="N47" s="329" t="inlineStr">
        <is>
          <t>MD</t>
        </is>
      </c>
      <c r="O47" s="670" t="inlineStr">
        <is>
          <t>Laurel|MD</t>
        </is>
      </c>
      <c r="P47" s="667" t="n"/>
      <c r="Q47" s="667" t="n"/>
      <c r="R47" s="329" t="inlineStr">
        <is>
          <t>Yes</t>
        </is>
      </c>
      <c r="S47" s="667" t="n">
        <v>90</v>
      </c>
      <c r="T47" s="666" t="n"/>
      <c r="U47" s="666" t="n"/>
      <c r="V47" s="329" t="inlineStr">
        <is>
          <t>Yes</t>
        </is>
      </c>
      <c r="W47" s="667" t="n">
        <v>90</v>
      </c>
      <c r="X47" s="666" t="n"/>
      <c r="Y47" s="670" t="str"/>
      <c r="Z47" s="329" t="inlineStr">
        <is>
          <t>Complete</t>
        </is>
      </c>
      <c r="AA47" s="329" t="inlineStr">
        <is>
          <t>Unique</t>
        </is>
      </c>
      <c r="AB47" s="329" t="n"/>
      <c r="AC47" s="329" t="inlineStr">
        <is>
          <t>Marshalls Laurel WO 5904843; payment breakdown $90 and ACH confirmed July 1.</t>
        </is>
      </c>
      <c r="AD47" s="329" t="inlineStr">
        <is>
          <t>WO Alias Index + Canonical Ledger</t>
        </is>
      </c>
      <c r="AE47" s="329" t="n"/>
    </row>
    <row r="48">
      <c r="A48" s="329" t="inlineStr">
        <is>
          <t>LED-0047</t>
        </is>
      </c>
      <c r="B48" s="329" t="inlineStr">
        <is>
          <t>5898644</t>
        </is>
      </c>
      <c r="C48" s="329" t="n">
        <v>47</v>
      </c>
      <c r="D48" s="666" t="n"/>
      <c r="E48" s="329" t="inlineStr">
        <is>
          <t>CL-025</t>
        </is>
      </c>
      <c r="F48" s="329" t="inlineStr">
        <is>
          <t>Office of MD Senator Angela Alsobrooks</t>
        </is>
      </c>
      <c r="G48" s="666" t="n">
        <v>46191</v>
      </c>
      <c r="H48" s="670" t="inlineStr">
        <is>
          <t>Thursday</t>
        </is>
      </c>
      <c r="I48" s="329" t="inlineStr">
        <is>
          <t>Office of MD Senator Angela Alsobrooks</t>
        </is>
      </c>
      <c r="J48" s="329" t="n"/>
      <c r="K48" s="667" t="inlineStr">
        <is>
          <t>Bowie</t>
        </is>
      </c>
      <c r="L48" s="666" t="inlineStr">
        <is>
          <t>Maryland</t>
        </is>
      </c>
      <c r="M48" s="666" t="n"/>
      <c r="N48" s="329" t="inlineStr">
        <is>
          <t>MD</t>
        </is>
      </c>
      <c r="O48" s="670" t="inlineStr">
        <is>
          <t>Bowie|MD</t>
        </is>
      </c>
      <c r="P48" s="667" t="n"/>
      <c r="Q48" s="667" t="n"/>
      <c r="R48" s="329" t="inlineStr">
        <is>
          <t>Yes</t>
        </is>
      </c>
      <c r="S48" s="667" t="n">
        <v>130</v>
      </c>
      <c r="T48" s="666" t="n"/>
      <c r="U48" s="666" t="n"/>
      <c r="V48" s="329" t="inlineStr">
        <is>
          <t>Yes</t>
        </is>
      </c>
      <c r="W48" s="667" t="n">
        <v>130</v>
      </c>
      <c r="X48" s="666" t="n"/>
      <c r="Y48" s="670" t="str"/>
      <c r="Z48" s="329" t="inlineStr">
        <is>
          <t>Complete</t>
        </is>
      </c>
      <c r="AA48" s="329" t="inlineStr">
        <is>
          <t>Unique</t>
        </is>
      </c>
      <c r="AB48" s="329" t="n"/>
      <c r="AC48" s="329" t="inlineStr">
        <is>
          <t>Office of MD Senator Angela Alsobrooks Bowie WO 5898644; breakdown $130 and ACH confirmed July 2.</t>
        </is>
      </c>
      <c r="AD48" s="329" t="inlineStr">
        <is>
          <t>WO Alias Index + Canonical Ledger</t>
        </is>
      </c>
      <c r="AE48" s="329" t="n"/>
    </row>
    <row r="49">
      <c r="A49" s="329" t="inlineStr">
        <is>
          <t>LED-0048</t>
        </is>
      </c>
      <c r="B49" s="329" t="inlineStr">
        <is>
          <t>5905576</t>
        </is>
      </c>
      <c r="C49" s="329" t="n">
        <v>48</v>
      </c>
      <c r="D49" s="666" t="n"/>
      <c r="E49" s="329" t="inlineStr">
        <is>
          <t>CL-005</t>
        </is>
      </c>
      <c r="F49" s="329" t="inlineStr">
        <is>
          <t>Hebrew Home of Greater Washington</t>
        </is>
      </c>
      <c r="G49" s="666" t="n">
        <v>46191</v>
      </c>
      <c r="H49" s="670" t="inlineStr">
        <is>
          <t>Thursday</t>
        </is>
      </c>
      <c r="I49" s="329" t="inlineStr">
        <is>
          <t>Hebrew Home of Greater Washington</t>
        </is>
      </c>
      <c r="J49" s="329" t="n"/>
      <c r="K49" s="667" t="inlineStr">
        <is>
          <t>North Bethesda</t>
        </is>
      </c>
      <c r="L49" s="666" t="inlineStr">
        <is>
          <t>Maryland</t>
        </is>
      </c>
      <c r="M49" s="666" t="n"/>
      <c r="N49" s="329" t="inlineStr">
        <is>
          <t>MD</t>
        </is>
      </c>
      <c r="O49" s="670" t="inlineStr">
        <is>
          <t>North Bethesda|MD</t>
        </is>
      </c>
      <c r="P49" s="667" t="n"/>
      <c r="Q49" s="667" t="n"/>
      <c r="R49" s="329" t="inlineStr">
        <is>
          <t>Yes</t>
        </is>
      </c>
      <c r="S49" s="667" t="n">
        <v>70</v>
      </c>
      <c r="T49" s="666" t="n"/>
      <c r="U49" s="666" t="n"/>
      <c r="V49" s="329" t="inlineStr">
        <is>
          <t>Mapping Review</t>
        </is>
      </c>
      <c r="W49" s="667" t="n"/>
      <c r="X49" s="666" t="n"/>
      <c r="Y49" s="670" t="str"/>
      <c r="Z49" s="329" t="inlineStr">
        <is>
          <t>Companion WO mapping review</t>
        </is>
      </c>
      <c r="AA49" s="329" t="inlineStr">
        <is>
          <t>Unique</t>
        </is>
      </c>
      <c r="AB49" s="329" t="inlineStr">
        <is>
          <t>5905576 / 5905579</t>
        </is>
      </c>
      <c r="AC49" s="329" t="inlineStr">
        <is>
          <t>Companion WO issue 5905576 / 5905579 remains under ACH mapping review; $35 ACH for 5905579 may relate to companion split or later no-show row.</t>
        </is>
      </c>
      <c r="AD49" s="329" t="inlineStr">
        <is>
          <t>WO Alias Index + Canonical Ledger</t>
        </is>
      </c>
      <c r="AE49" s="329" t="n"/>
    </row>
    <row r="50">
      <c r="A50" s="329" t="inlineStr">
        <is>
          <t>LED-0049</t>
        </is>
      </c>
      <c r="B50" s="329" t="inlineStr">
        <is>
          <t>5899546</t>
        </is>
      </c>
      <c r="C50" s="329" t="n">
        <v>49</v>
      </c>
      <c r="D50" s="666" t="n"/>
      <c r="E50" s="329" t="inlineStr">
        <is>
          <t>CL-009</t>
        </is>
      </c>
      <c r="F50" s="329" t="inlineStr">
        <is>
          <t>Weis Markets</t>
        </is>
      </c>
      <c r="G50" s="666" t="n">
        <v>46192</v>
      </c>
      <c r="H50" s="670" t="inlineStr">
        <is>
          <t>Friday</t>
        </is>
      </c>
      <c r="I50" s="329" t="inlineStr">
        <is>
          <t>Weis Markets</t>
        </is>
      </c>
      <c r="J50" s="329" t="n"/>
      <c r="K50" s="667" t="inlineStr">
        <is>
          <t>Callaway</t>
        </is>
      </c>
      <c r="L50" s="666" t="inlineStr">
        <is>
          <t>Maryland</t>
        </is>
      </c>
      <c r="M50" s="666" t="n"/>
      <c r="N50" s="329" t="inlineStr">
        <is>
          <t>MD</t>
        </is>
      </c>
      <c r="O50" s="670" t="inlineStr">
        <is>
          <t>Callaway|MD</t>
        </is>
      </c>
      <c r="P50" s="667" t="n"/>
      <c r="Q50" s="667" t="n"/>
      <c r="R50" s="329" t="inlineStr">
        <is>
          <t>Yes</t>
        </is>
      </c>
      <c r="S50" s="667" t="n">
        <v>90</v>
      </c>
      <c r="T50" s="666" t="n"/>
      <c r="U50" s="666" t="n"/>
      <c r="V50" s="329" t="inlineStr">
        <is>
          <t>Yes</t>
        </is>
      </c>
      <c r="W50" s="667" t="n">
        <v>90</v>
      </c>
      <c r="X50" s="666" t="n"/>
      <c r="Y50" s="670" t="str"/>
      <c r="Z50" s="329" t="inlineStr">
        <is>
          <t>Complete</t>
        </is>
      </c>
      <c r="AA50" s="329" t="inlineStr">
        <is>
          <t>Unique</t>
        </is>
      </c>
      <c r="AB50" s="329" t="n"/>
      <c r="AC50" s="329" t="inlineStr">
        <is>
          <t>Weis Markets Callaway WO 5899546; breakdown $90 and ACH confirmed July 2.</t>
        </is>
      </c>
      <c r="AD50" s="329" t="inlineStr">
        <is>
          <t>WO Alias Index + Canonical Ledger</t>
        </is>
      </c>
      <c r="AE50" s="329" t="n"/>
    </row>
    <row r="51">
      <c r="A51" s="329" t="inlineStr">
        <is>
          <t>LED-0050</t>
        </is>
      </c>
      <c r="B51" s="329" t="inlineStr">
        <is>
          <t>5903036</t>
        </is>
      </c>
      <c r="C51" s="329" t="n">
        <v>50</v>
      </c>
      <c r="D51" s="666" t="n"/>
      <c r="E51" s="329" t="inlineStr">
        <is>
          <t>CL-007</t>
        </is>
      </c>
      <c r="F51" s="329" t="inlineStr">
        <is>
          <t>Giant Food Stores</t>
        </is>
      </c>
      <c r="G51" s="666" t="n">
        <v>46192</v>
      </c>
      <c r="H51" s="670" t="inlineStr">
        <is>
          <t>Friday</t>
        </is>
      </c>
      <c r="I51" s="329" t="inlineStr">
        <is>
          <t>Giant Food Stores</t>
        </is>
      </c>
      <c r="J51" s="329" t="n"/>
      <c r="K51" s="667" t="inlineStr">
        <is>
          <t>Washington</t>
        </is>
      </c>
      <c r="L51" s="666" t="inlineStr">
        <is>
          <t>Washington, DC</t>
        </is>
      </c>
      <c r="M51" s="666" t="n"/>
      <c r="N51" s="329" t="inlineStr">
        <is>
          <t>DC</t>
        </is>
      </c>
      <c r="O51" s="670" t="inlineStr">
        <is>
          <t>Washington|DC</t>
        </is>
      </c>
      <c r="P51" s="667" t="n"/>
      <c r="Q51" s="667" t="n"/>
      <c r="R51" s="329" t="inlineStr">
        <is>
          <t>Yes</t>
        </is>
      </c>
      <c r="S51" s="667" t="n">
        <v>50</v>
      </c>
      <c r="T51" s="666" t="n"/>
      <c r="U51" s="666" t="n"/>
      <c r="V51" s="329" t="inlineStr">
        <is>
          <t>Yes</t>
        </is>
      </c>
      <c r="W51" s="667" t="n">
        <v>50</v>
      </c>
      <c r="X51" s="666" t="n"/>
      <c r="Y51" s="670" t="str"/>
      <c r="Z51" s="329" t="inlineStr">
        <is>
          <t>Complete</t>
        </is>
      </c>
      <c r="AA51" s="329" t="inlineStr">
        <is>
          <t>Unique</t>
        </is>
      </c>
      <c r="AB51" s="329" t="n"/>
      <c r="AC51" s="329" t="inlineStr">
        <is>
          <t>Giant Food Stores DC/Wisconsin Ave WO 5903036; breakdown $50 and ACH confirmed July 2. Corrected from prior TBD/missing state.</t>
        </is>
      </c>
      <c r="AD51" s="329" t="inlineStr">
        <is>
          <t>WO Alias Index + Canonical Ledger</t>
        </is>
      </c>
      <c r="AE51" s="329" t="n"/>
    </row>
    <row r="52">
      <c r="A52" s="329" t="inlineStr">
        <is>
          <t>LED-0051</t>
        </is>
      </c>
      <c r="B52" s="329" t="inlineStr">
        <is>
          <t>5906380</t>
        </is>
      </c>
      <c r="C52" s="329" t="n">
        <v>52</v>
      </c>
      <c r="D52" s="666" t="n"/>
      <c r="E52" s="329" t="inlineStr">
        <is>
          <t>CL-008</t>
        </is>
      </c>
      <c r="F52" s="329" t="inlineStr">
        <is>
          <t>Food Lion</t>
        </is>
      </c>
      <c r="G52" s="666" t="n">
        <v>46196</v>
      </c>
      <c r="H52" s="670" t="inlineStr">
        <is>
          <t>Tuesday</t>
        </is>
      </c>
      <c r="I52" s="329" t="inlineStr">
        <is>
          <t>Food Lion</t>
        </is>
      </c>
      <c r="J52" s="329" t="n"/>
      <c r="K52" s="667" t="inlineStr">
        <is>
          <t>Upper Marlboro</t>
        </is>
      </c>
      <c r="L52" s="666" t="inlineStr">
        <is>
          <t>Maryland</t>
        </is>
      </c>
      <c r="M52" s="666" t="n"/>
      <c r="N52" s="329" t="inlineStr">
        <is>
          <t>MD</t>
        </is>
      </c>
      <c r="O52" s="670" t="inlineStr">
        <is>
          <t>Upper Marlboro|MD</t>
        </is>
      </c>
      <c r="P52" s="667" t="n"/>
      <c r="Q52" s="667" t="n"/>
      <c r="R52" s="329" t="inlineStr">
        <is>
          <t>Yes</t>
        </is>
      </c>
      <c r="S52" s="667" t="n">
        <v>116.24</v>
      </c>
      <c r="T52" s="666" t="n"/>
      <c r="U52" s="666" t="inlineStr">
        <is>
          <t>2026-07-07</t>
        </is>
      </c>
      <c r="V52" s="329" t="inlineStr">
        <is>
          <t>No</t>
        </is>
      </c>
      <c r="W52" s="667" t="n"/>
      <c r="X52" s="666" t="n"/>
      <c r="Y52" s="670" t="str"/>
      <c r="Z52" s="329" t="inlineStr">
        <is>
          <t>ACH missing</t>
        </is>
      </c>
      <c r="AA52" s="329" t="inlineStr">
        <is>
          <t>Unique</t>
        </is>
      </c>
      <c r="AB52" s="329" t="n"/>
      <c r="AC52" s="329" t="inlineStr">
        <is>
          <t>Food Lion payment breakdown confirmed.</t>
        </is>
      </c>
      <c r="AD52" s="329" t="inlineStr">
        <is>
          <t>WO Alias Index + Canonical Ledger</t>
        </is>
      </c>
      <c r="AE52" s="329" t="n"/>
    </row>
    <row r="53">
      <c r="A53" s="329" t="inlineStr">
        <is>
          <t>LED-0052</t>
        </is>
      </c>
      <c r="B53" s="329" t="inlineStr">
        <is>
          <t>5907571</t>
        </is>
      </c>
      <c r="C53" s="329" t="n">
        <v>53</v>
      </c>
      <c r="D53" s="666" t="n"/>
      <c r="E53" s="329" t="inlineStr">
        <is>
          <t>CL-021</t>
        </is>
      </c>
      <c r="F53" s="329" t="inlineStr">
        <is>
          <t>Hilton Garden Inn</t>
        </is>
      </c>
      <c r="G53" s="666" t="n">
        <v>46197</v>
      </c>
      <c r="H53" s="670" t="inlineStr">
        <is>
          <t>Wednesday</t>
        </is>
      </c>
      <c r="I53" s="329" t="inlineStr">
        <is>
          <t>Hilton Garden Inn DC</t>
        </is>
      </c>
      <c r="J53" s="329" t="n"/>
      <c r="K53" s="667" t="inlineStr">
        <is>
          <t>Washington</t>
        </is>
      </c>
      <c r="L53" s="666" t="inlineStr">
        <is>
          <t>Washington, DC</t>
        </is>
      </c>
      <c r="M53" s="666" t="n"/>
      <c r="N53" s="329" t="inlineStr">
        <is>
          <t>DC</t>
        </is>
      </c>
      <c r="O53" s="670" t="inlineStr">
        <is>
          <t>Washington|DC</t>
        </is>
      </c>
      <c r="P53" s="667" t="n"/>
      <c r="Q53" s="667" t="n"/>
      <c r="R53" s="329" t="inlineStr">
        <is>
          <t>Yes</t>
        </is>
      </c>
      <c r="S53" s="667" t="n">
        <v>132.03</v>
      </c>
      <c r="T53" s="666" t="n"/>
      <c r="U53" s="666" t="inlineStr">
        <is>
          <t>2026-07-08</t>
        </is>
      </c>
      <c r="V53" s="329" t="inlineStr">
        <is>
          <t>Yes</t>
        </is>
      </c>
      <c r="W53" s="667" t="n">
        <v>132.03</v>
      </c>
      <c r="X53" s="666" t="n"/>
      <c r="Y53" s="670" t="str"/>
      <c r="Z53" s="329" t="inlineStr">
        <is>
          <t>Complete</t>
        </is>
      </c>
      <c r="AA53" s="329" t="inlineStr">
        <is>
          <t>Unique</t>
        </is>
      </c>
      <c r="AB53" s="329" t="n"/>
      <c r="AC53" s="329" t="inlineStr">
        <is>
          <t>ACH B5907571T1 processed $132.03 on 2026-07-08.</t>
        </is>
      </c>
      <c r="AD53" s="329" t="inlineStr">
        <is>
          <t>WO Alias Index + Canonical Ledger</t>
        </is>
      </c>
      <c r="AE53" s="329" t="n"/>
    </row>
    <row r="54">
      <c r="A54" s="329" t="inlineStr">
        <is>
          <t>LED-0053</t>
        </is>
      </c>
      <c r="B54" s="329" t="inlineStr">
        <is>
          <t>5910094</t>
        </is>
      </c>
      <c r="C54" s="329" t="n">
        <v>54</v>
      </c>
      <c r="D54" s="666" t="n"/>
      <c r="E54" s="329" t="inlineStr">
        <is>
          <t>CL-006</t>
        </is>
      </c>
      <c r="F54" s="329" t="inlineStr">
        <is>
          <t>7-Eleven</t>
        </is>
      </c>
      <c r="G54" s="666" t="n">
        <v>46203</v>
      </c>
      <c r="H54" s="670" t="inlineStr">
        <is>
          <t>Tuesday</t>
        </is>
      </c>
      <c r="I54" s="329" t="inlineStr">
        <is>
          <t>7-Eleven</t>
        </is>
      </c>
      <c r="J54" s="329" t="n"/>
      <c r="K54" s="667" t="inlineStr">
        <is>
          <t>Owings Mills</t>
        </is>
      </c>
      <c r="L54" s="666" t="inlineStr">
        <is>
          <t>Maryland</t>
        </is>
      </c>
      <c r="M54" s="666" t="n"/>
      <c r="N54" s="329" t="inlineStr">
        <is>
          <t>MD</t>
        </is>
      </c>
      <c r="O54" s="670" t="inlineStr">
        <is>
          <t>Owings Mills|MD</t>
        </is>
      </c>
      <c r="P54" s="667" t="n"/>
      <c r="Q54" s="667" t="n"/>
      <c r="R54" s="329" t="inlineStr">
        <is>
          <t>Yes</t>
        </is>
      </c>
      <c r="S54" s="667" t="n">
        <v>120</v>
      </c>
      <c r="T54" s="666" t="n"/>
      <c r="U54" s="666" t="inlineStr">
        <is>
          <t>2026-07-14</t>
        </is>
      </c>
      <c r="V54" s="329" t="inlineStr">
        <is>
          <t>Yes</t>
        </is>
      </c>
      <c r="W54" s="667" t="n">
        <v>120</v>
      </c>
      <c r="X54" s="666" t="n">
        <v>46217</v>
      </c>
      <c r="Y54" s="670" t="n"/>
      <c r="Z54" s="329" t="inlineStr">
        <is>
          <t>Complete</t>
        </is>
      </c>
      <c r="AA54" s="329" t="inlineStr">
        <is>
          <t>Unique</t>
        </is>
      </c>
      <c r="AB54" s="329" t="n"/>
      <c r="AC54" s="329" t="inlineStr">
        <is>
          <t>ACH B5910094T1 processed $120.00 on 2026-07-14; deposit expected within 1–3 business days.</t>
        </is>
      </c>
      <c r="AD54" s="329" t="inlineStr">
        <is>
          <t>Gmail ACH confirmation 2026-07-14 + Canonical Ledger</t>
        </is>
      </c>
      <c r="AE54" s="329" t="n"/>
    </row>
    <row r="55">
      <c r="A55" s="329" t="inlineStr">
        <is>
          <t>LED-0054</t>
        </is>
      </c>
      <c r="B55" s="329" t="inlineStr">
        <is>
          <t>5898645</t>
        </is>
      </c>
      <c r="C55" s="329" t="n">
        <v>55</v>
      </c>
      <c r="D55" s="666" t="n"/>
      <c r="E55" s="329" t="inlineStr">
        <is>
          <t>CL-025</t>
        </is>
      </c>
      <c r="F55" s="329" t="inlineStr">
        <is>
          <t>Office of MD Senator Angela Alsobrooks</t>
        </is>
      </c>
      <c r="G55" s="666" t="n">
        <v>46204</v>
      </c>
      <c r="H55" s="670" t="inlineStr">
        <is>
          <t>Wednesday</t>
        </is>
      </c>
      <c r="I55" s="329" t="inlineStr">
        <is>
          <t>Office of MD Senator Angela Alsobrooks</t>
        </is>
      </c>
      <c r="J55" s="329" t="n"/>
      <c r="K55" s="667" t="inlineStr">
        <is>
          <t>Largo</t>
        </is>
      </c>
      <c r="L55" s="666" t="inlineStr">
        <is>
          <t>Maryland</t>
        </is>
      </c>
      <c r="M55" s="666" t="n"/>
      <c r="N55" s="329" t="inlineStr">
        <is>
          <t>MD</t>
        </is>
      </c>
      <c r="O55" s="670" t="inlineStr">
        <is>
          <t>Largo|MD</t>
        </is>
      </c>
      <c r="P55" s="667" t="n"/>
      <c r="Q55" s="667" t="n"/>
      <c r="R55" s="329" t="inlineStr">
        <is>
          <t>Yes</t>
        </is>
      </c>
      <c r="S55" s="667" t="n">
        <v>120</v>
      </c>
      <c r="T55" s="666" t="n"/>
      <c r="U55" s="666" t="inlineStr">
        <is>
          <t>2026-07-15</t>
        </is>
      </c>
      <c r="V55" s="329" t="inlineStr">
        <is>
          <t>No</t>
        </is>
      </c>
      <c r="W55" s="667" t="n"/>
      <c r="X55" s="666" t="n"/>
      <c r="Y55" s="670" t="str"/>
      <c r="Z55" s="329" t="inlineStr">
        <is>
          <t>ACH missing</t>
        </is>
      </c>
      <c r="AA55" s="329" t="inlineStr">
        <is>
          <t>Unique</t>
        </is>
      </c>
      <c r="AB55" s="329" t="n"/>
      <c r="AC55" s="329" t="inlineStr">
        <is>
          <t>Payment breakdown $120 received; ACH pending.</t>
        </is>
      </c>
      <c r="AD55" s="329" t="inlineStr">
        <is>
          <t>WO Alias Index + Canonical Ledger</t>
        </is>
      </c>
      <c r="AE55" s="329" t="n"/>
    </row>
    <row r="56">
      <c r="A56" s="329" t="inlineStr">
        <is>
          <t>LED-0055</t>
        </is>
      </c>
      <c r="B56" s="329" t="inlineStr">
        <is>
          <t>5900784</t>
        </is>
      </c>
      <c r="C56" s="329" t="n">
        <v>56</v>
      </c>
      <c r="D56" s="666" t="n"/>
      <c r="E56" s="329" t="inlineStr">
        <is>
          <t>CL-026</t>
        </is>
      </c>
      <c r="F56" s="329" t="inlineStr">
        <is>
          <t>Dunkin</t>
        </is>
      </c>
      <c r="G56" s="666" t="n">
        <v>46205</v>
      </c>
      <c r="H56" s="670" t="inlineStr">
        <is>
          <t>Thursday</t>
        </is>
      </c>
      <c r="I56" s="329" t="inlineStr">
        <is>
          <t>Dunkin</t>
        </is>
      </c>
      <c r="J56" s="329" t="n"/>
      <c r="K56" s="667" t="inlineStr">
        <is>
          <t>Reisterstown</t>
        </is>
      </c>
      <c r="L56" s="666" t="inlineStr">
        <is>
          <t>Maryland</t>
        </is>
      </c>
      <c r="M56" s="666" t="n"/>
      <c r="N56" s="329" t="inlineStr">
        <is>
          <t>MD</t>
        </is>
      </c>
      <c r="O56" s="670" t="inlineStr">
        <is>
          <t>Reisterstown|MD</t>
        </is>
      </c>
      <c r="P56" s="667" t="n"/>
      <c r="Q56" s="667" t="n"/>
      <c r="R56" s="329" t="inlineStr">
        <is>
          <t>Yes</t>
        </is>
      </c>
      <c r="S56" s="667" t="n">
        <v>170.66</v>
      </c>
      <c r="T56" s="666" t="n"/>
      <c r="U56" s="666" t="inlineStr">
        <is>
          <t>2026-07-16</t>
        </is>
      </c>
      <c r="V56" s="329" t="inlineStr">
        <is>
          <t>Yes</t>
        </is>
      </c>
      <c r="W56" s="667" t="n">
        <v>170.66</v>
      </c>
      <c r="X56" s="666" t="n">
        <v>46219</v>
      </c>
      <c r="Y56" s="670" t="str"/>
      <c r="Z56" s="329" t="inlineStr">
        <is>
          <t>Complete</t>
        </is>
      </c>
      <c r="AA56" s="329" t="inlineStr">
        <is>
          <t>Unique</t>
        </is>
      </c>
      <c r="AB56" s="329" t="n"/>
      <c r="AC56" s="329" t="inlineStr">
        <is>
          <t>ACH processed $170.66 on 2026-07-16.</t>
        </is>
      </c>
      <c r="AD56" s="329" t="inlineStr">
        <is>
          <t>Gmail ACH confirmation 2026-07-16 + Canonical Ledger</t>
        </is>
      </c>
      <c r="AE56" s="329" t="n"/>
    </row>
    <row r="57">
      <c r="A57" s="329" t="inlineStr">
        <is>
          <t>LED-0056</t>
        </is>
      </c>
      <c r="B57" s="329" t="inlineStr">
        <is>
          <t>5911577</t>
        </is>
      </c>
      <c r="C57" s="329" t="n">
        <v>57</v>
      </c>
      <c r="D57" s="666" t="n"/>
      <c r="E57" s="329" t="inlineStr">
        <is>
          <t>CL-024</t>
        </is>
      </c>
      <c r="F57" s="329" t="inlineStr">
        <is>
          <t>Montpelier Liquors</t>
        </is>
      </c>
      <c r="G57" s="666" t="n">
        <v>46209</v>
      </c>
      <c r="H57" s="670" t="inlineStr">
        <is>
          <t>Monday</t>
        </is>
      </c>
      <c r="I57" s="329" t="inlineStr">
        <is>
          <t>Montpelier Liquors</t>
        </is>
      </c>
      <c r="J57" s="329" t="n"/>
      <c r="K57" s="667" t="inlineStr">
        <is>
          <t>Laurel</t>
        </is>
      </c>
      <c r="L57" s="666" t="inlineStr">
        <is>
          <t>Maryland</t>
        </is>
      </c>
      <c r="M57" s="666" t="n"/>
      <c r="N57" s="329" t="inlineStr">
        <is>
          <t>MD</t>
        </is>
      </c>
      <c r="O57" s="670" t="inlineStr">
        <is>
          <t>Laurel|MD</t>
        </is>
      </c>
      <c r="P57" s="667" t="n"/>
      <c r="Q57" s="667" t="n"/>
      <c r="R57" s="329" t="inlineStr">
        <is>
          <t>Yes</t>
        </is>
      </c>
      <c r="S57" s="667" t="n">
        <v>66.73999999999999</v>
      </c>
      <c r="T57" s="666" t="n"/>
      <c r="U57" s="666" t="inlineStr">
        <is>
          <t>2026-07-20</t>
        </is>
      </c>
      <c r="V57" s="329" t="inlineStr">
        <is>
          <t>Yes</t>
        </is>
      </c>
      <c r="W57" s="667" t="n">
        <v>66.73999999999999</v>
      </c>
      <c r="X57" s="666" t="n">
        <v>46223</v>
      </c>
      <c r="Y57" s="670" t="str"/>
      <c r="Z57" s="329" t="inlineStr">
        <is>
          <t>Complete</t>
        </is>
      </c>
      <c r="AA57" s="329" t="inlineStr">
        <is>
          <t>Unique</t>
        </is>
      </c>
      <c r="AB57" s="329" t="n"/>
      <c r="AC57" s="329" t="inlineStr">
        <is>
          <t>No-access visit paid breakdown. ACH mapped to 2026-07-20 processed deposit.</t>
        </is>
      </c>
      <c r="AD57" s="329" t="inlineStr">
        <is>
          <t>WO Alias Index + Canonical Ledger + Gmail ACH 2026-07-20</t>
        </is>
      </c>
      <c r="AE57" s="329" t="n"/>
    </row>
    <row r="58">
      <c r="A58" s="329" t="inlineStr">
        <is>
          <t>LED-0057</t>
        </is>
      </c>
      <c r="B58" s="329" t="inlineStr">
        <is>
          <t>5900780</t>
        </is>
      </c>
      <c r="C58" s="329" t="n">
        <v>58</v>
      </c>
      <c r="D58" s="666" t="n"/>
      <c r="E58" s="329" t="inlineStr">
        <is>
          <t>CL-026</t>
        </is>
      </c>
      <c r="F58" s="329" t="inlineStr">
        <is>
          <t>Dunkin</t>
        </is>
      </c>
      <c r="G58" s="666" t="n">
        <v>46209</v>
      </c>
      <c r="H58" s="670" t="inlineStr">
        <is>
          <t>Monday</t>
        </is>
      </c>
      <c r="I58" s="329" t="inlineStr">
        <is>
          <t>Dunkin</t>
        </is>
      </c>
      <c r="J58" s="329" t="n"/>
      <c r="K58" s="667" t="inlineStr">
        <is>
          <t>Lutherville</t>
        </is>
      </c>
      <c r="L58" s="666" t="inlineStr">
        <is>
          <t>Maryland</t>
        </is>
      </c>
      <c r="M58" s="666" t="n"/>
      <c r="N58" s="329" t="inlineStr">
        <is>
          <t>MD</t>
        </is>
      </c>
      <c r="O58" s="670" t="inlineStr">
        <is>
          <t>Lutherville|MD</t>
        </is>
      </c>
      <c r="P58" s="667" t="n"/>
      <c r="Q58" s="667" t="n"/>
      <c r="R58" s="329" t="inlineStr">
        <is>
          <t>Yes</t>
        </is>
      </c>
      <c r="S58" s="667" t="n">
        <v>202.5</v>
      </c>
      <c r="T58" s="666" t="n"/>
      <c r="U58" s="666" t="inlineStr">
        <is>
          <t>2026-07-20</t>
        </is>
      </c>
      <c r="V58" s="329" t="inlineStr">
        <is>
          <t>Yes</t>
        </is>
      </c>
      <c r="W58" s="667" t="n">
        <v>202.5</v>
      </c>
      <c r="X58" s="666" t="n">
        <v>46223</v>
      </c>
      <c r="Y58" s="670" t="str"/>
      <c r="Z58" s="329" t="inlineStr">
        <is>
          <t>Complete</t>
        </is>
      </c>
      <c r="AA58" s="329" t="inlineStr">
        <is>
          <t>Unique</t>
        </is>
      </c>
      <c r="AB58" s="329" t="n"/>
      <c r="AC58" s="329" t="inlineStr">
        <is>
          <t>Dunkin Lutherville payment breakdown confirmed. ACH mapped to 2026-07-20 processed deposit.</t>
        </is>
      </c>
      <c r="AD58" s="329" t="inlineStr">
        <is>
          <t>WO Alias Index + Canonical Ledger + Gmail ACH 2026-07-20</t>
        </is>
      </c>
      <c r="AE58" s="329" t="n"/>
    </row>
    <row r="59">
      <c r="A59" s="329" t="inlineStr">
        <is>
          <t>LED-0058</t>
        </is>
      </c>
      <c r="B59" s="329" t="inlineStr">
        <is>
          <t>5900830</t>
        </is>
      </c>
      <c r="C59" s="329" t="n">
        <v>59</v>
      </c>
      <c r="D59" s="666" t="n"/>
      <c r="E59" s="329" t="inlineStr">
        <is>
          <t>CL-026</t>
        </is>
      </c>
      <c r="F59" s="329" t="inlineStr">
        <is>
          <t>Dunkin</t>
        </is>
      </c>
      <c r="G59" s="666" t="n">
        <v>46210</v>
      </c>
      <c r="H59" s="670" t="inlineStr">
        <is>
          <t>Tuesday</t>
        </is>
      </c>
      <c r="I59" s="329" t="inlineStr">
        <is>
          <t>Dunkin</t>
        </is>
      </c>
      <c r="J59" s="329" t="n"/>
      <c r="K59" s="667" t="inlineStr">
        <is>
          <t>Aberdeen</t>
        </is>
      </c>
      <c r="L59" s="666" t="inlineStr">
        <is>
          <t>Maryland</t>
        </is>
      </c>
      <c r="M59" s="666" t="n"/>
      <c r="N59" s="329" t="inlineStr">
        <is>
          <t>MD</t>
        </is>
      </c>
      <c r="O59" s="670" t="inlineStr">
        <is>
          <t>Aberdeen|MD</t>
        </is>
      </c>
      <c r="P59" s="667" t="n"/>
      <c r="Q59" s="667" t="n"/>
      <c r="R59" s="329" t="inlineStr">
        <is>
          <t>Yes</t>
        </is>
      </c>
      <c r="S59" s="667" t="n">
        <v>250</v>
      </c>
      <c r="T59" s="666" t="n"/>
      <c r="U59" s="666" t="inlineStr">
        <is>
          <t>2026-07-21</t>
        </is>
      </c>
      <c r="V59" s="329" t="inlineStr">
        <is>
          <t>No</t>
        </is>
      </c>
      <c r="W59" s="667" t="n"/>
      <c r="X59" s="666" t="n"/>
      <c r="Y59" s="670" t="str"/>
      <c r="Z59" s="329" t="inlineStr">
        <is>
          <t>ACH missing</t>
        </is>
      </c>
      <c r="AA59" s="329" t="inlineStr">
        <is>
          <t>Unique</t>
        </is>
      </c>
      <c r="AB59" s="329" t="n"/>
      <c r="AC59" s="329" t="inlineStr">
        <is>
          <t>Dunkin Aberdeen payment breakdown confirmed.</t>
        </is>
      </c>
      <c r="AD59" s="329" t="inlineStr">
        <is>
          <t>WO Alias Index + Canonical Ledger</t>
        </is>
      </c>
      <c r="AE59" s="329" t="n"/>
    </row>
    <row r="60">
      <c r="A60" s="329" t="inlineStr">
        <is>
          <t>LED-0059</t>
        </is>
      </c>
      <c r="B60" s="329" t="inlineStr">
        <is>
          <t>5912364</t>
        </is>
      </c>
      <c r="C60" s="329" t="n">
        <v>60</v>
      </c>
      <c r="D60" s="666" t="n"/>
      <c r="E60" s="329" t="inlineStr">
        <is>
          <t>CL-027</t>
        </is>
      </c>
      <c r="F60" s="329" t="inlineStr">
        <is>
          <t>Carvana</t>
        </is>
      </c>
      <c r="G60" s="666" t="n">
        <v>46211</v>
      </c>
      <c r="H60" s="670" t="inlineStr">
        <is>
          <t>Wednesday</t>
        </is>
      </c>
      <c r="I60" s="329" t="inlineStr">
        <is>
          <t>Carvana</t>
        </is>
      </c>
      <c r="J60" s="329" t="n"/>
      <c r="K60" s="667" t="inlineStr">
        <is>
          <t>Baltimore</t>
        </is>
      </c>
      <c r="L60" s="666" t="inlineStr">
        <is>
          <t>Maryland</t>
        </is>
      </c>
      <c r="M60" s="666" t="n"/>
      <c r="N60" s="329" t="inlineStr">
        <is>
          <t>MD</t>
        </is>
      </c>
      <c r="O60" s="670" t="inlineStr">
        <is>
          <t>Baltimore|MD</t>
        </is>
      </c>
      <c r="P60" s="667" t="n"/>
      <c r="Q60" s="667" t="n"/>
      <c r="R60" s="329" t="inlineStr">
        <is>
          <t>Pending</t>
        </is>
      </c>
      <c r="S60" s="667" t="n"/>
      <c r="T60" s="666" t="n"/>
      <c r="U60" s="666" t="inlineStr">
        <is>
          <t>2026-07-22 / pending</t>
        </is>
      </c>
      <c r="V60" s="329" t="inlineStr">
        <is>
          <t>No</t>
        </is>
      </c>
      <c r="W60" s="667" t="n"/>
      <c r="X60" s="666" t="n"/>
      <c r="Y60" s="670" t="str"/>
      <c r="Z60" s="329" t="inlineStr">
        <is>
          <t>Combined visit / partial breakdown</t>
        </is>
      </c>
      <c r="AA60" s="329" t="inlineStr">
        <is>
          <t>MULTI-WO VISIT</t>
        </is>
      </c>
      <c r="AB60" s="329" t="inlineStr">
        <is>
          <t>5914049 / 5912364</t>
        </is>
      </c>
      <c r="AC60" s="329" t="inlineStr">
        <is>
          <t>Alias maps to combined one-visit Carvana event; 5912364 closed by user, breakdown pending.</t>
        </is>
      </c>
      <c r="AD60" s="329" t="inlineStr">
        <is>
          <t>WO Alias Index + Canonical Ledger</t>
        </is>
      </c>
      <c r="AE60" s="329" t="n"/>
    </row>
    <row r="61">
      <c r="A61" s="329" t="inlineStr">
        <is>
          <t>LED-0060</t>
        </is>
      </c>
      <c r="B61" s="329" t="inlineStr">
        <is>
          <t>5914049</t>
        </is>
      </c>
      <c r="C61" s="329" t="n">
        <v>60</v>
      </c>
      <c r="D61" s="666" t="n"/>
      <c r="E61" s="329" t="inlineStr">
        <is>
          <t>CL-027</t>
        </is>
      </c>
      <c r="F61" s="329" t="inlineStr">
        <is>
          <t>Carvana</t>
        </is>
      </c>
      <c r="G61" s="666" t="n">
        <v>46211</v>
      </c>
      <c r="H61" s="670" t="inlineStr">
        <is>
          <t>Wednesday</t>
        </is>
      </c>
      <c r="I61" s="329" t="inlineStr">
        <is>
          <t>Carvana</t>
        </is>
      </c>
      <c r="J61" s="329" t="n"/>
      <c r="K61" s="667" t="inlineStr">
        <is>
          <t>Baltimore</t>
        </is>
      </c>
      <c r="L61" s="666" t="inlineStr">
        <is>
          <t>Maryland</t>
        </is>
      </c>
      <c r="M61" s="666" t="n"/>
      <c r="N61" s="329" t="inlineStr">
        <is>
          <t>MD</t>
        </is>
      </c>
      <c r="O61" s="670" t="inlineStr">
        <is>
          <t>Baltimore|MD</t>
        </is>
      </c>
      <c r="P61" s="667" t="n"/>
      <c r="Q61" s="667" t="n"/>
      <c r="R61" s="329" t="inlineStr">
        <is>
          <t>Partial</t>
        </is>
      </c>
      <c r="S61" s="667" t="n">
        <v>65</v>
      </c>
      <c r="T61" s="666" t="n"/>
      <c r="U61" s="666" t="inlineStr">
        <is>
          <t>2026-07-22 / pending</t>
        </is>
      </c>
      <c r="V61" s="329" t="inlineStr">
        <is>
          <t>No</t>
        </is>
      </c>
      <c r="W61" s="667" t="n"/>
      <c r="X61" s="666" t="n"/>
      <c r="Y61" s="670" t="str"/>
      <c r="Z61" s="329" t="inlineStr">
        <is>
          <t>Combined visit / partial breakdown</t>
        </is>
      </c>
      <c r="AA61" s="329" t="inlineStr">
        <is>
          <t>MULTI-WO VISIT</t>
        </is>
      </c>
      <c r="AB61" s="329" t="inlineStr">
        <is>
          <t>5914049 / 5912364</t>
        </is>
      </c>
      <c r="AC61" s="329" t="inlineStr">
        <is>
          <t>Alias maps to combined one-visit Carvana event; 5914049 breakdown $65 received.</t>
        </is>
      </c>
      <c r="AD61" s="329" t="inlineStr">
        <is>
          <t>WO Alias Index + Canonical Ledger</t>
        </is>
      </c>
      <c r="AE61" s="329" t="n"/>
    </row>
    <row r="62">
      <c r="A62" s="329" t="inlineStr">
        <is>
          <t>LED-0061</t>
        </is>
      </c>
      <c r="B62" s="329" t="inlineStr">
        <is>
          <t>5909344</t>
        </is>
      </c>
      <c r="C62" s="329" t="n">
        <v>61</v>
      </c>
      <c r="D62" s="666" t="n"/>
      <c r="E62" s="329" t="inlineStr">
        <is>
          <t>CL-020</t>
        </is>
      </c>
      <c r="F62" s="329" t="inlineStr">
        <is>
          <t>TJ Maxx</t>
        </is>
      </c>
      <c r="G62" s="666" t="n">
        <v>46212</v>
      </c>
      <c r="H62" s="670" t="inlineStr">
        <is>
          <t>Thursday</t>
        </is>
      </c>
      <c r="I62" s="329" t="inlineStr">
        <is>
          <t>TJ Maxx</t>
        </is>
      </c>
      <c r="J62" s="329" t="n"/>
      <c r="K62" s="667" t="inlineStr">
        <is>
          <t>Germantown</t>
        </is>
      </c>
      <c r="L62" s="666" t="inlineStr">
        <is>
          <t>Maryland</t>
        </is>
      </c>
      <c r="M62" s="666" t="n"/>
      <c r="N62" s="329" t="inlineStr">
        <is>
          <t>MD</t>
        </is>
      </c>
      <c r="O62" s="670" t="inlineStr">
        <is>
          <t>Germantown|MD</t>
        </is>
      </c>
      <c r="P62" s="667" t="n"/>
      <c r="Q62" s="667" t="n"/>
      <c r="R62" s="329" t="inlineStr">
        <is>
          <t>Yes</t>
        </is>
      </c>
      <c r="S62" s="667" t="n">
        <v>194.99</v>
      </c>
      <c r="T62" s="666" t="n">
        <v>46214</v>
      </c>
      <c r="U62" s="666" t="n">
        <v>46226</v>
      </c>
      <c r="V62" s="329" t="inlineStr">
        <is>
          <t>Yes</t>
        </is>
      </c>
      <c r="W62" s="667" t="n">
        <v>194.99</v>
      </c>
      <c r="X62" s="668" t="n">
        <v>46226</v>
      </c>
      <c r="Y62" s="670" t="str"/>
      <c r="Z62" s="329" t="inlineStr">
        <is>
          <t>Complete</t>
        </is>
      </c>
      <c r="AA62" s="329" t="inlineStr">
        <is>
          <t>Unique</t>
        </is>
      </c>
      <c r="AB62" s="329" t="n"/>
      <c r="AC62" s="329" t="inlineStr">
        <is>
          <t>ACH confirmed 2026-07-23 for $194.99.</t>
        </is>
      </c>
      <c r="AD62" s="329" t="inlineStr">
        <is>
          <t>Gmail ACH processed notice 2026-07-23, Bill B5909344T1</t>
        </is>
      </c>
      <c r="AE62" s="329" t="n"/>
    </row>
    <row r="63">
      <c r="A63" s="329" t="inlineStr">
        <is>
          <t>LED-0062</t>
        </is>
      </c>
      <c r="B63" s="329" t="inlineStr">
        <is>
          <t>5913868</t>
        </is>
      </c>
      <c r="C63" s="329" t="n">
        <v>62</v>
      </c>
      <c r="D63" s="666" t="n"/>
      <c r="E63" s="329" t="inlineStr">
        <is>
          <t>CL-020</t>
        </is>
      </c>
      <c r="F63" s="329" t="inlineStr">
        <is>
          <t>TJ Maxx</t>
        </is>
      </c>
      <c r="G63" s="666" t="n">
        <v>46212</v>
      </c>
      <c r="H63" s="670" t="inlineStr">
        <is>
          <t>Thursday</t>
        </is>
      </c>
      <c r="I63" s="329" t="inlineStr">
        <is>
          <t>TJ Maxx</t>
        </is>
      </c>
      <c r="J63" s="329" t="n"/>
      <c r="K63" s="667" t="inlineStr">
        <is>
          <t>Martinsburg</t>
        </is>
      </c>
      <c r="L63" s="666" t="inlineStr">
        <is>
          <t>West Virginia</t>
        </is>
      </c>
      <c r="M63" s="666" t="n"/>
      <c r="N63" s="329" t="inlineStr">
        <is>
          <t>WV</t>
        </is>
      </c>
      <c r="O63" s="670" t="inlineStr">
        <is>
          <t>Martinsburg|WV</t>
        </is>
      </c>
      <c r="P63" s="667" t="n">
        <v>150</v>
      </c>
      <c r="Q63" s="667" t="n"/>
      <c r="R63" s="329" t="inlineStr">
        <is>
          <t>Yes</t>
        </is>
      </c>
      <c r="S63" s="667" t="n">
        <v>100.83</v>
      </c>
      <c r="T63" s="666" t="n"/>
      <c r="U63" s="666" t="inlineStr">
        <is>
          <t>2026-07-23</t>
        </is>
      </c>
      <c r="V63" s="329" t="inlineStr">
        <is>
          <t>Yes</t>
        </is>
      </c>
      <c r="W63" s="667" t="n">
        <v>100.83</v>
      </c>
      <c r="X63" s="668" t="n">
        <v>46226</v>
      </c>
      <c r="Y63" s="670" t="n">
        <v>-49.17</v>
      </c>
      <c r="Z63" s="329" t="inlineStr">
        <is>
          <t>Complete with variance</t>
        </is>
      </c>
      <c r="AA63" s="329" t="inlineStr">
        <is>
          <t>Unique</t>
        </is>
      </c>
      <c r="AB63" s="329" t="n"/>
      <c r="AC63" s="329" t="inlineStr">
        <is>
          <t>ACH confirmed 2026-07-23 for $100.83; remains $49.17 below negotiated $150.00.</t>
        </is>
      </c>
      <c r="AD63" s="329" t="inlineStr">
        <is>
          <t>Gmail ACH processed notice 2026-07-23, Bill B5913868T1</t>
        </is>
      </c>
      <c r="AE63" s="329" t="n"/>
    </row>
    <row r="64">
      <c r="A64" s="329" t="inlineStr">
        <is>
          <t>LED-0063</t>
        </is>
      </c>
      <c r="B64" s="329" t="inlineStr">
        <is>
          <t>5905579</t>
        </is>
      </c>
      <c r="C64" s="329" t="n"/>
      <c r="D64" s="666" t="inlineStr">
        <is>
          <t>48 / 51</t>
        </is>
      </c>
      <c r="E64" s="329" t="inlineStr">
        <is>
          <t>CL-005</t>
        </is>
      </c>
      <c r="F64" s="329" t="inlineStr">
        <is>
          <t>Hebrew Home of Greater Washington</t>
        </is>
      </c>
      <c r="G64" s="666" t="n"/>
      <c r="H64" s="670" t="str"/>
      <c r="I64" s="329" t="inlineStr">
        <is>
          <t>Hebrew Home of Greater Washington</t>
        </is>
      </c>
      <c r="J64" s="329" t="n"/>
      <c r="K64" s="667" t="inlineStr">
        <is>
          <t>North Bethesda</t>
        </is>
      </c>
      <c r="L64" s="666" t="inlineStr">
        <is>
          <t>Maryland</t>
        </is>
      </c>
      <c r="M64" s="666" t="n"/>
      <c r="N64" s="329" t="inlineStr">
        <is>
          <t>MD</t>
        </is>
      </c>
      <c r="O64" s="670" t="inlineStr">
        <is>
          <t>North Bethesda|MD</t>
        </is>
      </c>
      <c r="P64" s="667" t="n"/>
      <c r="Q64" s="667" t="n"/>
      <c r="R64" s="329" t="inlineStr">
        <is>
          <t>Mapping Hold</t>
        </is>
      </c>
      <c r="S64" s="667" t="n"/>
      <c r="T64" s="666" t="n"/>
      <c r="U64" s="666" t="n"/>
      <c r="V64" s="329" t="inlineStr">
        <is>
          <t>Partial</t>
        </is>
      </c>
      <c r="W64" s="667" t="n">
        <v>35</v>
      </c>
      <c r="X64" s="666" t="n"/>
      <c r="Y64" s="670" t="str"/>
      <c r="Z64" s="329" t="inlineStr">
        <is>
          <t>MAPPING_HOLD</t>
        </is>
      </c>
      <c r="AA64" s="329" t="inlineStr">
        <is>
          <t>MAPPING_HOLD</t>
        </is>
      </c>
      <c r="AB64" s="329" t="inlineStr">
        <is>
          <t>Candidate Events 48 / 51; companion WO 5905576</t>
        </is>
      </c>
      <c r="AC64" s="329" t="inlineStr">
        <is>
          <t>Duplicate WO collision preserved without guessing. Event 48 legacy breakdown $70; Event 51 legacy breakdown $60; ACH $35. Human mapping required before assigning this WO.</t>
        </is>
      </c>
      <c r="AD64" s="329" t="inlineStr">
        <is>
          <t>Phase 1 duplicate rows consolidated</t>
        </is>
      </c>
      <c r="AE64" s="329" t="n"/>
    </row>
    <row r="65">
      <c r="A65" s="329" t="inlineStr">
        <is>
          <t>LED-0064</t>
        </is>
      </c>
      <c r="B65" s="329" t="inlineStr">
        <is>
          <t>5909368</t>
        </is>
      </c>
      <c r="C65" s="329" t="n">
        <v>63</v>
      </c>
      <c r="D65" s="666" t="n"/>
      <c r="E65" s="329" t="inlineStr">
        <is>
          <t>CL-022</t>
        </is>
      </c>
      <c r="F65" s="329" t="inlineStr">
        <is>
          <t>Marshalls</t>
        </is>
      </c>
      <c r="G65" s="666" t="n">
        <v>46216</v>
      </c>
      <c r="H65" s="670" t="inlineStr">
        <is>
          <t>Monday</t>
        </is>
      </c>
      <c r="I65" s="329" t="inlineStr">
        <is>
          <t>Marshalls — Hunt Valley Town Center</t>
        </is>
      </c>
      <c r="J65" s="329" t="inlineStr">
        <is>
          <t>118 Shawan Rd Ste W</t>
        </is>
      </c>
      <c r="K65" s="667" t="inlineStr">
        <is>
          <t>Cockeysville</t>
        </is>
      </c>
      <c r="L65" s="666" t="inlineStr">
        <is>
          <t>Maryland</t>
        </is>
      </c>
      <c r="M65" s="666" t="inlineStr">
        <is>
          <t>21030</t>
        </is>
      </c>
      <c r="N65" s="329" t="inlineStr">
        <is>
          <t>MD</t>
        </is>
      </c>
      <c r="O65" s="670" t="inlineStr">
        <is>
          <t>Cockeysville|MD</t>
        </is>
      </c>
      <c r="P65" s="666" t="n"/>
      <c r="Q65" s="667" t="inlineStr">
        <is>
          <t>Hourly</t>
        </is>
      </c>
      <c r="R65" s="329" t="inlineStr">
        <is>
          <t>Pending</t>
        </is>
      </c>
      <c r="S65" s="329" t="n"/>
      <c r="T65" s="329" t="n"/>
      <c r="U65" s="329" t="inlineStr">
        <is>
          <t>2026-07-27 / pending breakdown</t>
        </is>
      </c>
      <c r="V65" s="329" t="inlineStr">
        <is>
          <t>No</t>
        </is>
      </c>
      <c r="W65" s="329" t="n"/>
      <c r="X65" s="329" t="n"/>
      <c r="Y65" s="483" t="str"/>
      <c r="Z65" s="329" t="inlineStr">
        <is>
          <t>Breakdown pending</t>
        </is>
      </c>
      <c r="AA65" s="329" t="inlineStr">
        <is>
          <t>Unique</t>
        </is>
      </c>
      <c r="AB65" s="329" t="n"/>
      <c r="AC65" s="329" t="inlineStr">
        <is>
          <t>Hourly rate $40.00. Server refresh completed; final payable hours and breakdown pending.</t>
        </is>
      </c>
      <c r="AD65" s="329" t="inlineStr">
        <is>
          <t>5909368_MarshallsCockeysville.pdf + user-authoritative completion 2026-07-13</t>
        </is>
      </c>
      <c r="AE65" s="329" t="n"/>
    </row>
    <row r="66">
      <c r="A66" s="329" t="inlineStr">
        <is>
          <t>LED-0065</t>
        </is>
      </c>
      <c r="B66" s="329" t="inlineStr">
        <is>
          <t>5916961</t>
        </is>
      </c>
      <c r="C66" s="329" t="n">
        <v>64</v>
      </c>
      <c r="D66" s="329" t="n"/>
      <c r="E66" s="329" t="inlineStr">
        <is>
          <t>CL-022</t>
        </is>
      </c>
      <c r="F66" s="329" t="inlineStr">
        <is>
          <t>Marshalls</t>
        </is>
      </c>
      <c r="G66" s="666" t="n">
        <v>46216</v>
      </c>
      <c r="H66" s="483" t="inlineStr">
        <is>
          <t>Monday</t>
        </is>
      </c>
      <c r="I66" s="329" t="inlineStr">
        <is>
          <t>Marshalls 0764</t>
        </is>
      </c>
      <c r="J66" s="329" t="inlineStr">
        <is>
          <t>17646 Garland Groh Blvd</t>
        </is>
      </c>
      <c r="K66" s="329" t="inlineStr">
        <is>
          <t>Hagerstown</t>
        </is>
      </c>
      <c r="L66" s="329" t="inlineStr">
        <is>
          <t>Maryland</t>
        </is>
      </c>
      <c r="M66" s="329" t="inlineStr">
        <is>
          <t>21740</t>
        </is>
      </c>
      <c r="N66" s="329" t="inlineStr">
        <is>
          <t>MD</t>
        </is>
      </c>
      <c r="O66" s="483" t="inlineStr">
        <is>
          <t>Hagerstown|MD</t>
        </is>
      </c>
      <c r="P66" s="329" t="n"/>
      <c r="Q66" s="329" t="inlineStr">
        <is>
          <t>Hourly</t>
        </is>
      </c>
      <c r="R66" s="329" t="inlineStr">
        <is>
          <t>Pending</t>
        </is>
      </c>
      <c r="S66" s="329" t="n"/>
      <c r="T66" s="329" t="n"/>
      <c r="U66" s="329" t="inlineStr">
        <is>
          <t>2026-07-27 / pending breakdown</t>
        </is>
      </c>
      <c r="V66" s="329" t="inlineStr">
        <is>
          <t>No</t>
        </is>
      </c>
      <c r="W66" s="329" t="n"/>
      <c r="X66" s="329" t="n"/>
      <c r="Y66" s="483" t="str"/>
      <c r="Z66" s="329" t="inlineStr">
        <is>
          <t>Breakdown pending</t>
        </is>
      </c>
      <c r="AA66" s="329" t="inlineStr">
        <is>
          <t>Unique</t>
        </is>
      </c>
      <c r="AB66" s="329" t="n"/>
      <c r="AC66" s="329" t="inlineStr">
        <is>
          <t>Hourly rate $55.00. Documented onsite window began 12:55 PM. Extended time was heavily communicated and documented; delay resulted from support unavailability and incorrect ticket network information. Barrister guaranteed documented onsite hours would be paid. Final breakdown pending.</t>
        </is>
      </c>
      <c r="AD66" s="329" t="inlineStr">
        <is>
          <t>5916961_MarshallsHagerstown.pdf + onsite notes + user-authoritative completion 2026-07-13</t>
        </is>
      </c>
      <c r="AE66" s="329" t="n"/>
    </row>
    <row r="67">
      <c r="A67" s="329" t="inlineStr">
        <is>
          <t>LED-0066</t>
        </is>
      </c>
      <c r="B67" s="329" t="inlineStr">
        <is>
          <t>5917407</t>
        </is>
      </c>
      <c r="C67" s="329" t="n">
        <v>65</v>
      </c>
      <c r="D67" s="329" t="n"/>
      <c r="E67" s="329" t="inlineStr">
        <is>
          <t>CL-016</t>
        </is>
      </c>
      <c r="F67" s="329" t="inlineStr">
        <is>
          <t>HomeGoods</t>
        </is>
      </c>
      <c r="G67" s="666" t="n">
        <v>46216</v>
      </c>
      <c r="H67" s="483" t="inlineStr">
        <is>
          <t>Monday</t>
        </is>
      </c>
      <c r="I67" s="329" t="inlineStr">
        <is>
          <t>HomeGoods 0652</t>
        </is>
      </c>
      <c r="J67" s="329" t="inlineStr">
        <is>
          <t>606 Quince Orchard Road</t>
        </is>
      </c>
      <c r="K67" s="329" t="inlineStr">
        <is>
          <t>Gaithersburg</t>
        </is>
      </c>
      <c r="L67" s="329" t="inlineStr">
        <is>
          <t>Maryland</t>
        </is>
      </c>
      <c r="M67" s="329" t="inlineStr">
        <is>
          <t>20878</t>
        </is>
      </c>
      <c r="N67" s="329" t="inlineStr">
        <is>
          <t>MD</t>
        </is>
      </c>
      <c r="O67" s="483" t="inlineStr">
        <is>
          <t>Gaithersburg|MD</t>
        </is>
      </c>
      <c r="P67" s="329" t="n"/>
      <c r="Q67" s="329" t="inlineStr">
        <is>
          <t>Hourly</t>
        </is>
      </c>
      <c r="R67" s="329" t="inlineStr">
        <is>
          <t>Yes</t>
        </is>
      </c>
      <c r="S67" s="329" t="n">
        <v>129.16</v>
      </c>
      <c r="T67" s="329" t="n">
        <v>46229</v>
      </c>
      <c r="U67" s="329" t="inlineStr">
        <is>
          <t>2026-07-27 / pending breakdown</t>
        </is>
      </c>
      <c r="V67" s="329" t="inlineStr">
        <is>
          <t>No</t>
        </is>
      </c>
      <c r="W67" s="329" t="n"/>
      <c r="X67" s="329" t="n"/>
      <c r="Y67" s="483" t="n">
        <v>0</v>
      </c>
      <c r="Z67" s="329" t="inlineStr">
        <is>
          <t>ACH missing</t>
        </is>
      </c>
      <c r="AA67" s="329" t="inlineStr">
        <is>
          <t>Unique</t>
        </is>
      </c>
      <c r="AB67" s="329" t="n"/>
      <c r="AC67" s="329" t="inlineStr">
        <is>
          <t>Payment breakdown confirmed at $129.16.</t>
        </is>
      </c>
      <c r="AD67" s="329" t="inlineStr">
        <is>
          <t>User-verified payment breakdown record</t>
        </is>
      </c>
      <c r="AE67" s="329" t="n"/>
    </row>
    <row r="68">
      <c r="A68" s="329" t="inlineStr">
        <is>
          <t>LED-0067</t>
        </is>
      </c>
      <c r="B68" s="329" t="inlineStr">
        <is>
          <t>5909385</t>
        </is>
      </c>
      <c r="C68" s="329" t="n">
        <v>66</v>
      </c>
      <c r="D68" s="329" t="n"/>
      <c r="E68" s="329" t="inlineStr">
        <is>
          <t>CL-020</t>
        </is>
      </c>
      <c r="F68" s="329" t="inlineStr">
        <is>
          <t>TJ Maxx</t>
        </is>
      </c>
      <c r="G68" s="666" t="n">
        <v>46217</v>
      </c>
      <c r="H68" s="329" t="inlineStr">
        <is>
          <t>Tuesday</t>
        </is>
      </c>
      <c r="I68" s="329" t="inlineStr">
        <is>
          <t>TJ Maxx — Tollgate Mall</t>
        </is>
      </c>
      <c r="J68" s="329" t="inlineStr">
        <is>
          <t>615 Bel Air Road</t>
        </is>
      </c>
      <c r="K68" s="329" t="inlineStr">
        <is>
          <t>Bel Air</t>
        </is>
      </c>
      <c r="L68" s="329" t="inlineStr">
        <is>
          <t>Maryland</t>
        </is>
      </c>
      <c r="M68" s="329" t="inlineStr">
        <is>
          <t>21014</t>
        </is>
      </c>
      <c r="N68" s="329" t="inlineStr">
        <is>
          <t>MD</t>
        </is>
      </c>
      <c r="O68" s="329" t="inlineStr">
        <is>
          <t>Bel Air|MD</t>
        </is>
      </c>
      <c r="P68" s="329" t="n"/>
      <c r="Q68" s="329" t="inlineStr">
        <is>
          <t>Hourly</t>
        </is>
      </c>
      <c r="R68" s="329" t="inlineStr">
        <is>
          <t>Pending</t>
        </is>
      </c>
      <c r="S68" s="329" t="n"/>
      <c r="T68" s="329" t="n"/>
      <c r="U68" s="329" t="inlineStr">
        <is>
          <t>2026-07-28 / pending breakdown</t>
        </is>
      </c>
      <c r="V68" s="329" t="inlineStr">
        <is>
          <t>No</t>
        </is>
      </c>
      <c r="W68" s="329" t="n"/>
      <c r="X68" s="329" t="n"/>
      <c r="Y68" s="329" t="str"/>
      <c r="Z68" s="329" t="inlineStr">
        <is>
          <t>Breakdown pending</t>
        </is>
      </c>
      <c r="AA68" s="329" t="inlineStr">
        <is>
          <t>Unique</t>
        </is>
      </c>
      <c r="AB68" s="329" t="n"/>
      <c r="AC68" s="329" t="inlineStr">
        <is>
          <t>Hourly rate $45.00. NextGen 11 server installed and validated; VH1 decommissioned, boxed, and labeled for return. Final payable hours and payment breakdown pending.</t>
        </is>
      </c>
      <c r="AD68" s="329" t="inlineStr">
        <is>
          <t>WO 5909385 RFS + FastField/photo evidence + user-authoritative completion 2026-07-14</t>
        </is>
      </c>
      <c r="AE68" s="329" t="n"/>
    </row>
    <row r="69">
      <c r="A69" s="329" t="inlineStr">
        <is>
          <t>LED-0068</t>
        </is>
      </c>
      <c r="B69" s="329" t="inlineStr">
        <is>
          <t>5914898</t>
        </is>
      </c>
      <c r="C69" s="329" t="n">
        <v>67</v>
      </c>
      <c r="D69" s="329" t="n"/>
      <c r="E69" s="329" t="inlineStr">
        <is>
          <t>CL-026</t>
        </is>
      </c>
      <c r="F69" s="329" t="inlineStr">
        <is>
          <t>Dunkin</t>
        </is>
      </c>
      <c r="G69" s="666" t="n">
        <v>46217</v>
      </c>
      <c r="H69" s="329" t="inlineStr">
        <is>
          <t>Tuesday</t>
        </is>
      </c>
      <c r="I69" s="329" t="inlineStr">
        <is>
          <t>Dunkin Donuts #342406</t>
        </is>
      </c>
      <c r="J69" s="329" t="inlineStr">
        <is>
          <t>645 S. Philadelphia Blvd</t>
        </is>
      </c>
      <c r="K69" s="329" t="inlineStr">
        <is>
          <t>Aberdeen</t>
        </is>
      </c>
      <c r="L69" s="329" t="inlineStr">
        <is>
          <t>Maryland</t>
        </is>
      </c>
      <c r="M69" s="329" t="inlineStr">
        <is>
          <t>21001</t>
        </is>
      </c>
      <c r="N69" s="329" t="inlineStr">
        <is>
          <t>MD</t>
        </is>
      </c>
      <c r="O69" s="329" t="inlineStr">
        <is>
          <t>Aberdeen|MD</t>
        </is>
      </c>
      <c r="P69" s="329" t="n"/>
      <c r="Q69" s="329" t="inlineStr">
        <is>
          <t>Hourly</t>
        </is>
      </c>
      <c r="R69" s="329" t="inlineStr">
        <is>
          <t>Yes</t>
        </is>
      </c>
      <c r="S69" s="667" t="n">
        <v>183.74</v>
      </c>
      <c r="T69" s="666" t="n">
        <v>46217</v>
      </c>
      <c r="U69" s="666" t="n">
        <v>46231</v>
      </c>
      <c r="V69" s="329" t="inlineStr">
        <is>
          <t>No</t>
        </is>
      </c>
      <c r="W69" s="329" t="n"/>
      <c r="X69" s="329" t="n"/>
      <c r="Y69" s="329" t="str"/>
      <c r="Z69" s="329" t="inlineStr">
        <is>
          <t>ACH missing</t>
        </is>
      </c>
      <c r="AA69" s="329" t="inlineStr">
        <is>
          <t>Unique</t>
        </is>
      </c>
      <c r="AB69" s="329" t="n"/>
      <c r="AC69" s="329" t="inlineStr">
        <is>
          <t>Return visit completed after extended Verifone, kiosk-vendor, and United Service Desk troubleshooting. Support released the technician after escalation. Payment breakdown $183.74, deductions $0.00, expected payment 2026-07-28; ACH pending.</t>
        </is>
      </c>
      <c r="AD69" s="329" t="inlineStr">
        <is>
          <t>WO 5914898 RFS + user-authoritative completion + Gmail payment breakdown received 2026-07-14</t>
        </is>
      </c>
      <c r="AE69" s="329" t="n"/>
    </row>
    <row r="70">
      <c r="A70" s="329" t="inlineStr">
        <is>
          <t>LED-0069</t>
        </is>
      </c>
      <c r="B70" s="329" t="inlineStr">
        <is>
          <t>5900854</t>
        </is>
      </c>
      <c r="C70" s="329" t="n">
        <v>68</v>
      </c>
      <c r="D70" s="329" t="n"/>
      <c r="E70" s="329" t="inlineStr">
        <is>
          <t>CL-026</t>
        </is>
      </c>
      <c r="F70" s="329" t="inlineStr">
        <is>
          <t>Dunkin</t>
        </is>
      </c>
      <c r="G70" s="329" t="n">
        <v>46218</v>
      </c>
      <c r="H70" s="329" t="inlineStr">
        <is>
          <t>Wednesday</t>
        </is>
      </c>
      <c r="I70" s="329" t="inlineStr">
        <is>
          <t>Dunkin — Fallston</t>
        </is>
      </c>
      <c r="J70" s="329" t="n"/>
      <c r="K70" s="329" t="inlineStr">
        <is>
          <t>Fallston</t>
        </is>
      </c>
      <c r="L70" s="329" t="inlineStr">
        <is>
          <t>Maryland</t>
        </is>
      </c>
      <c r="M70" s="329" t="n"/>
      <c r="N70" s="329" t="inlineStr">
        <is>
          <t>MD</t>
        </is>
      </c>
      <c r="O70" s="329" t="inlineStr">
        <is>
          <t>Fallston|MD</t>
        </is>
      </c>
      <c r="P70" s="329" t="n">
        <v>350</v>
      </c>
      <c r="Q70" s="329" t="inlineStr">
        <is>
          <t>Speed ACH</t>
        </is>
      </c>
      <c r="R70" s="329" t="inlineStr">
        <is>
          <t>Yes</t>
        </is>
      </c>
      <c r="S70" s="329" t="n">
        <v>350</v>
      </c>
      <c r="T70" s="329" t="n">
        <v>46218</v>
      </c>
      <c r="U70" s="329" t="n">
        <v>46232</v>
      </c>
      <c r="V70" s="329" t="inlineStr">
        <is>
          <t>No</t>
        </is>
      </c>
      <c r="W70" s="329" t="n"/>
      <c r="X70" s="329" t="n"/>
      <c r="Y70" s="329" t="n">
        <v>0</v>
      </c>
      <c r="Z70" s="329" t="inlineStr">
        <is>
          <t>ACH missing</t>
        </is>
      </c>
      <c r="AA70" s="329" t="inlineStr">
        <is>
          <t>Unique</t>
        </is>
      </c>
      <c r="AB70" s="329" t="n"/>
      <c r="AC70" s="329" t="inlineStr">
        <is>
          <t>Payment breakdown confirmed at $350.00; Speed ACH expected 2026-07-29.</t>
        </is>
      </c>
      <c r="AD70" s="329" t="inlineStr">
        <is>
          <t>User-authoritative completion + Gmail payment breakdown</t>
        </is>
      </c>
      <c r="AE70" s="329" t="n"/>
    </row>
    <row r="71">
      <c r="A71" s="329" t="inlineStr">
        <is>
          <t>LED-0070</t>
        </is>
      </c>
      <c r="B71" s="329" t="inlineStr">
        <is>
          <t>5909418</t>
        </is>
      </c>
      <c r="C71" s="329" t="n">
        <v>69</v>
      </c>
      <c r="D71" s="329" t="n"/>
      <c r="E71" s="329" t="inlineStr">
        <is>
          <t>CL-020</t>
        </is>
      </c>
      <c r="F71" s="329" t="inlineStr">
        <is>
          <t>TJ Maxx</t>
        </is>
      </c>
      <c r="G71" s="329" t="n">
        <v>46219</v>
      </c>
      <c r="H71" s="329" t="inlineStr">
        <is>
          <t>Thursday</t>
        </is>
      </c>
      <c r="I71" s="329" t="inlineStr">
        <is>
          <t>TJ Maxx — Columbia</t>
        </is>
      </c>
      <c r="J71" s="329" t="n"/>
      <c r="K71" s="329" t="inlineStr">
        <is>
          <t>Columbia</t>
        </is>
      </c>
      <c r="L71" s="329" t="inlineStr">
        <is>
          <t>Maryland</t>
        </is>
      </c>
      <c r="M71" s="329" t="n"/>
      <c r="N71" s="329" t="inlineStr">
        <is>
          <t>MD</t>
        </is>
      </c>
      <c r="O71" s="329" t="inlineStr">
        <is>
          <t>Columbia|MD</t>
        </is>
      </c>
      <c r="P71" s="329" t="n"/>
      <c r="Q71" s="329" t="inlineStr">
        <is>
          <t>Hourly</t>
        </is>
      </c>
      <c r="R71" s="329" t="inlineStr">
        <is>
          <t>Yes</t>
        </is>
      </c>
      <c r="S71" s="329" t="n">
        <v>180</v>
      </c>
      <c r="T71" s="329" t="n">
        <v>46223</v>
      </c>
      <c r="U71" s="329" t="n">
        <v>46233</v>
      </c>
      <c r="V71" s="329" t="inlineStr">
        <is>
          <t>No</t>
        </is>
      </c>
      <c r="W71" s="329" t="n"/>
      <c r="X71" s="329" t="n"/>
      <c r="Y71" s="329" t="n">
        <v>0</v>
      </c>
      <c r="Z71" s="329" t="inlineStr">
        <is>
          <t>ACH missing</t>
        </is>
      </c>
      <c r="AA71" s="329" t="inlineStr">
        <is>
          <t>Unique</t>
        </is>
      </c>
      <c r="AB71" s="329" t="n"/>
      <c r="AC71" s="329" t="inlineStr">
        <is>
          <t>Hourly rate $40.00; final payment breakdown pending. Payment breakdown confirmed at $180.00; no deductions; expected payment 2026-07-30.</t>
        </is>
      </c>
      <c r="AD71" s="329" t="inlineStr">
        <is>
          <t>User-authoritative completion + ticket details + Gmail payment breakdown</t>
        </is>
      </c>
      <c r="AE71" s="329" t="n"/>
    </row>
    <row r="72">
      <c r="A72" s="329" t="inlineStr">
        <is>
          <t>LED-0071</t>
        </is>
      </c>
      <c r="B72" s="329" t="inlineStr">
        <is>
          <t>5918899</t>
        </is>
      </c>
      <c r="C72" s="329" t="n">
        <v>70</v>
      </c>
      <c r="D72" s="329" t="n"/>
      <c r="E72" s="329" t="inlineStr">
        <is>
          <t>CL-007</t>
        </is>
      </c>
      <c r="F72" s="329" t="inlineStr">
        <is>
          <t>Giant Food Stores</t>
        </is>
      </c>
      <c r="G72" s="329" t="n">
        <v>46219</v>
      </c>
      <c r="H72" s="329" t="inlineStr">
        <is>
          <t>Thursday</t>
        </is>
      </c>
      <c r="I72" s="329" t="inlineStr">
        <is>
          <t>Giant Food — Olney</t>
        </is>
      </c>
      <c r="J72" s="329" t="n"/>
      <c r="K72" s="329" t="inlineStr">
        <is>
          <t>Olney</t>
        </is>
      </c>
      <c r="L72" s="329" t="inlineStr">
        <is>
          <t>Maryland</t>
        </is>
      </c>
      <c r="M72" s="329" t="n"/>
      <c r="N72" s="329" t="inlineStr">
        <is>
          <t>MD</t>
        </is>
      </c>
      <c r="O72" s="329" t="inlineStr">
        <is>
          <t>Olney|MD</t>
        </is>
      </c>
      <c r="P72" s="329" t="n"/>
      <c r="Q72" s="329" t="n"/>
      <c r="R72" s="329" t="inlineStr">
        <is>
          <t>Yes</t>
        </is>
      </c>
      <c r="S72" s="329" t="n">
        <v>103.33</v>
      </c>
      <c r="T72" s="329" t="n">
        <v>46223</v>
      </c>
      <c r="U72" s="329" t="n">
        <v>46233</v>
      </c>
      <c r="V72" s="329" t="inlineStr">
        <is>
          <t>No</t>
        </is>
      </c>
      <c r="W72" s="329" t="n"/>
      <c r="X72" s="329" t="n"/>
      <c r="Y72" s="329" t="n">
        <v>0</v>
      </c>
      <c r="Z72" s="329" t="inlineStr">
        <is>
          <t>ACH missing</t>
        </is>
      </c>
      <c r="AA72" s="329" t="inlineStr">
        <is>
          <t>Unique</t>
        </is>
      </c>
      <c r="AB72" s="329" t="n"/>
      <c r="AC72" s="329" t="inlineStr">
        <is>
          <t>HCL network troubleshooting completed; final payment breakdown pending. Payment breakdown confirmed at $103.33; no deductions; expected payment 2026-07-30.</t>
        </is>
      </c>
      <c r="AD72" s="329" t="inlineStr">
        <is>
          <t>User-authoritative completion + onsite notes + Gmail payment breakdown</t>
        </is>
      </c>
      <c r="AE72" s="329" t="n"/>
    </row>
    <row r="73">
      <c r="A73" s="329" t="inlineStr">
        <is>
          <t>LED-0072</t>
        </is>
      </c>
      <c r="B73" s="329" t="inlineStr">
        <is>
          <t>5918348</t>
        </is>
      </c>
      <c r="C73" s="329" t="n">
        <v>71</v>
      </c>
      <c r="D73" s="329" t="n"/>
      <c r="E73" s="329" t="inlineStr">
        <is>
          <t>CL-028</t>
        </is>
      </c>
      <c r="F73" s="329" t="inlineStr">
        <is>
          <t>WeWork</t>
        </is>
      </c>
      <c r="G73" s="329" t="n">
        <v>46220</v>
      </c>
      <c r="H73" s="329" t="inlineStr">
        <is>
          <t>Friday</t>
        </is>
      </c>
      <c r="I73" s="329" t="inlineStr">
        <is>
          <t>WeWork DC18</t>
        </is>
      </c>
      <c r="J73" s="329" t="inlineStr">
        <is>
          <t>200 Massachusetts Ave NW</t>
        </is>
      </c>
      <c r="K73" s="329" t="inlineStr">
        <is>
          <t>Washington</t>
        </is>
      </c>
      <c r="L73" s="329" t="inlineStr">
        <is>
          <t>Washington, DC</t>
        </is>
      </c>
      <c r="M73" s="329" t="inlineStr">
        <is>
          <t>20001</t>
        </is>
      </c>
      <c r="N73" s="329" t="inlineStr">
        <is>
          <t>DC</t>
        </is>
      </c>
      <c r="O73" s="329" t="inlineStr">
        <is>
          <t>Washington|DC</t>
        </is>
      </c>
      <c r="P73" s="329" t="n"/>
      <c r="Q73" s="329" t="inlineStr">
        <is>
          <t>User-confirmed compensation</t>
        </is>
      </c>
      <c r="R73" s="329" t="inlineStr">
        <is>
          <t>Yes</t>
        </is>
      </c>
      <c r="S73" s="329" t="n">
        <v>90</v>
      </c>
      <c r="T73" s="329" t="n">
        <v>46229</v>
      </c>
      <c r="U73" s="329" t="inlineStr">
        <is>
          <t>Pending breakdown</t>
        </is>
      </c>
      <c r="V73" s="329" t="inlineStr">
        <is>
          <t>No</t>
        </is>
      </c>
      <c r="W73" s="329" t="n"/>
      <c r="X73" s="329" t="n"/>
      <c r="Y73" s="329" t="n">
        <v>0</v>
      </c>
      <c r="Z73" s="329" t="inlineStr">
        <is>
          <t>ACH missing</t>
        </is>
      </c>
      <c r="AA73" s="329" t="inlineStr">
        <is>
          <t>Unique</t>
        </is>
      </c>
      <c r="AB73" s="329" t="n"/>
      <c r="AC73" s="329" t="inlineStr">
        <is>
          <t>User-authoritative confirmed amount: 2 hours × $45 = $90.00.</t>
        </is>
      </c>
      <c r="AD73" s="329" t="inlineStr">
        <is>
          <t>User-authoritative correction 2026-07-26</t>
        </is>
      </c>
      <c r="AE73" s="329" t="n"/>
    </row>
    <row r="74">
      <c r="A74" s="329" t="inlineStr">
        <is>
          <t>LED-0074</t>
        </is>
      </c>
      <c r="B74" s="329" t="inlineStr">
        <is>
          <t>5906821</t>
        </is>
      </c>
      <c r="C74" s="329" t="n">
        <v>73</v>
      </c>
      <c r="D74" s="329" t="n"/>
      <c r="E74" s="329" t="inlineStr">
        <is>
          <t>CL-030</t>
        </is>
      </c>
      <c r="F74" s="329" t="inlineStr">
        <is>
          <t>Homesense</t>
        </is>
      </c>
      <c r="G74" s="668" t="n">
        <v>46223</v>
      </c>
      <c r="H74" s="329" t="inlineStr">
        <is>
          <t>Monday</t>
        </is>
      </c>
      <c r="I74" s="329" t="inlineStr">
        <is>
          <t>Homesense TJH0030</t>
        </is>
      </c>
      <c r="J74" s="329" t="inlineStr">
        <is>
          <t>10220 Mill Run Cir</t>
        </is>
      </c>
      <c r="K74" s="329" t="inlineStr">
        <is>
          <t>Owings Mills</t>
        </is>
      </c>
      <c r="L74" s="329" t="inlineStr">
        <is>
          <t>Maryland</t>
        </is>
      </c>
      <c r="M74" s="329" t="inlineStr">
        <is>
          <t>21117</t>
        </is>
      </c>
      <c r="N74" s="329" t="inlineStr">
        <is>
          <t>MD</t>
        </is>
      </c>
      <c r="O74" s="329" t="inlineStr">
        <is>
          <t>Owings Mills|MD</t>
        </is>
      </c>
      <c r="P74" s="329" t="n">
        <v>40</v>
      </c>
      <c r="Q74" s="329" t="inlineStr">
        <is>
          <t>Hourly / Speed ACH</t>
        </is>
      </c>
      <c r="R74" s="329" t="inlineStr">
        <is>
          <t>Yes</t>
        </is>
      </c>
      <c r="S74" s="329" t="n">
        <v>180</v>
      </c>
      <c r="T74" s="668" t="n">
        <v>46223</v>
      </c>
      <c r="U74" s="668" t="n">
        <v>46237</v>
      </c>
      <c r="V74" s="329" t="inlineStr">
        <is>
          <t>No</t>
        </is>
      </c>
      <c r="W74" s="329" t="n"/>
      <c r="X74" s="329" t="n"/>
      <c r="Y74" s="329" t="n">
        <v>0</v>
      </c>
      <c r="Z74" s="329" t="inlineStr">
        <is>
          <t>ACH missing</t>
        </is>
      </c>
      <c r="AA74" s="329" t="inlineStr">
        <is>
          <t>Unique</t>
        </is>
      </c>
      <c r="AB74" s="329" t="n"/>
      <c r="AC74" s="329" t="inlineStr">
        <is>
          <t>VH2 deinstall completed after support/coordination delays. Payment breakdown confirmed at $180.00; no deductions; expected payment 2026-08-03.</t>
        </is>
      </c>
      <c r="AD74" s="329" t="inlineStr">
        <is>
          <t>WO 5906821 RFS + completion notes + Gmail payment breakdown</t>
        </is>
      </c>
      <c r="AE74" s="329" t="n"/>
    </row>
    <row r="75">
      <c r="A75" s="329" t="inlineStr">
        <is>
          <t>LED-0075</t>
        </is>
      </c>
      <c r="B75" s="329" t="inlineStr">
        <is>
          <t>5919707</t>
        </is>
      </c>
      <c r="C75" s="329" t="n">
        <v>74</v>
      </c>
      <c r="D75" s="329" t="n"/>
      <c r="E75" s="329" t="inlineStr">
        <is>
          <t>CL-031</t>
        </is>
      </c>
      <c r="F75" s="329" t="inlineStr">
        <is>
          <t>Autumn Lake Healthcare</t>
        </is>
      </c>
      <c r="G75" s="668" t="n">
        <v>46223</v>
      </c>
      <c r="H75" s="329" t="inlineStr">
        <is>
          <t>Monday</t>
        </is>
      </c>
      <c r="I75" s="329" t="inlineStr">
        <is>
          <t>Autumn Lake at Baltimore Washington</t>
        </is>
      </c>
      <c r="J75" s="329" t="inlineStr">
        <is>
          <t>313 Hospital Dr</t>
        </is>
      </c>
      <c r="K75" s="329" t="inlineStr">
        <is>
          <t>Glen Burnie</t>
        </is>
      </c>
      <c r="L75" s="329" t="inlineStr">
        <is>
          <t>Maryland</t>
        </is>
      </c>
      <c r="M75" s="329" t="inlineStr">
        <is>
          <t>21061</t>
        </is>
      </c>
      <c r="N75" s="329" t="inlineStr">
        <is>
          <t>MD</t>
        </is>
      </c>
      <c r="O75" s="329" t="inlineStr">
        <is>
          <t>Glen Burnie|MD</t>
        </is>
      </c>
      <c r="P75" s="667" t="n">
        <v>50</v>
      </c>
      <c r="Q75" s="667" t="inlineStr">
        <is>
          <t>Per Trip / Speed ACH</t>
        </is>
      </c>
      <c r="R75" s="667" t="inlineStr">
        <is>
          <t>Yes</t>
        </is>
      </c>
      <c r="S75" s="667" t="n">
        <v>50</v>
      </c>
      <c r="T75" s="668" t="n">
        <v>46224</v>
      </c>
      <c r="U75" s="668" t="n"/>
      <c r="V75" s="666" t="inlineStr">
        <is>
          <t>No</t>
        </is>
      </c>
      <c r="W75" s="666" t="n"/>
      <c r="X75" s="666" t="n"/>
      <c r="Y75" s="667" t="n">
        <v>0</v>
      </c>
      <c r="Z75" s="329" t="inlineStr">
        <is>
          <t>ACH missing</t>
        </is>
      </c>
      <c r="AA75" s="329" t="inlineStr">
        <is>
          <t>Unique</t>
        </is>
      </c>
      <c r="AB75" s="329" t="n"/>
      <c r="AC75" s="329" t="inlineStr">
        <is>
          <t>Customer/site no-show compensation confirmed at $50.00; no deductions. ACH pending.</t>
        </is>
      </c>
      <c r="AD75" s="329" t="inlineStr">
        <is>
          <t>WO 5919707 RFS + user-authoritative no-show completion notes + Gmail payment breakdown 2026-07-21</t>
        </is>
      </c>
      <c r="AE75" s="329" t="n"/>
    </row>
    <row r="76">
      <c r="A76" s="329" t="inlineStr">
        <is>
          <t>LED-0076</t>
        </is>
      </c>
      <c r="B76" s="329" t="inlineStr">
        <is>
          <t>5920784</t>
        </is>
      </c>
      <c r="C76" s="329" t="n">
        <v>75</v>
      </c>
      <c r="D76" s="329" t="n"/>
      <c r="E76" s="329" t="inlineStr">
        <is>
          <t>CL-031</t>
        </is>
      </c>
      <c r="F76" s="329" t="inlineStr">
        <is>
          <t>Autumn Lake Healthcare</t>
        </is>
      </c>
      <c r="G76" s="668" t="n">
        <v>46223</v>
      </c>
      <c r="H76" s="329" t="inlineStr">
        <is>
          <t>Monday</t>
        </is>
      </c>
      <c r="I76" s="329" t="inlineStr">
        <is>
          <t>Autumn Lake at Glen Burnie — Rosemary Unit</t>
        </is>
      </c>
      <c r="J76" s="329" t="inlineStr">
        <is>
          <t>7355 E Furnace Branch Rd</t>
        </is>
      </c>
      <c r="K76" s="329" t="inlineStr">
        <is>
          <t>Glen Burnie</t>
        </is>
      </c>
      <c r="L76" s="329" t="inlineStr">
        <is>
          <t>Maryland</t>
        </is>
      </c>
      <c r="M76" s="329" t="inlineStr">
        <is>
          <t>21060</t>
        </is>
      </c>
      <c r="N76" s="329" t="inlineStr">
        <is>
          <t>MD</t>
        </is>
      </c>
      <c r="O76" s="329" t="inlineStr">
        <is>
          <t>Glen Burnie|MD</t>
        </is>
      </c>
      <c r="P76" s="667" t="n">
        <v>50</v>
      </c>
      <c r="Q76" s="667" t="inlineStr">
        <is>
          <t>Per Trip / Speed ACH</t>
        </is>
      </c>
      <c r="R76" s="667" t="inlineStr">
        <is>
          <t>Yes</t>
        </is>
      </c>
      <c r="S76" s="667" t="n">
        <v>50</v>
      </c>
      <c r="T76" s="668" t="n">
        <v>46223</v>
      </c>
      <c r="U76" s="668" t="n">
        <v>46237</v>
      </c>
      <c r="V76" s="666" t="inlineStr">
        <is>
          <t>No</t>
        </is>
      </c>
      <c r="W76" s="666" t="n"/>
      <c r="X76" s="666" t="n"/>
      <c r="Y76" s="667" t="n">
        <v>0</v>
      </c>
      <c r="Z76" s="329" t="inlineStr">
        <is>
          <t>ACH missing</t>
        </is>
      </c>
      <c r="AA76" s="329" t="inlineStr">
        <is>
          <t>Unique</t>
        </is>
      </c>
      <c r="AB76" s="329" t="n"/>
      <c r="AC76" s="329" t="inlineStr">
        <is>
          <t>Sharp MX-B427W installation completed. Facility fax line failed testing; Omnicare Wade confirmed line repair is required and will coordinate next steps. Payment breakdown confirmed at $50.00; no deductions; expected payment 2026-08-03.</t>
        </is>
      </c>
      <c r="AD76" s="329" t="inlineStr">
        <is>
          <t>WO 5920784 RFS + signed form/photo + Omnicare call + Gmail payment breakdown</t>
        </is>
      </c>
      <c r="AE76" s="329" t="n"/>
    </row>
    <row r="77">
      <c r="A77" s="329" t="inlineStr">
        <is>
          <t>LED-0077</t>
        </is>
      </c>
      <c r="B77" s="329" t="inlineStr">
        <is>
          <t>UNRESOLVED-E076</t>
        </is>
      </c>
      <c r="C77" s="329" t="n">
        <v>76</v>
      </c>
      <c r="D77" s="329" t="n"/>
      <c r="E77" s="329" t="inlineStr">
        <is>
          <t>CL-022</t>
        </is>
      </c>
      <c r="F77" s="329" t="inlineStr">
        <is>
          <t>Marshalls</t>
        </is>
      </c>
      <c r="G77" s="668" t="n">
        <v>46224</v>
      </c>
      <c r="H77" s="329" t="inlineStr">
        <is>
          <t>Tuesday</t>
        </is>
      </c>
      <c r="I77" s="329" t="inlineStr">
        <is>
          <t>Marshalls — Owings Mills</t>
        </is>
      </c>
      <c r="J77" s="329" t="n"/>
      <c r="K77" s="329" t="inlineStr">
        <is>
          <t>Owings Mills</t>
        </is>
      </c>
      <c r="L77" s="329" t="inlineStr">
        <is>
          <t>Maryland</t>
        </is>
      </c>
      <c r="M77" s="329" t="n"/>
      <c r="N77" s="329" t="inlineStr">
        <is>
          <t>MD</t>
        </is>
      </c>
      <c r="O77" s="329" t="inlineStr">
        <is>
          <t>Owings Mills|MD</t>
        </is>
      </c>
      <c r="P77" s="667" t="n"/>
      <c r="Q77" s="667" t="n"/>
      <c r="R77" s="667" t="inlineStr">
        <is>
          <t>Pending</t>
        </is>
      </c>
      <c r="S77" s="667" t="n"/>
      <c r="T77" s="668" t="n"/>
      <c r="U77" s="668" t="inlineStr">
        <is>
          <t>Pending breakdown</t>
        </is>
      </c>
      <c r="V77" s="666" t="inlineStr">
        <is>
          <t>No</t>
        </is>
      </c>
      <c r="W77" s="666" t="n"/>
      <c r="X77" s="666" t="n"/>
      <c r="Y77" s="667" t="n"/>
      <c r="Z77" s="329" t="inlineStr">
        <is>
          <t>Breakdown pending</t>
        </is>
      </c>
      <c r="AA77" s="329" t="inlineStr">
        <is>
          <t>Unique</t>
        </is>
      </c>
      <c r="AB77" s="329" t="n"/>
      <c r="AC77" s="329" t="inlineStr">
        <is>
          <t>Completed visit; exact WO mapping pending.</t>
        </is>
      </c>
      <c r="AD77" s="329" t="inlineStr">
        <is>
          <t>User-authoritative chronology correction</t>
        </is>
      </c>
      <c r="AE77" s="329" t="n"/>
    </row>
    <row r="78">
      <c r="A78" t="inlineStr">
        <is>
          <t>LED-0078</t>
        </is>
      </c>
      <c r="B78" t="inlineStr">
        <is>
          <t>5906834</t>
        </is>
      </c>
      <c r="C78" t="n">
        <v>77</v>
      </c>
      <c r="E78" t="inlineStr">
        <is>
          <t>CL-022</t>
        </is>
      </c>
      <c r="F78" t="inlineStr">
        <is>
          <t>Marshalls</t>
        </is>
      </c>
      <c r="G78" s="669" t="n">
        <v>46225</v>
      </c>
      <c r="H78" t="inlineStr">
        <is>
          <t>Wednesday</t>
        </is>
      </c>
      <c r="I78" t="inlineStr">
        <is>
          <t>Marshalls — Towson</t>
        </is>
      </c>
      <c r="K78" t="inlineStr">
        <is>
          <t>Towson</t>
        </is>
      </c>
      <c r="L78" t="inlineStr">
        <is>
          <t>Maryland</t>
        </is>
      </c>
      <c r="N78" t="inlineStr">
        <is>
          <t>MD</t>
        </is>
      </c>
      <c r="O78" t="inlineStr">
        <is>
          <t>Towson|MD</t>
        </is>
      </c>
      <c r="R78" t="inlineStr">
        <is>
          <t>Yes</t>
        </is>
      </c>
      <c r="S78" t="n">
        <v>120</v>
      </c>
      <c r="T78" s="669" t="n">
        <v>46229</v>
      </c>
      <c r="U78" s="669" t="inlineStr">
        <is>
          <t>Pending breakdown</t>
        </is>
      </c>
      <c r="V78" t="inlineStr">
        <is>
          <t>No</t>
        </is>
      </c>
      <c r="Y78" t="n">
        <v>0</v>
      </c>
      <c r="Z78" t="inlineStr">
        <is>
          <t>ACH missing</t>
        </is>
      </c>
      <c r="AA78" t="inlineStr">
        <is>
          <t>Unique</t>
        </is>
      </c>
      <c r="AC78" t="inlineStr">
        <is>
          <t>Payment breakdown confirmed at $120.00.</t>
        </is>
      </c>
      <c r="AD78" t="inlineStr">
        <is>
          <t>User-verified payment breakdown record</t>
        </is>
      </c>
    </row>
    <row r="79">
      <c r="A79" t="inlineStr">
        <is>
          <t>LED-0079</t>
        </is>
      </c>
      <c r="B79" t="inlineStr">
        <is>
          <t>UNRESOLVED-E078</t>
        </is>
      </c>
      <c r="C79" t="n">
        <v>78</v>
      </c>
      <c r="E79" t="inlineStr">
        <is>
          <t>CL-026</t>
        </is>
      </c>
      <c r="F79" t="inlineStr">
        <is>
          <t>Dunkin</t>
        </is>
      </c>
      <c r="G79" s="669" t="n">
        <v>46225</v>
      </c>
      <c r="H79" t="inlineStr">
        <is>
          <t>Wednesday</t>
        </is>
      </c>
      <c r="I79" t="inlineStr">
        <is>
          <t>Dunkin — Owings Mills</t>
        </is>
      </c>
      <c r="K79" t="inlineStr">
        <is>
          <t>Owings Mills</t>
        </is>
      </c>
      <c r="L79" t="inlineStr">
        <is>
          <t>Maryland</t>
        </is>
      </c>
      <c r="N79" t="inlineStr">
        <is>
          <t>MD</t>
        </is>
      </c>
      <c r="O79" t="inlineStr">
        <is>
          <t>Owings Mills|MD</t>
        </is>
      </c>
      <c r="R79" t="inlineStr">
        <is>
          <t>Pending</t>
        </is>
      </c>
      <c r="T79" s="669" t="n"/>
      <c r="U79" s="669" t="inlineStr">
        <is>
          <t>Pending breakdown</t>
        </is>
      </c>
      <c r="V79" t="inlineStr">
        <is>
          <t>No</t>
        </is>
      </c>
      <c r="Z79" t="inlineStr">
        <is>
          <t>Breakdown pending</t>
        </is>
      </c>
      <c r="AA79" t="inlineStr">
        <is>
          <t>Unique</t>
        </is>
      </c>
      <c r="AC79" t="inlineStr">
        <is>
          <t>Completed visit; exact WO mapping pending.</t>
        </is>
      </c>
      <c r="AD79" t="inlineStr">
        <is>
          <t>User-authoritative chronology correction</t>
        </is>
      </c>
    </row>
    <row r="80">
      <c r="A80" t="inlineStr">
        <is>
          <t>LED-0080</t>
        </is>
      </c>
      <c r="B80" t="inlineStr">
        <is>
          <t>5900769</t>
        </is>
      </c>
      <c r="C80" t="n">
        <v>79</v>
      </c>
      <c r="E80" t="inlineStr">
        <is>
          <t>CL-006</t>
        </is>
      </c>
      <c r="F80" t="inlineStr">
        <is>
          <t>7-Eleven</t>
        </is>
      </c>
      <c r="G80" s="669" t="n">
        <v>46225</v>
      </c>
      <c r="H80" t="inlineStr">
        <is>
          <t>Wednesday</t>
        </is>
      </c>
      <c r="I80" t="inlineStr">
        <is>
          <t>7-Eleven — Fallston</t>
        </is>
      </c>
      <c r="J80" t="inlineStr">
        <is>
          <t>2400 Pleasantville Rd</t>
        </is>
      </c>
      <c r="K80" t="inlineStr">
        <is>
          <t>Fallston</t>
        </is>
      </c>
      <c r="L80" t="inlineStr">
        <is>
          <t>Maryland</t>
        </is>
      </c>
      <c r="M80" t="inlineStr">
        <is>
          <t>21047</t>
        </is>
      </c>
      <c r="N80" t="inlineStr">
        <is>
          <t>MD</t>
        </is>
      </c>
      <c r="O80" t="inlineStr">
        <is>
          <t>Fallston|MD</t>
        </is>
      </c>
      <c r="R80" t="inlineStr">
        <is>
          <t>Yes</t>
        </is>
      </c>
      <c r="S80" t="n">
        <v>160.29</v>
      </c>
      <c r="T80" s="669" t="n">
        <v>46229</v>
      </c>
      <c r="U80" s="669" t="n"/>
      <c r="V80" t="inlineStr">
        <is>
          <t>No</t>
        </is>
      </c>
      <c r="Y80" t="n">
        <v>0</v>
      </c>
      <c r="Z80" t="inlineStr">
        <is>
          <t>ACH missing</t>
        </is>
      </c>
      <c r="AA80" t="inlineStr">
        <is>
          <t>Unique</t>
        </is>
      </c>
      <c r="AC80" t="inlineStr">
        <is>
          <t>Payment breakdown confirmed at $160.29.</t>
        </is>
      </c>
      <c r="AD80" t="inlineStr">
        <is>
          <t>User-verified payment breakdown record</t>
        </is>
      </c>
    </row>
    <row r="81">
      <c r="A81" t="inlineStr">
        <is>
          <t>LED-0081</t>
        </is>
      </c>
      <c r="B81" t="inlineStr">
        <is>
          <t>5906863</t>
        </is>
      </c>
      <c r="C81" t="n">
        <v>80</v>
      </c>
      <c r="E81" t="inlineStr">
        <is>
          <t>CL-022</t>
        </is>
      </c>
      <c r="F81" t="inlineStr">
        <is>
          <t>Marshalls</t>
        </is>
      </c>
      <c r="G81" s="669" t="n">
        <v>46226</v>
      </c>
      <c r="H81" t="inlineStr">
        <is>
          <t>Thursday</t>
        </is>
      </c>
      <c r="I81" t="inlineStr">
        <is>
          <t>Marshalls — Westminster</t>
        </is>
      </c>
      <c r="J81" t="inlineStr">
        <is>
          <t>200 Clifton Blvd, Suite C</t>
        </is>
      </c>
      <c r="K81" t="inlineStr">
        <is>
          <t>Westminster</t>
        </is>
      </c>
      <c r="L81" t="inlineStr">
        <is>
          <t>Maryland</t>
        </is>
      </c>
      <c r="M81" t="inlineStr">
        <is>
          <t>21157</t>
        </is>
      </c>
      <c r="N81" t="inlineStr">
        <is>
          <t>MD</t>
        </is>
      </c>
      <c r="O81" t="inlineStr">
        <is>
          <t>Westminster|MD</t>
        </is>
      </c>
      <c r="R81" t="inlineStr">
        <is>
          <t>Yes</t>
        </is>
      </c>
      <c r="S81" t="n">
        <v>163.33</v>
      </c>
      <c r="T81" s="669" t="n">
        <v>46226</v>
      </c>
      <c r="U81" s="669" t="n"/>
      <c r="V81" t="inlineStr">
        <is>
          <t>No</t>
        </is>
      </c>
      <c r="Y81" t="n">
        <v>0</v>
      </c>
      <c r="Z81" t="inlineStr">
        <is>
          <t>ACH missing</t>
        </is>
      </c>
      <c r="AA81" t="inlineStr">
        <is>
          <t>Unique</t>
        </is>
      </c>
      <c r="AC81" t="inlineStr">
        <is>
          <t>Payment breakdown confirmed at $163.33; no deductions.</t>
        </is>
      </c>
      <c r="AD81" t="inlineStr">
        <is>
          <t>Gmail WO assignment + payment breakdown</t>
        </is>
      </c>
    </row>
    <row r="82">
      <c r="A82" t="inlineStr">
        <is>
          <t>LED-0082</t>
        </is>
      </c>
      <c r="B82" t="inlineStr">
        <is>
          <t>5922660</t>
        </is>
      </c>
      <c r="C82" t="n">
        <v>81</v>
      </c>
      <c r="E82" t="inlineStr">
        <is>
          <t>CL-016</t>
        </is>
      </c>
      <c r="F82" t="inlineStr">
        <is>
          <t>HomeGoods</t>
        </is>
      </c>
      <c r="G82" s="669" t="n">
        <v>46226</v>
      </c>
      <c r="H82" t="inlineStr">
        <is>
          <t>Thursday</t>
        </is>
      </c>
      <c r="I82" t="inlineStr">
        <is>
          <t>HomeGoods — Fairfax</t>
        </is>
      </c>
      <c r="K82" t="inlineStr">
        <is>
          <t>Fairfax</t>
        </is>
      </c>
      <c r="L82" t="inlineStr">
        <is>
          <t>Virginia</t>
        </is>
      </c>
      <c r="N82" t="inlineStr">
        <is>
          <t>VA</t>
        </is>
      </c>
      <c r="O82" t="inlineStr">
        <is>
          <t>Fairfax|VA</t>
        </is>
      </c>
      <c r="R82" t="inlineStr">
        <is>
          <t>Yes</t>
        </is>
      </c>
      <c r="S82" t="n">
        <v>125</v>
      </c>
      <c r="T82" s="669" t="n">
        <v>46226</v>
      </c>
      <c r="U82" s="669" t="n"/>
      <c r="V82" t="inlineStr">
        <is>
          <t>No</t>
        </is>
      </c>
      <c r="Y82" t="n">
        <v>0</v>
      </c>
      <c r="Z82" t="inlineStr">
        <is>
          <t>ACH missing</t>
        </is>
      </c>
      <c r="AA82" t="inlineStr">
        <is>
          <t>Unique</t>
        </is>
      </c>
      <c r="AC82" t="inlineStr">
        <is>
          <t>Power USB cable service; payment breakdown confirmed at $125.00.</t>
        </is>
      </c>
      <c r="AD82" t="inlineStr">
        <is>
          <t>User chronology + Gmail ETA and payment breakdown</t>
        </is>
      </c>
    </row>
    <row r="83">
      <c r="A83" t="inlineStr">
        <is>
          <t>LED-0083</t>
        </is>
      </c>
      <c r="B83" t="inlineStr">
        <is>
          <t>5922683</t>
        </is>
      </c>
      <c r="C83" t="n">
        <v>82</v>
      </c>
      <c r="E83" t="inlineStr">
        <is>
          <t>CL-020</t>
        </is>
      </c>
      <c r="F83" t="inlineStr">
        <is>
          <t>TJ Maxx</t>
        </is>
      </c>
      <c r="G83" s="669" t="n">
        <v>46226</v>
      </c>
      <c r="H83" t="inlineStr">
        <is>
          <t>Thursday</t>
        </is>
      </c>
      <c r="I83" t="inlineStr">
        <is>
          <t>TJ Maxx — Alexandria</t>
        </is>
      </c>
      <c r="K83" t="inlineStr">
        <is>
          <t>Alexandria</t>
        </is>
      </c>
      <c r="L83" t="inlineStr">
        <is>
          <t>Virginia</t>
        </is>
      </c>
      <c r="N83" t="inlineStr">
        <is>
          <t>VA</t>
        </is>
      </c>
      <c r="O83" t="inlineStr">
        <is>
          <t>Alexandria|VA</t>
        </is>
      </c>
      <c r="R83" t="inlineStr">
        <is>
          <t>Yes</t>
        </is>
      </c>
      <c r="S83" t="n">
        <v>110</v>
      </c>
      <c r="T83" s="669" t="n">
        <v>46226</v>
      </c>
      <c r="U83" s="669" t="n"/>
      <c r="V83" t="inlineStr">
        <is>
          <t>No</t>
        </is>
      </c>
      <c r="Y83" t="n">
        <v>0</v>
      </c>
      <c r="Z83" t="inlineStr">
        <is>
          <t>ACH missing</t>
        </is>
      </c>
      <c r="AA83" t="inlineStr">
        <is>
          <t>Unique</t>
        </is>
      </c>
      <c r="AC83" t="inlineStr">
        <is>
          <t>BERG adapter service; payment breakdown confirmed at $110.00.</t>
        </is>
      </c>
      <c r="AD83" t="inlineStr">
        <is>
          <t>User chronology + Gmail ETA and payment breakdown</t>
        </is>
      </c>
    </row>
    <row r="84">
      <c r="A84" t="inlineStr">
        <is>
          <t>LED-0084</t>
        </is>
      </c>
      <c r="B84" t="inlineStr">
        <is>
          <t>5919318</t>
        </is>
      </c>
      <c r="C84" t="n">
        <v>83</v>
      </c>
      <c r="E84" t="inlineStr">
        <is>
          <t>CL-027</t>
        </is>
      </c>
      <c r="F84" t="inlineStr">
        <is>
          <t>Carvana</t>
        </is>
      </c>
      <c r="G84" s="669" t="n">
        <v>46227</v>
      </c>
      <c r="H84" t="inlineStr">
        <is>
          <t>Friday</t>
        </is>
      </c>
      <c r="I84" t="inlineStr">
        <is>
          <t>Carvana — Baltimore</t>
        </is>
      </c>
      <c r="J84" t="inlineStr">
        <is>
          <t>4901 Holabird Ave</t>
        </is>
      </c>
      <c r="K84" t="inlineStr">
        <is>
          <t>Baltimore</t>
        </is>
      </c>
      <c r="L84" t="inlineStr">
        <is>
          <t>Maryland</t>
        </is>
      </c>
      <c r="M84" t="inlineStr">
        <is>
          <t>21224</t>
        </is>
      </c>
      <c r="N84" t="inlineStr">
        <is>
          <t>MD</t>
        </is>
      </c>
      <c r="O84" t="inlineStr">
        <is>
          <t>Baltimore|MD</t>
        </is>
      </c>
      <c r="R84" t="inlineStr">
        <is>
          <t>Yes</t>
        </is>
      </c>
      <c r="S84" t="n">
        <v>65</v>
      </c>
      <c r="T84" s="669" t="n">
        <v>46227</v>
      </c>
      <c r="U84" s="669" t="n"/>
      <c r="V84" t="inlineStr">
        <is>
          <t>No</t>
        </is>
      </c>
      <c r="Y84" t="n">
        <v>0</v>
      </c>
      <c r="Z84" t="inlineStr">
        <is>
          <t>ACH missing</t>
        </is>
      </c>
      <c r="AA84" t="inlineStr">
        <is>
          <t>Unique</t>
        </is>
      </c>
      <c r="AC84" t="inlineStr">
        <is>
          <t>HP fuser replacement completed; payment breakdown confirmed at $65.00.</t>
        </is>
      </c>
      <c r="AD84" t="inlineStr">
        <is>
          <t>User completion + Gmail WO assignment and payment breakdown</t>
        </is>
      </c>
    </row>
    <row r="85">
      <c r="A85" t="inlineStr">
        <is>
          <t>LED-0085</t>
        </is>
      </c>
      <c r="B85" t="inlineStr">
        <is>
          <t>5922604</t>
        </is>
      </c>
      <c r="C85" t="n">
        <v>84</v>
      </c>
      <c r="E85" t="inlineStr">
        <is>
          <t>CL-007</t>
        </is>
      </c>
      <c r="F85" t="inlineStr">
        <is>
          <t>Giant Food Stores</t>
        </is>
      </c>
      <c r="G85" s="669" t="n">
        <v>46227</v>
      </c>
      <c r="H85" t="inlineStr">
        <is>
          <t>Friday</t>
        </is>
      </c>
      <c r="I85" t="inlineStr">
        <is>
          <t>Giant Food — Wheaton</t>
        </is>
      </c>
      <c r="J85" t="inlineStr">
        <is>
          <t>2900 University Boulevard West</t>
        </is>
      </c>
      <c r="K85" t="inlineStr">
        <is>
          <t>Wheaton</t>
        </is>
      </c>
      <c r="L85" t="inlineStr">
        <is>
          <t>Maryland</t>
        </is>
      </c>
      <c r="M85" t="inlineStr">
        <is>
          <t>20902</t>
        </is>
      </c>
      <c r="N85" t="inlineStr">
        <is>
          <t>MD</t>
        </is>
      </c>
      <c r="O85" t="inlineStr">
        <is>
          <t>Wheaton|MD</t>
        </is>
      </c>
      <c r="R85" t="inlineStr">
        <is>
          <t>Pending</t>
        </is>
      </c>
      <c r="T85" s="669" t="n"/>
      <c r="U85" s="669" t="inlineStr">
        <is>
          <t>Pending breakdown</t>
        </is>
      </c>
      <c r="V85" t="inlineStr">
        <is>
          <t>No</t>
        </is>
      </c>
      <c r="Z85" t="inlineStr">
        <is>
          <t>Breakdown pending</t>
        </is>
      </c>
      <c r="AA85" t="inlineStr">
        <is>
          <t>Unique</t>
        </is>
      </c>
      <c r="AC85" t="inlineStr">
        <is>
          <t>Cradlepoint and PoE injector replaced; site restored. Payment breakdown pending.</t>
        </is>
      </c>
      <c r="AD85" t="inlineStr">
        <is>
          <t>User completion + Gmail WO assignment and closeout correspondence</t>
        </is>
      </c>
    </row>
  </sheetData>
  <conditionalFormatting sqref="J2:J65">
    <cfRule type="expression" priority="1" dxfId="0">
      <formula>J2="No"</formula>
    </cfRule>
  </conditionalFormatting>
  <conditionalFormatting sqref="N2:N65">
    <cfRule type="expression" priority="2" dxfId="1">
      <formula>N2="No"</formula>
    </cfRule>
  </conditionalFormatting>
  <conditionalFormatting sqref="Q2:Q65">
    <cfRule type="expression" priority="3" dxfId="0">
      <formula>Q2&lt;&gt;0</formula>
    </cfRule>
  </conditionalFormatting>
  <conditionalFormatting sqref="R2:R64">
    <cfRule type="expression" priority="4" dxfId="0">
      <formula>R2="No"</formula>
    </cfRule>
  </conditionalFormatting>
  <conditionalFormatting sqref="V2:V64">
    <cfRule type="expression" priority="5" dxfId="1">
      <formula>V2="No"</formula>
    </cfRule>
  </conditionalFormatting>
  <conditionalFormatting sqref="Y2:Y64">
    <cfRule type="expression" priority="6" dxfId="0">
      <formula>Y2&lt;&gt;0</formula>
    </cfRule>
  </conditionalFormatting>
  <conditionalFormatting sqref="Z2:Z64">
    <cfRule type="expression" priority="7" dxfId="0">
      <formula>OR(Z2="MAPPING_HOLD",Z2="BREAKDOWN_MISMATCH")</formula>
    </cfRule>
  </conditionalFormatting>
  <conditionalFormatting sqref="R2:R67">
    <cfRule type="expression" priority="8" dxfId="21">
      <formula>$R2="Yes"</formula>
    </cfRule>
    <cfRule type="expression" priority="9" dxfId="22">
      <formula>AND(OR($R2="No",$R2="Pending"),IFERROR(INDEX(tblServiceEvents[Financial Scope],MATCH($C2,tblServiceEvents[Event #],0)),"Included")="Included")</formula>
    </cfRule>
    <cfRule type="expression" priority="10" dxfId="26">
      <formula>$R2="Partial"</formula>
    </cfRule>
    <cfRule type="expression" priority="11" dxfId="23">
      <formula>$R2="Mapping Hold"</formula>
    </cfRule>
    <cfRule type="expression" priority="12" dxfId="48">
      <formula>IFERROR(INDEX(tblServiceEvents[Financial Scope],MATCH($C2,tblServiceEvents[Event #],0)),"Included")="Excluded"</formula>
    </cfRule>
  </conditionalFormatting>
  <conditionalFormatting sqref="V2:V67">
    <cfRule type="expression" priority="13" dxfId="21">
      <formula>$V2="Yes"</formula>
    </cfRule>
    <cfRule type="expression" priority="14" dxfId="22">
      <formula>AND(OR($V2="No",$V2="Pending"),IFERROR(INDEX(tblServiceEvents[Financial Scope],MATCH($C2,tblServiceEvents[Event #],0)),"Included")="Included")</formula>
    </cfRule>
    <cfRule type="expression" priority="15" dxfId="26">
      <formula>OR($V2="Partial",$V2="Mapping Review")</formula>
    </cfRule>
    <cfRule type="expression" priority="16" dxfId="48">
      <formula>IFERROR(INDEX(tblServiceEvents[Financial Scope],MATCH($C2,tblServiceEvents[Event #],0)),"Included")="Excluded"</formula>
    </cfRule>
  </conditionalFormatting>
  <conditionalFormatting sqref="Y2:Y67">
    <cfRule type="expression" priority="17" dxfId="23">
      <formula>AND(ISNUMBER($Y2),$Y2&lt;&gt;0)</formula>
    </cfRule>
    <cfRule type="expression" priority="18" dxfId="76">
      <formula>AND(ISNUMBER($Y2),$Y2=0)</formula>
    </cfRule>
  </conditionalFormatting>
  <conditionalFormatting sqref="U2:U67">
    <cfRule type="expression" priority="19" dxfId="23">
      <formula>AND(ISNUMBER($U2),$V2&lt;&gt;"Yes",$U2&lt;TODAY())</formula>
    </cfRule>
    <cfRule type="expression" priority="20" dxfId="22">
      <formula>AND(ISNUMBER($U2),$V2&lt;&gt;"Yes",$U2&gt;=TODAY(),$U2&lt;=TODAY()+3)</formula>
    </cfRule>
  </conditionalFormatting>
  <conditionalFormatting sqref="Z2:Z67">
    <cfRule type="expression" priority="21" dxfId="21">
      <formula>OR($Z2="Complete",$Z2="Complete with note")</formula>
    </cfRule>
    <cfRule type="expression" priority="22" dxfId="22">
      <formula>OR($Z2="ACH missing",$Z2="Breakdown pending",$Z2="Breakdown missing / ACH confirmed")</formula>
    </cfRule>
    <cfRule type="expression" priority="23" dxfId="26">
      <formula>OR($Z2="Combined visit / partial breakdown",$Z2="Companion WO mapping review")</formula>
    </cfRule>
    <cfRule type="expression" priority="24" dxfId="23">
      <formula>OR($Z2="BREAKDOWN_MISMATCH",$Z2="ACH_MISMATCH",$Z2="MAPPING_HOLD")</formula>
    </cfRule>
    <cfRule type="expression" priority="25" dxfId="48">
      <formula>$Z2="Operational complete / excluded financial metric"</formula>
    </cfRule>
  </conditionalFormatting>
  <conditionalFormatting sqref="AA2:AA67">
    <cfRule type="expression" priority="26" dxfId="21">
      <formula>$AA2="Unique"</formula>
    </cfRule>
    <cfRule type="expression" priority="27" dxfId="46">
      <formula>$AA2="MULTI-WO VISIT"</formula>
    </cfRule>
    <cfRule type="expression" priority="28" dxfId="60">
      <formula>$AA2="Nonstandard"</formula>
    </cfRule>
    <cfRule type="expression" priority="29" dxfId="26">
      <formula>$AA2="DUPLICATE / REVIEW"</formula>
    </cfRule>
    <cfRule type="expression" priority="30" dxfId="23">
      <formula>$AA2="MAPPING_HOLD"</formula>
    </cfRule>
  </conditionalFormatting>
  <conditionalFormatting sqref="S2:S67">
    <cfRule type="dataBar" priority="31">
      <dataBar>
        <cfvo type="min"/>
        <cfvo type="max"/>
        <color rgb="FF5B9BD5"/>
      </dataBar>
    </cfRule>
  </conditionalFormatting>
  <conditionalFormatting sqref="W2:W67">
    <cfRule type="dataBar" priority="32">
      <dataBar>
        <cfvo type="min"/>
        <cfvo type="max"/>
        <color rgb="FF70AD47"/>
      </dataBar>
    </cfRule>
  </conditionalFormatting>
  <dataValidations count="10">
    <dataValidation sqref="I2:I65" showDropDown="0" showInputMessage="0" showErrorMessage="0" allowBlank="0" type="list">
      <formula1>"Speed ACH,Terms,Hourly,Flat,Unknown"</formula1>
    </dataValidation>
    <dataValidation sqref="J2:J65" showDropDown="0" showInputMessage="0" showErrorMessage="0" allowBlank="0" type="list">
      <formula1>"Yes,No,Partial,Pending"</formula1>
    </dataValidation>
    <dataValidation sqref="N2:N65" showDropDown="0" showInputMessage="0" showErrorMessage="0" allowBlank="0" type="list">
      <formula1>"Yes,No,Partial,Mapping Review,Pending"</formula1>
    </dataValidation>
    <dataValidation sqref="Q2:Q64" showDropDown="0" showInputMessage="0" showErrorMessage="0" allowBlank="0" type="list">
      <formula1>"Speed ACH,Terms,Hourly,Flat,Unknown"</formula1>
    </dataValidation>
    <dataValidation sqref="R2:R64" showDropDown="0" showInputMessage="0" showErrorMessage="0" allowBlank="0" type="list">
      <formula1>"Yes,No,Partial,Pending,Mapping Hold"</formula1>
    </dataValidation>
    <dataValidation sqref="V2:V64" showDropDown="0" showInputMessage="0" showErrorMessage="0" allowBlank="0" type="list">
      <formula1>"Yes,No,Partial,Pending,Mapping Review"</formula1>
    </dataValidation>
    <dataValidation sqref="AA2:AA64" showDropDown="0" showInputMessage="0" showErrorMessage="0" allowBlank="0" type="list">
      <formula1>"CLEAN_MATCH,ACH_MISMATCH,BREAKDOWN_MISMATCH,MAPPING_HOLD,PENDING_BREAKDOWN,PENDING_ACH,PARTIAL_CONFIRMATION,Complete,Complete with note,ACH missing,Breakdown pending"</formula1>
    </dataValidation>
    <dataValidation sqref="R2:R500" showDropDown="0" showInputMessage="0" showErrorMessage="0" allowBlank="0" type="list">
      <formula1>"Yes,No,Pending,Partial,Mapping Hold"</formula1>
    </dataValidation>
    <dataValidation sqref="V2:V500" showDropDown="0" showInputMessage="0" showErrorMessage="0" allowBlank="0" type="list">
      <formula1>"Yes,No,Pending,Partial,Mapping Review"</formula1>
    </dataValidation>
    <dataValidation sqref="AA2:AA500" showDropDown="0" showInputMessage="0" showErrorMessage="0" allowBlank="0" type="list">
      <formula1>"Unique,MULTI-WO VISIT,MAPPING_HOLD"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N201"/>
  <sheetViews>
    <sheetView showGridLines="0" workbookViewId="0">
      <selection activeCell="A1" sqref="A1"/>
    </sheetView>
  </sheetViews>
  <sheetFormatPr baseColWidth="8" defaultRowHeight="15"/>
  <cols>
    <col width="10" customWidth="1" style="192" min="1" max="1"/>
    <col width="30" customWidth="1" style="192" min="2" max="2"/>
    <col width="15" customWidth="1" style="192" min="3" max="3"/>
    <col width="12" customWidth="1" style="192" min="4" max="4"/>
    <col width="15" customWidth="1" style="192" min="5" max="5"/>
    <col width="15" customWidth="1" style="192" min="6" max="6"/>
    <col width="18" customWidth="1" style="192" min="7" max="7"/>
    <col width="10" customWidth="1" style="192" min="8" max="8"/>
    <col width="28" customWidth="1" style="192" min="9" max="9"/>
    <col width="14" customWidth="1" style="192" min="10" max="10"/>
    <col width="15" customWidth="1" style="192" min="11" max="11"/>
    <col width="15" customWidth="1" style="192" min="12" max="12"/>
    <col width="15" customWidth="1" style="192" min="13" max="13"/>
    <col width="14" customWidth="1" style="192" min="14" max="14"/>
    <col width="10" customWidth="1" style="192" min="15" max="15"/>
    <col width="28" customWidth="1" style="192" min="16" max="16"/>
    <col width="15" customWidth="1" style="192" min="17" max="17"/>
    <col width="15" customWidth="1" style="192" min="18" max="18"/>
    <col width="15" customWidth="1" style="192" min="19" max="19"/>
    <col width="15" customWidth="1" style="192" min="20" max="20"/>
    <col width="18" customWidth="1" style="192" min="22" max="22"/>
    <col width="18" customWidth="1" style="192" min="23" max="23"/>
    <col width="14" customWidth="1" style="192" min="24" max="24"/>
    <col width="14" customWidth="1" style="192" min="25" max="25"/>
    <col width="16" customWidth="1" style="192" min="26" max="26"/>
    <col width="16" customWidth="1" style="192" min="27" max="27"/>
    <col width="18" customWidth="1" style="192" min="28" max="28"/>
    <col width="20" customWidth="1" style="192" min="29" max="29"/>
    <col width="18" customWidth="1" style="192" min="30" max="30"/>
    <col width="14" customWidth="1" style="192" min="35" max="35"/>
    <col width="12" customWidth="1" style="192" min="36" max="36"/>
    <col width="14" customWidth="1" style="192" min="37" max="37"/>
    <col width="16" customWidth="1" style="192" min="38" max="38"/>
    <col width="16" customWidth="1" style="192" min="39" max="39"/>
    <col width="18" customWidth="1" style="192" min="40" max="40"/>
  </cols>
  <sheetData>
    <row r="1">
      <c r="A1" s="644" t="inlineStr">
        <is>
          <t>Barrister Analytics Engine — Phase 3F</t>
        </is>
      </c>
      <c r="B1" s="1" t="n"/>
      <c r="C1" s="1" t="n"/>
      <c r="D1" s="1" t="n"/>
      <c r="E1" s="1" t="n"/>
      <c r="F1" s="1" t="n"/>
      <c r="G1" s="1" t="n"/>
      <c r="H1" s="1" t="n"/>
      <c r="I1" s="1" t="n"/>
      <c r="J1" s="1" t="n"/>
      <c r="K1" s="1" t="n"/>
      <c r="L1" s="1" t="n"/>
      <c r="M1" s="1" t="n"/>
      <c r="N1" s="1" t="n"/>
      <c r="O1" s="1" t="n"/>
      <c r="P1" s="1" t="n"/>
      <c r="Q1" s="1" t="n"/>
      <c r="R1" s="1" t="n"/>
      <c r="S1" s="239" t="n"/>
      <c r="T1" s="239" t="n"/>
      <c r="U1" s="52" t="n"/>
      <c r="V1" s="230" t="inlineStr">
        <is>
          <t>Client ID</t>
        </is>
      </c>
      <c r="W1" s="230" t="inlineStr">
        <is>
          <t>Client</t>
        </is>
      </c>
      <c r="X1" s="230" t="inlineStr">
        <is>
          <t>Events</t>
        </is>
      </c>
      <c r="Y1" s="230" t="inlineStr">
        <is>
          <t>Work Orders</t>
        </is>
      </c>
      <c r="Z1" s="230" t="inlineStr">
        <is>
          <t>Revenue</t>
        </is>
      </c>
      <c r="AA1" s="230" t="inlineStr">
        <is>
          <t>Avg/Event</t>
        </is>
      </c>
      <c r="AB1" s="230" t="inlineStr">
        <is>
          <t>Avg/WO</t>
        </is>
      </c>
      <c r="AC1" s="230" t="inlineStr">
        <is>
          <t>Repeat</t>
        </is>
      </c>
      <c r="AD1" s="230" t="inlineStr">
        <is>
          <t>First Event</t>
        </is>
      </c>
      <c r="AE1" s="230" t="inlineStr">
        <is>
          <t>Revenue Key</t>
        </is>
      </c>
      <c r="AF1" s="238" t="inlineStr">
        <is>
          <t>Repeat Key</t>
        </is>
      </c>
      <c r="AG1" s="238" t="inlineStr">
        <is>
          <t>Avg Key</t>
        </is>
      </c>
      <c r="AI1" s="313" t="inlineStr">
        <is>
          <t>Service Date</t>
        </is>
      </c>
      <c r="AJ1" s="313" t="inlineStr">
        <is>
          <t>Events</t>
        </is>
      </c>
      <c r="AK1" s="313" t="inlineStr">
        <is>
          <t>Eligible Events</t>
        </is>
      </c>
      <c r="AL1" s="313" t="inlineStr">
        <is>
          <t>Daily Revenue</t>
        </is>
      </c>
      <c r="AM1" s="313" t="inlineStr">
        <is>
          <t>Running Revenue</t>
        </is>
      </c>
      <c r="AN1" s="313" t="inlineStr">
        <is>
          <t>Rolling 5-Day Avg</t>
        </is>
      </c>
    </row>
    <row r="2">
      <c r="A2" s="1" t="n"/>
      <c r="B2" s="1" t="n"/>
      <c r="C2" s="1" t="n"/>
      <c r="D2" s="1" t="n"/>
      <c r="E2" s="1" t="n"/>
      <c r="F2" s="1" t="n"/>
      <c r="G2" s="1" t="n"/>
      <c r="H2" s="1" t="n"/>
      <c r="I2" s="1" t="n"/>
      <c r="J2" s="1" t="n"/>
      <c r="K2" s="1" t="n"/>
      <c r="L2" s="1" t="n"/>
      <c r="M2" s="1" t="n"/>
      <c r="N2" s="1" t="n"/>
      <c r="O2" s="1" t="n"/>
      <c r="P2" s="1" t="n"/>
      <c r="Q2" s="1" t="n"/>
      <c r="R2" s="1" t="n"/>
      <c r="V2">
        <f>A12</f>
        <v/>
      </c>
      <c r="W2">
        <f>B12</f>
        <v/>
      </c>
      <c r="X2">
        <f>E12</f>
        <v/>
      </c>
      <c r="Y2">
        <f>F12</f>
        <v/>
      </c>
      <c r="Z2" s="657">
        <f>G12</f>
        <v/>
      </c>
      <c r="AA2" s="657">
        <f>H12</f>
        <v/>
      </c>
      <c r="AB2" s="657">
        <f>I12</f>
        <v/>
      </c>
      <c r="AC2">
        <f>L12</f>
        <v/>
      </c>
      <c r="AD2">
        <f>C12</f>
        <v/>
      </c>
      <c r="AE2">
        <f>G12+(1000-C12)/1000000000</f>
        <v/>
      </c>
      <c r="AF2">
        <f>E12+G12/1000000000</f>
        <v/>
      </c>
      <c r="AG2">
        <f>IF(E12&gt;1,H12+G12/1000000000,0)</f>
        <v/>
      </c>
      <c r="AI2" s="663" t="n">
        <v>46132</v>
      </c>
      <c r="AJ2" t="n">
        <v>1</v>
      </c>
      <c r="AK2" t="n">
        <v>1</v>
      </c>
      <c r="AL2" s="657" t="n">
        <v>90</v>
      </c>
      <c r="AM2" s="657" t="n">
        <v>90</v>
      </c>
      <c r="AN2" s="657" t="n">
        <v>90</v>
      </c>
    </row>
    <row r="3">
      <c r="V3">
        <f>A13</f>
        <v/>
      </c>
      <c r="W3">
        <f>B13</f>
        <v/>
      </c>
      <c r="X3">
        <f>E13</f>
        <v/>
      </c>
      <c r="Y3">
        <f>F13</f>
        <v/>
      </c>
      <c r="Z3" s="657">
        <f>G13</f>
        <v/>
      </c>
      <c r="AA3" s="657">
        <f>H13</f>
        <v/>
      </c>
      <c r="AB3" s="657">
        <f>I13</f>
        <v/>
      </c>
      <c r="AC3">
        <f>L13</f>
        <v/>
      </c>
      <c r="AD3">
        <f>C13</f>
        <v/>
      </c>
      <c r="AE3">
        <f>G13+(1000-C13)/1000000000</f>
        <v/>
      </c>
      <c r="AF3">
        <f>E13+G13/1000000000</f>
        <v/>
      </c>
      <c r="AG3">
        <f>IF(E13&gt;1,H13+G13/1000000000,0)</f>
        <v/>
      </c>
      <c r="AI3" s="663" t="n">
        <v>46133</v>
      </c>
      <c r="AJ3" t="n">
        <v>1</v>
      </c>
      <c r="AK3" t="n">
        <v>1</v>
      </c>
      <c r="AL3" s="657" t="n">
        <v>344</v>
      </c>
      <c r="AM3" s="657" t="n">
        <v>434</v>
      </c>
      <c r="AN3" s="657" t="n">
        <v>217</v>
      </c>
    </row>
    <row r="4">
      <c r="A4" s="671" t="inlineStr">
        <is>
          <t>Analytics Controls</t>
        </is>
      </c>
      <c r="B4" s="1" t="n"/>
      <c r="C4" s="1" t="n"/>
      <c r="D4" s="1" t="n"/>
      <c r="E4" s="242" t="n"/>
      <c r="F4" s="242" t="n"/>
      <c r="G4" s="242" t="n"/>
      <c r="V4">
        <f>A14</f>
        <v/>
      </c>
      <c r="W4">
        <f>B14</f>
        <v/>
      </c>
      <c r="X4">
        <f>E14</f>
        <v/>
      </c>
      <c r="Y4">
        <f>F14</f>
        <v/>
      </c>
      <c r="Z4" s="657">
        <f>G14</f>
        <v/>
      </c>
      <c r="AA4" s="657">
        <f>H14</f>
        <v/>
      </c>
      <c r="AB4" s="657">
        <f>I14</f>
        <v/>
      </c>
      <c r="AC4">
        <f>L14</f>
        <v/>
      </c>
      <c r="AD4">
        <f>C14</f>
        <v/>
      </c>
      <c r="AE4">
        <f>G14+(1000-C14)/1000000000</f>
        <v/>
      </c>
      <c r="AF4">
        <f>E14+G14/1000000000</f>
        <v/>
      </c>
      <c r="AG4">
        <f>IF(E14&gt;1,H14+G14/1000000000,0)</f>
        <v/>
      </c>
      <c r="AI4" s="663" t="n">
        <v>46134</v>
      </c>
      <c r="AJ4" t="n">
        <v>1</v>
      </c>
      <c r="AK4" t="n">
        <v>1</v>
      </c>
      <c r="AL4" s="657" t="n">
        <v>344</v>
      </c>
      <c r="AM4" s="657" t="n">
        <v>778</v>
      </c>
      <c r="AN4" s="657" t="n">
        <v>259.33</v>
      </c>
    </row>
    <row r="5">
      <c r="A5" s="93" t="inlineStr">
        <is>
          <t>Complete Workweeks</t>
        </is>
      </c>
      <c r="B5" s="657" t="n">
        <v>12</v>
      </c>
      <c r="D5" s="657" t="n"/>
      <c r="G5" s="658" t="n"/>
      <c r="V5">
        <f>A15</f>
        <v/>
      </c>
      <c r="W5">
        <f>B15</f>
        <v/>
      </c>
      <c r="X5">
        <f>E15</f>
        <v/>
      </c>
      <c r="Y5">
        <f>F15</f>
        <v/>
      </c>
      <c r="Z5" s="657">
        <f>G15</f>
        <v/>
      </c>
      <c r="AA5" s="657">
        <f>H15</f>
        <v/>
      </c>
      <c r="AB5" s="657">
        <f>I15</f>
        <v/>
      </c>
      <c r="AC5">
        <f>L15</f>
        <v/>
      </c>
      <c r="AD5">
        <f>C15</f>
        <v/>
      </c>
      <c r="AE5">
        <f>G15+(1000-C15)/1000000000</f>
        <v/>
      </c>
      <c r="AF5">
        <f>E15+G15/1000000000</f>
        <v/>
      </c>
      <c r="AG5">
        <f>IF(E15&gt;1,H15+G15/1000000000,0)</f>
        <v/>
      </c>
      <c r="AI5" s="663" t="n">
        <v>46135</v>
      </c>
      <c r="AJ5" t="n">
        <v>1</v>
      </c>
      <c r="AK5" t="n">
        <v>1</v>
      </c>
      <c r="AL5" s="657" t="n">
        <v>180</v>
      </c>
      <c r="AM5" s="657" t="n">
        <v>958</v>
      </c>
      <c r="AN5" s="657" t="n">
        <v>239.5</v>
      </c>
    </row>
    <row r="6">
      <c r="A6" s="93" t="inlineStr">
        <is>
          <t>Completed Events</t>
        </is>
      </c>
      <c r="B6" s="657" t="n">
        <v>72</v>
      </c>
      <c r="D6" s="657" t="n"/>
      <c r="G6" s="658" t="n"/>
      <c r="V6">
        <f>A16</f>
        <v/>
      </c>
      <c r="W6">
        <f>B16</f>
        <v/>
      </c>
      <c r="X6">
        <f>E16</f>
        <v/>
      </c>
      <c r="Y6">
        <f>F16</f>
        <v/>
      </c>
      <c r="Z6" s="657">
        <f>G16</f>
        <v/>
      </c>
      <c r="AA6" s="657">
        <f>H16</f>
        <v/>
      </c>
      <c r="AB6" s="657">
        <f>I16</f>
        <v/>
      </c>
      <c r="AC6">
        <f>L16</f>
        <v/>
      </c>
      <c r="AD6">
        <f>C16</f>
        <v/>
      </c>
      <c r="AE6">
        <f>G16+(1000-C16)/1000000000</f>
        <v/>
      </c>
      <c r="AF6">
        <f>E16+G16/1000000000</f>
        <v/>
      </c>
      <c r="AG6">
        <f>IF(E16&gt;1,H16+G16/1000000000,0)</f>
        <v/>
      </c>
      <c r="AI6" s="663" t="n">
        <v>46136</v>
      </c>
      <c r="AJ6" t="n">
        <v>1</v>
      </c>
      <c r="AK6" t="n">
        <v>1</v>
      </c>
      <c r="AL6" s="657" t="n">
        <v>50</v>
      </c>
      <c r="AM6" s="657" t="n">
        <v>1008</v>
      </c>
      <c r="AN6" s="657" t="n">
        <v>201.6</v>
      </c>
    </row>
    <row r="7">
      <c r="A7" s="93" t="inlineStr">
        <is>
          <t>Eligible Confirmed Revenue</t>
        </is>
      </c>
      <c r="B7" s="657" t="n">
        <v>7584.55</v>
      </c>
      <c r="D7" s="657" t="n"/>
      <c r="G7" s="658" t="n"/>
      <c r="V7">
        <f>A17</f>
        <v/>
      </c>
      <c r="W7">
        <f>B17</f>
        <v/>
      </c>
      <c r="X7">
        <f>E17</f>
        <v/>
      </c>
      <c r="Y7">
        <f>F17</f>
        <v/>
      </c>
      <c r="Z7" s="657">
        <f>G17</f>
        <v/>
      </c>
      <c r="AA7" s="657">
        <f>H17</f>
        <v/>
      </c>
      <c r="AB7" s="657">
        <f>I17</f>
        <v/>
      </c>
      <c r="AC7">
        <f>L17</f>
        <v/>
      </c>
      <c r="AD7">
        <f>C17</f>
        <v/>
      </c>
      <c r="AE7">
        <f>G17+(1000-C17)/1000000000</f>
        <v/>
      </c>
      <c r="AF7">
        <f>E17+G17/1000000000</f>
        <v/>
      </c>
      <c r="AG7">
        <f>IF(E17&gt;1,H17+G17/1000000000,0)</f>
        <v/>
      </c>
      <c r="AI7" s="663" t="n">
        <v>46139</v>
      </c>
      <c r="AJ7" t="n">
        <v>1</v>
      </c>
      <c r="AK7" t="n">
        <v>1</v>
      </c>
      <c r="AL7" s="657" t="n">
        <v>180</v>
      </c>
      <c r="AM7" s="657" t="n">
        <v>1188</v>
      </c>
      <c r="AN7" s="657" t="n">
        <v>219.6</v>
      </c>
    </row>
    <row r="8">
      <c r="A8" s="93" t="inlineStr">
        <is>
          <t>Eligible Events</t>
        </is>
      </c>
      <c r="B8" s="657">
        <f>COUNTIFS(tblServiceEvents[Revenue Eligibility],"Eligible")</f>
        <v/>
      </c>
      <c r="D8" s="657" t="n"/>
      <c r="G8" s="658" t="n"/>
      <c r="V8">
        <f>A18</f>
        <v/>
      </c>
      <c r="W8">
        <f>B18</f>
        <v/>
      </c>
      <c r="X8">
        <f>E18</f>
        <v/>
      </c>
      <c r="Y8">
        <f>F18</f>
        <v/>
      </c>
      <c r="Z8" s="657">
        <f>G18</f>
        <v/>
      </c>
      <c r="AA8" s="657">
        <f>H18</f>
        <v/>
      </c>
      <c r="AB8" s="657">
        <f>I18</f>
        <v/>
      </c>
      <c r="AC8">
        <f>L18</f>
        <v/>
      </c>
      <c r="AD8">
        <f>C18</f>
        <v/>
      </c>
      <c r="AE8">
        <f>G18+(1000-C18)/1000000000</f>
        <v/>
      </c>
      <c r="AF8">
        <f>E18+G18/1000000000</f>
        <v/>
      </c>
      <c r="AG8">
        <f>IF(E18&gt;1,H18+G18/1000000000,0)</f>
        <v/>
      </c>
      <c r="AI8" s="663" t="n">
        <v>46141</v>
      </c>
      <c r="AJ8" t="n">
        <v>2</v>
      </c>
      <c r="AK8" t="n">
        <v>2</v>
      </c>
      <c r="AL8" s="657" t="n">
        <v>95</v>
      </c>
      <c r="AM8" s="657" t="n">
        <v>1283</v>
      </c>
      <c r="AN8" s="657" t="n">
        <v>169.8</v>
      </c>
    </row>
    <row r="9">
      <c r="A9" s="340" t="inlineStr">
        <is>
          <t>Financial-Scope Events</t>
        </is>
      </c>
      <c r="B9" s="672" t="n">
        <v>68</v>
      </c>
      <c r="C9" s="343" t="n"/>
      <c r="D9" s="672" t="inlineStr">
        <is>
          <t>Chronology-Only Events</t>
        </is>
      </c>
      <c r="E9" s="343" t="n">
        <v>4</v>
      </c>
      <c r="G9" s="658" t="n"/>
      <c r="V9">
        <f>A19</f>
        <v/>
      </c>
      <c r="W9">
        <f>B19</f>
        <v/>
      </c>
      <c r="X9">
        <f>E19</f>
        <v/>
      </c>
      <c r="Y9">
        <f>F19</f>
        <v/>
      </c>
      <c r="Z9" s="657">
        <f>G19</f>
        <v/>
      </c>
      <c r="AA9" s="657">
        <f>H19</f>
        <v/>
      </c>
      <c r="AB9" s="657">
        <f>I19</f>
        <v/>
      </c>
      <c r="AC9">
        <f>L19</f>
        <v/>
      </c>
      <c r="AD9">
        <f>C19</f>
        <v/>
      </c>
      <c r="AE9">
        <f>G19+(1000-C19)/1000000000</f>
        <v/>
      </c>
      <c r="AF9">
        <f>E19+G19/1000000000</f>
        <v/>
      </c>
      <c r="AG9">
        <f>IF(E19&gt;1,H19+G19/1000000000,0)</f>
        <v/>
      </c>
      <c r="AI9" s="663" t="n">
        <v>46142</v>
      </c>
      <c r="AJ9" t="n">
        <v>1</v>
      </c>
      <c r="AK9" t="n">
        <v>0</v>
      </c>
      <c r="AL9" s="657" t="n">
        <v>0</v>
      </c>
      <c r="AM9" s="657" t="n">
        <v>1283</v>
      </c>
      <c r="AN9" s="657" t="n">
        <v>101</v>
      </c>
    </row>
    <row r="10">
      <c r="A10" s="673" t="inlineStr">
        <is>
          <t>Client Summary</t>
        </is>
      </c>
      <c r="B10" s="1" t="n"/>
      <c r="C10" s="1" t="n"/>
      <c r="D10" s="1" t="n"/>
      <c r="E10" s="1" t="n"/>
      <c r="F10" s="1" t="n"/>
      <c r="G10" s="1" t="n"/>
      <c r="H10" s="1" t="n"/>
      <c r="I10" s="1" t="n"/>
      <c r="J10" s="1" t="n"/>
      <c r="K10" s="1" t="n"/>
      <c r="L10" s="1" t="n"/>
      <c r="V10">
        <f>A20</f>
        <v/>
      </c>
      <c r="W10">
        <f>B20</f>
        <v/>
      </c>
      <c r="X10">
        <f>E20</f>
        <v/>
      </c>
      <c r="Y10">
        <f>F20</f>
        <v/>
      </c>
      <c r="Z10" s="657">
        <f>G20</f>
        <v/>
      </c>
      <c r="AA10" s="657">
        <f>H20</f>
        <v/>
      </c>
      <c r="AB10" s="657">
        <f>I20</f>
        <v/>
      </c>
      <c r="AC10">
        <f>L20</f>
        <v/>
      </c>
      <c r="AD10">
        <f>C20</f>
        <v/>
      </c>
      <c r="AE10">
        <f>G20+(1000-C20)/1000000000</f>
        <v/>
      </c>
      <c r="AF10">
        <f>E20+G20/1000000000</f>
        <v/>
      </c>
      <c r="AG10">
        <f>IF(E20&gt;1,H20+G20/1000000000,0)</f>
        <v/>
      </c>
      <c r="AI10" s="663" t="n">
        <v>46147</v>
      </c>
      <c r="AJ10" t="n">
        <v>1</v>
      </c>
      <c r="AK10" t="n">
        <v>1</v>
      </c>
      <c r="AL10" s="657" t="n">
        <v>212.5</v>
      </c>
      <c r="AM10" s="657" t="n">
        <v>1495.5</v>
      </c>
      <c r="AN10" s="657" t="n">
        <v>107.5</v>
      </c>
    </row>
    <row r="11">
      <c r="A11" s="98" t="inlineStr">
        <is>
          <t>Client ID</t>
        </is>
      </c>
      <c r="B11" s="98" t="inlineStr">
        <is>
          <t>Client Name</t>
        </is>
      </c>
      <c r="C11" s="98" t="inlineStr">
        <is>
          <t>First Event</t>
        </is>
      </c>
      <c r="D11" s="98" t="inlineStr">
        <is>
          <t>Latest Event</t>
        </is>
      </c>
      <c r="E11" s="98" t="inlineStr">
        <is>
          <t>Total Events</t>
        </is>
      </c>
      <c r="F11" s="98" t="inlineStr">
        <is>
          <t>Total Work Orders</t>
        </is>
      </c>
      <c r="G11" s="98" t="inlineStr">
        <is>
          <t>Confirmed Revenue</t>
        </is>
      </c>
      <c r="H11" s="98" t="inlineStr">
        <is>
          <t>Avg Revenue / Event</t>
        </is>
      </c>
      <c r="I11" s="98" t="inlineStr">
        <is>
          <t>Avg Revenue / WO</t>
        </is>
      </c>
      <c r="J11" s="98" t="inlineStr">
        <is>
          <t>States Worked</t>
        </is>
      </c>
      <c r="K11" s="98" t="inlineStr">
        <is>
          <t>Cities Worked</t>
        </is>
      </c>
      <c r="L11" s="98" t="inlineStr">
        <is>
          <t>Repeat Client</t>
        </is>
      </c>
      <c r="V11">
        <f>A21</f>
        <v/>
      </c>
      <c r="W11">
        <f>B21</f>
        <v/>
      </c>
      <c r="X11">
        <f>E21</f>
        <v/>
      </c>
      <c r="Y11">
        <f>F21</f>
        <v/>
      </c>
      <c r="Z11" s="657">
        <f>G21</f>
        <v/>
      </c>
      <c r="AA11" s="657">
        <f>H21</f>
        <v/>
      </c>
      <c r="AB11" s="657">
        <f>I21</f>
        <v/>
      </c>
      <c r="AC11">
        <f>L21</f>
        <v/>
      </c>
      <c r="AD11">
        <f>C21</f>
        <v/>
      </c>
      <c r="AE11">
        <f>G21+(1000-C21)/1000000000</f>
        <v/>
      </c>
      <c r="AF11">
        <f>E21+G21/1000000000</f>
        <v/>
      </c>
      <c r="AG11">
        <f>IF(E21&gt;1,H21+G21/1000000000,0)</f>
        <v/>
      </c>
      <c r="AI11" s="663" t="n">
        <v>46153</v>
      </c>
      <c r="AJ11" t="n">
        <v>1</v>
      </c>
      <c r="AK11" t="n">
        <v>1</v>
      </c>
      <c r="AL11" s="657" t="n">
        <v>157.5</v>
      </c>
      <c r="AM11" s="657" t="n">
        <v>1653</v>
      </c>
      <c r="AN11" s="657" t="n">
        <v>129</v>
      </c>
    </row>
    <row r="12">
      <c r="A12" s="12" t="inlineStr">
        <is>
          <t>CL-001</t>
        </is>
      </c>
      <c r="B12" s="12" t="inlineStr">
        <is>
          <t>Macy's</t>
        </is>
      </c>
      <c r="C12" s="12">
        <f>MINIFS(tblServiceEvents[Event #],tblServiceEvents[Client],B12)</f>
        <v/>
      </c>
      <c r="D12" s="12">
        <f>MAXIFS(tblServiceEvents[Event #],tblServiceEvents[Client],B12)</f>
        <v/>
      </c>
      <c r="E12" s="12">
        <f>COUNTIFS(tblServiceEvents[Client],B12,tblServiceEvents[Status],"Completed")</f>
        <v/>
      </c>
      <c r="F12" s="12">
        <f>COUNTIF(tblLedger[Client],B12)</f>
        <v/>
      </c>
      <c r="G12" s="674">
        <f>SUMIFS(tblServiceEvents[Confirmed Revenue],tblServiceEvents[Client],B12,tblServiceEvents[Revenue Eligibility],"Eligible")</f>
        <v/>
      </c>
      <c r="H12" s="657">
        <f>IFERROR(G12/COUNTIFS(tblServiceEvents[Client],B12,tblServiceEvents[Revenue Eligibility],"Eligible"),0)</f>
        <v/>
      </c>
      <c r="I12" s="657">
        <f>IFERROR(SUMIFS(tblLedger[Breakdown Amount],tblLedger[Client],B12,tblLedger[Breakdown Confirmed],"Yes")/COUNTIFS(tblLedger[Client],B12,tblLedger[Breakdown Confirmed],"Yes"),0)</f>
        <v/>
      </c>
      <c r="J12" t="n">
        <v>2</v>
      </c>
      <c r="K12" t="n">
        <v>2</v>
      </c>
      <c r="L12">
        <f>IF(E12&gt;1,"Yes","No")</f>
        <v/>
      </c>
      <c r="V12">
        <f>A22</f>
        <v/>
      </c>
      <c r="W12">
        <f>B22</f>
        <v/>
      </c>
      <c r="X12">
        <f>E22</f>
        <v/>
      </c>
      <c r="Y12">
        <f>F22</f>
        <v/>
      </c>
      <c r="Z12" s="657">
        <f>G22</f>
        <v/>
      </c>
      <c r="AA12" s="657">
        <f>H22</f>
        <v/>
      </c>
      <c r="AB12" s="657">
        <f>I22</f>
        <v/>
      </c>
      <c r="AC12">
        <f>L22</f>
        <v/>
      </c>
      <c r="AD12">
        <f>C22</f>
        <v/>
      </c>
      <c r="AE12">
        <f>G22+(1000-C22)/1000000000</f>
        <v/>
      </c>
      <c r="AF12">
        <f>E22+G22/1000000000</f>
        <v/>
      </c>
      <c r="AG12">
        <f>IF(E22&gt;1,H22+G22/1000000000,0)</f>
        <v/>
      </c>
      <c r="AI12" s="663" t="n">
        <v>46154</v>
      </c>
      <c r="AJ12" t="n">
        <v>1</v>
      </c>
      <c r="AK12" t="n">
        <v>1</v>
      </c>
      <c r="AL12" s="657" t="n">
        <v>85</v>
      </c>
      <c r="AM12" s="657" t="n">
        <v>1738</v>
      </c>
      <c r="AN12" s="657" t="n">
        <v>110</v>
      </c>
    </row>
    <row r="13">
      <c r="A13" s="242" t="inlineStr">
        <is>
          <t>CL-002</t>
        </is>
      </c>
      <c r="B13" s="242" t="inlineStr">
        <is>
          <t>Bloomingdale's</t>
        </is>
      </c>
      <c r="C13" s="242">
        <f>MINIFS(tblServiceEvents[Event #],tblServiceEvents[Client],B13)</f>
        <v/>
      </c>
      <c r="D13" s="242">
        <f>MAXIFS(tblServiceEvents[Event #],tblServiceEvents[Client],B13)</f>
        <v/>
      </c>
      <c r="E13" s="242">
        <f>COUNTIFS(tblServiceEvents[Client],B13,tblServiceEvents[Status],"Completed")</f>
        <v/>
      </c>
      <c r="F13" s="242">
        <f>COUNTIF(tblLedger[Client],B13)</f>
        <v/>
      </c>
      <c r="G13" s="675">
        <f>SUMIFS(tblServiceEvents[Confirmed Revenue],tblServiceEvents[Client],B13,tblServiceEvents[Revenue Eligibility],"Eligible")</f>
        <v/>
      </c>
      <c r="H13" s="657">
        <f>IFERROR(G13/COUNTIFS(tblServiceEvents[Client],B13,tblServiceEvents[Revenue Eligibility],"Eligible"),0)</f>
        <v/>
      </c>
      <c r="I13" s="657">
        <f>IFERROR(SUMIFS(tblLedger[Breakdown Amount],tblLedger[Client],B13,tblLedger[Breakdown Confirmed],"Yes")/COUNTIFS(tblLedger[Client],B13,tblLedger[Breakdown Confirmed],"Yes"),0)</f>
        <v/>
      </c>
      <c r="J13" t="n">
        <v>1</v>
      </c>
      <c r="K13" t="n">
        <v>1</v>
      </c>
      <c r="L13">
        <f>IF(E13&gt;1,"Yes","No")</f>
        <v/>
      </c>
      <c r="V13">
        <f>A23</f>
        <v/>
      </c>
      <c r="W13">
        <f>B23</f>
        <v/>
      </c>
      <c r="X13">
        <f>E23</f>
        <v/>
      </c>
      <c r="Y13">
        <f>F23</f>
        <v/>
      </c>
      <c r="Z13" s="657">
        <f>G23</f>
        <v/>
      </c>
      <c r="AA13" s="657">
        <f>H23</f>
        <v/>
      </c>
      <c r="AB13" s="657">
        <f>I23</f>
        <v/>
      </c>
      <c r="AC13">
        <f>L23</f>
        <v/>
      </c>
      <c r="AD13">
        <f>C23</f>
        <v/>
      </c>
      <c r="AE13">
        <f>G23+(1000-C23)/1000000000</f>
        <v/>
      </c>
      <c r="AF13">
        <f>E23+G23/1000000000</f>
        <v/>
      </c>
      <c r="AG13">
        <f>IF(E23&gt;1,H23+G23/1000000000,0)</f>
        <v/>
      </c>
      <c r="AI13" s="663" t="n">
        <v>46155</v>
      </c>
      <c r="AJ13" t="n">
        <v>2</v>
      </c>
      <c r="AK13" t="n">
        <v>1</v>
      </c>
      <c r="AL13" s="657" t="n">
        <v>50</v>
      </c>
      <c r="AM13" s="657" t="n">
        <v>1788</v>
      </c>
      <c r="AN13" s="657" t="n">
        <v>101</v>
      </c>
    </row>
    <row r="14">
      <c r="A14" t="inlineStr">
        <is>
          <t>CL-003</t>
        </is>
      </c>
      <c r="B14" t="inlineStr">
        <is>
          <t>Hampton Inn &amp; Suites</t>
        </is>
      </c>
      <c r="C14">
        <f>MINIFS(tblServiceEvents[Event #],tblServiceEvents[Client],B14)</f>
        <v/>
      </c>
      <c r="D14">
        <f>MAXIFS(tblServiceEvents[Event #],tblServiceEvents[Client],B14)</f>
        <v/>
      </c>
      <c r="E14">
        <f>COUNTIFS(tblServiceEvents[Client],B14,tblServiceEvents[Status],"Completed")</f>
        <v/>
      </c>
      <c r="F14">
        <f>COUNTIF(tblLedger[Client],B14)</f>
        <v/>
      </c>
      <c r="G14" s="657">
        <f>SUMIFS(tblServiceEvents[Confirmed Revenue],tblServiceEvents[Client],B14,tblServiceEvents[Revenue Eligibility],"Eligible")</f>
        <v/>
      </c>
      <c r="H14" s="657">
        <f>IFERROR(G14/COUNTIFS(tblServiceEvents[Client],B14,tblServiceEvents[Revenue Eligibility],"Eligible"),0)</f>
        <v/>
      </c>
      <c r="I14" s="657">
        <f>IFERROR(SUMIFS(tblLedger[Breakdown Amount],tblLedger[Client],B14,tblLedger[Breakdown Confirmed],"Yes")/COUNTIFS(tblLedger[Client],B14,tblLedger[Breakdown Confirmed],"Yes"),0)</f>
        <v/>
      </c>
      <c r="J14" t="n">
        <v>2</v>
      </c>
      <c r="K14" t="n">
        <v>2</v>
      </c>
      <c r="L14">
        <f>IF(E14&gt;1,"Yes","No")</f>
        <v/>
      </c>
      <c r="V14">
        <f>A24</f>
        <v/>
      </c>
      <c r="W14">
        <f>B24</f>
        <v/>
      </c>
      <c r="X14">
        <f>E24</f>
        <v/>
      </c>
      <c r="Y14">
        <f>F24</f>
        <v/>
      </c>
      <c r="Z14" s="657">
        <f>G24</f>
        <v/>
      </c>
      <c r="AA14" s="657">
        <f>H24</f>
        <v/>
      </c>
      <c r="AB14" s="657">
        <f>I24</f>
        <v/>
      </c>
      <c r="AC14">
        <f>L24</f>
        <v/>
      </c>
      <c r="AD14">
        <f>C24</f>
        <v/>
      </c>
      <c r="AE14">
        <f>G24+(1000-C24)/1000000000</f>
        <v/>
      </c>
      <c r="AF14">
        <f>E24+G24/1000000000</f>
        <v/>
      </c>
      <c r="AG14">
        <f>IF(E24&gt;1,H24+G24/1000000000,0)</f>
        <v/>
      </c>
      <c r="AI14" s="663" t="n">
        <v>46156</v>
      </c>
      <c r="AJ14" t="n">
        <v>1</v>
      </c>
      <c r="AK14" t="n">
        <v>1</v>
      </c>
      <c r="AL14" s="657" t="n">
        <v>75</v>
      </c>
      <c r="AM14" s="657" t="n">
        <v>1863</v>
      </c>
      <c r="AN14" s="657" t="n">
        <v>116</v>
      </c>
    </row>
    <row r="15">
      <c r="A15" t="inlineStr">
        <is>
          <t>CL-004</t>
        </is>
      </c>
      <c r="B15" t="inlineStr">
        <is>
          <t>Davis Polk &amp; Wardwell</t>
        </is>
      </c>
      <c r="C15">
        <f>MINIFS(tblServiceEvents[Event #],tblServiceEvents[Client],B15)</f>
        <v/>
      </c>
      <c r="D15">
        <f>MAXIFS(tblServiceEvents[Event #],tblServiceEvents[Client],B15)</f>
        <v/>
      </c>
      <c r="E15">
        <f>COUNTIFS(tblServiceEvents[Client],B15,tblServiceEvents[Status],"Completed")</f>
        <v/>
      </c>
      <c r="F15">
        <f>COUNTIF(tblLedger[Client],B15)</f>
        <v/>
      </c>
      <c r="G15" s="657">
        <f>SUMIFS(tblServiceEvents[Confirmed Revenue],tblServiceEvents[Client],B15,tblServiceEvents[Revenue Eligibility],"Eligible")</f>
        <v/>
      </c>
      <c r="H15" s="657">
        <f>IFERROR(G15/COUNTIFS(tblServiceEvents[Client],B15,tblServiceEvents[Revenue Eligibility],"Eligible"),0)</f>
        <v/>
      </c>
      <c r="I15" s="657">
        <f>IFERROR(SUMIFS(tblLedger[Breakdown Amount],tblLedger[Client],B15,tblLedger[Breakdown Confirmed],"Yes")/COUNTIFS(tblLedger[Client],B15,tblLedger[Breakdown Confirmed],"Yes"),0)</f>
        <v/>
      </c>
      <c r="J15" t="n">
        <v>1</v>
      </c>
      <c r="K15" t="n">
        <v>1</v>
      </c>
      <c r="L15">
        <f>IF(E15&gt;1,"Yes","No")</f>
        <v/>
      </c>
      <c r="V15">
        <f>A25</f>
        <v/>
      </c>
      <c r="W15">
        <f>B25</f>
        <v/>
      </c>
      <c r="X15">
        <f>E25</f>
        <v/>
      </c>
      <c r="Y15">
        <f>F25</f>
        <v/>
      </c>
      <c r="Z15" s="657">
        <f>G25</f>
        <v/>
      </c>
      <c r="AA15" s="657">
        <f>H25</f>
        <v/>
      </c>
      <c r="AB15" s="657">
        <f>I25</f>
        <v/>
      </c>
      <c r="AC15">
        <f>L25</f>
        <v/>
      </c>
      <c r="AD15">
        <f>C25</f>
        <v/>
      </c>
      <c r="AE15">
        <f>G25+(1000-C25)/1000000000</f>
        <v/>
      </c>
      <c r="AF15">
        <f>E25+G25/1000000000</f>
        <v/>
      </c>
      <c r="AG15">
        <f>IF(E25&gt;1,H25+G25/1000000000,0)</f>
        <v/>
      </c>
      <c r="AI15" s="663" t="n">
        <v>46157</v>
      </c>
      <c r="AJ15" t="n">
        <v>1</v>
      </c>
      <c r="AK15" t="n">
        <v>1</v>
      </c>
      <c r="AL15" s="657" t="n">
        <v>45</v>
      </c>
      <c r="AM15" s="657" t="n">
        <v>1908</v>
      </c>
      <c r="AN15" s="657" t="n">
        <v>82.5</v>
      </c>
    </row>
    <row r="16">
      <c r="A16" t="inlineStr">
        <is>
          <t>CL-005</t>
        </is>
      </c>
      <c r="B16" t="inlineStr">
        <is>
          <t>Hebrew Home of Greater Washington</t>
        </is>
      </c>
      <c r="C16">
        <f>MINIFS(tblServiceEvents[Event #],tblServiceEvents[Client],B16)</f>
        <v/>
      </c>
      <c r="D16">
        <f>MAXIFS(tblServiceEvents[Event #],tblServiceEvents[Client],B16)</f>
        <v/>
      </c>
      <c r="E16">
        <f>COUNTIFS(tblServiceEvents[Client],B16,tblServiceEvents[Status],"Completed")</f>
        <v/>
      </c>
      <c r="F16">
        <f>COUNTIF(tblLedger[Client],B16)</f>
        <v/>
      </c>
      <c r="G16" s="657">
        <f>SUMIFS(tblServiceEvents[Confirmed Revenue],tblServiceEvents[Client],B16,tblServiceEvents[Revenue Eligibility],"Eligible")</f>
        <v/>
      </c>
      <c r="H16" s="657">
        <f>IFERROR(G16/COUNTIFS(tblServiceEvents[Client],B16,tblServiceEvents[Revenue Eligibility],"Eligible"),0)</f>
        <v/>
      </c>
      <c r="I16" s="657">
        <f>IFERROR(SUMIFS(tblLedger[Breakdown Amount],tblLedger[Client],B16,tblLedger[Breakdown Confirmed],"Yes")/COUNTIFS(tblLedger[Client],B16,tblLedger[Breakdown Confirmed],"Yes"),0)</f>
        <v/>
      </c>
      <c r="J16" t="n">
        <v>1</v>
      </c>
      <c r="K16" t="n">
        <v>1</v>
      </c>
      <c r="L16">
        <f>IF(E16&gt;1,"Yes","No")</f>
        <v/>
      </c>
      <c r="V16">
        <f>A26</f>
        <v/>
      </c>
      <c r="W16">
        <f>B26</f>
        <v/>
      </c>
      <c r="X16">
        <f>E26</f>
        <v/>
      </c>
      <c r="Y16">
        <f>F26</f>
        <v/>
      </c>
      <c r="Z16" s="657">
        <f>G26</f>
        <v/>
      </c>
      <c r="AA16" s="657">
        <f>H26</f>
        <v/>
      </c>
      <c r="AB16" s="657">
        <f>I26</f>
        <v/>
      </c>
      <c r="AC16">
        <f>L26</f>
        <v/>
      </c>
      <c r="AD16">
        <f>C26</f>
        <v/>
      </c>
      <c r="AE16">
        <f>G26+(1000-C26)/1000000000</f>
        <v/>
      </c>
      <c r="AF16">
        <f>E26+G26/1000000000</f>
        <v/>
      </c>
      <c r="AG16">
        <f>IF(E26&gt;1,H26+G26/1000000000,0)</f>
        <v/>
      </c>
      <c r="AI16" s="663" t="n">
        <v>46161</v>
      </c>
      <c r="AJ16" t="n">
        <v>1</v>
      </c>
      <c r="AK16" t="n">
        <v>1</v>
      </c>
      <c r="AL16" s="657" t="n">
        <v>50</v>
      </c>
      <c r="AM16" s="657" t="n">
        <v>1958</v>
      </c>
      <c r="AN16" s="657" t="n">
        <v>61</v>
      </c>
    </row>
    <row r="17">
      <c r="A17" t="inlineStr">
        <is>
          <t>CL-006</t>
        </is>
      </c>
      <c r="B17" t="inlineStr">
        <is>
          <t>7-Eleven</t>
        </is>
      </c>
      <c r="C17">
        <f>MINIFS(tblServiceEvents[Event #],tblServiceEvents[Client],B17)</f>
        <v/>
      </c>
      <c r="D17">
        <f>MAXIFS(tblServiceEvents[Event #],tblServiceEvents[Client],B17)</f>
        <v/>
      </c>
      <c r="E17">
        <f>COUNTIFS(tblServiceEvents[Client],B17,tblServiceEvents[Status],"Completed")</f>
        <v/>
      </c>
      <c r="F17">
        <f>COUNTIF(tblLedger[Client],B17)</f>
        <v/>
      </c>
      <c r="G17" s="657">
        <f>SUMIFS(tblServiceEvents[Confirmed Revenue],tblServiceEvents[Client],B17,tblServiceEvents[Revenue Eligibility],"Eligible")</f>
        <v/>
      </c>
      <c r="H17" s="657">
        <f>IFERROR(G17/COUNTIFS(tblServiceEvents[Client],B17,tblServiceEvents[Revenue Eligibility],"Eligible"),0)</f>
        <v/>
      </c>
      <c r="I17" s="657">
        <f>IFERROR(SUMIFS(tblLedger[Breakdown Amount],tblLedger[Client],B17,tblLedger[Breakdown Confirmed],"Yes")/COUNTIFS(tblLedger[Client],B17,tblLedger[Breakdown Confirmed],"Yes"),0)</f>
        <v/>
      </c>
      <c r="J17" t="n">
        <v>1</v>
      </c>
      <c r="K17" t="n">
        <v>3</v>
      </c>
      <c r="L17">
        <f>IF(E17&gt;1,"Yes","No")</f>
        <v/>
      </c>
      <c r="V17">
        <f>A27</f>
        <v/>
      </c>
      <c r="W17">
        <f>B27</f>
        <v/>
      </c>
      <c r="X17">
        <f>E27</f>
        <v/>
      </c>
      <c r="Y17">
        <f>F27</f>
        <v/>
      </c>
      <c r="Z17" s="657">
        <f>G27</f>
        <v/>
      </c>
      <c r="AA17" s="657">
        <f>H27</f>
        <v/>
      </c>
      <c r="AB17" s="657">
        <f>I27</f>
        <v/>
      </c>
      <c r="AC17">
        <f>L27</f>
        <v/>
      </c>
      <c r="AD17">
        <f>C27</f>
        <v/>
      </c>
      <c r="AE17">
        <f>G27+(1000-C27)/1000000000</f>
        <v/>
      </c>
      <c r="AF17">
        <f>E27+G27/1000000000</f>
        <v/>
      </c>
      <c r="AG17">
        <f>IF(E27&gt;1,H27+G27/1000000000,0)</f>
        <v/>
      </c>
      <c r="AI17" s="663" t="n">
        <v>46162</v>
      </c>
      <c r="AJ17" t="n">
        <v>1</v>
      </c>
      <c r="AK17" t="n">
        <v>1</v>
      </c>
      <c r="AL17" s="657" t="n">
        <v>106.67</v>
      </c>
      <c r="AM17" s="657" t="n">
        <v>2064.67</v>
      </c>
      <c r="AN17" s="657" t="n">
        <v>65.33</v>
      </c>
    </row>
    <row r="18">
      <c r="A18" t="inlineStr">
        <is>
          <t>CL-007</t>
        </is>
      </c>
      <c r="B18" t="inlineStr">
        <is>
          <t>Giant Food Stores</t>
        </is>
      </c>
      <c r="C18">
        <f>MINIFS(tblServiceEvents[Event #],tblServiceEvents[Client],B18)</f>
        <v/>
      </c>
      <c r="D18">
        <f>MAXIFS(tblServiceEvents[Event #],tblServiceEvents[Client],B18)</f>
        <v/>
      </c>
      <c r="E18">
        <f>COUNTIFS(tblServiceEvents[Client],B18,tblServiceEvents[Status],"Completed")</f>
        <v/>
      </c>
      <c r="F18">
        <f>COUNTIF(tblLedger[Client],B18)</f>
        <v/>
      </c>
      <c r="G18" s="657">
        <f>SUMIFS(tblServiceEvents[Confirmed Revenue],tblServiceEvents[Client],B18,tblServiceEvents[Revenue Eligibility],"Eligible")</f>
        <v/>
      </c>
      <c r="H18" s="657">
        <f>IFERROR(G18/COUNTIFS(tblServiceEvents[Client],B18,tblServiceEvents[Revenue Eligibility],"Eligible"),0)</f>
        <v/>
      </c>
      <c r="I18" s="657">
        <f>IFERROR(SUMIFS(tblLedger[Breakdown Amount],tblLedger[Client],B18,tblLedger[Breakdown Confirmed],"Yes")/COUNTIFS(tblLedger[Client],B18,tblLedger[Breakdown Confirmed],"Yes"),0)</f>
        <v/>
      </c>
      <c r="J18" t="n">
        <v>2</v>
      </c>
      <c r="K18" t="n">
        <v>3</v>
      </c>
      <c r="L18">
        <f>IF(E18&gt;1,"Yes","No")</f>
        <v/>
      </c>
      <c r="V18">
        <f>A28</f>
        <v/>
      </c>
      <c r="W18">
        <f>B28</f>
        <v/>
      </c>
      <c r="X18">
        <f>E28</f>
        <v/>
      </c>
      <c r="Y18">
        <f>F28</f>
        <v/>
      </c>
      <c r="Z18" s="657">
        <f>G28</f>
        <v/>
      </c>
      <c r="AA18" s="657">
        <f>H28</f>
        <v/>
      </c>
      <c r="AB18" s="657">
        <f>I28</f>
        <v/>
      </c>
      <c r="AC18">
        <f>L28</f>
        <v/>
      </c>
      <c r="AD18">
        <f>C28</f>
        <v/>
      </c>
      <c r="AE18">
        <f>G28+(1000-C28)/1000000000</f>
        <v/>
      </c>
      <c r="AF18">
        <f>E28+G28/1000000000</f>
        <v/>
      </c>
      <c r="AG18">
        <f>IF(E28&gt;1,H28+G28/1000000000,0)</f>
        <v/>
      </c>
      <c r="AI18" s="663" t="n">
        <v>46163</v>
      </c>
      <c r="AJ18" t="n">
        <v>2</v>
      </c>
      <c r="AK18" t="n">
        <v>2</v>
      </c>
      <c r="AL18" s="657" t="n">
        <v>265.83</v>
      </c>
      <c r="AM18" s="657" t="n">
        <v>2330.5</v>
      </c>
      <c r="AN18" s="657" t="n">
        <v>108.5</v>
      </c>
    </row>
    <row r="19">
      <c r="A19" t="inlineStr">
        <is>
          <t>CL-008</t>
        </is>
      </c>
      <c r="B19" t="inlineStr">
        <is>
          <t>Food Lion</t>
        </is>
      </c>
      <c r="C19">
        <f>MINIFS(tblServiceEvents[Event #],tblServiceEvents[Client],B19)</f>
        <v/>
      </c>
      <c r="D19">
        <f>MAXIFS(tblServiceEvents[Event #],tblServiceEvents[Client],B19)</f>
        <v/>
      </c>
      <c r="E19">
        <f>COUNTIFS(tblServiceEvents[Client],B19,tblServiceEvents[Status],"Completed")</f>
        <v/>
      </c>
      <c r="F19">
        <f>COUNTIF(tblLedger[Client],B19)</f>
        <v/>
      </c>
      <c r="G19" s="657">
        <f>SUMIFS(tblServiceEvents[Confirmed Revenue],tblServiceEvents[Client],B19,tblServiceEvents[Revenue Eligibility],"Eligible")</f>
        <v/>
      </c>
      <c r="H19" s="657">
        <f>IFERROR(G19/COUNTIFS(tblServiceEvents[Client],B19,tblServiceEvents[Revenue Eligibility],"Eligible"),0)</f>
        <v/>
      </c>
      <c r="I19" s="657">
        <f>IFERROR(SUMIFS(tblLedger[Breakdown Amount],tblLedger[Client],B19,tblLedger[Breakdown Confirmed],"Yes")/COUNTIFS(tblLedger[Client],B19,tblLedger[Breakdown Confirmed],"Yes"),0)</f>
        <v/>
      </c>
      <c r="J19" t="n">
        <v>2</v>
      </c>
      <c r="K19" t="n">
        <v>3</v>
      </c>
      <c r="L19">
        <f>IF(E19&gt;1,"Yes","No")</f>
        <v/>
      </c>
      <c r="V19">
        <f>A29</f>
        <v/>
      </c>
      <c r="W19">
        <f>B29</f>
        <v/>
      </c>
      <c r="X19">
        <f>E29</f>
        <v/>
      </c>
      <c r="Y19">
        <f>F29</f>
        <v/>
      </c>
      <c r="Z19" s="657">
        <f>G29</f>
        <v/>
      </c>
      <c r="AA19" s="657">
        <f>H29</f>
        <v/>
      </c>
      <c r="AB19" s="657">
        <f>I29</f>
        <v/>
      </c>
      <c r="AC19">
        <f>L29</f>
        <v/>
      </c>
      <c r="AD19">
        <f>C29</f>
        <v/>
      </c>
      <c r="AE19">
        <f>G29+(1000-C29)/1000000000</f>
        <v/>
      </c>
      <c r="AF19">
        <f>E29+G29/1000000000</f>
        <v/>
      </c>
      <c r="AG19">
        <f>IF(E29&gt;1,H29+G29/1000000000,0)</f>
        <v/>
      </c>
      <c r="AI19" s="663" t="n">
        <v>46168</v>
      </c>
      <c r="AJ19" t="n">
        <v>2</v>
      </c>
      <c r="AK19" t="n">
        <v>2</v>
      </c>
      <c r="AL19" s="657" t="n">
        <v>147.91</v>
      </c>
      <c r="AM19" s="657" t="n">
        <v>2478.41</v>
      </c>
      <c r="AN19" s="657" t="n">
        <v>123.08</v>
      </c>
    </row>
    <row r="20">
      <c r="A20" t="inlineStr">
        <is>
          <t>CL-009</t>
        </is>
      </c>
      <c r="B20" t="inlineStr">
        <is>
          <t>Weis Markets</t>
        </is>
      </c>
      <c r="C20">
        <f>MINIFS(tblServiceEvents[Event #],tblServiceEvents[Client],B20)</f>
        <v/>
      </c>
      <c r="D20">
        <f>MAXIFS(tblServiceEvents[Event #],tblServiceEvents[Client],B20)</f>
        <v/>
      </c>
      <c r="E20">
        <f>COUNTIFS(tblServiceEvents[Client],B20,tblServiceEvents[Status],"Completed")</f>
        <v/>
      </c>
      <c r="F20">
        <f>COUNTIF(tblLedger[Client],B20)</f>
        <v/>
      </c>
      <c r="G20" s="657">
        <f>SUMIFS(tblServiceEvents[Confirmed Revenue],tblServiceEvents[Client],B20,tblServiceEvents[Revenue Eligibility],"Eligible")</f>
        <v/>
      </c>
      <c r="H20" s="657">
        <f>IFERROR(G20/COUNTIFS(tblServiceEvents[Client],B20,tblServiceEvents[Revenue Eligibility],"Eligible"),0)</f>
        <v/>
      </c>
      <c r="I20" s="657">
        <f>IFERROR(SUMIFS(tblLedger[Breakdown Amount],tblLedger[Client],B20,tblLedger[Breakdown Confirmed],"Yes")/COUNTIFS(tblLedger[Client],B20,tblLedger[Breakdown Confirmed],"Yes"),0)</f>
        <v/>
      </c>
      <c r="J20" t="n">
        <v>2</v>
      </c>
      <c r="K20" t="n">
        <v>2</v>
      </c>
      <c r="L20">
        <f>IF(E20&gt;1,"Yes","No")</f>
        <v/>
      </c>
      <c r="V20">
        <f>A30</f>
        <v/>
      </c>
      <c r="W20">
        <f>B30</f>
        <v/>
      </c>
      <c r="X20">
        <f>E30</f>
        <v/>
      </c>
      <c r="Y20">
        <f>F30</f>
        <v/>
      </c>
      <c r="Z20" s="657">
        <f>G30</f>
        <v/>
      </c>
      <c r="AA20" s="657">
        <f>H30</f>
        <v/>
      </c>
      <c r="AB20" s="657">
        <f>I30</f>
        <v/>
      </c>
      <c r="AC20">
        <f>L30</f>
        <v/>
      </c>
      <c r="AD20">
        <f>C30</f>
        <v/>
      </c>
      <c r="AE20">
        <f>G30+(1000-C30)/1000000000</f>
        <v/>
      </c>
      <c r="AF20">
        <f>E30+G30/1000000000</f>
        <v/>
      </c>
      <c r="AG20">
        <f>IF(E30&gt;1,H30+G30/1000000000,0)</f>
        <v/>
      </c>
      <c r="AI20" s="663" t="n">
        <v>46169</v>
      </c>
      <c r="AJ20" t="n">
        <v>2</v>
      </c>
      <c r="AK20" t="n">
        <v>1</v>
      </c>
      <c r="AL20" s="657" t="n">
        <v>200</v>
      </c>
      <c r="AM20" s="657" t="n">
        <v>2678.41</v>
      </c>
      <c r="AN20" s="657" t="n">
        <v>154.08</v>
      </c>
    </row>
    <row r="21">
      <c r="A21" t="inlineStr">
        <is>
          <t>CL-010</t>
        </is>
      </c>
      <c r="B21" t="inlineStr">
        <is>
          <t>Office of MD Senator Chris Van Hollen</t>
        </is>
      </c>
      <c r="C21">
        <f>MINIFS(tblServiceEvents[Event #],tblServiceEvents[Client],B21)</f>
        <v/>
      </c>
      <c r="D21">
        <f>MAXIFS(tblServiceEvents[Event #],tblServiceEvents[Client],B21)</f>
        <v/>
      </c>
      <c r="E21">
        <f>COUNTIFS(tblServiceEvents[Client],B21,tblServiceEvents[Status],"Completed")</f>
        <v/>
      </c>
      <c r="F21">
        <f>COUNTIF(tblLedger[Client],B21)</f>
        <v/>
      </c>
      <c r="G21" s="657">
        <f>SUMIFS(tblServiceEvents[Confirmed Revenue],tblServiceEvents[Client],B21,tblServiceEvents[Revenue Eligibility],"Eligible")</f>
        <v/>
      </c>
      <c r="H21" s="657">
        <f>IFERROR(G21/COUNTIFS(tblServiceEvents[Client],B21,tblServiceEvents[Revenue Eligibility],"Eligible"),0)</f>
        <v/>
      </c>
      <c r="I21" s="657">
        <f>IFERROR(SUMIFS(tblLedger[Breakdown Amount],tblLedger[Client],B21,tblLedger[Breakdown Confirmed],"Yes")/COUNTIFS(tblLedger[Client],B21,tblLedger[Breakdown Confirmed],"Yes"),0)</f>
        <v/>
      </c>
      <c r="J21" t="n">
        <v>1</v>
      </c>
      <c r="K21" t="n">
        <v>1</v>
      </c>
      <c r="L21">
        <f>IF(E21&gt;1,"Yes","No")</f>
        <v/>
      </c>
      <c r="V21">
        <f>A31</f>
        <v/>
      </c>
      <c r="W21">
        <f>B31</f>
        <v/>
      </c>
      <c r="X21">
        <f>E31</f>
        <v/>
      </c>
      <c r="Y21">
        <f>F31</f>
        <v/>
      </c>
      <c r="Z21" s="657">
        <f>G31</f>
        <v/>
      </c>
      <c r="AA21" s="657">
        <f>H31</f>
        <v/>
      </c>
      <c r="AB21" s="657">
        <f>I31</f>
        <v/>
      </c>
      <c r="AC21">
        <f>L31</f>
        <v/>
      </c>
      <c r="AD21">
        <f>C31</f>
        <v/>
      </c>
      <c r="AE21">
        <f>G31+(1000-C31)/1000000000</f>
        <v/>
      </c>
      <c r="AF21">
        <f>E31+G31/1000000000</f>
        <v/>
      </c>
      <c r="AG21">
        <f>IF(E31&gt;1,H31+G31/1000000000,0)</f>
        <v/>
      </c>
      <c r="AI21" s="663" t="n">
        <v>46170</v>
      </c>
      <c r="AJ21" t="n">
        <v>2</v>
      </c>
      <c r="AK21" t="n">
        <v>1</v>
      </c>
      <c r="AL21" s="657" t="n">
        <v>175</v>
      </c>
      <c r="AM21" s="657" t="n">
        <v>2853.41</v>
      </c>
      <c r="AN21" s="657" t="n">
        <v>179.08</v>
      </c>
    </row>
    <row r="22">
      <c r="A22" t="inlineStr">
        <is>
          <t>CL-011</t>
        </is>
      </c>
      <c r="B22" t="inlineStr">
        <is>
          <t>Residential – Annapolis Neck, MD</t>
        </is>
      </c>
      <c r="C22">
        <f>MINIFS(tblServiceEvents[Event #],tblServiceEvents[Client],B22)</f>
        <v/>
      </c>
      <c r="D22">
        <f>MAXIFS(tblServiceEvents[Event #],tblServiceEvents[Client],B22)</f>
        <v/>
      </c>
      <c r="E22">
        <f>COUNTIFS(tblServiceEvents[Client],B22,tblServiceEvents[Status],"Completed")</f>
        <v/>
      </c>
      <c r="F22">
        <f>COUNTIF(tblLedger[Client],B22)</f>
        <v/>
      </c>
      <c r="G22" s="657">
        <f>SUMIFS(tblServiceEvents[Confirmed Revenue],tblServiceEvents[Client],B22,tblServiceEvents[Revenue Eligibility],"Eligible")</f>
        <v/>
      </c>
      <c r="H22" s="657">
        <f>IFERROR(G22/COUNTIFS(tblServiceEvents[Client],B22,tblServiceEvents[Revenue Eligibility],"Eligible"),0)</f>
        <v/>
      </c>
      <c r="I22" s="657">
        <f>IFERROR(SUMIFS(tblLedger[Breakdown Amount],tblLedger[Client],B22,tblLedger[Breakdown Confirmed],"Yes")/COUNTIFS(tblLedger[Client],B22,tblLedger[Breakdown Confirmed],"Yes"),0)</f>
        <v/>
      </c>
      <c r="J22" t="n">
        <v>1</v>
      </c>
      <c r="K22" t="n">
        <v>1</v>
      </c>
      <c r="L22">
        <f>IF(E22&gt;1,"Yes","No")</f>
        <v/>
      </c>
      <c r="V22">
        <f>A32</f>
        <v/>
      </c>
      <c r="W22">
        <f>B32</f>
        <v/>
      </c>
      <c r="X22">
        <f>E32</f>
        <v/>
      </c>
      <c r="Y22">
        <f>F32</f>
        <v/>
      </c>
      <c r="Z22" s="657">
        <f>G32</f>
        <v/>
      </c>
      <c r="AA22" s="657">
        <f>H32</f>
        <v/>
      </c>
      <c r="AB22" s="657">
        <f>I32</f>
        <v/>
      </c>
      <c r="AC22">
        <f>L32</f>
        <v/>
      </c>
      <c r="AD22">
        <f>C32</f>
        <v/>
      </c>
      <c r="AE22">
        <f>G32+(1000-C32)/1000000000</f>
        <v/>
      </c>
      <c r="AF22">
        <f>E32+G32/1000000000</f>
        <v/>
      </c>
      <c r="AG22">
        <f>IF(E32&gt;1,H32+G32/1000000000,0)</f>
        <v/>
      </c>
      <c r="AI22" s="663" t="n">
        <v>46174</v>
      </c>
      <c r="AJ22" t="n">
        <v>1</v>
      </c>
      <c r="AK22" t="n">
        <v>1</v>
      </c>
      <c r="AL22" s="657" t="n">
        <v>320</v>
      </c>
      <c r="AM22" s="657" t="n">
        <v>3173.41</v>
      </c>
      <c r="AN22" s="657" t="n">
        <v>221.75</v>
      </c>
    </row>
    <row r="23">
      <c r="A23" t="inlineStr">
        <is>
          <t>CL-012</t>
        </is>
      </c>
      <c r="B23" t="inlineStr">
        <is>
          <t>Verizon</t>
        </is>
      </c>
      <c r="C23">
        <f>MINIFS(tblServiceEvents[Event #],tblServiceEvents[Client],B23)</f>
        <v/>
      </c>
      <c r="D23">
        <f>MAXIFS(tblServiceEvents[Event #],tblServiceEvents[Client],B23)</f>
        <v/>
      </c>
      <c r="E23">
        <f>COUNTIFS(tblServiceEvents[Client],B23,tblServiceEvents[Status],"Completed")</f>
        <v/>
      </c>
      <c r="F23">
        <f>COUNTIF(tblLedger[Client],B23)</f>
        <v/>
      </c>
      <c r="G23" s="657">
        <f>SUMIFS(tblServiceEvents[Confirmed Revenue],tblServiceEvents[Client],B23,tblServiceEvents[Revenue Eligibility],"Eligible")</f>
        <v/>
      </c>
      <c r="H23" s="657">
        <f>IFERROR(G23/COUNTIFS(tblServiceEvents[Client],B23,tblServiceEvents[Revenue Eligibility],"Eligible"),0)</f>
        <v/>
      </c>
      <c r="I23" s="657">
        <f>IFERROR(SUMIFS(tblLedger[Breakdown Amount],tblLedger[Client],B23,tblLedger[Breakdown Confirmed],"Yes")/COUNTIFS(tblLedger[Client],B23,tblLedger[Breakdown Confirmed],"Yes"),0)</f>
        <v/>
      </c>
      <c r="J23" t="n">
        <v>1</v>
      </c>
      <c r="K23" t="n">
        <v>3</v>
      </c>
      <c r="L23">
        <f>IF(E23&gt;1,"Yes","No")</f>
        <v/>
      </c>
      <c r="V23">
        <f>A33</f>
        <v/>
      </c>
      <c r="W23">
        <f>B33</f>
        <v/>
      </c>
      <c r="X23">
        <f>E33</f>
        <v/>
      </c>
      <c r="Y23">
        <f>F33</f>
        <v/>
      </c>
      <c r="Z23" s="657">
        <f>G33</f>
        <v/>
      </c>
      <c r="AA23" s="657">
        <f>H33</f>
        <v/>
      </c>
      <c r="AB23" s="657">
        <f>I33</f>
        <v/>
      </c>
      <c r="AC23">
        <f>L33</f>
        <v/>
      </c>
      <c r="AD23">
        <f>C33</f>
        <v/>
      </c>
      <c r="AE23">
        <f>G33+(1000-C33)/1000000000</f>
        <v/>
      </c>
      <c r="AF23">
        <f>E33+G33/1000000000</f>
        <v/>
      </c>
      <c r="AG23">
        <f>IF(E33&gt;1,H33+G33/1000000000,0)</f>
        <v/>
      </c>
      <c r="AI23" s="663" t="n">
        <v>46175</v>
      </c>
      <c r="AJ23" t="n">
        <v>1</v>
      </c>
      <c r="AK23" t="n">
        <v>1</v>
      </c>
      <c r="AL23" s="657" t="n">
        <v>320</v>
      </c>
      <c r="AM23" s="657" t="n">
        <v>3493.41</v>
      </c>
      <c r="AN23" s="657" t="n">
        <v>232.58</v>
      </c>
    </row>
    <row r="24">
      <c r="A24" t="inlineStr">
        <is>
          <t>CL-013</t>
        </is>
      </c>
      <c r="B24" t="inlineStr">
        <is>
          <t>Atrium Village</t>
        </is>
      </c>
      <c r="C24">
        <f>MINIFS(tblServiceEvents[Event #],tblServiceEvents[Client],B24)</f>
        <v/>
      </c>
      <c r="D24">
        <f>MAXIFS(tblServiceEvents[Event #],tblServiceEvents[Client],B24)</f>
        <v/>
      </c>
      <c r="E24">
        <f>COUNTIFS(tblServiceEvents[Client],B24,tblServiceEvents[Status],"Completed")</f>
        <v/>
      </c>
      <c r="F24">
        <f>COUNTIF(tblLedger[Client],B24)</f>
        <v/>
      </c>
      <c r="G24" s="657">
        <f>SUMIFS(tblServiceEvents[Confirmed Revenue],tblServiceEvents[Client],B24,tblServiceEvents[Revenue Eligibility],"Eligible")</f>
        <v/>
      </c>
      <c r="H24" s="657">
        <f>IFERROR(G24/COUNTIFS(tblServiceEvents[Client],B24,tblServiceEvents[Revenue Eligibility],"Eligible"),0)</f>
        <v/>
      </c>
      <c r="I24" s="657">
        <f>IFERROR(SUMIFS(tblLedger[Breakdown Amount],tblLedger[Client],B24,tblLedger[Breakdown Confirmed],"Yes")/COUNTIFS(tblLedger[Client],B24,tblLedger[Breakdown Confirmed],"Yes"),0)</f>
        <v/>
      </c>
      <c r="J24" t="n">
        <v>1</v>
      </c>
      <c r="K24" t="n">
        <v>1</v>
      </c>
      <c r="L24">
        <f>IF(E24&gt;1,"Yes","No")</f>
        <v/>
      </c>
      <c r="V24">
        <f>A34</f>
        <v/>
      </c>
      <c r="W24">
        <f>B34</f>
        <v/>
      </c>
      <c r="X24">
        <f>E34</f>
        <v/>
      </c>
      <c r="Y24">
        <f>F34</f>
        <v/>
      </c>
      <c r="Z24" s="657">
        <f>G34</f>
        <v/>
      </c>
      <c r="AA24" s="657">
        <f>H34</f>
        <v/>
      </c>
      <c r="AB24" s="657">
        <f>I34</f>
        <v/>
      </c>
      <c r="AC24">
        <f>L34</f>
        <v/>
      </c>
      <c r="AD24">
        <f>C34</f>
        <v/>
      </c>
      <c r="AE24">
        <f>G34+(1000-C34)/1000000000</f>
        <v/>
      </c>
      <c r="AF24">
        <f>E34+G34/1000000000</f>
        <v/>
      </c>
      <c r="AG24">
        <f>IF(E34&gt;1,H34+G34/1000000000,0)</f>
        <v/>
      </c>
      <c r="AI24" s="663" t="n">
        <v>46176</v>
      </c>
      <c r="AJ24" t="n">
        <v>2</v>
      </c>
      <c r="AK24" t="n">
        <v>2</v>
      </c>
      <c r="AL24" s="657" t="n">
        <v>296.66</v>
      </c>
      <c r="AM24" s="657" t="n">
        <v>3790.07</v>
      </c>
      <c r="AN24" s="657" t="n">
        <v>262.33</v>
      </c>
    </row>
    <row r="25">
      <c r="A25" t="inlineStr">
        <is>
          <t>CL-014</t>
        </is>
      </c>
      <c r="B25" t="inlineStr">
        <is>
          <t>Maryland Baptist Age Home</t>
        </is>
      </c>
      <c r="C25">
        <f>MINIFS(tblServiceEvents[Event #],tblServiceEvents[Client],B25)</f>
        <v/>
      </c>
      <c r="D25">
        <f>MAXIFS(tblServiceEvents[Event #],tblServiceEvents[Client],B25)</f>
        <v/>
      </c>
      <c r="E25">
        <f>COUNTIFS(tblServiceEvents[Client],B25,tblServiceEvents[Status],"Completed")</f>
        <v/>
      </c>
      <c r="F25">
        <f>COUNTIF(tblLedger[Client],B25)</f>
        <v/>
      </c>
      <c r="G25" s="657">
        <f>SUMIFS(tblServiceEvents[Confirmed Revenue],tblServiceEvents[Client],B25,tblServiceEvents[Revenue Eligibility],"Eligible")</f>
        <v/>
      </c>
      <c r="H25" s="657">
        <f>IFERROR(G25/COUNTIFS(tblServiceEvents[Client],B25,tblServiceEvents[Revenue Eligibility],"Eligible"),0)</f>
        <v/>
      </c>
      <c r="I25" s="657">
        <f>IFERROR(SUMIFS(tblLedger[Breakdown Amount],tblLedger[Client],B25,tblLedger[Breakdown Confirmed],"Yes")/COUNTIFS(tblLedger[Client],B25,tblLedger[Breakdown Confirmed],"Yes"),0)</f>
        <v/>
      </c>
      <c r="J25" t="n">
        <v>1</v>
      </c>
      <c r="K25" t="n">
        <v>1</v>
      </c>
      <c r="L25">
        <f>IF(E25&gt;1,"Yes","No")</f>
        <v/>
      </c>
      <c r="V25">
        <f>A35</f>
        <v/>
      </c>
      <c r="W25">
        <f>B35</f>
        <v/>
      </c>
      <c r="X25">
        <f>E35</f>
        <v/>
      </c>
      <c r="Y25">
        <f>F35</f>
        <v/>
      </c>
      <c r="Z25" s="657">
        <f>G35</f>
        <v/>
      </c>
      <c r="AA25" s="657">
        <f>H35</f>
        <v/>
      </c>
      <c r="AB25" s="657">
        <f>I35</f>
        <v/>
      </c>
      <c r="AC25">
        <f>L35</f>
        <v/>
      </c>
      <c r="AD25">
        <f>C35</f>
        <v/>
      </c>
      <c r="AE25">
        <f>G35+(1000-C35)/1000000000</f>
        <v/>
      </c>
      <c r="AF25">
        <f>E35+G35/1000000000</f>
        <v/>
      </c>
      <c r="AG25">
        <f>IF(E35&gt;1,H35+G35/1000000000,0)</f>
        <v/>
      </c>
      <c r="AI25" s="663" t="n">
        <v>46177</v>
      </c>
      <c r="AJ25" t="n">
        <v>1</v>
      </c>
      <c r="AK25" t="n">
        <v>1</v>
      </c>
      <c r="AL25" s="657" t="n">
        <v>140</v>
      </c>
      <c r="AM25" s="657" t="n">
        <v>3930.07</v>
      </c>
      <c r="AN25" s="657" t="n">
        <v>250.33</v>
      </c>
    </row>
    <row r="26">
      <c r="A26" t="inlineStr">
        <is>
          <t>CL-015</t>
        </is>
      </c>
      <c r="B26" t="inlineStr">
        <is>
          <t>Under Armour</t>
        </is>
      </c>
      <c r="C26">
        <f>MINIFS(tblServiceEvents[Event #],tblServiceEvents[Client],B26)</f>
        <v/>
      </c>
      <c r="D26">
        <f>MAXIFS(tblServiceEvents[Event #],tblServiceEvents[Client],B26)</f>
        <v/>
      </c>
      <c r="E26">
        <f>COUNTIFS(tblServiceEvents[Client],B26,tblServiceEvents[Status],"Completed")</f>
        <v/>
      </c>
      <c r="F26">
        <f>COUNTIF(tblLedger[Client],B26)</f>
        <v/>
      </c>
      <c r="G26" s="657">
        <f>SUMIFS(tblServiceEvents[Confirmed Revenue],tblServiceEvents[Client],B26,tblServiceEvents[Revenue Eligibility],"Eligible")</f>
        <v/>
      </c>
      <c r="H26" s="657">
        <f>IFERROR(G26/COUNTIFS(tblServiceEvents[Client],B26,tblServiceEvents[Revenue Eligibility],"Eligible"),0)</f>
        <v/>
      </c>
      <c r="I26" s="657">
        <f>IFERROR(SUMIFS(tblLedger[Breakdown Amount],tblLedger[Client],B26,tblLedger[Breakdown Confirmed],"Yes")/COUNTIFS(tblLedger[Client],B26,tblLedger[Breakdown Confirmed],"Yes"),0)</f>
        <v/>
      </c>
      <c r="J26" t="n">
        <v>1</v>
      </c>
      <c r="K26" t="n">
        <v>1</v>
      </c>
      <c r="L26">
        <f>IF(E26&gt;1,"Yes","No")</f>
        <v/>
      </c>
      <c r="V26">
        <f>A36</f>
        <v/>
      </c>
      <c r="W26">
        <f>B36</f>
        <v/>
      </c>
      <c r="X26">
        <f>E36</f>
        <v/>
      </c>
      <c r="Y26">
        <f>F36</f>
        <v/>
      </c>
      <c r="Z26" s="657">
        <f>G36</f>
        <v/>
      </c>
      <c r="AA26" s="657">
        <f>H36</f>
        <v/>
      </c>
      <c r="AB26" s="657">
        <f>I36</f>
        <v/>
      </c>
      <c r="AC26">
        <f>L36</f>
        <v/>
      </c>
      <c r="AD26">
        <f>C36</f>
        <v/>
      </c>
      <c r="AE26">
        <f>G36+(1000-C36)/1000000000</f>
        <v/>
      </c>
      <c r="AF26">
        <f>E36+G36/1000000000</f>
        <v/>
      </c>
      <c r="AG26">
        <f>IF(E36&gt;1,H36+G36/1000000000,0)</f>
        <v/>
      </c>
      <c r="AI26" s="663" t="n">
        <v>46178</v>
      </c>
      <c r="AJ26" t="n">
        <v>3</v>
      </c>
      <c r="AK26" t="n">
        <v>3</v>
      </c>
      <c r="AL26" s="657" t="n">
        <v>145</v>
      </c>
      <c r="AM26" s="657" t="n">
        <v>4075.07</v>
      </c>
      <c r="AN26" s="657" t="n">
        <v>244.33</v>
      </c>
    </row>
    <row r="27">
      <c r="A27" t="inlineStr">
        <is>
          <t>CL-016</t>
        </is>
      </c>
      <c r="B27" t="inlineStr">
        <is>
          <t>HomeGoods</t>
        </is>
      </c>
      <c r="C27">
        <f>MINIFS(tblServiceEvents[Event #],tblServiceEvents[Client],B27)</f>
        <v/>
      </c>
      <c r="D27">
        <f>MAXIFS(tblServiceEvents[Event #],tblServiceEvents[Client],B27)</f>
        <v/>
      </c>
      <c r="E27">
        <f>COUNTIFS(tblServiceEvents[Client],B27,tblServiceEvents[Status],"Completed")</f>
        <v/>
      </c>
      <c r="F27">
        <f>COUNTIF(tblLedger[Client],B27)</f>
        <v/>
      </c>
      <c r="G27" s="657">
        <f>SUMIFS(tblServiceEvents[Confirmed Revenue],tblServiceEvents[Client],B27,tblServiceEvents[Revenue Eligibility],"Eligible")</f>
        <v/>
      </c>
      <c r="H27" s="657">
        <f>IFERROR(G27/COUNTIFS(tblServiceEvents[Client],B27,tblServiceEvents[Revenue Eligibility],"Eligible"),0)</f>
        <v/>
      </c>
      <c r="I27" s="657">
        <f>IFERROR(SUMIFS(tblLedger[Breakdown Amount],tblLedger[Client],B27,tblLedger[Breakdown Confirmed],"Yes")/COUNTIFS(tblLedger[Client],B27,tblLedger[Breakdown Confirmed],"Yes"),0)</f>
        <v/>
      </c>
      <c r="J27" t="n">
        <v>2</v>
      </c>
      <c r="K27" t="n">
        <v>2</v>
      </c>
      <c r="L27">
        <f>IF(E27&gt;1,"Yes","No")</f>
        <v/>
      </c>
      <c r="V27">
        <f>A37</f>
        <v/>
      </c>
      <c r="W27">
        <f>B37</f>
        <v/>
      </c>
      <c r="X27">
        <f>E37</f>
        <v/>
      </c>
      <c r="Y27">
        <f>F37</f>
        <v/>
      </c>
      <c r="Z27" s="657">
        <f>G37</f>
        <v/>
      </c>
      <c r="AA27" s="657">
        <f>H37</f>
        <v/>
      </c>
      <c r="AB27" s="657">
        <f>I37</f>
        <v/>
      </c>
      <c r="AC27">
        <f>L37</f>
        <v/>
      </c>
      <c r="AD27">
        <f>C37</f>
        <v/>
      </c>
      <c r="AE27">
        <f>G37+(1000-C37)/1000000000</f>
        <v/>
      </c>
      <c r="AF27">
        <f>E37+G37/1000000000</f>
        <v/>
      </c>
      <c r="AG27">
        <f>IF(E37&gt;1,H37+G37/1000000000,0)</f>
        <v/>
      </c>
      <c r="AI27" s="663" t="n">
        <v>46181</v>
      </c>
      <c r="AJ27" t="n">
        <v>1</v>
      </c>
      <c r="AK27" t="n">
        <v>1</v>
      </c>
      <c r="AL27" s="657" t="n">
        <v>70</v>
      </c>
      <c r="AM27" s="657" t="n">
        <v>4145.07</v>
      </c>
      <c r="AN27" s="657" t="n">
        <v>194.33</v>
      </c>
    </row>
    <row r="28">
      <c r="A28" t="inlineStr">
        <is>
          <t>CL-017</t>
        </is>
      </c>
      <c r="B28" t="inlineStr">
        <is>
          <t>Joint Base Andrews</t>
        </is>
      </c>
      <c r="C28">
        <f>MINIFS(tblServiceEvents[Event #],tblServiceEvents[Client],B28)</f>
        <v/>
      </c>
      <c r="D28">
        <f>MAXIFS(tblServiceEvents[Event #],tblServiceEvents[Client],B28)</f>
        <v/>
      </c>
      <c r="E28">
        <f>COUNTIFS(tblServiceEvents[Client],B28,tblServiceEvents[Status],"Completed")</f>
        <v/>
      </c>
      <c r="F28">
        <f>COUNTIF(tblLedger[Client],B28)</f>
        <v/>
      </c>
      <c r="G28" s="657">
        <f>SUMIFS(tblServiceEvents[Confirmed Revenue],tblServiceEvents[Client],B28,tblServiceEvents[Revenue Eligibility],"Eligible")</f>
        <v/>
      </c>
      <c r="H28" s="657">
        <f>IFERROR(G28/COUNTIFS(tblServiceEvents[Client],B28,tblServiceEvents[Revenue Eligibility],"Eligible"),0)</f>
        <v/>
      </c>
      <c r="I28" s="657">
        <f>IFERROR(SUMIFS(tblLedger[Breakdown Amount],tblLedger[Client],B28,tblLedger[Breakdown Confirmed],"Yes")/COUNTIFS(tblLedger[Client],B28,tblLedger[Breakdown Confirmed],"Yes"),0)</f>
        <v/>
      </c>
      <c r="J28" t="n">
        <v>1</v>
      </c>
      <c r="K28" t="n">
        <v>1</v>
      </c>
      <c r="L28">
        <f>IF(E28&gt;1,"Yes","No")</f>
        <v/>
      </c>
      <c r="V28">
        <f>A38</f>
        <v/>
      </c>
      <c r="W28">
        <f>B38</f>
        <v/>
      </c>
      <c r="X28">
        <f>E38</f>
        <v/>
      </c>
      <c r="Y28">
        <f>F38</f>
        <v/>
      </c>
      <c r="Z28" s="657">
        <f>G38</f>
        <v/>
      </c>
      <c r="AA28" s="657">
        <f>H38</f>
        <v/>
      </c>
      <c r="AB28" s="657">
        <f>I38</f>
        <v/>
      </c>
      <c r="AC28">
        <f>L38</f>
        <v/>
      </c>
      <c r="AD28">
        <f>C38</f>
        <v/>
      </c>
      <c r="AE28">
        <f>G38+(1000-C38)/1000000000</f>
        <v/>
      </c>
      <c r="AF28">
        <f>E38+G38/1000000000</f>
        <v/>
      </c>
      <c r="AG28">
        <f>IF(E38&gt;1,H38+G38/1000000000,0)</f>
        <v/>
      </c>
      <c r="AI28" s="663" t="n">
        <v>46182</v>
      </c>
      <c r="AJ28" t="n">
        <v>2</v>
      </c>
      <c r="AK28" t="n">
        <v>2</v>
      </c>
      <c r="AL28" s="657" t="n">
        <v>155</v>
      </c>
      <c r="AM28" s="657" t="n">
        <v>4300.07</v>
      </c>
      <c r="AN28" s="657" t="n">
        <v>161.33</v>
      </c>
    </row>
    <row r="29">
      <c r="A29" t="inlineStr">
        <is>
          <t>CL-018</t>
        </is>
      </c>
      <c r="B29" t="inlineStr">
        <is>
          <t>USDA</t>
        </is>
      </c>
      <c r="C29">
        <f>MINIFS(tblServiceEvents[Event #],tblServiceEvents[Client],B29)</f>
        <v/>
      </c>
      <c r="D29">
        <f>MAXIFS(tblServiceEvents[Event #],tblServiceEvents[Client],B29)</f>
        <v/>
      </c>
      <c r="E29">
        <f>COUNTIFS(tblServiceEvents[Client],B29,tblServiceEvents[Status],"Completed")</f>
        <v/>
      </c>
      <c r="F29">
        <f>COUNTIF(tblLedger[Client],B29)</f>
        <v/>
      </c>
      <c r="G29" s="657">
        <f>SUMIFS(tblServiceEvents[Confirmed Revenue],tblServiceEvents[Client],B29,tblServiceEvents[Revenue Eligibility],"Eligible")</f>
        <v/>
      </c>
      <c r="H29" s="657">
        <f>IFERROR(G29/COUNTIFS(tblServiceEvents[Client],B29,tblServiceEvents[Revenue Eligibility],"Eligible"),0)</f>
        <v/>
      </c>
      <c r="I29" s="657">
        <f>IFERROR(SUMIFS(tblLedger[Breakdown Amount],tblLedger[Client],B29,tblLedger[Breakdown Confirmed],"Yes")/COUNTIFS(tblLedger[Client],B29,tblLedger[Breakdown Confirmed],"Yes"),0)</f>
        <v/>
      </c>
      <c r="J29" t="n">
        <v>1</v>
      </c>
      <c r="K29" t="n">
        <v>1</v>
      </c>
      <c r="L29">
        <f>IF(E29&gt;1,"Yes","No")</f>
        <v/>
      </c>
      <c r="AI29" s="663" t="n">
        <v>46183</v>
      </c>
      <c r="AJ29" t="n">
        <v>3</v>
      </c>
      <c r="AK29" t="n">
        <v>3</v>
      </c>
      <c r="AL29" s="657" t="n">
        <v>390</v>
      </c>
      <c r="AM29" s="657" t="n">
        <v>4690.07</v>
      </c>
      <c r="AN29" s="657" t="n">
        <v>180</v>
      </c>
    </row>
    <row r="30">
      <c r="A30" t="inlineStr">
        <is>
          <t>CL-019</t>
        </is>
      </c>
      <c r="B30" t="inlineStr">
        <is>
          <t>PepsiCo</t>
        </is>
      </c>
      <c r="C30">
        <f>MINIFS(tblServiceEvents[Event #],tblServiceEvents[Client],B30)</f>
        <v/>
      </c>
      <c r="D30">
        <f>MAXIFS(tblServiceEvents[Event #],tblServiceEvents[Client],B30)</f>
        <v/>
      </c>
      <c r="E30">
        <f>COUNTIFS(tblServiceEvents[Client],B30,tblServiceEvents[Status],"Completed")</f>
        <v/>
      </c>
      <c r="F30">
        <f>COUNTIF(tblLedger[Client],B30)</f>
        <v/>
      </c>
      <c r="G30" s="657">
        <f>SUMIFS(tblServiceEvents[Confirmed Revenue],tblServiceEvents[Client],B30,tblServiceEvents[Revenue Eligibility],"Eligible")</f>
        <v/>
      </c>
      <c r="H30" s="657">
        <f>IFERROR(G30/COUNTIFS(tblServiceEvents[Client],B30,tblServiceEvents[Revenue Eligibility],"Eligible"),0)</f>
        <v/>
      </c>
      <c r="I30" s="657">
        <f>IFERROR(SUMIFS(tblLedger[Breakdown Amount],tblLedger[Client],B30,tblLedger[Breakdown Confirmed],"Yes")/COUNTIFS(tblLedger[Client],B30,tblLedger[Breakdown Confirmed],"Yes"),0)</f>
        <v/>
      </c>
      <c r="J30" t="n">
        <v>1</v>
      </c>
      <c r="K30" t="n">
        <v>1</v>
      </c>
      <c r="L30">
        <f>IF(E30&gt;1,"Yes","No")</f>
        <v/>
      </c>
      <c r="AI30" s="663" t="n">
        <v>46184</v>
      </c>
      <c r="AJ30" t="n">
        <v>2</v>
      </c>
      <c r="AK30" t="n">
        <v>2</v>
      </c>
      <c r="AL30" s="657" t="n">
        <v>95</v>
      </c>
      <c r="AM30" s="657" t="n">
        <v>4785.07</v>
      </c>
      <c r="AN30" s="657" t="n">
        <v>171</v>
      </c>
    </row>
    <row r="31">
      <c r="A31" t="inlineStr">
        <is>
          <t>CL-020</t>
        </is>
      </c>
      <c r="B31" t="inlineStr">
        <is>
          <t>TJ Maxx</t>
        </is>
      </c>
      <c r="C31">
        <f>MINIFS(tblServiceEvents[Event #],tblServiceEvents[Client],B31)</f>
        <v/>
      </c>
      <c r="D31">
        <f>MAXIFS(tblServiceEvents[Event #],tblServiceEvents[Client],B31)</f>
        <v/>
      </c>
      <c r="E31">
        <f>COUNTIFS(tblServiceEvents[Client],B31,tblServiceEvents[Status],"Completed")</f>
        <v/>
      </c>
      <c r="F31">
        <f>COUNTIF(tblLedger[Client],B31)</f>
        <v/>
      </c>
      <c r="G31" s="657">
        <f>SUMIFS(tblServiceEvents[Confirmed Revenue],tblServiceEvents[Client],B31,tblServiceEvents[Revenue Eligibility],"Eligible")</f>
        <v/>
      </c>
      <c r="H31" s="657">
        <f>IFERROR(G31/COUNTIFS(tblServiceEvents[Client],B31,tblServiceEvents[Revenue Eligibility],"Eligible"),0)</f>
        <v/>
      </c>
      <c r="I31" s="657">
        <f>IFERROR(SUMIFS(tblLedger[Breakdown Amount],tblLedger[Client],B31,tblLedger[Breakdown Confirmed],"Yes")/COUNTIFS(tblLedger[Client],B31,tblLedger[Breakdown Confirmed],"Yes"),0)</f>
        <v/>
      </c>
      <c r="J31" t="n">
        <v>2</v>
      </c>
      <c r="K31" t="n">
        <v>4</v>
      </c>
      <c r="L31">
        <f>IF(E31&gt;1,"Yes","No")</f>
        <v/>
      </c>
      <c r="V31" s="238" t="inlineStr">
        <is>
          <t>City</t>
        </is>
      </c>
      <c r="W31" s="238" t="inlineStr">
        <is>
          <t>Jurisdiction</t>
        </is>
      </c>
      <c r="X31" s="238" t="inlineStr">
        <is>
          <t>Events</t>
        </is>
      </c>
      <c r="Y31" s="238" t="inlineStr">
        <is>
          <t>Eligible Events</t>
        </is>
      </c>
      <c r="Z31" s="238" t="inlineStr">
        <is>
          <t>Revenue</t>
        </is>
      </c>
      <c r="AA31" s="238" t="inlineStr">
        <is>
          <t>Avg/Event</t>
        </is>
      </c>
      <c r="AB31" s="238" t="inlineStr">
        <is>
          <t>Rank Key</t>
        </is>
      </c>
      <c r="AI31" s="663" t="n">
        <v>46185</v>
      </c>
      <c r="AJ31" t="n">
        <v>1</v>
      </c>
      <c r="AK31" t="n">
        <v>1</v>
      </c>
      <c r="AL31" s="657" t="n">
        <v>50</v>
      </c>
      <c r="AM31" s="657" t="n">
        <v>4835.07</v>
      </c>
      <c r="AN31" s="657" t="n">
        <v>152</v>
      </c>
    </row>
    <row r="32">
      <c r="A32" t="inlineStr">
        <is>
          <t>CL-021</t>
        </is>
      </c>
      <c r="B32" t="inlineStr">
        <is>
          <t>Hilton Garden Inn</t>
        </is>
      </c>
      <c r="C32">
        <f>MINIFS(tblServiceEvents[Event #],tblServiceEvents[Client],B32)</f>
        <v/>
      </c>
      <c r="D32">
        <f>MAXIFS(tblServiceEvents[Event #],tblServiceEvents[Client],B32)</f>
        <v/>
      </c>
      <c r="E32">
        <f>COUNTIFS(tblServiceEvents[Client],B32,tblServiceEvents[Status],"Completed")</f>
        <v/>
      </c>
      <c r="F32">
        <f>COUNTIF(tblLedger[Client],B32)</f>
        <v/>
      </c>
      <c r="G32" s="657">
        <f>SUMIFS(tblServiceEvents[Confirmed Revenue],tblServiceEvents[Client],B32,tblServiceEvents[Revenue Eligibility],"Eligible")</f>
        <v/>
      </c>
      <c r="H32" s="657">
        <f>IFERROR(G32/COUNTIFS(tblServiceEvents[Client],B32,tblServiceEvents[Revenue Eligibility],"Eligible"),0)</f>
        <v/>
      </c>
      <c r="I32" s="657">
        <f>IFERROR(SUMIFS(tblLedger[Breakdown Amount],tblLedger[Client],B32,tblLedger[Breakdown Confirmed],"Yes")/COUNTIFS(tblLedger[Client],B32,tblLedger[Breakdown Confirmed],"Yes"),0)</f>
        <v/>
      </c>
      <c r="J32" t="n">
        <v>2</v>
      </c>
      <c r="K32" t="n">
        <v>2</v>
      </c>
      <c r="L32">
        <f>IF(E32&gt;1,"Yes","No")</f>
        <v/>
      </c>
      <c r="V32" t="inlineStr">
        <is>
          <t>Fairfax</t>
        </is>
      </c>
      <c r="W32" t="inlineStr">
        <is>
          <t>VA</t>
        </is>
      </c>
      <c r="X32" t="n">
        <v>2</v>
      </c>
      <c r="Y32" t="n">
        <v>2</v>
      </c>
      <c r="Z32" s="657" t="n">
        <v>115</v>
      </c>
      <c r="AA32" s="657" t="n">
        <v>57.5</v>
      </c>
      <c r="AB32" t="n">
        <v>115.000002</v>
      </c>
      <c r="AI32" s="663" t="n">
        <v>46188</v>
      </c>
      <c r="AJ32" t="n">
        <v>1</v>
      </c>
      <c r="AK32" t="n">
        <v>1</v>
      </c>
      <c r="AL32" s="657" t="n">
        <v>123.75</v>
      </c>
      <c r="AM32" s="657" t="n">
        <v>4958.82</v>
      </c>
      <c r="AN32" s="657" t="n">
        <v>162.75</v>
      </c>
    </row>
    <row r="33">
      <c r="A33" t="inlineStr">
        <is>
          <t>CL-022</t>
        </is>
      </c>
      <c r="B33" t="inlineStr">
        <is>
          <t>Marshalls</t>
        </is>
      </c>
      <c r="C33">
        <f>MINIFS(tblServiceEvents[Event #],tblServiceEvents[Client],B33)</f>
        <v/>
      </c>
      <c r="D33">
        <f>MAXIFS(tblServiceEvents[Event #],tblServiceEvents[Client],B33)</f>
        <v/>
      </c>
      <c r="E33">
        <f>COUNTIFS(tblServiceEvents[Client],B33,tblServiceEvents[Status],"Completed")</f>
        <v/>
      </c>
      <c r="F33">
        <f>COUNTIF(tblLedger[Client],B33)</f>
        <v/>
      </c>
      <c r="G33" s="657">
        <f>SUMIFS(tblServiceEvents[Confirmed Revenue],tblServiceEvents[Client],B33,tblServiceEvents[Revenue Eligibility],"Eligible")</f>
        <v/>
      </c>
      <c r="H33" s="657">
        <f>IFERROR(G33/COUNTIFS(tblServiceEvents[Client],B33,tblServiceEvents[Revenue Eligibility],"Eligible"),0)</f>
        <v/>
      </c>
      <c r="I33" s="657">
        <f>IFERROR(SUMIFS(tblLedger[Breakdown Amount],tblLedger[Client],B33,tblLedger[Breakdown Confirmed],"Yes")/COUNTIFS(tblLedger[Client],B33,tblLedger[Breakdown Confirmed],"Yes"),0)</f>
        <v/>
      </c>
      <c r="J33" t="n">
        <v>1</v>
      </c>
      <c r="K33" t="n">
        <v>3</v>
      </c>
      <c r="L33">
        <f>IF(E33&gt;1,"Yes","No")</f>
        <v/>
      </c>
      <c r="V33" t="inlineStr">
        <is>
          <t>Tysons</t>
        </is>
      </c>
      <c r="W33" t="inlineStr">
        <is>
          <t>VA</t>
        </is>
      </c>
      <c r="X33" t="n">
        <v>2</v>
      </c>
      <c r="Y33" t="n">
        <v>2</v>
      </c>
      <c r="Z33" s="657" t="n">
        <v>688</v>
      </c>
      <c r="AA33" s="657" t="n">
        <v>344</v>
      </c>
      <c r="AB33" t="n">
        <v>688.000002</v>
      </c>
      <c r="AI33" s="663" t="n">
        <v>46190</v>
      </c>
      <c r="AJ33" t="n">
        <v>2</v>
      </c>
      <c r="AK33" t="n">
        <v>2</v>
      </c>
      <c r="AL33" s="657" t="n">
        <v>218</v>
      </c>
      <c r="AM33" s="657" t="n">
        <v>5176.82</v>
      </c>
      <c r="AN33" s="657" t="n">
        <v>175.35</v>
      </c>
    </row>
    <row r="34">
      <c r="A34" t="inlineStr">
        <is>
          <t>CL-023</t>
        </is>
      </c>
      <c r="B34" t="inlineStr">
        <is>
          <t>Baskin-Robbins</t>
        </is>
      </c>
      <c r="C34">
        <f>MINIFS(tblServiceEvents[Event #],tblServiceEvents[Client],B34)</f>
        <v/>
      </c>
      <c r="D34">
        <f>MAXIFS(tblServiceEvents[Event #],tblServiceEvents[Client],B34)</f>
        <v/>
      </c>
      <c r="E34">
        <f>COUNTIFS(tblServiceEvents[Client],B34,tblServiceEvents[Status],"Completed")</f>
        <v/>
      </c>
      <c r="F34">
        <f>COUNTIF(tblLedger[Client],B34)</f>
        <v/>
      </c>
      <c r="G34" s="657">
        <f>SUMIFS(tblServiceEvents[Confirmed Revenue],tblServiceEvents[Client],B34,tblServiceEvents[Revenue Eligibility],"Eligible")</f>
        <v/>
      </c>
      <c r="H34" s="657">
        <f>IFERROR(G34/COUNTIFS(tblServiceEvents[Client],B34,tblServiceEvents[Revenue Eligibility],"Eligible"),0)</f>
        <v/>
      </c>
      <c r="I34" s="657">
        <f>IFERROR(SUMIFS(tblLedger[Breakdown Amount],tblLedger[Client],B34,tblLedger[Breakdown Confirmed],"Yes")/COUNTIFS(tblLedger[Client],B34,tblLedger[Breakdown Confirmed],"Yes"),0)</f>
        <v/>
      </c>
      <c r="J34" t="n">
        <v>1</v>
      </c>
      <c r="K34" t="n">
        <v>1</v>
      </c>
      <c r="L34">
        <f>IF(E34&gt;1,"Yes","No")</f>
        <v/>
      </c>
      <c r="V34" t="inlineStr">
        <is>
          <t>Frederick</t>
        </is>
      </c>
      <c r="W34" t="inlineStr">
        <is>
          <t>MD</t>
        </is>
      </c>
      <c r="X34" t="n">
        <v>3</v>
      </c>
      <c r="Y34" t="n">
        <v>3</v>
      </c>
      <c r="Z34" s="657" t="n">
        <v>483.75</v>
      </c>
      <c r="AA34" s="657" t="n">
        <v>161.25</v>
      </c>
      <c r="AB34" t="n">
        <v>483.750003</v>
      </c>
      <c r="AI34" s="663" t="n">
        <v>46191</v>
      </c>
      <c r="AJ34" t="n">
        <v>2</v>
      </c>
      <c r="AK34" t="n">
        <v>2</v>
      </c>
      <c r="AL34" s="657" t="n">
        <v>200</v>
      </c>
      <c r="AM34" s="657" t="n">
        <v>5376.82</v>
      </c>
      <c r="AN34" s="657" t="n">
        <v>137.35</v>
      </c>
    </row>
    <row r="35">
      <c r="A35" t="inlineStr">
        <is>
          <t>CL-024</t>
        </is>
      </c>
      <c r="B35" t="inlineStr">
        <is>
          <t>Montpelier Liquors</t>
        </is>
      </c>
      <c r="C35">
        <f>MINIFS(tblServiceEvents[Event #],tblServiceEvents[Client],B35)</f>
        <v/>
      </c>
      <c r="D35">
        <f>MAXIFS(tblServiceEvents[Event #],tblServiceEvents[Client],B35)</f>
        <v/>
      </c>
      <c r="E35">
        <f>COUNTIFS(tblServiceEvents[Client],B35,tblServiceEvents[Status],"Completed")</f>
        <v/>
      </c>
      <c r="F35">
        <f>COUNTIF(tblLedger[Client],B35)</f>
        <v/>
      </c>
      <c r="G35" s="657">
        <f>SUMIFS(tblServiceEvents[Confirmed Revenue],tblServiceEvents[Client],B35,tblServiceEvents[Revenue Eligibility],"Eligible")</f>
        <v/>
      </c>
      <c r="H35" s="657">
        <f>IFERROR(G35/COUNTIFS(tblServiceEvents[Client],B35,tblServiceEvents[Revenue Eligibility],"Eligible"),0)</f>
        <v/>
      </c>
      <c r="I35" s="657">
        <f>IFERROR(SUMIFS(tblLedger[Breakdown Amount],tblLedger[Client],B35,tblLedger[Breakdown Confirmed],"Yes")/COUNTIFS(tblLedger[Client],B35,tblLedger[Breakdown Confirmed],"Yes"),0)</f>
        <v/>
      </c>
      <c r="J35" t="n">
        <v>1</v>
      </c>
      <c r="K35" t="n">
        <v>1</v>
      </c>
      <c r="L35">
        <f>IF(E35&gt;1,"Yes","No")</f>
        <v/>
      </c>
      <c r="V35" t="inlineStr">
        <is>
          <t>Washington</t>
        </is>
      </c>
      <c r="W35" t="inlineStr">
        <is>
          <t>DC</t>
        </is>
      </c>
      <c r="X35" t="n">
        <v>10</v>
      </c>
      <c r="Y35" t="n">
        <v>10</v>
      </c>
      <c r="Z35" s="657" t="n">
        <v>1637.03</v>
      </c>
      <c r="AA35" s="657" t="n">
        <v>163.703</v>
      </c>
      <c r="AB35" t="n">
        <v>1637.03001</v>
      </c>
      <c r="AI35" s="663" t="n">
        <v>46192</v>
      </c>
      <c r="AJ35" t="n">
        <v>2</v>
      </c>
      <c r="AK35" t="n">
        <v>2</v>
      </c>
      <c r="AL35" s="657" t="n">
        <v>140</v>
      </c>
      <c r="AM35" s="657" t="n">
        <v>5516.82</v>
      </c>
      <c r="AN35" s="657" t="n">
        <v>146.35</v>
      </c>
    </row>
    <row r="36">
      <c r="A36" t="inlineStr">
        <is>
          <t>CL-025</t>
        </is>
      </c>
      <c r="B36" t="inlineStr">
        <is>
          <t>Office of MD Senator Angela Alsobrooks</t>
        </is>
      </c>
      <c r="C36">
        <f>MINIFS(tblServiceEvents[Event #],tblServiceEvents[Client],B36)</f>
        <v/>
      </c>
      <c r="D36">
        <f>MAXIFS(tblServiceEvents[Event #],tblServiceEvents[Client],B36)</f>
        <v/>
      </c>
      <c r="E36">
        <f>COUNTIFS(tblServiceEvents[Client],B36,tblServiceEvents[Status],"Completed")</f>
        <v/>
      </c>
      <c r="F36">
        <f>COUNTIF(tblLedger[Client],B36)</f>
        <v/>
      </c>
      <c r="G36" s="657">
        <f>SUMIFS(tblServiceEvents[Confirmed Revenue],tblServiceEvents[Client],B36,tblServiceEvents[Revenue Eligibility],"Eligible")</f>
        <v/>
      </c>
      <c r="H36" s="657">
        <f>IFERROR(G36/COUNTIFS(tblServiceEvents[Client],B36,tblServiceEvents[Revenue Eligibility],"Eligible"),0)</f>
        <v/>
      </c>
      <c r="I36" s="657">
        <f>IFERROR(SUMIFS(tblLedger[Breakdown Amount],tblLedger[Client],B36,tblLedger[Breakdown Confirmed],"Yes")/COUNTIFS(tblLedger[Client],B36,tblLedger[Breakdown Confirmed],"Yes"),0)</f>
        <v/>
      </c>
      <c r="J36" t="n">
        <v>1</v>
      </c>
      <c r="K36" t="n">
        <v>2</v>
      </c>
      <c r="L36">
        <f>IF(E36&gt;1,"Yes","No")</f>
        <v/>
      </c>
      <c r="V36" t="inlineStr">
        <is>
          <t>North Bethesda</t>
        </is>
      </c>
      <c r="W36" t="inlineStr">
        <is>
          <t>MD</t>
        </is>
      </c>
      <c r="X36" t="n">
        <v>4</v>
      </c>
      <c r="Y36" t="n">
        <v>4</v>
      </c>
      <c r="Z36" s="657" t="n">
        <v>225</v>
      </c>
      <c r="AA36" s="657" t="n">
        <v>56.25</v>
      </c>
      <c r="AB36" t="n">
        <v>225.000004</v>
      </c>
      <c r="AI36" s="663" t="n">
        <v>46195</v>
      </c>
      <c r="AJ36" t="n">
        <v>1</v>
      </c>
      <c r="AK36" t="n">
        <v>1</v>
      </c>
      <c r="AL36" s="657" t="n">
        <v>60</v>
      </c>
      <c r="AM36" s="657" t="n">
        <v>5576.82</v>
      </c>
      <c r="AN36" s="657" t="n">
        <v>148.35</v>
      </c>
    </row>
    <row r="37">
      <c r="A37" t="inlineStr">
        <is>
          <t>CL-026</t>
        </is>
      </c>
      <c r="B37" t="inlineStr">
        <is>
          <t>Dunkin</t>
        </is>
      </c>
      <c r="C37">
        <f>MINIFS(tblServiceEvents[Event #],tblServiceEvents[Client],B37)</f>
        <v/>
      </c>
      <c r="D37">
        <f>MAXIFS(tblServiceEvents[Event #],tblServiceEvents[Client],B37)</f>
        <v/>
      </c>
      <c r="E37">
        <f>COUNTIFS(tblServiceEvents[Client],B37,tblServiceEvents[Status],"Completed")</f>
        <v/>
      </c>
      <c r="F37">
        <f>COUNTIF(tblLedger[Client],B37)</f>
        <v/>
      </c>
      <c r="G37" s="657">
        <f>SUMIFS(tblServiceEvents[Confirmed Revenue],tblServiceEvents[Client],B37,tblServiceEvents[Revenue Eligibility],"Eligible")</f>
        <v/>
      </c>
      <c r="H37" s="657">
        <f>IFERROR(G37/COUNTIFS(tblServiceEvents[Client],B37,tblServiceEvents[Revenue Eligibility],"Eligible"),0)</f>
        <v/>
      </c>
      <c r="I37" s="657">
        <f>IFERROR(SUMIFS(tblLedger[Breakdown Amount],tblLedger[Client],B37,tblLedger[Breakdown Confirmed],"Yes")/COUNTIFS(tblLedger[Client],B37,tblLedger[Breakdown Confirmed],"Yes"),0)</f>
        <v/>
      </c>
      <c r="J37" t="n">
        <v>1</v>
      </c>
      <c r="K37" t="n">
        <v>3</v>
      </c>
      <c r="L37">
        <f>IF(E37&gt;1,"Yes","No")</f>
        <v/>
      </c>
      <c r="V37" t="inlineStr">
        <is>
          <t>Baltimore</t>
        </is>
      </c>
      <c r="W37" t="inlineStr">
        <is>
          <t>MD</t>
        </is>
      </c>
      <c r="X37" t="n">
        <v>3</v>
      </c>
      <c r="Y37" t="n">
        <v>1</v>
      </c>
      <c r="Z37" s="657" t="n">
        <v>50</v>
      </c>
      <c r="AA37" s="657" t="n">
        <v>50</v>
      </c>
      <c r="AB37" t="n">
        <v>50.000003</v>
      </c>
      <c r="AI37" s="663" t="n">
        <v>46196</v>
      </c>
      <c r="AJ37" t="n">
        <v>1</v>
      </c>
      <c r="AK37" t="n">
        <v>1</v>
      </c>
      <c r="AL37" s="657" t="n">
        <v>116.24</v>
      </c>
      <c r="AM37" s="657" t="n">
        <v>5693.06</v>
      </c>
      <c r="AN37" s="657" t="n">
        <v>146.85</v>
      </c>
    </row>
    <row r="38">
      <c r="A38" t="inlineStr">
        <is>
          <t>CL-027</t>
        </is>
      </c>
      <c r="B38" t="inlineStr">
        <is>
          <t>Carvana</t>
        </is>
      </c>
      <c r="C38">
        <f>MINIFS(tblServiceEvents[Event #],tblServiceEvents[Client],B38)</f>
        <v/>
      </c>
      <c r="D38">
        <f>MAXIFS(tblServiceEvents[Event #],tblServiceEvents[Client],B38)</f>
        <v/>
      </c>
      <c r="E38">
        <f>COUNTIFS(tblServiceEvents[Client],B38,tblServiceEvents[Status],"Completed")</f>
        <v/>
      </c>
      <c r="F38">
        <f>COUNTIF(tblLedger[Client],B38)</f>
        <v/>
      </c>
      <c r="G38" s="657">
        <f>SUMIFS(tblServiceEvents[Confirmed Revenue],tblServiceEvents[Client],B38,tblServiceEvents[Revenue Eligibility],"Eligible")</f>
        <v/>
      </c>
      <c r="H38" s="657">
        <f>IFERROR(G38/COUNTIFS(tblServiceEvents[Client],B38,tblServiceEvents[Revenue Eligibility],"Eligible"),0)</f>
        <v/>
      </c>
      <c r="I38" s="657">
        <f>IFERROR(SUMIFS(tblLedger[Breakdown Amount],tblLedger[Client],B38,tblLedger[Breakdown Confirmed],"Yes")/COUNTIFS(tblLedger[Client],B38,tblLedger[Breakdown Confirmed],"Yes"),0)</f>
        <v/>
      </c>
      <c r="J38" t="n">
        <v>1</v>
      </c>
      <c r="K38" t="n">
        <v>1</v>
      </c>
      <c r="L38">
        <f>IF(E38&gt;1,"Yes","No")</f>
        <v/>
      </c>
      <c r="V38" t="inlineStr">
        <is>
          <t>Hanover</t>
        </is>
      </c>
      <c r="W38" t="inlineStr">
        <is>
          <t>PA</t>
        </is>
      </c>
      <c r="X38" t="n">
        <v>1</v>
      </c>
      <c r="Y38" t="n">
        <v>1</v>
      </c>
      <c r="Z38" s="657" t="n">
        <v>212.5</v>
      </c>
      <c r="AA38" s="657" t="n">
        <v>212.5</v>
      </c>
      <c r="AB38" t="n">
        <v>212.500001</v>
      </c>
      <c r="AI38" s="663" t="n">
        <v>46197</v>
      </c>
      <c r="AJ38" t="n">
        <v>1</v>
      </c>
      <c r="AK38" t="n">
        <v>1</v>
      </c>
      <c r="AL38" s="657" t="n">
        <v>132.03</v>
      </c>
      <c r="AM38" s="657" t="n">
        <v>5825.09</v>
      </c>
      <c r="AN38" s="657" t="n">
        <v>129.65</v>
      </c>
    </row>
    <row r="39">
      <c r="V39" t="inlineStr">
        <is>
          <t>Leesburg</t>
        </is>
      </c>
      <c r="W39" t="inlineStr">
        <is>
          <t>VA</t>
        </is>
      </c>
      <c r="X39" t="n">
        <v>1</v>
      </c>
      <c r="Y39" t="n">
        <v>1</v>
      </c>
      <c r="Z39" s="657" t="n">
        <v>157.5</v>
      </c>
      <c r="AA39" s="657" t="n">
        <v>157.5</v>
      </c>
      <c r="AB39" t="n">
        <v>157.500001</v>
      </c>
      <c r="AI39" s="663" t="n">
        <v>46203</v>
      </c>
      <c r="AJ39" t="n">
        <v>1</v>
      </c>
      <c r="AK39" t="n">
        <v>1</v>
      </c>
      <c r="AL39" s="657" t="n">
        <v>120</v>
      </c>
      <c r="AM39" s="657" t="n">
        <v>5945.09</v>
      </c>
      <c r="AN39" s="657" t="n">
        <v>113.65</v>
      </c>
    </row>
    <row r="40">
      <c r="V40" t="inlineStr">
        <is>
          <t>Chambersburg</t>
        </is>
      </c>
      <c r="W40" t="inlineStr">
        <is>
          <t>PA</t>
        </is>
      </c>
      <c r="X40" t="n">
        <v>1</v>
      </c>
      <c r="Y40" t="n">
        <v>1</v>
      </c>
      <c r="Z40" s="657" t="n">
        <v>85</v>
      </c>
      <c r="AA40" s="657" t="n">
        <v>85</v>
      </c>
      <c r="AB40" t="n">
        <v>85.000001</v>
      </c>
      <c r="AI40" s="663" t="n">
        <v>46204</v>
      </c>
      <c r="AJ40" t="n">
        <v>1</v>
      </c>
      <c r="AK40" t="n">
        <v>1</v>
      </c>
      <c r="AL40" s="657" t="n">
        <v>120</v>
      </c>
      <c r="AM40" s="657" t="n">
        <v>6065.09</v>
      </c>
      <c r="AN40" s="657" t="n">
        <v>109.65</v>
      </c>
    </row>
    <row r="41">
      <c r="A41" s="673" t="inlineStr">
        <is>
          <t>State / Jurisdiction Summary</t>
        </is>
      </c>
      <c r="B41" s="1" t="n"/>
      <c r="C41" s="1" t="n"/>
      <c r="D41" s="1" t="n"/>
      <c r="E41" s="1" t="n"/>
      <c r="F41" s="1" t="n"/>
      <c r="G41" s="1" t="n"/>
      <c r="H41" s="1" t="n"/>
      <c r="J41" s="673" t="inlineStr">
        <is>
          <t>Weekday Summary</t>
        </is>
      </c>
      <c r="K41" s="1" t="n"/>
      <c r="L41" s="1" t="n"/>
      <c r="M41" s="1" t="n"/>
      <c r="N41" s="1" t="n"/>
      <c r="O41" s="1" t="n"/>
      <c r="P41" s="1" t="n"/>
      <c r="Q41" s="1" t="n"/>
      <c r="R41" s="1" t="n"/>
      <c r="V41" t="inlineStr">
        <is>
          <t>Rockville</t>
        </is>
      </c>
      <c r="W41" t="inlineStr">
        <is>
          <t>MD</t>
        </is>
      </c>
      <c r="X41" t="n">
        <v>2</v>
      </c>
      <c r="Y41" t="n">
        <v>2</v>
      </c>
      <c r="Z41" s="657" t="n">
        <v>146.66</v>
      </c>
      <c r="AA41" s="657" t="n">
        <v>73.33</v>
      </c>
      <c r="AB41" t="n">
        <v>146.660002</v>
      </c>
      <c r="AI41" s="663" t="n">
        <v>46205</v>
      </c>
      <c r="AJ41" t="n">
        <v>1</v>
      </c>
      <c r="AK41" t="n">
        <v>1</v>
      </c>
      <c r="AL41" s="657" t="n">
        <v>170.66</v>
      </c>
      <c r="AM41" s="657" t="n">
        <v>6235.75</v>
      </c>
      <c r="AN41" s="657" t="n">
        <v>131.79</v>
      </c>
    </row>
    <row r="42">
      <c r="A42" s="98" t="inlineStr">
        <is>
          <t>Jurisdiction</t>
        </is>
      </c>
      <c r="B42" s="98" t="inlineStr">
        <is>
          <t>Events</t>
        </is>
      </c>
      <c r="C42" s="98" t="inlineStr">
        <is>
          <t>Eligible Events</t>
        </is>
      </c>
      <c r="D42" s="98" t="inlineStr">
        <is>
          <t>Clients</t>
        </is>
      </c>
      <c r="E42" s="98" t="inlineStr">
        <is>
          <t>Confirmed Revenue</t>
        </is>
      </c>
      <c r="F42" s="98" t="inlineStr">
        <is>
          <t>Avg Revenue / Eligible Event</t>
        </is>
      </c>
      <c r="G42" s="98" t="inlineStr">
        <is>
          <t>Revenue Share</t>
        </is>
      </c>
      <c r="H42" s="98" t="inlineStr">
        <is>
          <t>Event Share</t>
        </is>
      </c>
      <c r="J42" s="98" t="inlineStr">
        <is>
          <t>Weekday</t>
        </is>
      </c>
      <c r="K42" s="98" t="inlineStr">
        <is>
          <t>Confirmed Revenue</t>
        </is>
      </c>
      <c r="L42" s="98" t="inlineStr">
        <is>
          <t>Eligible Events</t>
        </is>
      </c>
      <c r="M42" s="98" t="inlineStr">
        <is>
          <t>Avg Revenue / Event</t>
        </is>
      </c>
      <c r="N42" s="98" t="inlineStr">
        <is>
          <t>Active Weeks</t>
        </is>
      </c>
      <c r="O42" s="98" t="inlineStr">
        <is>
          <t>Activity Rate</t>
        </is>
      </c>
      <c r="P42" s="98" t="inlineStr">
        <is>
          <t>Highest Revenue Event</t>
        </is>
      </c>
      <c r="Q42" s="98" t="inlineStr">
        <is>
          <t>Lowest Revenue Event</t>
        </is>
      </c>
      <c r="R42" s="98" t="inlineStr">
        <is>
          <t>Rank</t>
        </is>
      </c>
      <c r="V42" t="inlineStr">
        <is>
          <t>Annapolis Neck</t>
        </is>
      </c>
      <c r="W42" t="inlineStr">
        <is>
          <t>MD</t>
        </is>
      </c>
      <c r="X42" t="n">
        <v>2</v>
      </c>
      <c r="Y42" t="n">
        <v>1</v>
      </c>
      <c r="Z42" s="657" t="n">
        <v>60</v>
      </c>
      <c r="AA42" s="657" t="n">
        <v>60</v>
      </c>
      <c r="AB42" t="n">
        <v>60.000002</v>
      </c>
      <c r="AI42" s="663" t="n">
        <v>46209</v>
      </c>
      <c r="AJ42" t="n">
        <v>2</v>
      </c>
      <c r="AK42" t="n">
        <v>2</v>
      </c>
      <c r="AL42" s="657" t="n">
        <v>269.24</v>
      </c>
      <c r="AM42" s="657" t="n">
        <v>6504.99</v>
      </c>
      <c r="AN42" s="657" t="n">
        <v>162.39</v>
      </c>
    </row>
    <row r="43">
      <c r="A43" t="inlineStr">
        <is>
          <t>VA</t>
        </is>
      </c>
      <c r="B43">
        <f>COUNTIFS(tblServiceEvents[Jurisdiction],A43,tblServiceEvents[Status],"Completed")</f>
        <v/>
      </c>
      <c r="C43">
        <f>COUNTIFS(tblServiceEvents[Jurisdiction],A43,tblServiceEvents[Revenue Eligibility],"Eligible")</f>
        <v/>
      </c>
      <c r="D43" t="n">
        <v>6</v>
      </c>
      <c r="E43" s="657">
        <f>SUMIFS(tblServiceEvents[Confirmed Revenue],tblServiceEvents[Jurisdiction],A43,tblServiceEvents[Revenue Eligibility],"Eligible")</f>
        <v/>
      </c>
      <c r="F43" s="657">
        <f>IFERROR(E43/C43,0)</f>
        <v/>
      </c>
      <c r="G43" s="658">
        <f>IFERROR(E43/$B$7,0)</f>
        <v/>
      </c>
      <c r="H43" s="658">
        <f>IFERROR(B43/$B$6,0)</f>
        <v/>
      </c>
      <c r="J43" t="inlineStr">
        <is>
          <t>Monday</t>
        </is>
      </c>
      <c r="K43" s="657">
        <f>SUMIFS(tblServiceEvents[Confirmed Revenue],tblServiceEvents[Weekday],J43,tblServiceEvents[Revenue Eligibility],"Eligible")</f>
        <v/>
      </c>
      <c r="L43" s="657">
        <f>COUNTIFS(tblServiceEvents[Weekday],J43,tblServiceEvents[Revenue Eligibility],"Eligible")</f>
        <v/>
      </c>
      <c r="M43" s="657">
        <f>IFERROR(K43/L43,0)</f>
        <v/>
      </c>
      <c r="N43" t="n">
        <v>9</v>
      </c>
      <c r="O43" s="658">
        <f>IFERROR(N43/($B$5+IF(WEEKDAY(MAXIFS(tblServiceEvents[Service Date],tblServiceEvents[Status],"Completed"),2)&gt;=1,1,0)),0)</f>
        <v/>
      </c>
      <c r="P43" s="657">
        <f>MAXIFS(tblServiceEvents[Confirmed Revenue],tblServiceEvents[Weekday],J43,tblServiceEvents[Revenue Eligibility],"Eligible")</f>
        <v/>
      </c>
      <c r="Q43" s="657">
        <f>MINIFS(tblServiceEvents[Confirmed Revenue],tblServiceEvents[Weekday],J43,tblServiceEvents[Revenue Eligibility],"Eligible")</f>
        <v/>
      </c>
      <c r="R43">
        <f>RANK(K43,$K$43:$K$47,0)</f>
        <v/>
      </c>
      <c r="V43" t="inlineStr">
        <is>
          <t>College Park</t>
        </is>
      </c>
      <c r="W43" t="inlineStr">
        <is>
          <t>MD</t>
        </is>
      </c>
      <c r="X43" t="n">
        <v>1</v>
      </c>
      <c r="Y43" t="n">
        <v>1</v>
      </c>
      <c r="Z43" s="657" t="n">
        <v>75</v>
      </c>
      <c r="AA43" s="657" t="n">
        <v>75</v>
      </c>
      <c r="AB43" t="n">
        <v>75.000001</v>
      </c>
      <c r="AI43" s="663" t="n">
        <v>46210</v>
      </c>
      <c r="AJ43" t="n">
        <v>1</v>
      </c>
      <c r="AK43" t="n">
        <v>1</v>
      </c>
      <c r="AL43" s="657" t="n">
        <v>250</v>
      </c>
      <c r="AM43" s="657" t="n">
        <v>6754.99</v>
      </c>
      <c r="AN43" s="657" t="n">
        <v>185.98</v>
      </c>
    </row>
    <row r="44">
      <c r="A44" t="inlineStr">
        <is>
          <t>MD</t>
        </is>
      </c>
      <c r="B44">
        <f>COUNTIFS(tblServiceEvents[Jurisdiction],A44,tblServiceEvents[Status],"Completed")</f>
        <v/>
      </c>
      <c r="C44">
        <f>COUNTIFS(tblServiceEvents[Jurisdiction],A44,tblServiceEvents[Revenue Eligibility],"Eligible")</f>
        <v/>
      </c>
      <c r="D44" t="n">
        <v>21</v>
      </c>
      <c r="E44" s="657">
        <f>SUMIFS(tblServiceEvents[Confirmed Revenue],tblServiceEvents[Jurisdiction],A44,tblServiceEvents[Revenue Eligibility],"Eligible")</f>
        <v/>
      </c>
      <c r="F44" s="657">
        <f>IFERROR(E44/C44,0)</f>
        <v/>
      </c>
      <c r="G44" s="658">
        <f>IFERROR(E44/$B$7,0)</f>
        <v/>
      </c>
      <c r="H44" s="658">
        <f>IFERROR(B44/$B$6,0)</f>
        <v/>
      </c>
      <c r="J44" t="inlineStr">
        <is>
          <t>Tuesday</t>
        </is>
      </c>
      <c r="K44" s="657">
        <f>SUMIFS(tblServiceEvents[Confirmed Revenue],tblServiceEvents[Weekday],J44,tblServiceEvents[Revenue Eligibility],"Eligible")</f>
        <v/>
      </c>
      <c r="L44" s="657">
        <f>COUNTIFS(tblServiceEvents[Weekday],J44,tblServiceEvents[Revenue Eligibility],"Eligible")</f>
        <v/>
      </c>
      <c r="M44" s="657">
        <f>IFERROR(K44/L44,0)</f>
        <v/>
      </c>
      <c r="N44" t="n">
        <v>11</v>
      </c>
      <c r="O44" s="658">
        <f>IFERROR(N44/($B$5+IF(WEEKDAY(MAXIFS(tblServiceEvents[Service Date],tblServiceEvents[Status],"Completed"),2)&gt;=2,1,0)),0)</f>
        <v/>
      </c>
      <c r="P44" s="657">
        <f>MAXIFS(tblServiceEvents[Confirmed Revenue],tblServiceEvents[Weekday],J44,tblServiceEvents[Revenue Eligibility],"Eligible")</f>
        <v/>
      </c>
      <c r="Q44" s="657">
        <f>MINIFS(tblServiceEvents[Confirmed Revenue],tblServiceEvents[Weekday],J44,tblServiceEvents[Revenue Eligibility],"Eligible")</f>
        <v/>
      </c>
      <c r="R44">
        <f>RANK(K44,$K$43:$K$47,0)</f>
        <v/>
      </c>
      <c r="V44" t="inlineStr">
        <is>
          <t>Owings Mills</t>
        </is>
      </c>
      <c r="W44" t="inlineStr">
        <is>
          <t>MD</t>
        </is>
      </c>
      <c r="X44" t="n">
        <v>2</v>
      </c>
      <c r="Y44" t="n">
        <v>2</v>
      </c>
      <c r="Z44" s="657" t="n">
        <v>165</v>
      </c>
      <c r="AA44" s="657" t="n">
        <v>82.5</v>
      </c>
      <c r="AB44" t="n">
        <v>165.000002</v>
      </c>
      <c r="AI44" s="663" t="n">
        <v>46211</v>
      </c>
      <c r="AJ44" t="n">
        <v>1</v>
      </c>
      <c r="AK44" t="n">
        <v>0</v>
      </c>
      <c r="AL44" s="657" t="n">
        <v>0</v>
      </c>
      <c r="AM44" s="657" t="n">
        <v>6754.99</v>
      </c>
      <c r="AN44" s="657" t="n">
        <v>161.98</v>
      </c>
    </row>
    <row r="45">
      <c r="A45" t="inlineStr">
        <is>
          <t>DC</t>
        </is>
      </c>
      <c r="B45">
        <f>COUNTIFS(tblServiceEvents[Jurisdiction],A45,tblServiceEvents[Status],"Completed")</f>
        <v/>
      </c>
      <c r="C45">
        <f>COUNTIFS(tblServiceEvents[Jurisdiction],A45,tblServiceEvents[Revenue Eligibility],"Eligible")</f>
        <v/>
      </c>
      <c r="D45" t="n">
        <v>5</v>
      </c>
      <c r="E45" s="657">
        <f>SUMIFS(tblServiceEvents[Confirmed Revenue],tblServiceEvents[Jurisdiction],A45,tblServiceEvents[Revenue Eligibility],"Eligible")</f>
        <v/>
      </c>
      <c r="F45" s="657">
        <f>IFERROR(E45/C45,0)</f>
        <v/>
      </c>
      <c r="G45" s="658">
        <f>IFERROR(E45/$B$7,0)</f>
        <v/>
      </c>
      <c r="H45" s="658">
        <f>IFERROR(B45/$B$6,0)</f>
        <v/>
      </c>
      <c r="J45" t="inlineStr">
        <is>
          <t>Wednesday</t>
        </is>
      </c>
      <c r="K45" s="657">
        <f>SUMIFS(tblServiceEvents[Confirmed Revenue],tblServiceEvents[Weekday],J45,tblServiceEvents[Revenue Eligibility],"Eligible")</f>
        <v/>
      </c>
      <c r="L45" s="657">
        <f>COUNTIFS(tblServiceEvents[Weekday],J45,tblServiceEvents[Revenue Eligibility],"Eligible")</f>
        <v/>
      </c>
      <c r="M45" s="657">
        <f>IFERROR(K45/L45,0)</f>
        <v/>
      </c>
      <c r="N45" t="n">
        <v>11</v>
      </c>
      <c r="O45" s="658">
        <f>IFERROR(N45/($B$5+IF(WEEKDAY(MAXIFS(tblServiceEvents[Service Date],tblServiceEvents[Status],"Completed"),2)&gt;=3,1,0)),0)</f>
        <v/>
      </c>
      <c r="P45" s="657">
        <f>MAXIFS(tblServiceEvents[Confirmed Revenue],tblServiceEvents[Weekday],J45,tblServiceEvents[Revenue Eligibility],"Eligible")</f>
        <v/>
      </c>
      <c r="Q45" s="657">
        <f>MINIFS(tblServiceEvents[Confirmed Revenue],tblServiceEvents[Weekday],J45,tblServiceEvents[Revenue Eligibility],"Eligible")</f>
        <v/>
      </c>
      <c r="R45">
        <f>RANK(K45,$K$43:$K$47,0)</f>
        <v/>
      </c>
      <c r="V45" t="inlineStr">
        <is>
          <t>Red Lion</t>
        </is>
      </c>
      <c r="W45" t="inlineStr">
        <is>
          <t>PA</t>
        </is>
      </c>
      <c r="X45" t="n">
        <v>1</v>
      </c>
      <c r="Y45" t="n">
        <v>1</v>
      </c>
      <c r="Z45" s="657" t="n">
        <v>112.5</v>
      </c>
      <c r="AA45" s="657" t="n">
        <v>112.5</v>
      </c>
      <c r="AB45" t="n">
        <v>112.500001</v>
      </c>
      <c r="AI45" s="663" t="n">
        <v>46212</v>
      </c>
      <c r="AJ45" t="n">
        <v>2</v>
      </c>
      <c r="AK45" t="n">
        <v>2</v>
      </c>
      <c r="AL45" s="657" t="n">
        <v>295.82</v>
      </c>
      <c r="AM45" s="657" t="n">
        <v>7050.81</v>
      </c>
      <c r="AN45" s="657" t="n">
        <v>197.14</v>
      </c>
    </row>
    <row r="46">
      <c r="A46" t="inlineStr">
        <is>
          <t>PA</t>
        </is>
      </c>
      <c r="B46">
        <f>COUNTIFS(tblServiceEvents[Jurisdiction],A46,tblServiceEvents[Status],"Completed")</f>
        <v/>
      </c>
      <c r="C46">
        <f>COUNTIFS(tblServiceEvents[Jurisdiction],A46,tblServiceEvents[Revenue Eligibility],"Eligible")</f>
        <v/>
      </c>
      <c r="D46" t="n">
        <v>2</v>
      </c>
      <c r="E46" s="657">
        <f>SUMIFS(tblServiceEvents[Confirmed Revenue],tblServiceEvents[Jurisdiction],A46,tblServiceEvents[Revenue Eligibility],"Eligible")</f>
        <v/>
      </c>
      <c r="F46" s="657">
        <f>IFERROR(E46/C46,0)</f>
        <v/>
      </c>
      <c r="G46" s="658">
        <f>IFERROR(E46/$B$7,0)</f>
        <v/>
      </c>
      <c r="H46" s="658">
        <f>IFERROR(B46/$B$6,0)</f>
        <v/>
      </c>
      <c r="J46" t="inlineStr">
        <is>
          <t>Thursday</t>
        </is>
      </c>
      <c r="K46" s="657">
        <f>SUMIFS(tblServiceEvents[Confirmed Revenue],tblServiceEvents[Weekday],J46,tblServiceEvents[Revenue Eligibility],"Eligible")</f>
        <v/>
      </c>
      <c r="L46" s="657">
        <f>COUNTIFS(tblServiceEvents[Weekday],J46,tblServiceEvents[Revenue Eligibility],"Eligible")</f>
        <v/>
      </c>
      <c r="M46" s="657">
        <f>IFERROR(K46/L46,0)</f>
        <v/>
      </c>
      <c r="N46" t="n">
        <v>10</v>
      </c>
      <c r="O46" s="658">
        <f>IFERROR(N46/($B$5+IF(WEEKDAY(MAXIFS(tblServiceEvents[Service Date],tblServiceEvents[Status],"Completed"),2)&gt;=4,1,0)),0)</f>
        <v/>
      </c>
      <c r="P46" s="657">
        <f>MAXIFS(tblServiceEvents[Confirmed Revenue],tblServiceEvents[Weekday],J46,tblServiceEvents[Revenue Eligibility],"Eligible")</f>
        <v/>
      </c>
      <c r="Q46" s="657">
        <f>MINIFS(tblServiceEvents[Confirmed Revenue],tblServiceEvents[Weekday],J46,tblServiceEvents[Revenue Eligibility],"Eligible")</f>
        <v/>
      </c>
      <c r="R46">
        <f>RANK(K46,$K$43:$K$47,0)</f>
        <v/>
      </c>
      <c r="V46" t="inlineStr">
        <is>
          <t>Middle River</t>
        </is>
      </c>
      <c r="W46" t="inlineStr">
        <is>
          <t>MD</t>
        </is>
      </c>
      <c r="X46" t="n">
        <v>1</v>
      </c>
      <c r="Y46" t="n">
        <v>1</v>
      </c>
      <c r="Z46" s="657" t="n">
        <v>97.91</v>
      </c>
      <c r="AA46" s="657" t="n">
        <v>97.91</v>
      </c>
      <c r="AB46" t="n">
        <v>97.91000099999999</v>
      </c>
      <c r="AI46" s="663" t="n">
        <v>46216</v>
      </c>
      <c r="AJ46" t="n">
        <v>3</v>
      </c>
      <c r="AK46" t="n">
        <v>0</v>
      </c>
      <c r="AL46" s="657" t="n">
        <v>0</v>
      </c>
      <c r="AM46" s="657" t="n">
        <v>7050.81</v>
      </c>
      <c r="AN46" s="657" t="n">
        <v>163.01</v>
      </c>
    </row>
    <row r="47">
      <c r="A47" t="inlineStr">
        <is>
          <t>WV</t>
        </is>
      </c>
      <c r="B47">
        <f>COUNTIFS(tblServiceEvents[Jurisdiction],A47,tblServiceEvents[Status],"Completed")</f>
        <v/>
      </c>
      <c r="C47">
        <f>COUNTIFS(tblServiceEvents[Jurisdiction],A47,tblServiceEvents[Revenue Eligibility],"Eligible")</f>
        <v/>
      </c>
      <c r="D47" t="n">
        <v>1</v>
      </c>
      <c r="E47" s="657">
        <f>SUMIFS(tblServiceEvents[Confirmed Revenue],tblServiceEvents[Jurisdiction],A47,tblServiceEvents[Revenue Eligibility],"Eligible")</f>
        <v/>
      </c>
      <c r="F47" s="657">
        <f>IFERROR(E47/C47,0)</f>
        <v/>
      </c>
      <c r="G47" s="658">
        <f>IFERROR(E47/$B$7,0)</f>
        <v/>
      </c>
      <c r="H47" s="658">
        <f>IFERROR(B47/$B$6,0)</f>
        <v/>
      </c>
      <c r="J47" t="inlineStr">
        <is>
          <t>Friday</t>
        </is>
      </c>
      <c r="K47" s="657">
        <f>SUMIFS(tblServiceEvents[Confirmed Revenue],tblServiceEvents[Weekday],J47,tblServiceEvents[Revenue Eligibility],"Eligible")</f>
        <v/>
      </c>
      <c r="L47" s="657">
        <f>COUNTIFS(tblServiceEvents[Weekday],J47,tblServiceEvents[Revenue Eligibility],"Eligible")</f>
        <v/>
      </c>
      <c r="M47" s="657">
        <f>IFERROR(K47/L47,0)</f>
        <v/>
      </c>
      <c r="N47" t="n">
        <v>5</v>
      </c>
      <c r="O47" s="658">
        <f>IFERROR(N47/($B$5+IF(WEEKDAY(MAXIFS(tblServiceEvents[Service Date],tblServiceEvents[Status],"Completed"),2)&gt;=5,1,0)),0)</f>
        <v/>
      </c>
      <c r="P47" s="657">
        <f>MAXIFS(tblServiceEvents[Confirmed Revenue],tblServiceEvents[Weekday],J47,tblServiceEvents[Revenue Eligibility],"Eligible")</f>
        <v/>
      </c>
      <c r="Q47" s="657">
        <f>MINIFS(tblServiceEvents[Confirmed Revenue],tblServiceEvents[Weekday],J47,tblServiceEvents[Revenue Eligibility],"Eligible")</f>
        <v/>
      </c>
      <c r="R47">
        <f>RANK(K47,$K$43:$K$47,0)</f>
        <v/>
      </c>
      <c r="V47" t="inlineStr">
        <is>
          <t>Gaithersburg</t>
        </is>
      </c>
      <c r="W47" t="inlineStr">
        <is>
          <t>MD</t>
        </is>
      </c>
      <c r="X47" t="n">
        <v>2</v>
      </c>
      <c r="Y47" t="n">
        <v>1</v>
      </c>
      <c r="Z47" s="657" t="n">
        <v>50</v>
      </c>
      <c r="AA47" s="657" t="n">
        <v>50</v>
      </c>
      <c r="AB47" t="n">
        <v>50.000002</v>
      </c>
      <c r="AI47" s="663" t="n">
        <v>46217</v>
      </c>
      <c r="AJ47" t="n">
        <v>2</v>
      </c>
      <c r="AK47" t="n">
        <v>1</v>
      </c>
      <c r="AL47" s="657" t="n">
        <v>183.74</v>
      </c>
      <c r="AM47" s="657" t="n">
        <v>7234.55</v>
      </c>
      <c r="AN47" s="657" t="n">
        <v>145.91</v>
      </c>
    </row>
    <row r="48">
      <c r="V48" t="inlineStr">
        <is>
          <t>Andrews AFB</t>
        </is>
      </c>
      <c r="W48" t="inlineStr">
        <is>
          <t>MD</t>
        </is>
      </c>
      <c r="X48" t="n">
        <v>1</v>
      </c>
      <c r="Y48" t="n">
        <v>0</v>
      </c>
      <c r="Z48" s="657" t="n">
        <v>0</v>
      </c>
      <c r="AA48" s="657" t="n">
        <v>0</v>
      </c>
      <c r="AB48" t="n">
        <v>1e-06</v>
      </c>
      <c r="AI48" s="313" t="inlineStr">
        <is>
          <t>Workweek</t>
        </is>
      </c>
      <c r="AJ48" s="313" t="inlineStr">
        <is>
          <t>Events</t>
        </is>
      </c>
      <c r="AK48" s="313" t="inlineStr">
        <is>
          <t>Eligible Events</t>
        </is>
      </c>
      <c r="AL48" s="313" t="inlineStr">
        <is>
          <t>Weekly Revenue</t>
        </is>
      </c>
      <c r="AM48" s="313" t="inlineStr">
        <is>
          <t>Running Revenue</t>
        </is>
      </c>
    </row>
    <row r="49">
      <c r="V49" t="inlineStr">
        <is>
          <t>Cheverly</t>
        </is>
      </c>
      <c r="W49" t="inlineStr">
        <is>
          <t>MD</t>
        </is>
      </c>
      <c r="X49" t="n">
        <v>1</v>
      </c>
      <c r="Y49" t="n">
        <v>0</v>
      </c>
      <c r="Z49" s="657" t="n">
        <v>0</v>
      </c>
      <c r="AA49" s="657" t="n">
        <v>0</v>
      </c>
      <c r="AB49" t="n">
        <v>1e-06</v>
      </c>
      <c r="AI49" t="n">
        <v>1</v>
      </c>
      <c r="AJ49" t="n">
        <v>5</v>
      </c>
      <c r="AK49" t="n">
        <v>5</v>
      </c>
      <c r="AL49" s="657" t="n">
        <v>1008</v>
      </c>
      <c r="AM49" s="657" t="n">
        <v>1008</v>
      </c>
    </row>
    <row r="50">
      <c r="A50" s="676" t="inlineStr">
        <is>
          <t>MY_MONTH Summary</t>
        </is>
      </c>
      <c r="B50" s="1" t="n"/>
      <c r="C50" s="1" t="n"/>
      <c r="D50" s="1" t="n"/>
      <c r="E50" s="1" t="n"/>
      <c r="F50" s="1" t="n"/>
      <c r="G50" s="1" t="n"/>
      <c r="H50" s="12" t="n"/>
      <c r="I50" s="12" t="n"/>
      <c r="J50" s="12" t="n"/>
      <c r="K50" s="12" t="n"/>
      <c r="V50" t="inlineStr">
        <is>
          <t>Annapolis</t>
        </is>
      </c>
      <c r="W50" t="inlineStr">
        <is>
          <t>MD</t>
        </is>
      </c>
      <c r="X50" t="n">
        <v>2</v>
      </c>
      <c r="Y50" t="n">
        <v>2</v>
      </c>
      <c r="Z50" s="657" t="n">
        <v>160</v>
      </c>
      <c r="AA50" s="657" t="n">
        <v>80</v>
      </c>
      <c r="AB50" t="n">
        <v>160.000002</v>
      </c>
      <c r="AI50" t="n">
        <v>2</v>
      </c>
      <c r="AJ50" t="n">
        <v>4</v>
      </c>
      <c r="AK50" t="n">
        <v>3</v>
      </c>
      <c r="AL50" s="657" t="n">
        <v>275</v>
      </c>
      <c r="AM50" s="657" t="n">
        <v>1283</v>
      </c>
    </row>
    <row r="51">
      <c r="A51" s="98" t="inlineStr">
        <is>
          <t>MY_MONTH</t>
        </is>
      </c>
      <c r="B51" s="98" t="inlineStr">
        <is>
          <t>Events</t>
        </is>
      </c>
      <c r="C51" s="98" t="inlineStr">
        <is>
          <t>Eligible Events</t>
        </is>
      </c>
      <c r="D51" s="98" t="inlineStr">
        <is>
          <t>Clients</t>
        </is>
      </c>
      <c r="E51" s="98" t="inlineStr">
        <is>
          <t>Jurisdictions</t>
        </is>
      </c>
      <c r="F51" s="98" t="inlineStr">
        <is>
          <t>Confirmed Revenue</t>
        </is>
      </c>
      <c r="G51" s="98" t="inlineStr">
        <is>
          <t>Avg Revenue / Eligible Event</t>
        </is>
      </c>
      <c r="H51" s="242" t="n"/>
      <c r="I51" s="242" t="n"/>
      <c r="J51" s="242" t="n"/>
      <c r="K51" s="242" t="n"/>
      <c r="V51" t="inlineStr">
        <is>
          <t>Dunkirk</t>
        </is>
      </c>
      <c r="W51" t="inlineStr">
        <is>
          <t>MD</t>
        </is>
      </c>
      <c r="X51" t="n">
        <v>1</v>
      </c>
      <c r="Y51" t="n">
        <v>1</v>
      </c>
      <c r="Z51" s="657" t="n">
        <v>70</v>
      </c>
      <c r="AA51" s="657" t="n">
        <v>70</v>
      </c>
      <c r="AB51" t="n">
        <v>70.000001</v>
      </c>
      <c r="AI51" t="n">
        <v>3</v>
      </c>
      <c r="AJ51" t="n">
        <v>1</v>
      </c>
      <c r="AK51" t="n">
        <v>1</v>
      </c>
      <c r="AL51" s="657" t="n">
        <v>212.5</v>
      </c>
      <c r="AM51" s="657" t="n">
        <v>1495.5</v>
      </c>
    </row>
    <row r="52">
      <c r="A52" t="inlineStr">
        <is>
          <t>MY_MONTH 1</t>
        </is>
      </c>
      <c r="B52">
        <f>COUNTIFS(tblServiceEvents[MY_MONTH],A52,tblServiceEvents[Status],"Completed")</f>
        <v/>
      </c>
      <c r="C52">
        <f>COUNTIFS(tblServiceEvents[MY_MONTH],A52,tblServiceEvents[Revenue Eligibility],"Eligible")</f>
        <v/>
      </c>
      <c r="D52" t="n">
        <v>15</v>
      </c>
      <c r="E52" t="n">
        <v>4</v>
      </c>
      <c r="F52" s="657">
        <f>SUMIFS(tblServiceEvents[Confirmed Revenue],tblServiceEvents[MY_MONTH],A52,tblServiceEvents[Revenue Eligibility],"Eligible")</f>
        <v/>
      </c>
      <c r="G52" s="657">
        <f>IFERROR(F52/C52,0)</f>
        <v/>
      </c>
      <c r="V52" t="inlineStr">
        <is>
          <t>Edgewood</t>
        </is>
      </c>
      <c r="W52" t="inlineStr">
        <is>
          <t>MD</t>
        </is>
      </c>
      <c r="X52" t="n">
        <v>1</v>
      </c>
      <c r="Y52" t="n">
        <v>1</v>
      </c>
      <c r="Z52" s="657" t="n">
        <v>65</v>
      </c>
      <c r="AA52" s="657" t="n">
        <v>65</v>
      </c>
      <c r="AB52" t="n">
        <v>65.000001</v>
      </c>
      <c r="AI52" t="n">
        <v>4</v>
      </c>
      <c r="AJ52" t="n">
        <v>6</v>
      </c>
      <c r="AK52" t="n">
        <v>5</v>
      </c>
      <c r="AL52" s="657" t="n">
        <v>412.5</v>
      </c>
      <c r="AM52" s="657" t="n">
        <v>1908</v>
      </c>
    </row>
    <row r="53">
      <c r="A53" t="inlineStr">
        <is>
          <t>MY_MONTH 2</t>
        </is>
      </c>
      <c r="B53">
        <f>COUNTIFS(tblServiceEvents[MY_MONTH],A53,tblServiceEvents[Status],"Completed")</f>
        <v/>
      </c>
      <c r="C53">
        <f>COUNTIFS(tblServiceEvents[MY_MONTH],A53,tblServiceEvents[Revenue Eligibility],"Eligible")</f>
        <v/>
      </c>
      <c r="D53" t="n">
        <v>18</v>
      </c>
      <c r="E53" t="n">
        <v>3</v>
      </c>
      <c r="F53" s="657">
        <f>SUMIFS(tblServiceEvents[Confirmed Revenue],tblServiceEvents[MY_MONTH],A53,tblServiceEvents[Revenue Eligibility],"Eligible")</f>
        <v/>
      </c>
      <c r="G53" s="657">
        <f>IFERROR(F53/C53,0)</f>
        <v/>
      </c>
      <c r="V53" t="inlineStr">
        <is>
          <t>Sterling</t>
        </is>
      </c>
      <c r="W53" t="inlineStr">
        <is>
          <t>VA</t>
        </is>
      </c>
      <c r="X53" t="n">
        <v>1</v>
      </c>
      <c r="Y53" t="n">
        <v>1</v>
      </c>
      <c r="Z53" s="657" t="n">
        <v>90</v>
      </c>
      <c r="AA53" s="657" t="n">
        <v>90</v>
      </c>
      <c r="AB53" t="n">
        <v>90.000001</v>
      </c>
      <c r="AI53" t="n">
        <v>5</v>
      </c>
      <c r="AJ53" t="n">
        <v>4</v>
      </c>
      <c r="AK53" t="n">
        <v>4</v>
      </c>
      <c r="AL53" s="657" t="n">
        <v>422.5</v>
      </c>
      <c r="AM53" s="657" t="n">
        <v>2330.5</v>
      </c>
    </row>
    <row r="54">
      <c r="A54" t="inlineStr">
        <is>
          <t>MY_MONTH 3</t>
        </is>
      </c>
      <c r="B54">
        <f>COUNTIFS(tblServiceEvents[MY_MONTH],A54,tblServiceEvents[Status],"Completed")</f>
        <v/>
      </c>
      <c r="C54">
        <f>COUNTIFS(tblServiceEvents[MY_MONTH],A54,tblServiceEvents[Revenue Eligibility],"Eligible")</f>
        <v/>
      </c>
      <c r="D54" t="n">
        <v>9</v>
      </c>
      <c r="E54" t="n">
        <v>3</v>
      </c>
      <c r="F54" s="657">
        <f>SUMIFS(tblServiceEvents[Confirmed Revenue],tblServiceEvents[MY_MONTH],A54,tblServiceEvents[Revenue Eligibility],"Eligible")</f>
        <v/>
      </c>
      <c r="G54" s="657">
        <f>IFERROR(F54/C54,0)</f>
        <v/>
      </c>
      <c r="V54" t="inlineStr">
        <is>
          <t>Lanham</t>
        </is>
      </c>
      <c r="W54" t="inlineStr">
        <is>
          <t>MD</t>
        </is>
      </c>
      <c r="X54" t="n">
        <v>2</v>
      </c>
      <c r="Y54" t="n">
        <v>2</v>
      </c>
      <c r="Z54" s="657" t="n">
        <v>290</v>
      </c>
      <c r="AA54" s="657" t="n">
        <v>145</v>
      </c>
      <c r="AB54" t="n">
        <v>290.000002</v>
      </c>
      <c r="AI54" t="n">
        <v>6</v>
      </c>
      <c r="AJ54" t="n">
        <v>6</v>
      </c>
      <c r="AK54" t="n">
        <v>4</v>
      </c>
      <c r="AL54" s="657" t="n">
        <v>522.91</v>
      </c>
      <c r="AM54" s="657" t="n">
        <v>2853.41</v>
      </c>
    </row>
    <row r="55">
      <c r="V55" t="inlineStr">
        <is>
          <t>Falls Church</t>
        </is>
      </c>
      <c r="W55" t="inlineStr">
        <is>
          <t>VA</t>
        </is>
      </c>
      <c r="X55" t="n">
        <v>1</v>
      </c>
      <c r="Y55" t="n">
        <v>1</v>
      </c>
      <c r="Z55" s="657" t="n">
        <v>45</v>
      </c>
      <c r="AA55" s="657" t="n">
        <v>45</v>
      </c>
      <c r="AB55" t="n">
        <v>45.000001</v>
      </c>
      <c r="AI55" t="n">
        <v>7</v>
      </c>
      <c r="AJ55" t="n">
        <v>8</v>
      </c>
      <c r="AK55" t="n">
        <v>8</v>
      </c>
      <c r="AL55" s="657" t="n">
        <v>1221.66</v>
      </c>
      <c r="AM55" s="657" t="n">
        <v>4075.07</v>
      </c>
    </row>
    <row r="56">
      <c r="V56" t="inlineStr">
        <is>
          <t>Ellicott City</t>
        </is>
      </c>
      <c r="W56" t="inlineStr">
        <is>
          <t>MD</t>
        </is>
      </c>
      <c r="X56" t="n">
        <v>1</v>
      </c>
      <c r="Y56" t="n">
        <v>1</v>
      </c>
      <c r="Z56" s="657" t="n">
        <v>50</v>
      </c>
      <c r="AA56" s="657" t="n">
        <v>50</v>
      </c>
      <c r="AB56" t="n">
        <v>50.000001</v>
      </c>
      <c r="AI56" t="n">
        <v>8</v>
      </c>
      <c r="AJ56" t="n">
        <v>9</v>
      </c>
      <c r="AK56" t="n">
        <v>9</v>
      </c>
      <c r="AL56" s="657" t="n">
        <v>760</v>
      </c>
      <c r="AM56" s="657" t="n">
        <v>4835.07</v>
      </c>
    </row>
    <row r="57">
      <c r="A57" s="677" t="inlineStr">
        <is>
          <t>Barrister Leaderboards</t>
        </is>
      </c>
      <c r="B57" s="1" t="n"/>
      <c r="C57" s="1" t="n"/>
      <c r="D57" s="1" t="n"/>
      <c r="E57" s="1" t="n"/>
      <c r="F57" s="1" t="n"/>
      <c r="G57" s="1" t="n"/>
      <c r="H57" s="1" t="n"/>
      <c r="I57" s="1" t="n"/>
      <c r="J57" s="1" t="n"/>
      <c r="K57" s="1" t="n"/>
      <c r="L57" s="1" t="n"/>
      <c r="M57" s="1" t="n"/>
      <c r="N57" s="1" t="n"/>
      <c r="O57" s="1" t="n"/>
      <c r="P57" s="1" t="n"/>
      <c r="Q57" s="1" t="n"/>
      <c r="R57" s="1" t="n"/>
      <c r="S57" s="1" t="n"/>
      <c r="T57" s="1" t="n"/>
      <c r="V57" t="inlineStr">
        <is>
          <t>Laurel</t>
        </is>
      </c>
      <c r="W57" t="inlineStr">
        <is>
          <t>MD</t>
        </is>
      </c>
      <c r="X57" t="n">
        <v>3</v>
      </c>
      <c r="Y57" t="n">
        <v>3</v>
      </c>
      <c r="Z57" s="657" t="n">
        <v>284.74</v>
      </c>
      <c r="AA57" s="657" t="n">
        <v>94.91333333333334</v>
      </c>
      <c r="AB57" t="n">
        <v>284.740003</v>
      </c>
      <c r="AI57" t="n">
        <v>9</v>
      </c>
      <c r="AJ57" t="n">
        <v>7</v>
      </c>
      <c r="AK57" t="n">
        <v>7</v>
      </c>
      <c r="AL57" s="657" t="n">
        <v>681.75</v>
      </c>
      <c r="AM57" s="657" t="n">
        <v>5516.82</v>
      </c>
    </row>
    <row r="58">
      <c r="A58" s="1" t="n"/>
      <c r="B58" s="1" t="n"/>
      <c r="C58" s="1" t="n"/>
      <c r="D58" s="1" t="n"/>
      <c r="E58" s="1" t="n"/>
      <c r="F58" s="1" t="n"/>
      <c r="G58" s="1" t="n"/>
      <c r="H58" s="1" t="n"/>
      <c r="I58" s="1" t="n"/>
      <c r="J58" s="1" t="n"/>
      <c r="K58" s="1" t="n"/>
      <c r="L58" s="1" t="n"/>
      <c r="M58" s="1" t="n"/>
      <c r="N58" s="1" t="n"/>
      <c r="O58" s="1" t="n"/>
      <c r="P58" s="1" t="n"/>
      <c r="Q58" s="1" t="n"/>
      <c r="R58" s="1" t="n"/>
      <c r="S58" s="1" t="n"/>
      <c r="T58" s="1" t="n"/>
      <c r="V58" t="inlineStr">
        <is>
          <t>Bowie</t>
        </is>
      </c>
      <c r="W58" t="inlineStr">
        <is>
          <t>MD</t>
        </is>
      </c>
      <c r="X58" t="n">
        <v>1</v>
      </c>
      <c r="Y58" t="n">
        <v>1</v>
      </c>
      <c r="Z58" s="657" t="n">
        <v>130</v>
      </c>
      <c r="AA58" s="657" t="n">
        <v>130</v>
      </c>
      <c r="AB58" t="n">
        <v>130.000001</v>
      </c>
      <c r="AI58" t="n">
        <v>10</v>
      </c>
      <c r="AJ58" t="n">
        <v>3</v>
      </c>
      <c r="AK58" t="n">
        <v>3</v>
      </c>
      <c r="AL58" s="657" t="n">
        <v>308.27</v>
      </c>
      <c r="AM58" s="657" t="n">
        <v>5825.09</v>
      </c>
    </row>
    <row r="59">
      <c r="V59" t="inlineStr">
        <is>
          <t>Callaway</t>
        </is>
      </c>
      <c r="W59" t="inlineStr">
        <is>
          <t>MD</t>
        </is>
      </c>
      <c r="X59" t="n">
        <v>1</v>
      </c>
      <c r="Y59" t="n">
        <v>1</v>
      </c>
      <c r="Z59" s="657" t="n">
        <v>90</v>
      </c>
      <c r="AA59" s="657" t="n">
        <v>90</v>
      </c>
      <c r="AB59" t="n">
        <v>90.000001</v>
      </c>
      <c r="AI59" t="n">
        <v>11</v>
      </c>
      <c r="AJ59" t="n">
        <v>3</v>
      </c>
      <c r="AK59" t="n">
        <v>3</v>
      </c>
      <c r="AL59" s="657" t="n">
        <v>410.66</v>
      </c>
      <c r="AM59" s="657" t="n">
        <v>6235.75</v>
      </c>
    </row>
    <row r="60">
      <c r="A60" s="678" t="inlineStr">
        <is>
          <t>Top Clients — Confirmed Revenue</t>
        </is>
      </c>
      <c r="B60" s="1" t="n"/>
      <c r="C60" s="1" t="n"/>
      <c r="D60" s="1" t="n"/>
      <c r="E60" s="1" t="n"/>
      <c r="F60" s="1" t="n"/>
      <c r="H60" s="678" t="inlineStr">
        <is>
          <t>Most Repeat Clients</t>
        </is>
      </c>
      <c r="I60" s="1" t="n"/>
      <c r="J60" s="1" t="n"/>
      <c r="K60" s="1" t="n"/>
      <c r="L60" s="1" t="n"/>
      <c r="M60" s="1" t="n"/>
      <c r="O60" s="678" t="inlineStr">
        <is>
          <t>Best Client Average / Event (2+ Events)</t>
        </is>
      </c>
      <c r="P60" s="1" t="n"/>
      <c r="Q60" s="1" t="n"/>
      <c r="R60" s="1" t="n"/>
      <c r="S60" s="1" t="n"/>
      <c r="T60" s="1" t="n"/>
      <c r="V60" t="inlineStr">
        <is>
          <t>Upper Marlboro</t>
        </is>
      </c>
      <c r="W60" t="inlineStr">
        <is>
          <t>MD</t>
        </is>
      </c>
      <c r="X60" t="n">
        <v>1</v>
      </c>
      <c r="Y60" t="n">
        <v>1</v>
      </c>
      <c r="Z60" s="657" t="n">
        <v>116.24</v>
      </c>
      <c r="AA60" s="657" t="n">
        <v>116.24</v>
      </c>
      <c r="AB60" t="n">
        <v>116.240001</v>
      </c>
      <c r="AI60" t="n">
        <v>12</v>
      </c>
      <c r="AJ60" t="n">
        <v>6</v>
      </c>
      <c r="AK60" t="n">
        <v>5</v>
      </c>
      <c r="AL60" s="657" t="n">
        <v>815.0599999999999</v>
      </c>
      <c r="AM60" s="657" t="n">
        <v>7050.81</v>
      </c>
    </row>
    <row r="61">
      <c r="A61" s="238" t="inlineStr">
        <is>
          <t>Rank</t>
        </is>
      </c>
      <c r="B61" s="238" t="inlineStr">
        <is>
          <t>Client</t>
        </is>
      </c>
      <c r="C61" s="238" t="inlineStr">
        <is>
          <t>Revenue</t>
        </is>
      </c>
      <c r="D61" s="238" t="inlineStr">
        <is>
          <t>Events</t>
        </is>
      </c>
      <c r="E61" s="238" t="inlineStr">
        <is>
          <t>Avg/Event</t>
        </is>
      </c>
      <c r="F61" s="238" t="inlineStr">
        <is>
          <t>Work Orders</t>
        </is>
      </c>
      <c r="H61" s="238" t="inlineStr">
        <is>
          <t>Rank</t>
        </is>
      </c>
      <c r="I61" s="238" t="inlineStr">
        <is>
          <t>Client</t>
        </is>
      </c>
      <c r="J61" s="238" t="inlineStr">
        <is>
          <t>Events</t>
        </is>
      </c>
      <c r="K61" s="238" t="inlineStr">
        <is>
          <t>Revenue</t>
        </is>
      </c>
      <c r="L61" s="238" t="inlineStr">
        <is>
          <t>Avg/Event</t>
        </is>
      </c>
      <c r="M61" s="238" t="inlineStr">
        <is>
          <t>First Event</t>
        </is>
      </c>
      <c r="O61" s="238" t="inlineStr">
        <is>
          <t>Rank</t>
        </is>
      </c>
      <c r="P61" s="238" t="inlineStr">
        <is>
          <t>Client</t>
        </is>
      </c>
      <c r="Q61" s="238" t="inlineStr">
        <is>
          <t>Avg/Event</t>
        </is>
      </c>
      <c r="R61" s="238" t="inlineStr">
        <is>
          <t>Events</t>
        </is>
      </c>
      <c r="S61" s="238" t="inlineStr">
        <is>
          <t>Revenue</t>
        </is>
      </c>
      <c r="T61" s="238" t="inlineStr">
        <is>
          <t>Avg/WO</t>
        </is>
      </c>
      <c r="V61" t="inlineStr">
        <is>
          <t>Largo</t>
        </is>
      </c>
      <c r="W61" t="inlineStr">
        <is>
          <t>MD</t>
        </is>
      </c>
      <c r="X61" t="n">
        <v>1</v>
      </c>
      <c r="Y61" t="n">
        <v>1</v>
      </c>
      <c r="Z61" s="657" t="n">
        <v>120</v>
      </c>
      <c r="AA61" s="657" t="n">
        <v>120</v>
      </c>
      <c r="AB61" t="n">
        <v>120.000001</v>
      </c>
      <c r="AI61" t="n">
        <v>13</v>
      </c>
      <c r="AJ61" t="n">
        <v>5</v>
      </c>
      <c r="AK61" t="n">
        <v>1</v>
      </c>
      <c r="AL61" s="657" t="n">
        <v>183.74</v>
      </c>
      <c r="AM61" s="657" t="n">
        <v>7234.55</v>
      </c>
    </row>
    <row r="62">
      <c r="A62" t="n">
        <v>1</v>
      </c>
      <c r="B62">
        <f>INDEX(tblLeaderboardClients[Client],MATCH(LARGE(tblLeaderboardClients[Revenue Key],A62),tblLeaderboardClients[Revenue Key],0))</f>
        <v/>
      </c>
      <c r="C62" s="657">
        <f>INDEX(tblLeaderboardClients[Revenue],MATCH(LARGE(tblLeaderboardClients[Revenue Key],A62),tblLeaderboardClients[Revenue Key],0))</f>
        <v/>
      </c>
      <c r="D62">
        <f>INDEX(tblLeaderboardClients[Events],MATCH(LARGE(tblLeaderboardClients[Revenue Key],A62),tblLeaderboardClients[Revenue Key],0))</f>
        <v/>
      </c>
      <c r="E62" s="657">
        <f>INDEX(tblLeaderboardClients[Avg/Event],MATCH(LARGE(tblLeaderboardClients[Revenue Key],A62),tblLeaderboardClients[Revenue Key],0))</f>
        <v/>
      </c>
      <c r="F62">
        <f>INDEX(tblLeaderboardClients[Work Orders],MATCH(LARGE(tblLeaderboardClients[Revenue Key],A62),tblLeaderboardClients[Revenue Key],0))</f>
        <v/>
      </c>
      <c r="H62" t="n">
        <v>1</v>
      </c>
      <c r="I62">
        <f>INDEX(tblLeaderboardClients[Client],MATCH(LARGE(tblLeaderboardClients[Repeat Key],H62),tblLeaderboardClients[Repeat Key],0))</f>
        <v/>
      </c>
      <c r="J62">
        <f>INDEX(tblLeaderboardClients[Events],MATCH(LARGE(tblLeaderboardClients[Repeat Key],H62),tblLeaderboardClients[Repeat Key],0))</f>
        <v/>
      </c>
      <c r="K62" s="657">
        <f>INDEX(tblLeaderboardClients[Revenue],MATCH(LARGE(tblLeaderboardClients[Repeat Key],H62),tblLeaderboardClients[Repeat Key],0))</f>
        <v/>
      </c>
      <c r="L62" s="657">
        <f>INDEX(tblLeaderboardClients[Avg/Event],MATCH(LARGE(tblLeaderboardClients[Repeat Key],H62),tblLeaderboardClients[Repeat Key],0))</f>
        <v/>
      </c>
      <c r="M62">
        <f>INDEX(tblLeaderboardClients[First Event],MATCH(LARGE(tblLeaderboardClients[Repeat Key],H62),tblLeaderboardClients[Repeat Key],0))</f>
        <v/>
      </c>
      <c r="O62" t="n">
        <v>1</v>
      </c>
      <c r="P62">
        <f>INDEX(tblLeaderboardClients[Client],MATCH(LARGE(tblLeaderboardClients[Avg Key],O62),tblLeaderboardClients[Avg Key],0))</f>
        <v/>
      </c>
      <c r="Q62" s="657">
        <f>INDEX(tblLeaderboardClients[Avg/Event],MATCH(LARGE(tblLeaderboardClients[Avg Key],O62),tblLeaderboardClients[Avg Key],0))</f>
        <v/>
      </c>
      <c r="R62">
        <f>INDEX(tblLeaderboardClients[Events],MATCH(LARGE(tblLeaderboardClients[Avg Key],O62),tblLeaderboardClients[Avg Key],0))</f>
        <v/>
      </c>
      <c r="S62" s="657">
        <f>INDEX(tblLeaderboardClients[Revenue],MATCH(LARGE(tblLeaderboardClients[Avg Key],O62),tblLeaderboardClients[Avg Key],0))</f>
        <v/>
      </c>
      <c r="T62" s="657">
        <f>INDEX(tblLeaderboardClients[Avg/WO],MATCH(LARGE(tblLeaderboardClients[Avg Key],O62),tblLeaderboardClients[Avg Key],0))</f>
        <v/>
      </c>
      <c r="V62" t="inlineStr">
        <is>
          <t>Reisterstown</t>
        </is>
      </c>
      <c r="W62" t="inlineStr">
        <is>
          <t>MD</t>
        </is>
      </c>
      <c r="X62" t="n">
        <v>1</v>
      </c>
      <c r="Y62" t="n">
        <v>1</v>
      </c>
      <c r="Z62" s="657" t="n">
        <v>170.66</v>
      </c>
      <c r="AA62" s="657" t="n">
        <v>170.66</v>
      </c>
      <c r="AB62" t="n">
        <v>170.660001</v>
      </c>
    </row>
    <row r="63">
      <c r="A63" t="n">
        <v>2</v>
      </c>
      <c r="B63">
        <f>INDEX(tblLeaderboardClients[Client],MATCH(LARGE(tblLeaderboardClients[Revenue Key],A63),tblLeaderboardClients[Revenue Key],0))</f>
        <v/>
      </c>
      <c r="C63" s="657">
        <f>INDEX(tblLeaderboardClients[Revenue],MATCH(LARGE(tblLeaderboardClients[Revenue Key],A63),tblLeaderboardClients[Revenue Key],0))</f>
        <v/>
      </c>
      <c r="D63">
        <f>INDEX(tblLeaderboardClients[Events],MATCH(LARGE(tblLeaderboardClients[Revenue Key],A63),tblLeaderboardClients[Revenue Key],0))</f>
        <v/>
      </c>
      <c r="E63" s="657">
        <f>INDEX(tblLeaderboardClients[Avg/Event],MATCH(LARGE(tblLeaderboardClients[Revenue Key],A63),tblLeaderboardClients[Revenue Key],0))</f>
        <v/>
      </c>
      <c r="F63">
        <f>INDEX(tblLeaderboardClients[Work Orders],MATCH(LARGE(tblLeaderboardClients[Revenue Key],A63),tblLeaderboardClients[Revenue Key],0))</f>
        <v/>
      </c>
      <c r="H63" t="n">
        <v>2</v>
      </c>
      <c r="I63">
        <f>INDEX(tblLeaderboardClients[Client],MATCH(LARGE(tblLeaderboardClients[Repeat Key],H63),tblLeaderboardClients[Repeat Key],0))</f>
        <v/>
      </c>
      <c r="J63">
        <f>INDEX(tblLeaderboardClients[Events],MATCH(LARGE(tblLeaderboardClients[Repeat Key],H63),tblLeaderboardClients[Repeat Key],0))</f>
        <v/>
      </c>
      <c r="K63" s="657">
        <f>INDEX(tblLeaderboardClients[Revenue],MATCH(LARGE(tblLeaderboardClients[Repeat Key],H63),tblLeaderboardClients[Repeat Key],0))</f>
        <v/>
      </c>
      <c r="L63" s="657">
        <f>INDEX(tblLeaderboardClients[Avg/Event],MATCH(LARGE(tblLeaderboardClients[Repeat Key],H63),tblLeaderboardClients[Repeat Key],0))</f>
        <v/>
      </c>
      <c r="M63">
        <f>INDEX(tblLeaderboardClients[First Event],MATCH(LARGE(tblLeaderboardClients[Repeat Key],H63),tblLeaderboardClients[Repeat Key],0))</f>
        <v/>
      </c>
      <c r="O63" t="n">
        <v>2</v>
      </c>
      <c r="P63">
        <f>INDEX(tblLeaderboardClients[Client],MATCH(LARGE(tblLeaderboardClients[Avg Key],O63),tblLeaderboardClients[Avg Key],0))</f>
        <v/>
      </c>
      <c r="Q63" s="657">
        <f>INDEX(tblLeaderboardClients[Avg/Event],MATCH(LARGE(tblLeaderboardClients[Avg Key],O63),tblLeaderboardClients[Avg Key],0))</f>
        <v/>
      </c>
      <c r="R63">
        <f>INDEX(tblLeaderboardClients[Events],MATCH(LARGE(tblLeaderboardClients[Avg Key],O63),tblLeaderboardClients[Avg Key],0))</f>
        <v/>
      </c>
      <c r="S63" s="657">
        <f>INDEX(tblLeaderboardClients[Revenue],MATCH(LARGE(tblLeaderboardClients[Avg Key],O63),tblLeaderboardClients[Avg Key],0))</f>
        <v/>
      </c>
      <c r="T63" s="657">
        <f>INDEX(tblLeaderboardClients[Avg/WO],MATCH(LARGE(tblLeaderboardClients[Avg Key],O63),tblLeaderboardClients[Avg Key],0))</f>
        <v/>
      </c>
      <c r="V63" t="inlineStr">
        <is>
          <t>Lutherville</t>
        </is>
      </c>
      <c r="W63" t="inlineStr">
        <is>
          <t>MD</t>
        </is>
      </c>
      <c r="X63" t="n">
        <v>1</v>
      </c>
      <c r="Y63" t="n">
        <v>1</v>
      </c>
      <c r="Z63" s="657" t="n">
        <v>202.5</v>
      </c>
      <c r="AA63" s="657" t="n">
        <v>202.5</v>
      </c>
      <c r="AB63" t="n">
        <v>202.500001</v>
      </c>
      <c r="AI63" s="313" t="inlineStr">
        <is>
          <t>Client Type</t>
        </is>
      </c>
      <c r="AJ63" s="313" t="inlineStr">
        <is>
          <t>Clients</t>
        </is>
      </c>
    </row>
    <row r="64">
      <c r="A64" t="n">
        <v>3</v>
      </c>
      <c r="B64">
        <f>INDEX(tblLeaderboardClients[Client],MATCH(LARGE(tblLeaderboardClients[Revenue Key],A64),tblLeaderboardClients[Revenue Key],0))</f>
        <v/>
      </c>
      <c r="C64" s="657">
        <f>INDEX(tblLeaderboardClients[Revenue],MATCH(LARGE(tblLeaderboardClients[Revenue Key],A64),tblLeaderboardClients[Revenue Key],0))</f>
        <v/>
      </c>
      <c r="D64">
        <f>INDEX(tblLeaderboardClients[Events],MATCH(LARGE(tblLeaderboardClients[Revenue Key],A64),tblLeaderboardClients[Revenue Key],0))</f>
        <v/>
      </c>
      <c r="E64" s="657">
        <f>INDEX(tblLeaderboardClients[Avg/Event],MATCH(LARGE(tblLeaderboardClients[Revenue Key],A64),tblLeaderboardClients[Revenue Key],0))</f>
        <v/>
      </c>
      <c r="F64">
        <f>INDEX(tblLeaderboardClients[Work Orders],MATCH(LARGE(tblLeaderboardClients[Revenue Key],A64),tblLeaderboardClients[Revenue Key],0))</f>
        <v/>
      </c>
      <c r="H64" t="n">
        <v>3</v>
      </c>
      <c r="I64">
        <f>INDEX(tblLeaderboardClients[Client],MATCH(LARGE(tblLeaderboardClients[Repeat Key],H64),tblLeaderboardClients[Repeat Key],0))</f>
        <v/>
      </c>
      <c r="J64">
        <f>INDEX(tblLeaderboardClients[Events],MATCH(LARGE(tblLeaderboardClients[Repeat Key],H64),tblLeaderboardClients[Repeat Key],0))</f>
        <v/>
      </c>
      <c r="K64" s="657">
        <f>INDEX(tblLeaderboardClients[Revenue],MATCH(LARGE(tblLeaderboardClients[Repeat Key],H64),tblLeaderboardClients[Repeat Key],0))</f>
        <v/>
      </c>
      <c r="L64" s="657">
        <f>INDEX(tblLeaderboardClients[Avg/Event],MATCH(LARGE(tblLeaderboardClients[Repeat Key],H64),tblLeaderboardClients[Repeat Key],0))</f>
        <v/>
      </c>
      <c r="M64">
        <f>INDEX(tblLeaderboardClients[First Event],MATCH(LARGE(tblLeaderboardClients[Repeat Key],H64),tblLeaderboardClients[Repeat Key],0))</f>
        <v/>
      </c>
      <c r="O64" t="n">
        <v>3</v>
      </c>
      <c r="P64">
        <f>INDEX(tblLeaderboardClients[Client],MATCH(LARGE(tblLeaderboardClients[Avg Key],O64),tblLeaderboardClients[Avg Key],0))</f>
        <v/>
      </c>
      <c r="Q64" s="657">
        <f>INDEX(tblLeaderboardClients[Avg/Event],MATCH(LARGE(tblLeaderboardClients[Avg Key],O64),tblLeaderboardClients[Avg Key],0))</f>
        <v/>
      </c>
      <c r="R64">
        <f>INDEX(tblLeaderboardClients[Events],MATCH(LARGE(tblLeaderboardClients[Avg Key],O64),tblLeaderboardClients[Avg Key],0))</f>
        <v/>
      </c>
      <c r="S64" s="657">
        <f>INDEX(tblLeaderboardClients[Revenue],MATCH(LARGE(tblLeaderboardClients[Avg Key],O64),tblLeaderboardClients[Avg Key],0))</f>
        <v/>
      </c>
      <c r="T64" s="657">
        <f>INDEX(tblLeaderboardClients[Avg/WO],MATCH(LARGE(tblLeaderboardClients[Avg Key],O64),tblLeaderboardClients[Avg Key],0))</f>
        <v/>
      </c>
      <c r="V64" t="inlineStr">
        <is>
          <t>Aberdeen</t>
        </is>
      </c>
      <c r="W64" t="inlineStr">
        <is>
          <t>MD</t>
        </is>
      </c>
      <c r="X64" t="n">
        <v>2</v>
      </c>
      <c r="Y64" t="n">
        <v>2</v>
      </c>
      <c r="Z64" s="657" t="n">
        <v>433.74</v>
      </c>
      <c r="AA64" s="657" t="n">
        <v>216.87</v>
      </c>
      <c r="AB64" t="n">
        <v>433.740002</v>
      </c>
      <c r="AI64" t="inlineStr">
        <is>
          <t>Repeat</t>
        </is>
      </c>
      <c r="AJ64" t="n">
        <v>19</v>
      </c>
    </row>
    <row r="65">
      <c r="A65" t="n">
        <v>4</v>
      </c>
      <c r="B65">
        <f>INDEX(tblLeaderboardClients[Client],MATCH(LARGE(tblLeaderboardClients[Revenue Key],A65),tblLeaderboardClients[Revenue Key],0))</f>
        <v/>
      </c>
      <c r="C65" s="657">
        <f>INDEX(tblLeaderboardClients[Revenue],MATCH(LARGE(tblLeaderboardClients[Revenue Key],A65),tblLeaderboardClients[Revenue Key],0))</f>
        <v/>
      </c>
      <c r="D65">
        <f>INDEX(tblLeaderboardClients[Events],MATCH(LARGE(tblLeaderboardClients[Revenue Key],A65),tblLeaderboardClients[Revenue Key],0))</f>
        <v/>
      </c>
      <c r="E65" s="657">
        <f>INDEX(tblLeaderboardClients[Avg/Event],MATCH(LARGE(tblLeaderboardClients[Revenue Key],A65),tblLeaderboardClients[Revenue Key],0))</f>
        <v/>
      </c>
      <c r="F65">
        <f>INDEX(tblLeaderboardClients[Work Orders],MATCH(LARGE(tblLeaderboardClients[Revenue Key],A65),tblLeaderboardClients[Revenue Key],0))</f>
        <v/>
      </c>
      <c r="H65" t="n">
        <v>4</v>
      </c>
      <c r="I65">
        <f>INDEX(tblLeaderboardClients[Client],MATCH(LARGE(tblLeaderboardClients[Repeat Key],H65),tblLeaderboardClients[Repeat Key],0))</f>
        <v/>
      </c>
      <c r="J65">
        <f>INDEX(tblLeaderboardClients[Events],MATCH(LARGE(tblLeaderboardClients[Repeat Key],H65),tblLeaderboardClients[Repeat Key],0))</f>
        <v/>
      </c>
      <c r="K65" s="657">
        <f>INDEX(tblLeaderboardClients[Revenue],MATCH(LARGE(tblLeaderboardClients[Repeat Key],H65),tblLeaderboardClients[Repeat Key],0))</f>
        <v/>
      </c>
      <c r="L65" s="657">
        <f>INDEX(tblLeaderboardClients[Avg/Event],MATCH(LARGE(tblLeaderboardClients[Repeat Key],H65),tblLeaderboardClients[Repeat Key],0))</f>
        <v/>
      </c>
      <c r="M65">
        <f>INDEX(tblLeaderboardClients[First Event],MATCH(LARGE(tblLeaderboardClients[Repeat Key],H65),tblLeaderboardClients[Repeat Key],0))</f>
        <v/>
      </c>
      <c r="O65" t="n">
        <v>4</v>
      </c>
      <c r="P65">
        <f>INDEX(tblLeaderboardClients[Client],MATCH(LARGE(tblLeaderboardClients[Avg Key],O65),tblLeaderboardClients[Avg Key],0))</f>
        <v/>
      </c>
      <c r="Q65" s="657">
        <f>INDEX(tblLeaderboardClients[Avg/Event],MATCH(LARGE(tblLeaderboardClients[Avg Key],O65),tblLeaderboardClients[Avg Key],0))</f>
        <v/>
      </c>
      <c r="R65">
        <f>INDEX(tblLeaderboardClients[Events],MATCH(LARGE(tblLeaderboardClients[Avg Key],O65),tblLeaderboardClients[Avg Key],0))</f>
        <v/>
      </c>
      <c r="S65" s="657">
        <f>INDEX(tblLeaderboardClients[Revenue],MATCH(LARGE(tblLeaderboardClients[Avg Key],O65),tblLeaderboardClients[Avg Key],0))</f>
        <v/>
      </c>
      <c r="T65" s="657">
        <f>INDEX(tblLeaderboardClients[Avg/WO],MATCH(LARGE(tblLeaderboardClients[Avg Key],O65),tblLeaderboardClients[Avg Key],0))</f>
        <v/>
      </c>
      <c r="V65" t="inlineStr">
        <is>
          <t>Germantown</t>
        </is>
      </c>
      <c r="W65" t="inlineStr">
        <is>
          <t>MD</t>
        </is>
      </c>
      <c r="X65" t="n">
        <v>1</v>
      </c>
      <c r="Y65" t="n">
        <v>1</v>
      </c>
      <c r="Z65" s="657" t="n">
        <v>194.99</v>
      </c>
      <c r="AA65" s="657" t="n">
        <v>194.99</v>
      </c>
      <c r="AB65" t="n">
        <v>194.990001</v>
      </c>
      <c r="AI65" t="inlineStr">
        <is>
          <t>One-Time</t>
        </is>
      </c>
      <c r="AJ65" t="n">
        <v>8</v>
      </c>
    </row>
    <row r="66">
      <c r="A66" t="n">
        <v>5</v>
      </c>
      <c r="B66">
        <f>INDEX(tblLeaderboardClients[Client],MATCH(LARGE(tblLeaderboardClients[Revenue Key],A66),tblLeaderboardClients[Revenue Key],0))</f>
        <v/>
      </c>
      <c r="C66" s="657">
        <f>INDEX(tblLeaderboardClients[Revenue],MATCH(LARGE(tblLeaderboardClients[Revenue Key],A66),tblLeaderboardClients[Revenue Key],0))</f>
        <v/>
      </c>
      <c r="D66">
        <f>INDEX(tblLeaderboardClients[Events],MATCH(LARGE(tblLeaderboardClients[Revenue Key],A66),tblLeaderboardClients[Revenue Key],0))</f>
        <v/>
      </c>
      <c r="E66" s="657">
        <f>INDEX(tblLeaderboardClients[Avg/Event],MATCH(LARGE(tblLeaderboardClients[Revenue Key],A66),tblLeaderboardClients[Revenue Key],0))</f>
        <v/>
      </c>
      <c r="F66">
        <f>INDEX(tblLeaderboardClients[Work Orders],MATCH(LARGE(tblLeaderboardClients[Revenue Key],A66),tblLeaderboardClients[Revenue Key],0))</f>
        <v/>
      </c>
      <c r="H66" t="n">
        <v>5</v>
      </c>
      <c r="I66">
        <f>INDEX(tblLeaderboardClients[Client],MATCH(LARGE(tblLeaderboardClients[Repeat Key],H66),tblLeaderboardClients[Repeat Key],0))</f>
        <v/>
      </c>
      <c r="J66">
        <f>INDEX(tblLeaderboardClients[Events],MATCH(LARGE(tblLeaderboardClients[Repeat Key],H66),tblLeaderboardClients[Repeat Key],0))</f>
        <v/>
      </c>
      <c r="K66" s="657">
        <f>INDEX(tblLeaderboardClients[Revenue],MATCH(LARGE(tblLeaderboardClients[Repeat Key],H66),tblLeaderboardClients[Repeat Key],0))</f>
        <v/>
      </c>
      <c r="L66" s="657">
        <f>INDEX(tblLeaderboardClients[Avg/Event],MATCH(LARGE(tblLeaderboardClients[Repeat Key],H66),tblLeaderboardClients[Repeat Key],0))</f>
        <v/>
      </c>
      <c r="M66">
        <f>INDEX(tblLeaderboardClients[First Event],MATCH(LARGE(tblLeaderboardClients[Repeat Key],H66),tblLeaderboardClients[Repeat Key],0))</f>
        <v/>
      </c>
      <c r="O66" t="n">
        <v>5</v>
      </c>
      <c r="P66">
        <f>INDEX(tblLeaderboardClients[Client],MATCH(LARGE(tblLeaderboardClients[Avg Key],O66),tblLeaderboardClients[Avg Key],0))</f>
        <v/>
      </c>
      <c r="Q66" s="657">
        <f>INDEX(tblLeaderboardClients[Avg/Event],MATCH(LARGE(tblLeaderboardClients[Avg Key],O66),tblLeaderboardClients[Avg Key],0))</f>
        <v/>
      </c>
      <c r="R66">
        <f>INDEX(tblLeaderboardClients[Events],MATCH(LARGE(tblLeaderboardClients[Avg Key],O66),tblLeaderboardClients[Avg Key],0))</f>
        <v/>
      </c>
      <c r="S66" s="657">
        <f>INDEX(tblLeaderboardClients[Revenue],MATCH(LARGE(tblLeaderboardClients[Avg Key],O66),tblLeaderboardClients[Avg Key],0))</f>
        <v/>
      </c>
      <c r="T66" s="657">
        <f>INDEX(tblLeaderboardClients[Avg/WO],MATCH(LARGE(tblLeaderboardClients[Avg Key],O66),tblLeaderboardClients[Avg Key],0))</f>
        <v/>
      </c>
      <c r="V66" t="inlineStr">
        <is>
          <t>Martinsburg</t>
        </is>
      </c>
      <c r="W66" t="inlineStr">
        <is>
          <t>WV</t>
        </is>
      </c>
      <c r="X66" t="n">
        <v>1</v>
      </c>
      <c r="Y66" t="n">
        <v>1</v>
      </c>
      <c r="Z66" s="657" t="n">
        <v>100.83</v>
      </c>
      <c r="AA66" s="657" t="n">
        <v>100.83</v>
      </c>
      <c r="AB66" t="n">
        <v>100.830001</v>
      </c>
    </row>
    <row r="67">
      <c r="A67" t="n">
        <v>6</v>
      </c>
      <c r="B67">
        <f>INDEX(tblLeaderboardClients[Client],MATCH(LARGE(tblLeaderboardClients[Revenue Key],A67),tblLeaderboardClients[Revenue Key],0))</f>
        <v/>
      </c>
      <c r="C67" s="657">
        <f>INDEX(tblLeaderboardClients[Revenue],MATCH(LARGE(tblLeaderboardClients[Revenue Key],A67),tblLeaderboardClients[Revenue Key],0))</f>
        <v/>
      </c>
      <c r="D67">
        <f>INDEX(tblLeaderboardClients[Events],MATCH(LARGE(tblLeaderboardClients[Revenue Key],A67),tblLeaderboardClients[Revenue Key],0))</f>
        <v/>
      </c>
      <c r="E67" s="657">
        <f>INDEX(tblLeaderboardClients[Avg/Event],MATCH(LARGE(tblLeaderboardClients[Revenue Key],A67),tblLeaderboardClients[Revenue Key],0))</f>
        <v/>
      </c>
      <c r="F67">
        <f>INDEX(tblLeaderboardClients[Work Orders],MATCH(LARGE(tblLeaderboardClients[Revenue Key],A67),tblLeaderboardClients[Revenue Key],0))</f>
        <v/>
      </c>
      <c r="H67" t="n">
        <v>6</v>
      </c>
      <c r="I67">
        <f>INDEX(tblLeaderboardClients[Client],MATCH(LARGE(tblLeaderboardClients[Repeat Key],H67),tblLeaderboardClients[Repeat Key],0))</f>
        <v/>
      </c>
      <c r="J67">
        <f>INDEX(tblLeaderboardClients[Events],MATCH(LARGE(tblLeaderboardClients[Repeat Key],H67),tblLeaderboardClients[Repeat Key],0))</f>
        <v/>
      </c>
      <c r="K67" s="657">
        <f>INDEX(tblLeaderboardClients[Revenue],MATCH(LARGE(tblLeaderboardClients[Repeat Key],H67),tblLeaderboardClients[Repeat Key],0))</f>
        <v/>
      </c>
      <c r="L67" s="657">
        <f>INDEX(tblLeaderboardClients[Avg/Event],MATCH(LARGE(tblLeaderboardClients[Repeat Key],H67),tblLeaderboardClients[Repeat Key],0))</f>
        <v/>
      </c>
      <c r="M67">
        <f>INDEX(tblLeaderboardClients[First Event],MATCH(LARGE(tblLeaderboardClients[Repeat Key],H67),tblLeaderboardClients[Repeat Key],0))</f>
        <v/>
      </c>
      <c r="O67" t="n">
        <v>6</v>
      </c>
      <c r="P67">
        <f>INDEX(tblLeaderboardClients[Client],MATCH(LARGE(tblLeaderboardClients[Avg Key],O67),tblLeaderboardClients[Avg Key],0))</f>
        <v/>
      </c>
      <c r="Q67" s="657">
        <f>INDEX(tblLeaderboardClients[Avg/Event],MATCH(LARGE(tblLeaderboardClients[Avg Key],O67),tblLeaderboardClients[Avg Key],0))</f>
        <v/>
      </c>
      <c r="R67">
        <f>INDEX(tblLeaderboardClients[Events],MATCH(LARGE(tblLeaderboardClients[Avg Key],O67),tblLeaderboardClients[Avg Key],0))</f>
        <v/>
      </c>
      <c r="S67" s="657">
        <f>INDEX(tblLeaderboardClients[Revenue],MATCH(LARGE(tblLeaderboardClients[Avg Key],O67),tblLeaderboardClients[Avg Key],0))</f>
        <v/>
      </c>
      <c r="T67" s="657">
        <f>INDEX(tblLeaderboardClients[Avg/WO],MATCH(LARGE(tblLeaderboardClients[Avg Key],O67),tblLeaderboardClients[Avg Key],0))</f>
        <v/>
      </c>
      <c r="V67" t="inlineStr">
        <is>
          <t>Cockeysville</t>
        </is>
      </c>
      <c r="W67" t="inlineStr">
        <is>
          <t>MD</t>
        </is>
      </c>
      <c r="X67" t="n">
        <v>1</v>
      </c>
      <c r="Y67" t="n">
        <v>0</v>
      </c>
      <c r="Z67" t="n">
        <v>0</v>
      </c>
      <c r="AA67" t="n">
        <v>0</v>
      </c>
      <c r="AB67" t="n">
        <v>1e-06</v>
      </c>
    </row>
    <row r="68">
      <c r="A68" t="n">
        <v>7</v>
      </c>
      <c r="B68">
        <f>INDEX(tblLeaderboardClients[Client],MATCH(LARGE(tblLeaderboardClients[Revenue Key],A68),tblLeaderboardClients[Revenue Key],0))</f>
        <v/>
      </c>
      <c r="C68" s="657">
        <f>INDEX(tblLeaderboardClients[Revenue],MATCH(LARGE(tblLeaderboardClients[Revenue Key],A68),tblLeaderboardClients[Revenue Key],0))</f>
        <v/>
      </c>
      <c r="D68">
        <f>INDEX(tblLeaderboardClients[Events],MATCH(LARGE(tblLeaderboardClients[Revenue Key],A68),tblLeaderboardClients[Revenue Key],0))</f>
        <v/>
      </c>
      <c r="E68" s="657">
        <f>INDEX(tblLeaderboardClients[Avg/Event],MATCH(LARGE(tblLeaderboardClients[Revenue Key],A68),tblLeaderboardClients[Revenue Key],0))</f>
        <v/>
      </c>
      <c r="F68">
        <f>INDEX(tblLeaderboardClients[Work Orders],MATCH(LARGE(tblLeaderboardClients[Revenue Key],A68),tblLeaderboardClients[Revenue Key],0))</f>
        <v/>
      </c>
      <c r="H68" t="n">
        <v>7</v>
      </c>
      <c r="I68">
        <f>INDEX(tblLeaderboardClients[Client],MATCH(LARGE(tblLeaderboardClients[Repeat Key],H68),tblLeaderboardClients[Repeat Key],0))</f>
        <v/>
      </c>
      <c r="J68">
        <f>INDEX(tblLeaderboardClients[Events],MATCH(LARGE(tblLeaderboardClients[Repeat Key],H68),tblLeaderboardClients[Repeat Key],0))</f>
        <v/>
      </c>
      <c r="K68" s="657">
        <f>INDEX(tblLeaderboardClients[Revenue],MATCH(LARGE(tblLeaderboardClients[Repeat Key],H68),tblLeaderboardClients[Repeat Key],0))</f>
        <v/>
      </c>
      <c r="L68" s="657">
        <f>INDEX(tblLeaderboardClients[Avg/Event],MATCH(LARGE(tblLeaderboardClients[Repeat Key],H68),tblLeaderboardClients[Repeat Key],0))</f>
        <v/>
      </c>
      <c r="M68">
        <f>INDEX(tblLeaderboardClients[First Event],MATCH(LARGE(tblLeaderboardClients[Repeat Key],H68),tblLeaderboardClients[Repeat Key],0))</f>
        <v/>
      </c>
      <c r="O68" t="n">
        <v>7</v>
      </c>
      <c r="P68">
        <f>INDEX(tblLeaderboardClients[Client],MATCH(LARGE(tblLeaderboardClients[Avg Key],O68),tblLeaderboardClients[Avg Key],0))</f>
        <v/>
      </c>
      <c r="Q68" s="657">
        <f>INDEX(tblLeaderboardClients[Avg/Event],MATCH(LARGE(tblLeaderboardClients[Avg Key],O68),tblLeaderboardClients[Avg Key],0))</f>
        <v/>
      </c>
      <c r="R68">
        <f>INDEX(tblLeaderboardClients[Events],MATCH(LARGE(tblLeaderboardClients[Avg Key],O68),tblLeaderboardClients[Avg Key],0))</f>
        <v/>
      </c>
      <c r="S68" s="657">
        <f>INDEX(tblLeaderboardClients[Revenue],MATCH(LARGE(tblLeaderboardClients[Avg Key],O68),tblLeaderboardClients[Avg Key],0))</f>
        <v/>
      </c>
      <c r="T68" s="657">
        <f>INDEX(tblLeaderboardClients[Avg/WO],MATCH(LARGE(tblLeaderboardClients[Avg Key],O68),tblLeaderboardClients[Avg Key],0))</f>
        <v/>
      </c>
      <c r="V68" t="inlineStr">
        <is>
          <t>Hagerstown</t>
        </is>
      </c>
      <c r="W68" t="inlineStr">
        <is>
          <t>MD</t>
        </is>
      </c>
      <c r="X68" t="n">
        <v>1</v>
      </c>
      <c r="Y68" t="n">
        <v>0</v>
      </c>
      <c r="Z68" t="n">
        <v>0</v>
      </c>
      <c r="AA68" t="n">
        <v>0</v>
      </c>
      <c r="AB68" t="n">
        <v>1e-06</v>
      </c>
    </row>
    <row r="69">
      <c r="A69" t="n">
        <v>8</v>
      </c>
      <c r="B69">
        <f>INDEX(tblLeaderboardClients[Client],MATCH(LARGE(tblLeaderboardClients[Revenue Key],A69),tblLeaderboardClients[Revenue Key],0))</f>
        <v/>
      </c>
      <c r="C69" s="657">
        <f>INDEX(tblLeaderboardClients[Revenue],MATCH(LARGE(tblLeaderboardClients[Revenue Key],A69),tblLeaderboardClients[Revenue Key],0))</f>
        <v/>
      </c>
      <c r="D69">
        <f>INDEX(tblLeaderboardClients[Events],MATCH(LARGE(tblLeaderboardClients[Revenue Key],A69),tblLeaderboardClients[Revenue Key],0))</f>
        <v/>
      </c>
      <c r="E69" s="657">
        <f>INDEX(tblLeaderboardClients[Avg/Event],MATCH(LARGE(tblLeaderboardClients[Revenue Key],A69),tblLeaderboardClients[Revenue Key],0))</f>
        <v/>
      </c>
      <c r="F69">
        <f>INDEX(tblLeaderboardClients[Work Orders],MATCH(LARGE(tblLeaderboardClients[Revenue Key],A69),tblLeaderboardClients[Revenue Key],0))</f>
        <v/>
      </c>
      <c r="H69" t="n">
        <v>8</v>
      </c>
      <c r="I69">
        <f>INDEX(tblLeaderboardClients[Client],MATCH(LARGE(tblLeaderboardClients[Repeat Key],H69),tblLeaderboardClients[Repeat Key],0))</f>
        <v/>
      </c>
      <c r="J69">
        <f>INDEX(tblLeaderboardClients[Events],MATCH(LARGE(tblLeaderboardClients[Repeat Key],H69),tblLeaderboardClients[Repeat Key],0))</f>
        <v/>
      </c>
      <c r="K69" s="657">
        <f>INDEX(tblLeaderboardClients[Revenue],MATCH(LARGE(tblLeaderboardClients[Repeat Key],H69),tblLeaderboardClients[Repeat Key],0))</f>
        <v/>
      </c>
      <c r="L69" s="657">
        <f>INDEX(tblLeaderboardClients[Avg/Event],MATCH(LARGE(tblLeaderboardClients[Repeat Key],H69),tblLeaderboardClients[Repeat Key],0))</f>
        <v/>
      </c>
      <c r="M69">
        <f>INDEX(tblLeaderboardClients[First Event],MATCH(LARGE(tblLeaderboardClients[Repeat Key],H69),tblLeaderboardClients[Repeat Key],0))</f>
        <v/>
      </c>
      <c r="O69" t="n">
        <v>8</v>
      </c>
      <c r="P69">
        <f>INDEX(tblLeaderboardClients[Client],MATCH(LARGE(tblLeaderboardClients[Avg Key],O69),tblLeaderboardClients[Avg Key],0))</f>
        <v/>
      </c>
      <c r="Q69" s="657">
        <f>INDEX(tblLeaderboardClients[Avg/Event],MATCH(LARGE(tblLeaderboardClients[Avg Key],O69),tblLeaderboardClients[Avg Key],0))</f>
        <v/>
      </c>
      <c r="R69">
        <f>INDEX(tblLeaderboardClients[Events],MATCH(LARGE(tblLeaderboardClients[Avg Key],O69),tblLeaderboardClients[Avg Key],0))</f>
        <v/>
      </c>
      <c r="S69" s="657">
        <f>INDEX(tblLeaderboardClients[Revenue],MATCH(LARGE(tblLeaderboardClients[Avg Key],O69),tblLeaderboardClients[Avg Key],0))</f>
        <v/>
      </c>
      <c r="T69" s="657">
        <f>INDEX(tblLeaderboardClients[Avg/WO],MATCH(LARGE(tblLeaderboardClients[Avg Key],O69),tblLeaderboardClients[Avg Key],0))</f>
        <v/>
      </c>
      <c r="V69" s="238" t="inlineStr">
        <is>
          <t>Hanover</t>
        </is>
      </c>
      <c r="W69" s="238" t="inlineStr">
        <is>
          <t>MD</t>
        </is>
      </c>
      <c r="X69" s="238" t="n">
        <v>2</v>
      </c>
      <c r="Y69" s="238" t="n">
        <v>2</v>
      </c>
      <c r="Z69" s="238" t="n">
        <v>260</v>
      </c>
      <c r="AA69" s="238" t="n">
        <v>130</v>
      </c>
      <c r="AB69" s="238" t="n">
        <v>260.000002</v>
      </c>
    </row>
    <row r="70">
      <c r="A70" t="n">
        <v>9</v>
      </c>
      <c r="B70">
        <f>INDEX(tblLeaderboardClients[Client],MATCH(LARGE(tblLeaderboardClients[Revenue Key],A70),tblLeaderboardClients[Revenue Key],0))</f>
        <v/>
      </c>
      <c r="C70" s="657">
        <f>INDEX(tblLeaderboardClients[Revenue],MATCH(LARGE(tblLeaderboardClients[Revenue Key],A70),tblLeaderboardClients[Revenue Key],0))</f>
        <v/>
      </c>
      <c r="D70">
        <f>INDEX(tblLeaderboardClients[Events],MATCH(LARGE(tblLeaderboardClients[Revenue Key],A70),tblLeaderboardClients[Revenue Key],0))</f>
        <v/>
      </c>
      <c r="E70" s="657">
        <f>INDEX(tblLeaderboardClients[Avg/Event],MATCH(LARGE(tblLeaderboardClients[Revenue Key],A70),tblLeaderboardClients[Revenue Key],0))</f>
        <v/>
      </c>
      <c r="F70">
        <f>INDEX(tblLeaderboardClients[Work Orders],MATCH(LARGE(tblLeaderboardClients[Revenue Key],A70),tblLeaderboardClients[Revenue Key],0))</f>
        <v/>
      </c>
      <c r="H70" t="n">
        <v>9</v>
      </c>
      <c r="I70">
        <f>INDEX(tblLeaderboardClients[Client],MATCH(LARGE(tblLeaderboardClients[Repeat Key],H70),tblLeaderboardClients[Repeat Key],0))</f>
        <v/>
      </c>
      <c r="J70">
        <f>INDEX(tblLeaderboardClients[Events],MATCH(LARGE(tblLeaderboardClients[Repeat Key],H70),tblLeaderboardClients[Repeat Key],0))</f>
        <v/>
      </c>
      <c r="K70" s="657">
        <f>INDEX(tblLeaderboardClients[Revenue],MATCH(LARGE(tblLeaderboardClients[Repeat Key],H70),tblLeaderboardClients[Repeat Key],0))</f>
        <v/>
      </c>
      <c r="L70" s="657">
        <f>INDEX(tblLeaderboardClients[Avg/Event],MATCH(LARGE(tblLeaderboardClients[Repeat Key],H70),tblLeaderboardClients[Repeat Key],0))</f>
        <v/>
      </c>
      <c r="M70">
        <f>INDEX(tblLeaderboardClients[First Event],MATCH(LARGE(tblLeaderboardClients[Repeat Key],H70),tblLeaderboardClients[Repeat Key],0))</f>
        <v/>
      </c>
      <c r="O70" t="n">
        <v>9</v>
      </c>
      <c r="P70">
        <f>INDEX(tblLeaderboardClients[Client],MATCH(LARGE(tblLeaderboardClients[Avg Key],O70),tblLeaderboardClients[Avg Key],0))</f>
        <v/>
      </c>
      <c r="Q70" s="657">
        <f>INDEX(tblLeaderboardClients[Avg/Event],MATCH(LARGE(tblLeaderboardClients[Avg Key],O70),tblLeaderboardClients[Avg Key],0))</f>
        <v/>
      </c>
      <c r="R70">
        <f>INDEX(tblLeaderboardClients[Events],MATCH(LARGE(tblLeaderboardClients[Avg Key],O70),tblLeaderboardClients[Avg Key],0))</f>
        <v/>
      </c>
      <c r="S70" s="657">
        <f>INDEX(tblLeaderboardClients[Revenue],MATCH(LARGE(tblLeaderboardClients[Avg Key],O70),tblLeaderboardClients[Avg Key],0))</f>
        <v/>
      </c>
      <c r="T70" s="657">
        <f>INDEX(tblLeaderboardClients[Avg/WO],MATCH(LARGE(tblLeaderboardClients[Avg Key],O70),tblLeaderboardClients[Avg Key],0))</f>
        <v/>
      </c>
      <c r="V70" t="inlineStr">
        <is>
          <t>Bel Air</t>
        </is>
      </c>
      <c r="W70" t="inlineStr">
        <is>
          <t>MD</t>
        </is>
      </c>
      <c r="X70" t="n">
        <v>1</v>
      </c>
      <c r="Y70" s="657" t="n">
        <v>0</v>
      </c>
      <c r="Z70" s="657" t="n">
        <v>0</v>
      </c>
      <c r="AA70" t="n">
        <v>0</v>
      </c>
      <c r="AB70" t="n">
        <v>1e-06</v>
      </c>
    </row>
    <row r="71">
      <c r="A71" t="n">
        <v>10</v>
      </c>
      <c r="B71">
        <f>INDEX(tblLeaderboardClients[Client],MATCH(LARGE(tblLeaderboardClients[Revenue Key],A71),tblLeaderboardClients[Revenue Key],0))</f>
        <v/>
      </c>
      <c r="C71" s="657">
        <f>INDEX(tblLeaderboardClients[Revenue],MATCH(LARGE(tblLeaderboardClients[Revenue Key],A71),tblLeaderboardClients[Revenue Key],0))</f>
        <v/>
      </c>
      <c r="D71">
        <f>INDEX(tblLeaderboardClients[Events],MATCH(LARGE(tblLeaderboardClients[Revenue Key],A71),tblLeaderboardClients[Revenue Key],0))</f>
        <v/>
      </c>
      <c r="E71" s="657">
        <f>INDEX(tblLeaderboardClients[Avg/Event],MATCH(LARGE(tblLeaderboardClients[Revenue Key],A71),tblLeaderboardClients[Revenue Key],0))</f>
        <v/>
      </c>
      <c r="F71">
        <f>INDEX(tblLeaderboardClients[Work Orders],MATCH(LARGE(tblLeaderboardClients[Revenue Key],A71),tblLeaderboardClients[Revenue Key],0))</f>
        <v/>
      </c>
      <c r="H71" t="n">
        <v>10</v>
      </c>
      <c r="I71">
        <f>INDEX(tblLeaderboardClients[Client],MATCH(LARGE(tblLeaderboardClients[Repeat Key],H71),tblLeaderboardClients[Repeat Key],0))</f>
        <v/>
      </c>
      <c r="J71">
        <f>INDEX(tblLeaderboardClients[Events],MATCH(LARGE(tblLeaderboardClients[Repeat Key],H71),tblLeaderboardClients[Repeat Key],0))</f>
        <v/>
      </c>
      <c r="K71" s="657">
        <f>INDEX(tblLeaderboardClients[Revenue],MATCH(LARGE(tblLeaderboardClients[Repeat Key],H71),tblLeaderboardClients[Repeat Key],0))</f>
        <v/>
      </c>
      <c r="L71" s="657">
        <f>INDEX(tblLeaderboardClients[Avg/Event],MATCH(LARGE(tblLeaderboardClients[Repeat Key],H71),tblLeaderboardClients[Repeat Key],0))</f>
        <v/>
      </c>
      <c r="M71">
        <f>INDEX(tblLeaderboardClients[First Event],MATCH(LARGE(tblLeaderboardClients[Repeat Key],H71),tblLeaderboardClients[Repeat Key],0))</f>
        <v/>
      </c>
      <c r="O71" t="n">
        <v>10</v>
      </c>
      <c r="P71">
        <f>INDEX(tblLeaderboardClients[Client],MATCH(LARGE(tblLeaderboardClients[Avg Key],O71),tblLeaderboardClients[Avg Key],0))</f>
        <v/>
      </c>
      <c r="Q71" s="657">
        <f>INDEX(tblLeaderboardClients[Avg/Event],MATCH(LARGE(tblLeaderboardClients[Avg Key],O71),tblLeaderboardClients[Avg Key],0))</f>
        <v/>
      </c>
      <c r="R71">
        <f>INDEX(tblLeaderboardClients[Events],MATCH(LARGE(tblLeaderboardClients[Avg Key],O71),tblLeaderboardClients[Avg Key],0))</f>
        <v/>
      </c>
      <c r="S71" s="657">
        <f>INDEX(tblLeaderboardClients[Revenue],MATCH(LARGE(tblLeaderboardClients[Avg Key],O71),tblLeaderboardClients[Avg Key],0))</f>
        <v/>
      </c>
      <c r="T71" s="657">
        <f>INDEX(tblLeaderboardClients[Avg/WO],MATCH(LARGE(tblLeaderboardClients[Avg Key],O71),tblLeaderboardClients[Avg Key],0))</f>
        <v/>
      </c>
      <c r="V71" t="inlineStr">
        <is>
          <t>Workweek</t>
        </is>
      </c>
      <c r="W71" t="inlineStr">
        <is>
          <t>Events</t>
        </is>
      </c>
      <c r="X71" t="inlineStr">
        <is>
          <t>Eligible Events</t>
        </is>
      </c>
      <c r="Y71" s="657" t="inlineStr">
        <is>
          <t>Revenue</t>
        </is>
      </c>
      <c r="Z71" s="657" t="inlineStr">
        <is>
          <t>Avg/Event</t>
        </is>
      </c>
      <c r="AA71" t="inlineStr">
        <is>
          <t>Worked Days</t>
        </is>
      </c>
      <c r="AB71" t="inlineStr">
        <is>
          <t>Rank Key</t>
        </is>
      </c>
    </row>
    <row r="72">
      <c r="V72" t="n">
        <v>1</v>
      </c>
      <c r="W72" t="n">
        <v>5</v>
      </c>
      <c r="X72" t="n">
        <v>5</v>
      </c>
      <c r="Y72" s="657" t="n">
        <v>1008</v>
      </c>
      <c r="Z72" s="657" t="n">
        <v>201.6</v>
      </c>
      <c r="AA72" t="n">
        <v>5</v>
      </c>
      <c r="AB72" t="n">
        <v>1008.000001</v>
      </c>
    </row>
    <row r="73">
      <c r="V73" t="n">
        <v>2</v>
      </c>
      <c r="W73" t="n">
        <v>4</v>
      </c>
      <c r="X73" t="n">
        <v>3</v>
      </c>
      <c r="Y73" s="657" t="n">
        <v>275</v>
      </c>
      <c r="Z73" s="657" t="n">
        <v>91.66666666666667</v>
      </c>
      <c r="AA73" t="n">
        <v>3</v>
      </c>
      <c r="AB73" t="n">
        <v>275.000002</v>
      </c>
    </row>
    <row r="74">
      <c r="A74" s="678" t="inlineStr">
        <is>
          <t>Jurisdictions — Confirmed Revenue</t>
        </is>
      </c>
      <c r="B74" s="1" t="n"/>
      <c r="C74" s="1" t="n"/>
      <c r="D74" s="1" t="n"/>
      <c r="E74" s="1" t="n"/>
      <c r="F74" s="1" t="n"/>
      <c r="H74" s="678" t="inlineStr">
        <is>
          <t>Cities — Confirmed Revenue</t>
        </is>
      </c>
      <c r="I74" s="1" t="n"/>
      <c r="J74" s="1" t="n"/>
      <c r="K74" s="1" t="n"/>
      <c r="L74" s="1" t="n"/>
      <c r="M74" s="1" t="n"/>
      <c r="O74" s="678" t="inlineStr">
        <is>
          <t>Top Revenue Events</t>
        </is>
      </c>
      <c r="P74" s="1" t="n"/>
      <c r="Q74" s="1" t="n"/>
      <c r="R74" s="1" t="n"/>
      <c r="S74" s="1" t="n"/>
      <c r="T74" s="1" t="n"/>
      <c r="V74" t="n">
        <v>3</v>
      </c>
      <c r="W74" t="n">
        <v>1</v>
      </c>
      <c r="X74" t="n">
        <v>1</v>
      </c>
      <c r="Y74" s="657" t="n">
        <v>212.5</v>
      </c>
      <c r="Z74" s="657" t="n">
        <v>212.5</v>
      </c>
      <c r="AA74" t="n">
        <v>1</v>
      </c>
      <c r="AB74" t="n">
        <v>212.500003</v>
      </c>
    </row>
    <row r="75">
      <c r="A75" s="238" t="inlineStr">
        <is>
          <t>Rank</t>
        </is>
      </c>
      <c r="B75" s="238" t="inlineStr">
        <is>
          <t>Jurisdiction</t>
        </is>
      </c>
      <c r="C75" s="238" t="inlineStr">
        <is>
          <t>Revenue</t>
        </is>
      </c>
      <c r="D75" s="238" t="inlineStr">
        <is>
          <t>Events</t>
        </is>
      </c>
      <c r="E75" s="238" t="inlineStr">
        <is>
          <t>Clients</t>
        </is>
      </c>
      <c r="F75" s="238" t="inlineStr">
        <is>
          <t>Avg/Event</t>
        </is>
      </c>
      <c r="H75" s="238" t="inlineStr">
        <is>
          <t>Rank</t>
        </is>
      </c>
      <c r="I75" s="238" t="inlineStr">
        <is>
          <t>City</t>
        </is>
      </c>
      <c r="J75" s="238" t="inlineStr">
        <is>
          <t>Jurisdiction</t>
        </is>
      </c>
      <c r="K75" s="238" t="inlineStr">
        <is>
          <t>Revenue</t>
        </is>
      </c>
      <c r="L75" s="238" t="inlineStr">
        <is>
          <t>Events</t>
        </is>
      </c>
      <c r="M75" s="238" t="inlineStr">
        <is>
          <t>Avg/Event</t>
        </is>
      </c>
      <c r="O75" s="238" t="inlineStr">
        <is>
          <t>Rank</t>
        </is>
      </c>
      <c r="P75" s="238" t="inlineStr">
        <is>
          <t>Event #</t>
        </is>
      </c>
      <c r="Q75" s="238" t="inlineStr">
        <is>
          <t>Client</t>
        </is>
      </c>
      <c r="R75" s="238" t="inlineStr">
        <is>
          <t>Date</t>
        </is>
      </c>
      <c r="S75" s="238" t="inlineStr">
        <is>
          <t>City</t>
        </is>
      </c>
      <c r="T75" s="238" t="inlineStr">
        <is>
          <t>Revenue</t>
        </is>
      </c>
      <c r="V75" t="n">
        <v>4</v>
      </c>
      <c r="W75" t="n">
        <v>6</v>
      </c>
      <c r="X75" t="n">
        <v>5</v>
      </c>
      <c r="Y75" s="657" t="n">
        <v>412.5</v>
      </c>
      <c r="Z75" s="657" t="n">
        <v>82.5</v>
      </c>
      <c r="AA75" t="n">
        <v>5</v>
      </c>
      <c r="AB75" t="n">
        <v>412.500004</v>
      </c>
    </row>
    <row r="76">
      <c r="A76">
        <f>1</f>
        <v/>
      </c>
      <c r="B76">
        <f>INDEX(tblStateSummary[Jurisdiction],MATCH(LARGE(tblStateSummary[Confirmed Revenue],A76),tblStateSummary[Confirmed Revenue],0))</f>
        <v/>
      </c>
      <c r="C76" s="657">
        <f>LARGE(tblStateSummary[Confirmed Revenue],A76)</f>
        <v/>
      </c>
      <c r="D76">
        <f>INDEX(tblStateSummary[Events],MATCH(C76,tblStateSummary[Confirmed Revenue],0))</f>
        <v/>
      </c>
      <c r="E76">
        <f>INDEX(tblStateSummary[Clients],MATCH(C76,tblStateSummary[Confirmed Revenue],0))</f>
        <v/>
      </c>
      <c r="F76" s="657">
        <f>INDEX(tblStateSummary[Avg Revenue / Eligible Event],MATCH(C76,tblStateSummary[Confirmed Revenue],0))</f>
        <v/>
      </c>
      <c r="H76" t="n">
        <v>1</v>
      </c>
      <c r="I76">
        <f>INDEX(tblCitySummary[City],MATCH(LARGE(tblCitySummary[Rank Key],H76),tblCitySummary[Rank Key],0))</f>
        <v/>
      </c>
      <c r="J76">
        <f>INDEX(tblCitySummary[Jurisdiction],MATCH(LARGE(tblCitySummary[Rank Key],H76),tblCitySummary[Rank Key],0))</f>
        <v/>
      </c>
      <c r="K76" s="657">
        <f>INDEX(tblCitySummary[Revenue],MATCH(LARGE(tblCitySummary[Rank Key],H76),tblCitySummary[Rank Key],0))</f>
        <v/>
      </c>
      <c r="L76">
        <f>INDEX(tblCitySummary[Events],MATCH(LARGE(tblCitySummary[Rank Key],H76),tblCitySummary[Rank Key],0))</f>
        <v/>
      </c>
      <c r="M76" s="657">
        <f>INDEX(tblCitySummary[Avg/Event],MATCH(LARGE(tblCitySummary[Rank Key],H76),tblCitySummary[Rank Key],0))</f>
        <v/>
      </c>
      <c r="O76" t="n">
        <v>1</v>
      </c>
      <c r="P76">
        <f>INDEX(tblEventLeaderboardSource[Event #],MATCH(LARGE(tblEventLeaderboardSource[Rank Key],O76),tblEventLeaderboardSource[Rank Key],0))</f>
        <v/>
      </c>
      <c r="Q76">
        <f>INDEX(tblEventLeaderboardSource[Client],MATCH(LARGE(tblEventLeaderboardSource[Rank Key],O76),tblEventLeaderboardSource[Rank Key],0))</f>
        <v/>
      </c>
      <c r="R76" s="663">
        <f>INDEX(tblEventLeaderboardSource[Date],MATCH(LARGE(tblEventLeaderboardSource[Rank Key],O76),tblEventLeaderboardSource[Rank Key],0))</f>
        <v/>
      </c>
      <c r="S76">
        <f>INDEX(tblEventLeaderboardSource[City],MATCH(LARGE(tblEventLeaderboardSource[Rank Key],O76),tblEventLeaderboardSource[Rank Key],0))</f>
        <v/>
      </c>
      <c r="T76" s="657">
        <f>INDEX(tblEventLeaderboardSource[Revenue],MATCH(LARGE(tblEventLeaderboardSource[Rank Key],O76),tblEventLeaderboardSource[Rank Key],0))</f>
        <v/>
      </c>
      <c r="V76" t="n">
        <v>5</v>
      </c>
      <c r="W76" t="n">
        <v>4</v>
      </c>
      <c r="X76" t="n">
        <v>4</v>
      </c>
      <c r="Y76" s="657" t="n">
        <v>422.5</v>
      </c>
      <c r="Z76" s="657" t="n">
        <v>105.625</v>
      </c>
      <c r="AA76" t="n">
        <v>3</v>
      </c>
      <c r="AB76" t="n">
        <v>422.500005</v>
      </c>
    </row>
    <row r="77">
      <c r="A77">
        <f>2</f>
        <v/>
      </c>
      <c r="B77">
        <f>INDEX(tblStateSummary[Jurisdiction],MATCH(LARGE(tblStateSummary[Confirmed Revenue],A77),tblStateSummary[Confirmed Revenue],0))</f>
        <v/>
      </c>
      <c r="C77" s="657">
        <f>LARGE(tblStateSummary[Confirmed Revenue],A77)</f>
        <v/>
      </c>
      <c r="D77">
        <f>INDEX(tblStateSummary[Events],MATCH(C77,tblStateSummary[Confirmed Revenue],0))</f>
        <v/>
      </c>
      <c r="E77">
        <f>INDEX(tblStateSummary[Clients],MATCH(C77,tblStateSummary[Confirmed Revenue],0))</f>
        <v/>
      </c>
      <c r="F77" s="657">
        <f>INDEX(tblStateSummary[Avg Revenue / Eligible Event],MATCH(C77,tblStateSummary[Confirmed Revenue],0))</f>
        <v/>
      </c>
      <c r="H77" t="n">
        <v>2</v>
      </c>
      <c r="I77">
        <f>INDEX(tblCitySummary[City],MATCH(LARGE(tblCitySummary[Rank Key],H77),tblCitySummary[Rank Key],0))</f>
        <v/>
      </c>
      <c r="J77">
        <f>INDEX(tblCitySummary[Jurisdiction],MATCH(LARGE(tblCitySummary[Rank Key],H77),tblCitySummary[Rank Key],0))</f>
        <v/>
      </c>
      <c r="K77" s="657">
        <f>INDEX(tblCitySummary[Revenue],MATCH(LARGE(tblCitySummary[Rank Key],H77),tblCitySummary[Rank Key],0))</f>
        <v/>
      </c>
      <c r="L77">
        <f>INDEX(tblCitySummary[Events],MATCH(LARGE(tblCitySummary[Rank Key],H77),tblCitySummary[Rank Key],0))</f>
        <v/>
      </c>
      <c r="M77" s="657">
        <f>INDEX(tblCitySummary[Avg/Event],MATCH(LARGE(tblCitySummary[Rank Key],H77),tblCitySummary[Rank Key],0))</f>
        <v/>
      </c>
      <c r="O77" t="n">
        <v>2</v>
      </c>
      <c r="P77">
        <f>INDEX(tblEventLeaderboardSource[Event #],MATCH(LARGE(tblEventLeaderboardSource[Rank Key],O77),tblEventLeaderboardSource[Rank Key],0))</f>
        <v/>
      </c>
      <c r="Q77">
        <f>INDEX(tblEventLeaderboardSource[Client],MATCH(LARGE(tblEventLeaderboardSource[Rank Key],O77),tblEventLeaderboardSource[Rank Key],0))</f>
        <v/>
      </c>
      <c r="R77" s="663">
        <f>INDEX(tblEventLeaderboardSource[Date],MATCH(LARGE(tblEventLeaderboardSource[Rank Key],O77),tblEventLeaderboardSource[Rank Key],0))</f>
        <v/>
      </c>
      <c r="S77">
        <f>INDEX(tblEventLeaderboardSource[City],MATCH(LARGE(tblEventLeaderboardSource[Rank Key],O77),tblEventLeaderboardSource[Rank Key],0))</f>
        <v/>
      </c>
      <c r="T77" s="657">
        <f>INDEX(tblEventLeaderboardSource[Revenue],MATCH(LARGE(tblEventLeaderboardSource[Rank Key],O77),tblEventLeaderboardSource[Rank Key],0))</f>
        <v/>
      </c>
      <c r="V77" t="n">
        <v>6</v>
      </c>
      <c r="W77" t="n">
        <v>6</v>
      </c>
      <c r="X77" t="n">
        <v>4</v>
      </c>
      <c r="Y77" s="657" t="n">
        <v>522.91</v>
      </c>
      <c r="Z77" s="657" t="n">
        <v>130.7275</v>
      </c>
      <c r="AA77" t="n">
        <v>3</v>
      </c>
      <c r="AB77" t="n">
        <v>522.910006</v>
      </c>
    </row>
    <row r="78">
      <c r="A78">
        <f>3</f>
        <v/>
      </c>
      <c r="B78">
        <f>INDEX(tblStateSummary[Jurisdiction],MATCH(LARGE(tblStateSummary[Confirmed Revenue],A78),tblStateSummary[Confirmed Revenue],0))</f>
        <v/>
      </c>
      <c r="C78" s="657">
        <f>LARGE(tblStateSummary[Confirmed Revenue],A78)</f>
        <v/>
      </c>
      <c r="D78">
        <f>INDEX(tblStateSummary[Events],MATCH(C78,tblStateSummary[Confirmed Revenue],0))</f>
        <v/>
      </c>
      <c r="E78">
        <f>INDEX(tblStateSummary[Clients],MATCH(C78,tblStateSummary[Confirmed Revenue],0))</f>
        <v/>
      </c>
      <c r="F78" s="657">
        <f>INDEX(tblStateSummary[Avg Revenue / Eligible Event],MATCH(C78,tblStateSummary[Confirmed Revenue],0))</f>
        <v/>
      </c>
      <c r="H78" t="n">
        <v>3</v>
      </c>
      <c r="I78">
        <f>INDEX(tblCitySummary[City],MATCH(LARGE(tblCitySummary[Rank Key],H78),tblCitySummary[Rank Key],0))</f>
        <v/>
      </c>
      <c r="J78">
        <f>INDEX(tblCitySummary[Jurisdiction],MATCH(LARGE(tblCitySummary[Rank Key],H78),tblCitySummary[Rank Key],0))</f>
        <v/>
      </c>
      <c r="K78" s="657">
        <f>INDEX(tblCitySummary[Revenue],MATCH(LARGE(tblCitySummary[Rank Key],H78),tblCitySummary[Rank Key],0))</f>
        <v/>
      </c>
      <c r="L78">
        <f>INDEX(tblCitySummary[Events],MATCH(LARGE(tblCitySummary[Rank Key],H78),tblCitySummary[Rank Key],0))</f>
        <v/>
      </c>
      <c r="M78" s="657">
        <f>INDEX(tblCitySummary[Avg/Event],MATCH(LARGE(tblCitySummary[Rank Key],H78),tblCitySummary[Rank Key],0))</f>
        <v/>
      </c>
      <c r="O78" t="n">
        <v>3</v>
      </c>
      <c r="P78">
        <f>INDEX(tblEventLeaderboardSource[Event #],MATCH(LARGE(tblEventLeaderboardSource[Rank Key],O78),tblEventLeaderboardSource[Rank Key],0))</f>
        <v/>
      </c>
      <c r="Q78">
        <f>INDEX(tblEventLeaderboardSource[Client],MATCH(LARGE(tblEventLeaderboardSource[Rank Key],O78),tblEventLeaderboardSource[Rank Key],0))</f>
        <v/>
      </c>
      <c r="R78" s="663">
        <f>INDEX(tblEventLeaderboardSource[Date],MATCH(LARGE(tblEventLeaderboardSource[Rank Key],O78),tblEventLeaderboardSource[Rank Key],0))</f>
        <v/>
      </c>
      <c r="S78">
        <f>INDEX(tblEventLeaderboardSource[City],MATCH(LARGE(tblEventLeaderboardSource[Rank Key],O78),tblEventLeaderboardSource[Rank Key],0))</f>
        <v/>
      </c>
      <c r="T78" s="657">
        <f>INDEX(tblEventLeaderboardSource[Revenue],MATCH(LARGE(tblEventLeaderboardSource[Rank Key],O78),tblEventLeaderboardSource[Rank Key],0))</f>
        <v/>
      </c>
      <c r="V78" t="n">
        <v>7</v>
      </c>
      <c r="W78" t="n">
        <v>8</v>
      </c>
      <c r="X78" t="n">
        <v>8</v>
      </c>
      <c r="Y78" s="657" t="n">
        <v>1221.66</v>
      </c>
      <c r="Z78" s="657" t="n">
        <v>152.7075</v>
      </c>
      <c r="AA78" t="n">
        <v>5</v>
      </c>
      <c r="AB78" t="n">
        <v>1221.660007</v>
      </c>
    </row>
    <row r="79">
      <c r="A79">
        <f>4</f>
        <v/>
      </c>
      <c r="B79">
        <f>INDEX(tblStateSummary[Jurisdiction],MATCH(LARGE(tblStateSummary[Confirmed Revenue],A79),tblStateSummary[Confirmed Revenue],0))</f>
        <v/>
      </c>
      <c r="C79" s="657">
        <f>LARGE(tblStateSummary[Confirmed Revenue],A79)</f>
        <v/>
      </c>
      <c r="D79">
        <f>INDEX(tblStateSummary[Events],MATCH(C79,tblStateSummary[Confirmed Revenue],0))</f>
        <v/>
      </c>
      <c r="E79">
        <f>INDEX(tblStateSummary[Clients],MATCH(C79,tblStateSummary[Confirmed Revenue],0))</f>
        <v/>
      </c>
      <c r="F79" s="657">
        <f>INDEX(tblStateSummary[Avg Revenue / Eligible Event],MATCH(C79,tblStateSummary[Confirmed Revenue],0))</f>
        <v/>
      </c>
      <c r="H79" t="n">
        <v>4</v>
      </c>
      <c r="I79">
        <f>INDEX(tblCitySummary[City],MATCH(LARGE(tblCitySummary[Rank Key],H79),tblCitySummary[Rank Key],0))</f>
        <v/>
      </c>
      <c r="J79">
        <f>INDEX(tblCitySummary[Jurisdiction],MATCH(LARGE(tblCitySummary[Rank Key],H79),tblCitySummary[Rank Key],0))</f>
        <v/>
      </c>
      <c r="K79" s="657">
        <f>INDEX(tblCitySummary[Revenue],MATCH(LARGE(tblCitySummary[Rank Key],H79),tblCitySummary[Rank Key],0))</f>
        <v/>
      </c>
      <c r="L79">
        <f>INDEX(tblCitySummary[Events],MATCH(LARGE(tblCitySummary[Rank Key],H79),tblCitySummary[Rank Key],0))</f>
        <v/>
      </c>
      <c r="M79" s="657">
        <f>INDEX(tblCitySummary[Avg/Event],MATCH(LARGE(tblCitySummary[Rank Key],H79),tblCitySummary[Rank Key],0))</f>
        <v/>
      </c>
      <c r="O79" t="n">
        <v>4</v>
      </c>
      <c r="P79">
        <f>INDEX(tblEventLeaderboardSource[Event #],MATCH(LARGE(tblEventLeaderboardSource[Rank Key],O79),tblEventLeaderboardSource[Rank Key],0))</f>
        <v/>
      </c>
      <c r="Q79">
        <f>INDEX(tblEventLeaderboardSource[Client],MATCH(LARGE(tblEventLeaderboardSource[Rank Key],O79),tblEventLeaderboardSource[Rank Key],0))</f>
        <v/>
      </c>
      <c r="R79" s="663">
        <f>INDEX(tblEventLeaderboardSource[Date],MATCH(LARGE(tblEventLeaderboardSource[Rank Key],O79),tblEventLeaderboardSource[Rank Key],0))</f>
        <v/>
      </c>
      <c r="S79">
        <f>INDEX(tblEventLeaderboardSource[City],MATCH(LARGE(tblEventLeaderboardSource[Rank Key],O79),tblEventLeaderboardSource[Rank Key],0))</f>
        <v/>
      </c>
      <c r="T79" s="657">
        <f>INDEX(tblEventLeaderboardSource[Revenue],MATCH(LARGE(tblEventLeaderboardSource[Rank Key],O79),tblEventLeaderboardSource[Rank Key],0))</f>
        <v/>
      </c>
      <c r="V79" t="n">
        <v>8</v>
      </c>
      <c r="W79" t="n">
        <v>9</v>
      </c>
      <c r="X79" t="n">
        <v>9</v>
      </c>
      <c r="Y79" s="657" t="n">
        <v>760</v>
      </c>
      <c r="Z79" s="657" t="n">
        <v>84.44444444444444</v>
      </c>
      <c r="AA79" t="n">
        <v>5</v>
      </c>
      <c r="AB79" t="n">
        <v>760.000008</v>
      </c>
    </row>
    <row r="80">
      <c r="A80">
        <f>5</f>
        <v/>
      </c>
      <c r="B80">
        <f>INDEX(tblStateSummary[Jurisdiction],MATCH(LARGE(tblStateSummary[Confirmed Revenue],A80),tblStateSummary[Confirmed Revenue],0))</f>
        <v/>
      </c>
      <c r="C80" s="657">
        <f>LARGE(tblStateSummary[Confirmed Revenue],A80)</f>
        <v/>
      </c>
      <c r="D80">
        <f>INDEX(tblStateSummary[Events],MATCH(C80,tblStateSummary[Confirmed Revenue],0))</f>
        <v/>
      </c>
      <c r="E80">
        <f>INDEX(tblStateSummary[Clients],MATCH(C80,tblStateSummary[Confirmed Revenue],0))</f>
        <v/>
      </c>
      <c r="F80" s="657">
        <f>INDEX(tblStateSummary[Avg Revenue / Eligible Event],MATCH(C80,tblStateSummary[Confirmed Revenue],0))</f>
        <v/>
      </c>
      <c r="H80" t="n">
        <v>5</v>
      </c>
      <c r="I80">
        <f>INDEX(tblCitySummary[City],MATCH(LARGE(tblCitySummary[Rank Key],H80),tblCitySummary[Rank Key],0))</f>
        <v/>
      </c>
      <c r="J80">
        <f>INDEX(tblCitySummary[Jurisdiction],MATCH(LARGE(tblCitySummary[Rank Key],H80),tblCitySummary[Rank Key],0))</f>
        <v/>
      </c>
      <c r="K80" s="657">
        <f>INDEX(tblCitySummary[Revenue],MATCH(LARGE(tblCitySummary[Rank Key],H80),tblCitySummary[Rank Key],0))</f>
        <v/>
      </c>
      <c r="L80">
        <f>INDEX(tblCitySummary[Events],MATCH(LARGE(tblCitySummary[Rank Key],H80),tblCitySummary[Rank Key],0))</f>
        <v/>
      </c>
      <c r="M80" s="657">
        <f>INDEX(tblCitySummary[Avg/Event],MATCH(LARGE(tblCitySummary[Rank Key],H80),tblCitySummary[Rank Key],0))</f>
        <v/>
      </c>
      <c r="O80" t="n">
        <v>5</v>
      </c>
      <c r="P80">
        <f>INDEX(tblEventLeaderboardSource[Event #],MATCH(LARGE(tblEventLeaderboardSource[Rank Key],O80),tblEventLeaderboardSource[Rank Key],0))</f>
        <v/>
      </c>
      <c r="Q80">
        <f>INDEX(tblEventLeaderboardSource[Client],MATCH(LARGE(tblEventLeaderboardSource[Rank Key],O80),tblEventLeaderboardSource[Rank Key],0))</f>
        <v/>
      </c>
      <c r="R80" s="663">
        <f>INDEX(tblEventLeaderboardSource[Date],MATCH(LARGE(tblEventLeaderboardSource[Rank Key],O80),tblEventLeaderboardSource[Rank Key],0))</f>
        <v/>
      </c>
      <c r="S80">
        <f>INDEX(tblEventLeaderboardSource[City],MATCH(LARGE(tblEventLeaderboardSource[Rank Key],O80),tblEventLeaderboardSource[Rank Key],0))</f>
        <v/>
      </c>
      <c r="T80" s="657">
        <f>INDEX(tblEventLeaderboardSource[Revenue],MATCH(LARGE(tblEventLeaderboardSource[Rank Key],O80),tblEventLeaderboardSource[Rank Key],0))</f>
        <v/>
      </c>
      <c r="V80" t="n">
        <v>9</v>
      </c>
      <c r="W80" t="n">
        <v>7</v>
      </c>
      <c r="X80" t="n">
        <v>7</v>
      </c>
      <c r="Y80" s="657" t="n">
        <v>681.75</v>
      </c>
      <c r="Z80" s="657" t="n">
        <v>97.39285714285714</v>
      </c>
      <c r="AA80" t="n">
        <v>4</v>
      </c>
      <c r="AB80" t="n">
        <v>681.750009</v>
      </c>
    </row>
    <row r="81">
      <c r="H81" t="n">
        <v>6</v>
      </c>
      <c r="I81">
        <f>INDEX(tblCitySummary[City],MATCH(LARGE(tblCitySummary[Rank Key],H81),tblCitySummary[Rank Key],0))</f>
        <v/>
      </c>
      <c r="J81">
        <f>INDEX(tblCitySummary[Jurisdiction],MATCH(LARGE(tblCitySummary[Rank Key],H81),tblCitySummary[Rank Key],0))</f>
        <v/>
      </c>
      <c r="K81" s="657">
        <f>INDEX(tblCitySummary[Revenue],MATCH(LARGE(tblCitySummary[Rank Key],H81),tblCitySummary[Rank Key],0))</f>
        <v/>
      </c>
      <c r="L81">
        <f>INDEX(tblCitySummary[Events],MATCH(LARGE(tblCitySummary[Rank Key],H81),tblCitySummary[Rank Key],0))</f>
        <v/>
      </c>
      <c r="M81" s="657">
        <f>INDEX(tblCitySummary[Avg/Event],MATCH(LARGE(tblCitySummary[Rank Key],H81),tblCitySummary[Rank Key],0))</f>
        <v/>
      </c>
      <c r="O81" t="n">
        <v>6</v>
      </c>
      <c r="P81">
        <f>INDEX(tblEventLeaderboardSource[Event #],MATCH(LARGE(tblEventLeaderboardSource[Rank Key],O81),tblEventLeaderboardSource[Rank Key],0))</f>
        <v/>
      </c>
      <c r="Q81">
        <f>INDEX(tblEventLeaderboardSource[Client],MATCH(LARGE(tblEventLeaderboardSource[Rank Key],O81),tblEventLeaderboardSource[Rank Key],0))</f>
        <v/>
      </c>
      <c r="R81" s="663">
        <f>INDEX(tblEventLeaderboardSource[Date],MATCH(LARGE(tblEventLeaderboardSource[Rank Key],O81),tblEventLeaderboardSource[Rank Key],0))</f>
        <v/>
      </c>
      <c r="S81">
        <f>INDEX(tblEventLeaderboardSource[City],MATCH(LARGE(tblEventLeaderboardSource[Rank Key],O81),tblEventLeaderboardSource[Rank Key],0))</f>
        <v/>
      </c>
      <c r="T81" s="657">
        <f>INDEX(tblEventLeaderboardSource[Revenue],MATCH(LARGE(tblEventLeaderboardSource[Rank Key],O81),tblEventLeaderboardSource[Rank Key],0))</f>
        <v/>
      </c>
      <c r="V81" t="n">
        <v>10</v>
      </c>
      <c r="W81" t="n">
        <v>3</v>
      </c>
      <c r="X81" t="n">
        <v>3</v>
      </c>
      <c r="Y81" s="657" t="n">
        <v>308.27</v>
      </c>
      <c r="Z81" s="657" t="n">
        <v>102.7566666666667</v>
      </c>
      <c r="AA81" t="n">
        <v>3</v>
      </c>
      <c r="AB81" t="n">
        <v>308.27001</v>
      </c>
    </row>
    <row r="82">
      <c r="H82" t="n">
        <v>7</v>
      </c>
      <c r="I82">
        <f>INDEX(tblCitySummary[City],MATCH(LARGE(tblCitySummary[Rank Key],H82),tblCitySummary[Rank Key],0))</f>
        <v/>
      </c>
      <c r="J82">
        <f>INDEX(tblCitySummary[Jurisdiction],MATCH(LARGE(tblCitySummary[Rank Key],H82),tblCitySummary[Rank Key],0))</f>
        <v/>
      </c>
      <c r="K82" s="657">
        <f>INDEX(tblCitySummary[Revenue],MATCH(LARGE(tblCitySummary[Rank Key],H82),tblCitySummary[Rank Key],0))</f>
        <v/>
      </c>
      <c r="L82">
        <f>INDEX(tblCitySummary[Events],MATCH(LARGE(tblCitySummary[Rank Key],H82),tblCitySummary[Rank Key],0))</f>
        <v/>
      </c>
      <c r="M82" s="657">
        <f>INDEX(tblCitySummary[Avg/Event],MATCH(LARGE(tblCitySummary[Rank Key],H82),tblCitySummary[Rank Key],0))</f>
        <v/>
      </c>
      <c r="O82" t="n">
        <v>7</v>
      </c>
      <c r="P82">
        <f>INDEX(tblEventLeaderboardSource[Event #],MATCH(LARGE(tblEventLeaderboardSource[Rank Key],O82),tblEventLeaderboardSource[Rank Key],0))</f>
        <v/>
      </c>
      <c r="Q82">
        <f>INDEX(tblEventLeaderboardSource[Client],MATCH(LARGE(tblEventLeaderboardSource[Rank Key],O82),tblEventLeaderboardSource[Rank Key],0))</f>
        <v/>
      </c>
      <c r="R82" s="663">
        <f>INDEX(tblEventLeaderboardSource[Date],MATCH(LARGE(tblEventLeaderboardSource[Rank Key],O82),tblEventLeaderboardSource[Rank Key],0))</f>
        <v/>
      </c>
      <c r="S82">
        <f>INDEX(tblEventLeaderboardSource[City],MATCH(LARGE(tblEventLeaderboardSource[Rank Key],O82),tblEventLeaderboardSource[Rank Key],0))</f>
        <v/>
      </c>
      <c r="T82" s="657">
        <f>INDEX(tblEventLeaderboardSource[Revenue],MATCH(LARGE(tblEventLeaderboardSource[Rank Key],O82),tblEventLeaderboardSource[Rank Key],0))</f>
        <v/>
      </c>
      <c r="V82" t="n">
        <v>11</v>
      </c>
      <c r="W82" t="n">
        <v>3</v>
      </c>
      <c r="X82" t="n">
        <v>3</v>
      </c>
      <c r="Y82" t="n">
        <v>410.66</v>
      </c>
      <c r="Z82" t="n">
        <v>136.8866666666667</v>
      </c>
      <c r="AA82" t="n">
        <v>3</v>
      </c>
      <c r="AB82" t="n">
        <v>410.660011</v>
      </c>
    </row>
    <row r="83">
      <c r="H83" t="n">
        <v>8</v>
      </c>
      <c r="I83">
        <f>INDEX(tblCitySummary[City],MATCH(LARGE(tblCitySummary[Rank Key],H83),tblCitySummary[Rank Key],0))</f>
        <v/>
      </c>
      <c r="J83">
        <f>INDEX(tblCitySummary[Jurisdiction],MATCH(LARGE(tblCitySummary[Rank Key],H83),tblCitySummary[Rank Key],0))</f>
        <v/>
      </c>
      <c r="K83" s="657">
        <f>INDEX(tblCitySummary[Revenue],MATCH(LARGE(tblCitySummary[Rank Key],H83),tblCitySummary[Rank Key],0))</f>
        <v/>
      </c>
      <c r="L83">
        <f>INDEX(tblCitySummary[Events],MATCH(LARGE(tblCitySummary[Rank Key],H83),tblCitySummary[Rank Key],0))</f>
        <v/>
      </c>
      <c r="M83" s="657">
        <f>INDEX(tblCitySummary[Avg/Event],MATCH(LARGE(tblCitySummary[Rank Key],H83),tblCitySummary[Rank Key],0))</f>
        <v/>
      </c>
      <c r="O83" t="n">
        <v>8</v>
      </c>
      <c r="P83">
        <f>INDEX(tblEventLeaderboardSource[Event #],MATCH(LARGE(tblEventLeaderboardSource[Rank Key],O83),tblEventLeaderboardSource[Rank Key],0))</f>
        <v/>
      </c>
      <c r="Q83">
        <f>INDEX(tblEventLeaderboardSource[Client],MATCH(LARGE(tblEventLeaderboardSource[Rank Key],O83),tblEventLeaderboardSource[Rank Key],0))</f>
        <v/>
      </c>
      <c r="R83" s="663">
        <f>INDEX(tblEventLeaderboardSource[Date],MATCH(LARGE(tblEventLeaderboardSource[Rank Key],O83),tblEventLeaderboardSource[Rank Key],0))</f>
        <v/>
      </c>
      <c r="S83">
        <f>INDEX(tblEventLeaderboardSource[City],MATCH(LARGE(tblEventLeaderboardSource[Rank Key],O83),tblEventLeaderboardSource[Rank Key],0))</f>
        <v/>
      </c>
      <c r="T83" s="657">
        <f>INDEX(tblEventLeaderboardSource[Revenue],MATCH(LARGE(tblEventLeaderboardSource[Rank Key],O83),tblEventLeaderboardSource[Rank Key],0))</f>
        <v/>
      </c>
      <c r="V83" t="n">
        <v>12</v>
      </c>
      <c r="W83" t="n">
        <v>6</v>
      </c>
      <c r="X83" t="n">
        <v>5</v>
      </c>
      <c r="Y83" t="n">
        <v>815.0599999999999</v>
      </c>
      <c r="Z83" t="n">
        <v>163.012</v>
      </c>
      <c r="AA83" t="n">
        <v>4</v>
      </c>
      <c r="AB83" t="n">
        <v>815.060012</v>
      </c>
    </row>
    <row r="84">
      <c r="H84" t="n">
        <v>9</v>
      </c>
      <c r="I84">
        <f>INDEX(tblCitySummary[City],MATCH(LARGE(tblCitySummary[Rank Key],H84),tblCitySummary[Rank Key],0))</f>
        <v/>
      </c>
      <c r="J84">
        <f>INDEX(tblCitySummary[Jurisdiction],MATCH(LARGE(tblCitySummary[Rank Key],H84),tblCitySummary[Rank Key],0))</f>
        <v/>
      </c>
      <c r="K84" s="657">
        <f>INDEX(tblCitySummary[Revenue],MATCH(LARGE(tblCitySummary[Rank Key],H84),tblCitySummary[Rank Key],0))</f>
        <v/>
      </c>
      <c r="L84">
        <f>INDEX(tblCitySummary[Events],MATCH(LARGE(tblCitySummary[Rank Key],H84),tblCitySummary[Rank Key],0))</f>
        <v/>
      </c>
      <c r="M84" s="657">
        <f>INDEX(tblCitySummary[Avg/Event],MATCH(LARGE(tblCitySummary[Rank Key],H84),tblCitySummary[Rank Key],0))</f>
        <v/>
      </c>
      <c r="O84" t="n">
        <v>9</v>
      </c>
      <c r="P84">
        <f>INDEX(tblEventLeaderboardSource[Event #],MATCH(LARGE(tblEventLeaderboardSource[Rank Key],O84),tblEventLeaderboardSource[Rank Key],0))</f>
        <v/>
      </c>
      <c r="Q84">
        <f>INDEX(tblEventLeaderboardSource[Client],MATCH(LARGE(tblEventLeaderboardSource[Rank Key],O84),tblEventLeaderboardSource[Rank Key],0))</f>
        <v/>
      </c>
      <c r="R84" s="663">
        <f>INDEX(tblEventLeaderboardSource[Date],MATCH(LARGE(tblEventLeaderboardSource[Rank Key],O84),tblEventLeaderboardSource[Rank Key],0))</f>
        <v/>
      </c>
      <c r="S84">
        <f>INDEX(tblEventLeaderboardSource[City],MATCH(LARGE(tblEventLeaderboardSource[Rank Key],O84),tblEventLeaderboardSource[Rank Key],0))</f>
        <v/>
      </c>
      <c r="T84" s="657">
        <f>INDEX(tblEventLeaderboardSource[Revenue],MATCH(LARGE(tblEventLeaderboardSource[Rank Key],O84),tblEventLeaderboardSource[Rank Key],0))</f>
        <v/>
      </c>
      <c r="V84" s="238" t="n">
        <v>13</v>
      </c>
      <c r="W84" s="238" t="n">
        <v>5</v>
      </c>
      <c r="X84" s="238" t="n">
        <v>1</v>
      </c>
      <c r="Y84" s="238" t="n">
        <v>183.74</v>
      </c>
      <c r="Z84" s="238" t="n">
        <v>183.74</v>
      </c>
      <c r="AA84" s="238" t="n">
        <v>2</v>
      </c>
      <c r="AB84" s="238" t="n">
        <v>183.740013</v>
      </c>
    </row>
    <row r="85">
      <c r="H85" t="n">
        <v>10</v>
      </c>
      <c r="I85">
        <f>INDEX(tblCitySummary[City],MATCH(LARGE(tblCitySummary[Rank Key],H85),tblCitySummary[Rank Key],0))</f>
        <v/>
      </c>
      <c r="J85">
        <f>INDEX(tblCitySummary[Jurisdiction],MATCH(LARGE(tblCitySummary[Rank Key],H85),tblCitySummary[Rank Key],0))</f>
        <v/>
      </c>
      <c r="K85" s="657">
        <f>INDEX(tblCitySummary[Revenue],MATCH(LARGE(tblCitySummary[Rank Key],H85),tblCitySummary[Rank Key],0))</f>
        <v/>
      </c>
      <c r="L85">
        <f>INDEX(tblCitySummary[Events],MATCH(LARGE(tblCitySummary[Rank Key],H85),tblCitySummary[Rank Key],0))</f>
        <v/>
      </c>
      <c r="M85" s="657">
        <f>INDEX(tblCitySummary[Avg/Event],MATCH(LARGE(tblCitySummary[Rank Key],H85),tblCitySummary[Rank Key],0))</f>
        <v/>
      </c>
      <c r="O85" t="n">
        <v>10</v>
      </c>
      <c r="P85">
        <f>INDEX(tblEventLeaderboardSource[Event #],MATCH(LARGE(tblEventLeaderboardSource[Rank Key],O85),tblEventLeaderboardSource[Rank Key],0))</f>
        <v/>
      </c>
      <c r="Q85">
        <f>INDEX(tblEventLeaderboardSource[Client],MATCH(LARGE(tblEventLeaderboardSource[Rank Key],O85),tblEventLeaderboardSource[Rank Key],0))</f>
        <v/>
      </c>
      <c r="R85" s="663">
        <f>INDEX(tblEventLeaderboardSource[Date],MATCH(LARGE(tblEventLeaderboardSource[Rank Key],O85),tblEventLeaderboardSource[Rank Key],0))</f>
        <v/>
      </c>
      <c r="S85">
        <f>INDEX(tblEventLeaderboardSource[City],MATCH(LARGE(tblEventLeaderboardSource[Rank Key],O85),tblEventLeaderboardSource[Rank Key],0))</f>
        <v/>
      </c>
      <c r="T85" s="657">
        <f>INDEX(tblEventLeaderboardSource[Revenue],MATCH(LARGE(tblEventLeaderboardSource[Rank Key],O85),tblEventLeaderboardSource[Rank Key],0))</f>
        <v/>
      </c>
      <c r="V85" s="663" t="n"/>
      <c r="Z85" s="657" t="n"/>
      <c r="AA85" s="657" t="n"/>
    </row>
    <row r="86">
      <c r="V86" s="663" t="inlineStr">
        <is>
          <t>Service Date</t>
        </is>
      </c>
      <c r="W86" t="inlineStr">
        <is>
          <t>Weekday</t>
        </is>
      </c>
      <c r="X86" t="inlineStr">
        <is>
          <t>Events</t>
        </is>
      </c>
      <c r="Y86" t="inlineStr">
        <is>
          <t>Eligible Events</t>
        </is>
      </c>
      <c r="Z86" s="657" t="inlineStr">
        <is>
          <t>Revenue</t>
        </is>
      </c>
      <c r="AA86" s="657" t="inlineStr">
        <is>
          <t>Avg/Event</t>
        </is>
      </c>
      <c r="AB86" t="inlineStr">
        <is>
          <t>Rank Key</t>
        </is>
      </c>
    </row>
    <row r="87">
      <c r="V87" s="663" t="n">
        <v>46132</v>
      </c>
      <c r="W87" t="inlineStr">
        <is>
          <t>Monday</t>
        </is>
      </c>
      <c r="X87" t="n">
        <v>1</v>
      </c>
      <c r="Y87" t="n">
        <v>1</v>
      </c>
      <c r="Z87" s="657" t="n">
        <v>90</v>
      </c>
      <c r="AA87" s="657" t="n">
        <v>90</v>
      </c>
      <c r="AB87" t="n">
        <v>90.00004613199999</v>
      </c>
    </row>
    <row r="88">
      <c r="A88" s="678" t="inlineStr">
        <is>
          <t>Top Workweeks</t>
        </is>
      </c>
      <c r="B88" s="1" t="n"/>
      <c r="C88" s="1" t="n"/>
      <c r="D88" s="1" t="n"/>
      <c r="E88" s="1" t="n"/>
      <c r="F88" s="1" t="n"/>
      <c r="H88" s="678" t="inlineStr">
        <is>
          <t>MY_MONTH Ranking</t>
        </is>
      </c>
      <c r="I88" s="1" t="n"/>
      <c r="J88" s="1" t="n"/>
      <c r="K88" s="1" t="n"/>
      <c r="L88" s="1" t="n"/>
      <c r="M88" s="1" t="n"/>
      <c r="O88" s="678" t="inlineStr">
        <is>
          <t>Top Worked Dates</t>
        </is>
      </c>
      <c r="P88" s="1" t="n"/>
      <c r="Q88" s="1" t="n"/>
      <c r="R88" s="1" t="n"/>
      <c r="S88" s="1" t="n"/>
      <c r="T88" s="1" t="n"/>
      <c r="V88" s="663" t="n">
        <v>46133</v>
      </c>
      <c r="W88" t="inlineStr">
        <is>
          <t>Tuesday</t>
        </is>
      </c>
      <c r="X88" t="n">
        <v>1</v>
      </c>
      <c r="Y88" t="n">
        <v>1</v>
      </c>
      <c r="Z88" s="657" t="n">
        <v>344</v>
      </c>
      <c r="AA88" s="657" t="n">
        <v>344</v>
      </c>
      <c r="AB88" t="n">
        <v>344.000046133</v>
      </c>
    </row>
    <row r="89">
      <c r="A89" s="238" t="inlineStr">
        <is>
          <t>Rank</t>
        </is>
      </c>
      <c r="B89" s="238" t="inlineStr">
        <is>
          <t>Workweek</t>
        </is>
      </c>
      <c r="C89" s="238" t="inlineStr">
        <is>
          <t>Revenue</t>
        </is>
      </c>
      <c r="D89" s="238" t="inlineStr">
        <is>
          <t>Events</t>
        </is>
      </c>
      <c r="E89" s="238" t="inlineStr">
        <is>
          <t>Worked Days</t>
        </is>
      </c>
      <c r="F89" s="238" t="inlineStr">
        <is>
          <t>Avg/Event</t>
        </is>
      </c>
      <c r="H89" s="238" t="inlineStr">
        <is>
          <t>Rank</t>
        </is>
      </c>
      <c r="I89" s="238" t="inlineStr">
        <is>
          <t>MY_MONTH</t>
        </is>
      </c>
      <c r="J89" s="238" t="inlineStr">
        <is>
          <t>Revenue</t>
        </is>
      </c>
      <c r="K89" s="238" t="inlineStr">
        <is>
          <t>Events</t>
        </is>
      </c>
      <c r="L89" s="238" t="inlineStr">
        <is>
          <t>Clients</t>
        </is>
      </c>
      <c r="M89" s="238" t="inlineStr">
        <is>
          <t>Avg/Event</t>
        </is>
      </c>
      <c r="O89" s="238" t="inlineStr">
        <is>
          <t>Rank</t>
        </is>
      </c>
      <c r="P89" s="238" t="inlineStr">
        <is>
          <t>Date</t>
        </is>
      </c>
      <c r="Q89" s="238" t="inlineStr">
        <is>
          <t>Weekday</t>
        </is>
      </c>
      <c r="R89" s="238" t="inlineStr">
        <is>
          <t>Revenue</t>
        </is>
      </c>
      <c r="S89" s="238" t="inlineStr">
        <is>
          <t>Events</t>
        </is>
      </c>
      <c r="T89" s="238" t="inlineStr">
        <is>
          <t>Avg/Event</t>
        </is>
      </c>
      <c r="V89" s="663" t="n">
        <v>46134</v>
      </c>
      <c r="W89" t="inlineStr">
        <is>
          <t>Wednesday</t>
        </is>
      </c>
      <c r="X89" t="n">
        <v>1</v>
      </c>
      <c r="Y89" t="n">
        <v>1</v>
      </c>
      <c r="Z89" s="657" t="n">
        <v>344</v>
      </c>
      <c r="AA89" s="657" t="n">
        <v>344</v>
      </c>
      <c r="AB89" t="n">
        <v>344.000046134</v>
      </c>
    </row>
    <row r="90">
      <c r="A90" t="n">
        <v>1</v>
      </c>
      <c r="B90">
        <f>INDEX(tblWeekSummary[Workweek],MATCH(LARGE(tblWeekSummary[Rank Key],A90),tblWeekSummary[Rank Key],0))</f>
        <v/>
      </c>
      <c r="C90" s="657">
        <f>INDEX(tblWeekSummary[Revenue],MATCH(LARGE(tblWeekSummary[Rank Key],A90),tblWeekSummary[Rank Key],0))</f>
        <v/>
      </c>
      <c r="D90">
        <f>INDEX(tblWeekSummary[Events],MATCH(LARGE(tblWeekSummary[Rank Key],A90),tblWeekSummary[Rank Key],0))</f>
        <v/>
      </c>
      <c r="E90">
        <f>INDEX(tblWeekSummary[Worked Days],MATCH(LARGE(tblWeekSummary[Rank Key],A90),tblWeekSummary[Rank Key],0))</f>
        <v/>
      </c>
      <c r="F90" s="657">
        <f>INDEX(tblWeekSummary[Avg/Event],MATCH(LARGE(tblWeekSummary[Rank Key],A90),tblWeekSummary[Rank Key],0))</f>
        <v/>
      </c>
      <c r="H90" t="n">
        <v>1</v>
      </c>
      <c r="I90">
        <f>INDEX(tblMonthSummary[MY_MONTH],MATCH(LARGE(tblMonthSummary[Confirmed Revenue],H90),tblMonthSummary[Confirmed Revenue],0))</f>
        <v/>
      </c>
      <c r="J90" s="657">
        <f>LARGE(tblMonthSummary[Confirmed Revenue],H90)</f>
        <v/>
      </c>
      <c r="K90">
        <f>INDEX(tblMonthSummary[Events],MATCH(J90,tblMonthSummary[Confirmed Revenue],0))</f>
        <v/>
      </c>
      <c r="L90">
        <f>INDEX(tblMonthSummary[Clients],MATCH(J90,tblMonthSummary[Confirmed Revenue],0))</f>
        <v/>
      </c>
      <c r="M90" s="657">
        <f>INDEX(tblMonthSummary[Avg Revenue / Eligible Event],MATCH(J90,tblMonthSummary[Confirmed Revenue],0))</f>
        <v/>
      </c>
      <c r="O90" t="n">
        <v>1</v>
      </c>
      <c r="P90" s="663">
        <f>INDEX(tblDateSummary[Service Date],MATCH(LARGE(tblDateSummary[Rank Key],O90),tblDateSummary[Rank Key],0))</f>
        <v/>
      </c>
      <c r="Q90">
        <f>INDEX(tblDateSummary[Weekday],MATCH(LARGE(tblDateSummary[Rank Key],O90),tblDateSummary[Rank Key],0))</f>
        <v/>
      </c>
      <c r="R90" s="657">
        <f>INDEX(tblDateSummary[Revenue],MATCH(LARGE(tblDateSummary[Rank Key],O90),tblDateSummary[Rank Key],0))</f>
        <v/>
      </c>
      <c r="S90">
        <f>INDEX(tblDateSummary[Events],MATCH(LARGE(tblDateSummary[Rank Key],O90),tblDateSummary[Rank Key],0))</f>
        <v/>
      </c>
      <c r="T90" s="657">
        <f>INDEX(tblDateSummary[Avg/Event],MATCH(LARGE(tblDateSummary[Rank Key],O90),tblDateSummary[Rank Key],0))</f>
        <v/>
      </c>
      <c r="V90" s="663" t="n">
        <v>46135</v>
      </c>
      <c r="W90" t="inlineStr">
        <is>
          <t>Thursday</t>
        </is>
      </c>
      <c r="X90" t="n">
        <v>1</v>
      </c>
      <c r="Y90" t="n">
        <v>1</v>
      </c>
      <c r="Z90" s="657" t="n">
        <v>180</v>
      </c>
      <c r="AA90" s="657" t="n">
        <v>180</v>
      </c>
      <c r="AB90" t="n">
        <v>180.000046135</v>
      </c>
    </row>
    <row r="91">
      <c r="A91" t="n">
        <v>2</v>
      </c>
      <c r="B91">
        <f>INDEX(tblWeekSummary[Workweek],MATCH(LARGE(tblWeekSummary[Rank Key],A91),tblWeekSummary[Rank Key],0))</f>
        <v/>
      </c>
      <c r="C91" s="657">
        <f>INDEX(tblWeekSummary[Revenue],MATCH(LARGE(tblWeekSummary[Rank Key],A91),tblWeekSummary[Rank Key],0))</f>
        <v/>
      </c>
      <c r="D91">
        <f>INDEX(tblWeekSummary[Events],MATCH(LARGE(tblWeekSummary[Rank Key],A91),tblWeekSummary[Rank Key],0))</f>
        <v/>
      </c>
      <c r="E91">
        <f>INDEX(tblWeekSummary[Worked Days],MATCH(LARGE(tblWeekSummary[Rank Key],A91),tblWeekSummary[Rank Key],0))</f>
        <v/>
      </c>
      <c r="F91" s="657">
        <f>INDEX(tblWeekSummary[Avg/Event],MATCH(LARGE(tblWeekSummary[Rank Key],A91),tblWeekSummary[Rank Key],0))</f>
        <v/>
      </c>
      <c r="H91" t="n">
        <v>2</v>
      </c>
      <c r="I91">
        <f>INDEX(tblMonthSummary[MY_MONTH],MATCH(LARGE(tblMonthSummary[Confirmed Revenue],H91),tblMonthSummary[Confirmed Revenue],0))</f>
        <v/>
      </c>
      <c r="J91" s="657">
        <f>LARGE(tblMonthSummary[Confirmed Revenue],H91)</f>
        <v/>
      </c>
      <c r="K91">
        <f>INDEX(tblMonthSummary[Events],MATCH(J91,tblMonthSummary[Confirmed Revenue],0))</f>
        <v/>
      </c>
      <c r="L91">
        <f>INDEX(tblMonthSummary[Clients],MATCH(J91,tblMonthSummary[Confirmed Revenue],0))</f>
        <v/>
      </c>
      <c r="M91" s="657">
        <f>INDEX(tblMonthSummary[Avg Revenue / Eligible Event],MATCH(J91,tblMonthSummary[Confirmed Revenue],0))</f>
        <v/>
      </c>
      <c r="O91" t="n">
        <v>2</v>
      </c>
      <c r="P91" s="663">
        <f>INDEX(tblDateSummary[Service Date],MATCH(LARGE(tblDateSummary[Rank Key],O91),tblDateSummary[Rank Key],0))</f>
        <v/>
      </c>
      <c r="Q91">
        <f>INDEX(tblDateSummary[Weekday],MATCH(LARGE(tblDateSummary[Rank Key],O91),tblDateSummary[Rank Key],0))</f>
        <v/>
      </c>
      <c r="R91" s="657">
        <f>INDEX(tblDateSummary[Revenue],MATCH(LARGE(tblDateSummary[Rank Key],O91),tblDateSummary[Rank Key],0))</f>
        <v/>
      </c>
      <c r="S91">
        <f>INDEX(tblDateSummary[Events],MATCH(LARGE(tblDateSummary[Rank Key],O91),tblDateSummary[Rank Key],0))</f>
        <v/>
      </c>
      <c r="T91" s="657">
        <f>INDEX(tblDateSummary[Avg/Event],MATCH(LARGE(tblDateSummary[Rank Key],O91),tblDateSummary[Rank Key],0))</f>
        <v/>
      </c>
      <c r="V91" s="663" t="n">
        <v>46136</v>
      </c>
      <c r="W91" t="inlineStr">
        <is>
          <t>Friday</t>
        </is>
      </c>
      <c r="X91" t="n">
        <v>1</v>
      </c>
      <c r="Y91" t="n">
        <v>1</v>
      </c>
      <c r="Z91" s="657" t="n">
        <v>50</v>
      </c>
      <c r="AA91" s="657" t="n">
        <v>50</v>
      </c>
      <c r="AB91" t="n">
        <v>50.000046136</v>
      </c>
    </row>
    <row r="92">
      <c r="A92" t="n">
        <v>3</v>
      </c>
      <c r="B92">
        <f>INDEX(tblWeekSummary[Workweek],MATCH(LARGE(tblWeekSummary[Rank Key],A92),tblWeekSummary[Rank Key],0))</f>
        <v/>
      </c>
      <c r="C92" s="657">
        <f>INDEX(tblWeekSummary[Revenue],MATCH(LARGE(tblWeekSummary[Rank Key],A92),tblWeekSummary[Rank Key],0))</f>
        <v/>
      </c>
      <c r="D92">
        <f>INDEX(tblWeekSummary[Events],MATCH(LARGE(tblWeekSummary[Rank Key],A92),tblWeekSummary[Rank Key],0))</f>
        <v/>
      </c>
      <c r="E92">
        <f>INDEX(tblWeekSummary[Worked Days],MATCH(LARGE(tblWeekSummary[Rank Key],A92),tblWeekSummary[Rank Key],0))</f>
        <v/>
      </c>
      <c r="F92" s="657">
        <f>INDEX(tblWeekSummary[Avg/Event],MATCH(LARGE(tblWeekSummary[Rank Key],A92),tblWeekSummary[Rank Key],0))</f>
        <v/>
      </c>
      <c r="H92" t="n">
        <v>3</v>
      </c>
      <c r="I92">
        <f>INDEX(tblMonthSummary[MY_MONTH],MATCH(LARGE(tblMonthSummary[Confirmed Revenue],H92),tblMonthSummary[Confirmed Revenue],0))</f>
        <v/>
      </c>
      <c r="J92" s="657">
        <f>LARGE(tblMonthSummary[Confirmed Revenue],H92)</f>
        <v/>
      </c>
      <c r="K92">
        <f>INDEX(tblMonthSummary[Events],MATCH(J92,tblMonthSummary[Confirmed Revenue],0))</f>
        <v/>
      </c>
      <c r="L92">
        <f>INDEX(tblMonthSummary[Clients],MATCH(J92,tblMonthSummary[Confirmed Revenue],0))</f>
        <v/>
      </c>
      <c r="M92" s="657">
        <f>INDEX(tblMonthSummary[Avg Revenue / Eligible Event],MATCH(J92,tblMonthSummary[Confirmed Revenue],0))</f>
        <v/>
      </c>
      <c r="O92" t="n">
        <v>3</v>
      </c>
      <c r="P92" s="663">
        <f>INDEX(tblDateSummary[Service Date],MATCH(LARGE(tblDateSummary[Rank Key],O92),tblDateSummary[Rank Key],0))</f>
        <v/>
      </c>
      <c r="Q92">
        <f>INDEX(tblDateSummary[Weekday],MATCH(LARGE(tblDateSummary[Rank Key],O92),tblDateSummary[Rank Key],0))</f>
        <v/>
      </c>
      <c r="R92" s="657">
        <f>INDEX(tblDateSummary[Revenue],MATCH(LARGE(tblDateSummary[Rank Key],O92),tblDateSummary[Rank Key],0))</f>
        <v/>
      </c>
      <c r="S92">
        <f>INDEX(tblDateSummary[Events],MATCH(LARGE(tblDateSummary[Rank Key],O92),tblDateSummary[Rank Key],0))</f>
        <v/>
      </c>
      <c r="T92" s="657">
        <f>INDEX(tblDateSummary[Avg/Event],MATCH(LARGE(tblDateSummary[Rank Key],O92),tblDateSummary[Rank Key],0))</f>
        <v/>
      </c>
      <c r="V92" s="663" t="n">
        <v>46139</v>
      </c>
      <c r="W92" t="inlineStr">
        <is>
          <t>Monday</t>
        </is>
      </c>
      <c r="X92" t="n">
        <v>1</v>
      </c>
      <c r="Y92" t="n">
        <v>1</v>
      </c>
      <c r="Z92" s="657" t="n">
        <v>180</v>
      </c>
      <c r="AA92" s="657" t="n">
        <v>180</v>
      </c>
      <c r="AB92" t="n">
        <v>180.000046139</v>
      </c>
    </row>
    <row r="93">
      <c r="A93" t="n">
        <v>4</v>
      </c>
      <c r="B93">
        <f>INDEX(tblWeekSummary[Workweek],MATCH(LARGE(tblWeekSummary[Rank Key],A93),tblWeekSummary[Rank Key],0))</f>
        <v/>
      </c>
      <c r="C93" s="657">
        <f>INDEX(tblWeekSummary[Revenue],MATCH(LARGE(tblWeekSummary[Rank Key],A93),tblWeekSummary[Rank Key],0))</f>
        <v/>
      </c>
      <c r="D93">
        <f>INDEX(tblWeekSummary[Events],MATCH(LARGE(tblWeekSummary[Rank Key],A93),tblWeekSummary[Rank Key],0))</f>
        <v/>
      </c>
      <c r="E93">
        <f>INDEX(tblWeekSummary[Worked Days],MATCH(LARGE(tblWeekSummary[Rank Key],A93),tblWeekSummary[Rank Key],0))</f>
        <v/>
      </c>
      <c r="F93" s="657">
        <f>INDEX(tblWeekSummary[Avg/Event],MATCH(LARGE(tblWeekSummary[Rank Key],A93),tblWeekSummary[Rank Key],0))</f>
        <v/>
      </c>
      <c r="O93" t="n">
        <v>4</v>
      </c>
      <c r="P93" s="663">
        <f>INDEX(tblDateSummary[Service Date],MATCH(LARGE(tblDateSummary[Rank Key],O93),tblDateSummary[Rank Key],0))</f>
        <v/>
      </c>
      <c r="Q93">
        <f>INDEX(tblDateSummary[Weekday],MATCH(LARGE(tblDateSummary[Rank Key],O93),tblDateSummary[Rank Key],0))</f>
        <v/>
      </c>
      <c r="R93" s="657">
        <f>INDEX(tblDateSummary[Revenue],MATCH(LARGE(tblDateSummary[Rank Key],O93),tblDateSummary[Rank Key],0))</f>
        <v/>
      </c>
      <c r="S93">
        <f>INDEX(tblDateSummary[Events],MATCH(LARGE(tblDateSummary[Rank Key],O93),tblDateSummary[Rank Key],0))</f>
        <v/>
      </c>
      <c r="T93" s="657">
        <f>INDEX(tblDateSummary[Avg/Event],MATCH(LARGE(tblDateSummary[Rank Key],O93),tblDateSummary[Rank Key],0))</f>
        <v/>
      </c>
      <c r="V93" s="663" t="n">
        <v>46141</v>
      </c>
      <c r="W93" t="inlineStr">
        <is>
          <t>Wednesday</t>
        </is>
      </c>
      <c r="X93" t="n">
        <v>2</v>
      </c>
      <c r="Y93" t="n">
        <v>2</v>
      </c>
      <c r="Z93" s="657" t="n">
        <v>95</v>
      </c>
      <c r="AA93" s="657" t="n">
        <v>47.5</v>
      </c>
      <c r="AB93" t="n">
        <v>95.000046141</v>
      </c>
    </row>
    <row r="94">
      <c r="A94" t="n">
        <v>5</v>
      </c>
      <c r="B94">
        <f>INDEX(tblWeekSummary[Workweek],MATCH(LARGE(tblWeekSummary[Rank Key],A94),tblWeekSummary[Rank Key],0))</f>
        <v/>
      </c>
      <c r="C94" s="657">
        <f>INDEX(tblWeekSummary[Revenue],MATCH(LARGE(tblWeekSummary[Rank Key],A94),tblWeekSummary[Rank Key],0))</f>
        <v/>
      </c>
      <c r="D94">
        <f>INDEX(tblWeekSummary[Events],MATCH(LARGE(tblWeekSummary[Rank Key],A94),tblWeekSummary[Rank Key],0))</f>
        <v/>
      </c>
      <c r="E94">
        <f>INDEX(tblWeekSummary[Worked Days],MATCH(LARGE(tblWeekSummary[Rank Key],A94),tblWeekSummary[Rank Key],0))</f>
        <v/>
      </c>
      <c r="F94" s="657">
        <f>INDEX(tblWeekSummary[Avg/Event],MATCH(LARGE(tblWeekSummary[Rank Key],A94),tblWeekSummary[Rank Key],0))</f>
        <v/>
      </c>
      <c r="O94" t="n">
        <v>5</v>
      </c>
      <c r="P94" s="663">
        <f>INDEX(tblDateSummary[Service Date],MATCH(LARGE(tblDateSummary[Rank Key],O94),tblDateSummary[Rank Key],0))</f>
        <v/>
      </c>
      <c r="Q94">
        <f>INDEX(tblDateSummary[Weekday],MATCH(LARGE(tblDateSummary[Rank Key],O94),tblDateSummary[Rank Key],0))</f>
        <v/>
      </c>
      <c r="R94" s="657">
        <f>INDEX(tblDateSummary[Revenue],MATCH(LARGE(tblDateSummary[Rank Key],O94),tblDateSummary[Rank Key],0))</f>
        <v/>
      </c>
      <c r="S94">
        <f>INDEX(tblDateSummary[Events],MATCH(LARGE(tblDateSummary[Rank Key],O94),tblDateSummary[Rank Key],0))</f>
        <v/>
      </c>
      <c r="T94" s="657">
        <f>INDEX(tblDateSummary[Avg/Event],MATCH(LARGE(tblDateSummary[Rank Key],O94),tblDateSummary[Rank Key],0))</f>
        <v/>
      </c>
      <c r="V94" s="663" t="n">
        <v>46142</v>
      </c>
      <c r="W94" t="inlineStr">
        <is>
          <t>Thursday</t>
        </is>
      </c>
      <c r="X94" t="n">
        <v>1</v>
      </c>
      <c r="Y94" t="n">
        <v>0</v>
      </c>
      <c r="Z94" s="657" t="n">
        <v>0</v>
      </c>
      <c r="AA94" s="657" t="n">
        <v>0</v>
      </c>
      <c r="AB94" t="n">
        <v>4.6142e-05</v>
      </c>
    </row>
    <row r="95">
      <c r="A95" t="n">
        <v>6</v>
      </c>
      <c r="B95">
        <f>INDEX(tblWeekSummary[Workweek],MATCH(LARGE(tblWeekSummary[Rank Key],A95),tblWeekSummary[Rank Key],0))</f>
        <v/>
      </c>
      <c r="C95" s="657">
        <f>INDEX(tblWeekSummary[Revenue],MATCH(LARGE(tblWeekSummary[Rank Key],A95),tblWeekSummary[Rank Key],0))</f>
        <v/>
      </c>
      <c r="D95">
        <f>INDEX(tblWeekSummary[Events],MATCH(LARGE(tblWeekSummary[Rank Key],A95),tblWeekSummary[Rank Key],0))</f>
        <v/>
      </c>
      <c r="E95">
        <f>INDEX(tblWeekSummary[Worked Days],MATCH(LARGE(tblWeekSummary[Rank Key],A95),tblWeekSummary[Rank Key],0))</f>
        <v/>
      </c>
      <c r="F95" s="657">
        <f>INDEX(tblWeekSummary[Avg/Event],MATCH(LARGE(tblWeekSummary[Rank Key],A95),tblWeekSummary[Rank Key],0))</f>
        <v/>
      </c>
      <c r="O95" t="n">
        <v>6</v>
      </c>
      <c r="P95" s="663">
        <f>INDEX(tblDateSummary[Service Date],MATCH(LARGE(tblDateSummary[Rank Key],O95),tblDateSummary[Rank Key],0))</f>
        <v/>
      </c>
      <c r="Q95">
        <f>INDEX(tblDateSummary[Weekday],MATCH(LARGE(tblDateSummary[Rank Key],O95),tblDateSummary[Rank Key],0))</f>
        <v/>
      </c>
      <c r="R95" s="657">
        <f>INDEX(tblDateSummary[Revenue],MATCH(LARGE(tblDateSummary[Rank Key],O95),tblDateSummary[Rank Key],0))</f>
        <v/>
      </c>
      <c r="S95">
        <f>INDEX(tblDateSummary[Events],MATCH(LARGE(tblDateSummary[Rank Key],O95),tblDateSummary[Rank Key],0))</f>
        <v/>
      </c>
      <c r="T95" s="657">
        <f>INDEX(tblDateSummary[Avg/Event],MATCH(LARGE(tblDateSummary[Rank Key],O95),tblDateSummary[Rank Key],0))</f>
        <v/>
      </c>
      <c r="V95" s="663" t="n">
        <v>46147</v>
      </c>
      <c r="W95" t="inlineStr">
        <is>
          <t>Tuesday</t>
        </is>
      </c>
      <c r="X95" t="n">
        <v>1</v>
      </c>
      <c r="Y95" t="n">
        <v>1</v>
      </c>
      <c r="Z95" s="657" t="n">
        <v>212.5</v>
      </c>
      <c r="AA95" s="657" t="n">
        <v>212.5</v>
      </c>
      <c r="AB95" t="n">
        <v>212.500046147</v>
      </c>
    </row>
    <row r="96">
      <c r="A96" t="n">
        <v>7</v>
      </c>
      <c r="B96">
        <f>INDEX(tblWeekSummary[Workweek],MATCH(LARGE(tblWeekSummary[Rank Key],A96),tblWeekSummary[Rank Key],0))</f>
        <v/>
      </c>
      <c r="C96" s="657">
        <f>INDEX(tblWeekSummary[Revenue],MATCH(LARGE(tblWeekSummary[Rank Key],A96),tblWeekSummary[Rank Key],0))</f>
        <v/>
      </c>
      <c r="D96">
        <f>INDEX(tblWeekSummary[Events],MATCH(LARGE(tblWeekSummary[Rank Key],A96),tblWeekSummary[Rank Key],0))</f>
        <v/>
      </c>
      <c r="E96">
        <f>INDEX(tblWeekSummary[Worked Days],MATCH(LARGE(tblWeekSummary[Rank Key],A96),tblWeekSummary[Rank Key],0))</f>
        <v/>
      </c>
      <c r="F96" s="657">
        <f>INDEX(tblWeekSummary[Avg/Event],MATCH(LARGE(tblWeekSummary[Rank Key],A96),tblWeekSummary[Rank Key],0))</f>
        <v/>
      </c>
      <c r="O96" t="n">
        <v>7</v>
      </c>
      <c r="P96" s="663">
        <f>INDEX(tblDateSummary[Service Date],MATCH(LARGE(tblDateSummary[Rank Key],O96),tblDateSummary[Rank Key],0))</f>
        <v/>
      </c>
      <c r="Q96">
        <f>INDEX(tblDateSummary[Weekday],MATCH(LARGE(tblDateSummary[Rank Key],O96),tblDateSummary[Rank Key],0))</f>
        <v/>
      </c>
      <c r="R96" s="657">
        <f>INDEX(tblDateSummary[Revenue],MATCH(LARGE(tblDateSummary[Rank Key],O96),tblDateSummary[Rank Key],0))</f>
        <v/>
      </c>
      <c r="S96">
        <f>INDEX(tblDateSummary[Events],MATCH(LARGE(tblDateSummary[Rank Key],O96),tblDateSummary[Rank Key],0))</f>
        <v/>
      </c>
      <c r="T96" s="657">
        <f>INDEX(tblDateSummary[Avg/Event],MATCH(LARGE(tblDateSummary[Rank Key],O96),tblDateSummary[Rank Key],0))</f>
        <v/>
      </c>
      <c r="V96" s="663" t="n">
        <v>46153</v>
      </c>
      <c r="W96" t="inlineStr">
        <is>
          <t>Monday</t>
        </is>
      </c>
      <c r="X96" t="n">
        <v>1</v>
      </c>
      <c r="Y96" t="n">
        <v>1</v>
      </c>
      <c r="Z96" s="657" t="n">
        <v>157.5</v>
      </c>
      <c r="AA96" s="657" t="n">
        <v>157.5</v>
      </c>
      <c r="AB96" t="n">
        <v>157.500046153</v>
      </c>
    </row>
    <row r="97">
      <c r="A97" t="n">
        <v>8</v>
      </c>
      <c r="B97">
        <f>INDEX(tblWeekSummary[Workweek],MATCH(LARGE(tblWeekSummary[Rank Key],A97),tblWeekSummary[Rank Key],0))</f>
        <v/>
      </c>
      <c r="C97" s="657">
        <f>INDEX(tblWeekSummary[Revenue],MATCH(LARGE(tblWeekSummary[Rank Key],A97),tblWeekSummary[Rank Key],0))</f>
        <v/>
      </c>
      <c r="D97">
        <f>INDEX(tblWeekSummary[Events],MATCH(LARGE(tblWeekSummary[Rank Key],A97),tblWeekSummary[Rank Key],0))</f>
        <v/>
      </c>
      <c r="E97">
        <f>INDEX(tblWeekSummary[Worked Days],MATCH(LARGE(tblWeekSummary[Rank Key],A97),tblWeekSummary[Rank Key],0))</f>
        <v/>
      </c>
      <c r="F97" s="657">
        <f>INDEX(tblWeekSummary[Avg/Event],MATCH(LARGE(tblWeekSummary[Rank Key],A97),tblWeekSummary[Rank Key],0))</f>
        <v/>
      </c>
      <c r="O97" t="n">
        <v>8</v>
      </c>
      <c r="P97" s="663">
        <f>INDEX(tblDateSummary[Service Date],MATCH(LARGE(tblDateSummary[Rank Key],O97),tblDateSummary[Rank Key],0))</f>
        <v/>
      </c>
      <c r="Q97">
        <f>INDEX(tblDateSummary[Weekday],MATCH(LARGE(tblDateSummary[Rank Key],O97),tblDateSummary[Rank Key],0))</f>
        <v/>
      </c>
      <c r="R97" s="657">
        <f>INDEX(tblDateSummary[Revenue],MATCH(LARGE(tblDateSummary[Rank Key],O97),tblDateSummary[Rank Key],0))</f>
        <v/>
      </c>
      <c r="S97">
        <f>INDEX(tblDateSummary[Events],MATCH(LARGE(tblDateSummary[Rank Key],O97),tblDateSummary[Rank Key],0))</f>
        <v/>
      </c>
      <c r="T97" s="657">
        <f>INDEX(tblDateSummary[Avg/Event],MATCH(LARGE(tblDateSummary[Rank Key],O97),tblDateSummary[Rank Key],0))</f>
        <v/>
      </c>
      <c r="V97" s="663" t="n">
        <v>46154</v>
      </c>
      <c r="W97" t="inlineStr">
        <is>
          <t>Tuesday</t>
        </is>
      </c>
      <c r="X97" t="n">
        <v>1</v>
      </c>
      <c r="Y97" t="n">
        <v>1</v>
      </c>
      <c r="Z97" s="657" t="n">
        <v>85</v>
      </c>
      <c r="AA97" s="657" t="n">
        <v>85</v>
      </c>
      <c r="AB97" t="n">
        <v>85.000046154</v>
      </c>
    </row>
    <row r="98">
      <c r="A98" t="n">
        <v>9</v>
      </c>
      <c r="B98">
        <f>INDEX(tblWeekSummary[Workweek],MATCH(LARGE(tblWeekSummary[Rank Key],A98),tblWeekSummary[Rank Key],0))</f>
        <v/>
      </c>
      <c r="C98" s="657">
        <f>INDEX(tblWeekSummary[Revenue],MATCH(LARGE(tblWeekSummary[Rank Key],A98),tblWeekSummary[Rank Key],0))</f>
        <v/>
      </c>
      <c r="D98">
        <f>INDEX(tblWeekSummary[Events],MATCH(LARGE(tblWeekSummary[Rank Key],A98),tblWeekSummary[Rank Key],0))</f>
        <v/>
      </c>
      <c r="E98">
        <f>INDEX(tblWeekSummary[Worked Days],MATCH(LARGE(tblWeekSummary[Rank Key],A98),tblWeekSummary[Rank Key],0))</f>
        <v/>
      </c>
      <c r="F98" s="657">
        <f>INDEX(tblWeekSummary[Avg/Event],MATCH(LARGE(tblWeekSummary[Rank Key],A98),tblWeekSummary[Rank Key],0))</f>
        <v/>
      </c>
      <c r="O98" t="n">
        <v>9</v>
      </c>
      <c r="P98" s="663">
        <f>INDEX(tblDateSummary[Service Date],MATCH(LARGE(tblDateSummary[Rank Key],O98),tblDateSummary[Rank Key],0))</f>
        <v/>
      </c>
      <c r="Q98">
        <f>INDEX(tblDateSummary[Weekday],MATCH(LARGE(tblDateSummary[Rank Key],O98),tblDateSummary[Rank Key],0))</f>
        <v/>
      </c>
      <c r="R98" s="657">
        <f>INDEX(tblDateSummary[Revenue],MATCH(LARGE(tblDateSummary[Rank Key],O98),tblDateSummary[Rank Key],0))</f>
        <v/>
      </c>
      <c r="S98">
        <f>INDEX(tblDateSummary[Events],MATCH(LARGE(tblDateSummary[Rank Key],O98),tblDateSummary[Rank Key],0))</f>
        <v/>
      </c>
      <c r="T98" s="657">
        <f>INDEX(tblDateSummary[Avg/Event],MATCH(LARGE(tblDateSummary[Rank Key],O98),tblDateSummary[Rank Key],0))</f>
        <v/>
      </c>
      <c r="V98" s="663" t="n">
        <v>46155</v>
      </c>
      <c r="W98" t="inlineStr">
        <is>
          <t>Wednesday</t>
        </is>
      </c>
      <c r="X98" t="n">
        <v>2</v>
      </c>
      <c r="Y98" t="n">
        <v>1</v>
      </c>
      <c r="Z98" s="657" t="n">
        <v>50</v>
      </c>
      <c r="AA98" s="657" t="n">
        <v>50</v>
      </c>
      <c r="AB98" t="n">
        <v>50.000046155</v>
      </c>
    </row>
    <row r="99">
      <c r="A99" t="n">
        <v>10</v>
      </c>
      <c r="B99">
        <f>INDEX(tblWeekSummary[Workweek],MATCH(LARGE(tblWeekSummary[Rank Key],A99),tblWeekSummary[Rank Key],0))</f>
        <v/>
      </c>
      <c r="C99" s="657">
        <f>INDEX(tblWeekSummary[Revenue],MATCH(LARGE(tblWeekSummary[Rank Key],A99),tblWeekSummary[Rank Key],0))</f>
        <v/>
      </c>
      <c r="D99">
        <f>INDEX(tblWeekSummary[Events],MATCH(LARGE(tblWeekSummary[Rank Key],A99),tblWeekSummary[Rank Key],0))</f>
        <v/>
      </c>
      <c r="E99">
        <f>INDEX(tblWeekSummary[Worked Days],MATCH(LARGE(tblWeekSummary[Rank Key],A99),tblWeekSummary[Rank Key],0))</f>
        <v/>
      </c>
      <c r="F99" s="657">
        <f>INDEX(tblWeekSummary[Avg/Event],MATCH(LARGE(tblWeekSummary[Rank Key],A99),tblWeekSummary[Rank Key],0))</f>
        <v/>
      </c>
      <c r="O99" t="n">
        <v>10</v>
      </c>
      <c r="P99" s="663">
        <f>INDEX(tblDateSummary[Service Date],MATCH(LARGE(tblDateSummary[Rank Key],O99),tblDateSummary[Rank Key],0))</f>
        <v/>
      </c>
      <c r="Q99">
        <f>INDEX(tblDateSummary[Weekday],MATCH(LARGE(tblDateSummary[Rank Key],O99),tblDateSummary[Rank Key],0))</f>
        <v/>
      </c>
      <c r="R99" s="657">
        <f>INDEX(tblDateSummary[Revenue],MATCH(LARGE(tblDateSummary[Rank Key],O99),tblDateSummary[Rank Key],0))</f>
        <v/>
      </c>
      <c r="S99">
        <f>INDEX(tblDateSummary[Events],MATCH(LARGE(tblDateSummary[Rank Key],O99),tblDateSummary[Rank Key],0))</f>
        <v/>
      </c>
      <c r="T99" s="657">
        <f>INDEX(tblDateSummary[Avg/Event],MATCH(LARGE(tblDateSummary[Rank Key],O99),tblDateSummary[Rank Key],0))</f>
        <v/>
      </c>
      <c r="V99" s="663" t="n">
        <v>46156</v>
      </c>
      <c r="W99" t="inlineStr">
        <is>
          <t>Thursday</t>
        </is>
      </c>
      <c r="X99" t="n">
        <v>1</v>
      </c>
      <c r="Y99" t="n">
        <v>1</v>
      </c>
      <c r="Z99" s="657" t="n">
        <v>75</v>
      </c>
      <c r="AA99" s="657" t="n">
        <v>75</v>
      </c>
      <c r="AB99" t="n">
        <v>75.000046156</v>
      </c>
    </row>
    <row r="100">
      <c r="A100" t="n">
        <v>11</v>
      </c>
      <c r="B100">
        <f>INDEX(tblWeekSummary[Workweek],MATCH(LARGE(tblWeekSummary[Rank Key],A100),tblWeekSummary[Rank Key],0))</f>
        <v/>
      </c>
      <c r="C100" s="657">
        <f>INDEX(tblWeekSummary[Revenue],MATCH(LARGE(tblWeekSummary[Rank Key],A100),tblWeekSummary[Rank Key],0))</f>
        <v/>
      </c>
      <c r="D100">
        <f>INDEX(tblWeekSummary[Events],MATCH(LARGE(tblWeekSummary[Rank Key],A100),tblWeekSummary[Rank Key],0))</f>
        <v/>
      </c>
      <c r="E100">
        <f>INDEX(tblWeekSummary[Worked Days],MATCH(LARGE(tblWeekSummary[Rank Key],A100),tblWeekSummary[Rank Key],0))</f>
        <v/>
      </c>
      <c r="F100" s="657">
        <f>INDEX(tblWeekSummary[Avg/Event],MATCH(LARGE(tblWeekSummary[Rank Key],A100),tblWeekSummary[Rank Key],0))</f>
        <v/>
      </c>
      <c r="O100" t="n">
        <v>11</v>
      </c>
      <c r="P100" s="663">
        <f>INDEX(tblDateSummary[Service Date],MATCH(LARGE(tblDateSummary[Rank Key],O100),tblDateSummary[Rank Key],0))</f>
        <v/>
      </c>
      <c r="Q100">
        <f>INDEX(tblDateSummary[Weekday],MATCH(LARGE(tblDateSummary[Rank Key],O100),tblDateSummary[Rank Key],0))</f>
        <v/>
      </c>
      <c r="R100" s="657">
        <f>INDEX(tblDateSummary[Revenue],MATCH(LARGE(tblDateSummary[Rank Key],O100),tblDateSummary[Rank Key],0))</f>
        <v/>
      </c>
      <c r="S100">
        <f>INDEX(tblDateSummary[Events],MATCH(LARGE(tblDateSummary[Rank Key],O100),tblDateSummary[Rank Key],0))</f>
        <v/>
      </c>
      <c r="T100" s="657">
        <f>INDEX(tblDateSummary[Avg/Event],MATCH(LARGE(tblDateSummary[Rank Key],O100),tblDateSummary[Rank Key],0))</f>
        <v/>
      </c>
      <c r="V100" s="663" t="n">
        <v>46157</v>
      </c>
      <c r="W100" t="inlineStr">
        <is>
          <t>Friday</t>
        </is>
      </c>
      <c r="X100" t="n">
        <v>1</v>
      </c>
      <c r="Y100" t="n">
        <v>1</v>
      </c>
      <c r="Z100" s="657" t="n">
        <v>45</v>
      </c>
      <c r="AA100" s="657" t="n">
        <v>45</v>
      </c>
      <c r="AB100" t="n">
        <v>45.000046157</v>
      </c>
    </row>
    <row r="101">
      <c r="A101" t="n">
        <v>12</v>
      </c>
      <c r="B101">
        <f>INDEX(tblWeekSummary[Workweek],MATCH(LARGE(tblWeekSummary[Rank Key],A101),tblWeekSummary[Rank Key],0))</f>
        <v/>
      </c>
      <c r="C101" s="657">
        <f>INDEX(tblWeekSummary[Revenue],MATCH(LARGE(tblWeekSummary[Rank Key],A101),tblWeekSummary[Rank Key],0))</f>
        <v/>
      </c>
      <c r="D101">
        <f>INDEX(tblWeekSummary[Events],MATCH(LARGE(tblWeekSummary[Rank Key],A101),tblWeekSummary[Rank Key],0))</f>
        <v/>
      </c>
      <c r="E101">
        <f>INDEX(tblWeekSummary[Worked Days],MATCH(LARGE(tblWeekSummary[Rank Key],A101),tblWeekSummary[Rank Key],0))</f>
        <v/>
      </c>
      <c r="F101" s="657">
        <f>INDEX(tblWeekSummary[Avg/Event],MATCH(LARGE(tblWeekSummary[Rank Key],A101),tblWeekSummary[Rank Key],0))</f>
        <v/>
      </c>
      <c r="O101" t="n">
        <v>12</v>
      </c>
      <c r="P101" s="663">
        <f>INDEX(tblDateSummary[Service Date],MATCH(LARGE(tblDateSummary[Rank Key],O101),tblDateSummary[Rank Key],0))</f>
        <v/>
      </c>
      <c r="Q101">
        <f>INDEX(tblDateSummary[Weekday],MATCH(LARGE(tblDateSummary[Rank Key],O101),tblDateSummary[Rank Key],0))</f>
        <v/>
      </c>
      <c r="R101" s="657">
        <f>INDEX(tblDateSummary[Revenue],MATCH(LARGE(tblDateSummary[Rank Key],O101),tblDateSummary[Rank Key],0))</f>
        <v/>
      </c>
      <c r="S101">
        <f>INDEX(tblDateSummary[Events],MATCH(LARGE(tblDateSummary[Rank Key],O101),tblDateSummary[Rank Key],0))</f>
        <v/>
      </c>
      <c r="T101" s="657">
        <f>INDEX(tblDateSummary[Avg/Event],MATCH(LARGE(tblDateSummary[Rank Key],O101),tblDateSummary[Rank Key],0))</f>
        <v/>
      </c>
      <c r="V101" s="663" t="n">
        <v>46161</v>
      </c>
      <c r="W101" t="inlineStr">
        <is>
          <t>Tuesday</t>
        </is>
      </c>
      <c r="X101" t="n">
        <v>1</v>
      </c>
      <c r="Y101" t="n">
        <v>1</v>
      </c>
      <c r="Z101" s="657" t="n">
        <v>50</v>
      </c>
      <c r="AA101" s="657" t="n">
        <v>50</v>
      </c>
      <c r="AB101" t="n">
        <v>50.000046161</v>
      </c>
    </row>
    <row r="102">
      <c r="V102" s="663" t="n">
        <v>46162</v>
      </c>
      <c r="W102" t="inlineStr">
        <is>
          <t>Wednesday</t>
        </is>
      </c>
      <c r="X102" t="n">
        <v>1</v>
      </c>
      <c r="Y102" t="n">
        <v>1</v>
      </c>
      <c r="Z102" s="657" t="n">
        <v>106.67</v>
      </c>
      <c r="AA102" s="657" t="n">
        <v>106.67</v>
      </c>
      <c r="AB102" t="n">
        <v>106.670046162</v>
      </c>
    </row>
    <row r="103">
      <c r="V103" s="663" t="n">
        <v>46163</v>
      </c>
      <c r="W103" t="inlineStr">
        <is>
          <t>Thursday</t>
        </is>
      </c>
      <c r="X103" t="n">
        <v>2</v>
      </c>
      <c r="Y103" t="n">
        <v>2</v>
      </c>
      <c r="Z103" s="657" t="n">
        <v>265.83</v>
      </c>
      <c r="AA103" s="657" t="n">
        <v>132.915</v>
      </c>
      <c r="AB103" t="n">
        <v>265.830046163</v>
      </c>
    </row>
    <row r="104">
      <c r="V104" s="663" t="n">
        <v>46168</v>
      </c>
      <c r="W104" t="inlineStr">
        <is>
          <t>Tuesday</t>
        </is>
      </c>
      <c r="X104" t="n">
        <v>2</v>
      </c>
      <c r="Y104" t="n">
        <v>2</v>
      </c>
      <c r="Z104" s="657" t="n">
        <v>147.91</v>
      </c>
      <c r="AA104" s="657" t="n">
        <v>73.955</v>
      </c>
      <c r="AB104" t="n">
        <v>147.910046168</v>
      </c>
    </row>
    <row r="105">
      <c r="A105" s="679" t="inlineStr">
        <is>
          <t>Phase 3E Chart Gallery</t>
        </is>
      </c>
      <c r="B105" s="1" t="n"/>
      <c r="C105" s="1" t="n"/>
      <c r="D105" s="1" t="n"/>
      <c r="E105" s="1" t="n"/>
      <c r="F105" s="1" t="n"/>
      <c r="G105" s="1" t="n"/>
      <c r="H105" s="1" t="n"/>
      <c r="I105" s="1" t="n"/>
      <c r="J105" s="1" t="n"/>
      <c r="K105" s="1" t="n"/>
      <c r="L105" s="1" t="n"/>
      <c r="M105" s="1" t="n"/>
      <c r="N105" s="1" t="n"/>
      <c r="O105" s="1" t="n"/>
      <c r="P105" s="1" t="n"/>
      <c r="Q105" s="1" t="n"/>
      <c r="R105" s="1" t="n"/>
      <c r="S105" s="1" t="n"/>
      <c r="T105" s="1" t="n"/>
      <c r="V105" s="663" t="n">
        <v>46169</v>
      </c>
      <c r="W105" t="inlineStr">
        <is>
          <t>Wednesday</t>
        </is>
      </c>
      <c r="X105" t="n">
        <v>2</v>
      </c>
      <c r="Y105" t="n">
        <v>1</v>
      </c>
      <c r="Z105" s="657" t="n">
        <v>200</v>
      </c>
      <c r="AA105" s="657" t="n">
        <v>200</v>
      </c>
      <c r="AB105" t="n">
        <v>200.000046169</v>
      </c>
    </row>
    <row r="106">
      <c r="V106" s="663" t="n">
        <v>46170</v>
      </c>
      <c r="W106" t="inlineStr">
        <is>
          <t>Thursday</t>
        </is>
      </c>
      <c r="X106" t="n">
        <v>2</v>
      </c>
      <c r="Y106" t="n">
        <v>1</v>
      </c>
      <c r="Z106" s="657" t="n">
        <v>175</v>
      </c>
      <c r="AA106" s="657" t="n">
        <v>175</v>
      </c>
      <c r="AB106" t="n">
        <v>175.00004617</v>
      </c>
    </row>
    <row r="107">
      <c r="V107" s="663" t="n">
        <v>46174</v>
      </c>
      <c r="W107" t="inlineStr">
        <is>
          <t>Monday</t>
        </is>
      </c>
      <c r="X107" t="n">
        <v>1</v>
      </c>
      <c r="Y107" t="n">
        <v>1</v>
      </c>
      <c r="Z107" s="657" t="n">
        <v>320</v>
      </c>
      <c r="AA107" s="657" t="n">
        <v>320</v>
      </c>
      <c r="AB107" t="n">
        <v>320.000046174</v>
      </c>
    </row>
    <row r="108">
      <c r="V108" s="663" t="n">
        <v>46175</v>
      </c>
      <c r="W108" t="inlineStr">
        <is>
          <t>Tuesday</t>
        </is>
      </c>
      <c r="X108" t="n">
        <v>1</v>
      </c>
      <c r="Y108" t="n">
        <v>1</v>
      </c>
      <c r="Z108" s="657" t="n">
        <v>320</v>
      </c>
      <c r="AA108" s="657" t="n">
        <v>320</v>
      </c>
      <c r="AB108" t="n">
        <v>320.000046175</v>
      </c>
    </row>
    <row r="109">
      <c r="V109" s="663" t="n">
        <v>46176</v>
      </c>
      <c r="W109" t="inlineStr">
        <is>
          <t>Wednesday</t>
        </is>
      </c>
      <c r="X109" t="n">
        <v>2</v>
      </c>
      <c r="Y109" t="n">
        <v>2</v>
      </c>
      <c r="Z109" s="657" t="n">
        <v>296.66</v>
      </c>
      <c r="AA109" s="657" t="n">
        <v>148.33</v>
      </c>
      <c r="AB109" t="n">
        <v>296.660046176</v>
      </c>
    </row>
    <row r="110">
      <c r="V110" s="663" t="n">
        <v>46177</v>
      </c>
      <c r="W110" t="inlineStr">
        <is>
          <t>Thursday</t>
        </is>
      </c>
      <c r="X110" t="n">
        <v>1</v>
      </c>
      <c r="Y110" t="n">
        <v>1</v>
      </c>
      <c r="Z110" s="657" t="n">
        <v>140</v>
      </c>
      <c r="AA110" s="657" t="n">
        <v>140</v>
      </c>
      <c r="AB110" t="n">
        <v>140.000046177</v>
      </c>
    </row>
    <row r="111">
      <c r="V111" s="663" t="n">
        <v>46178</v>
      </c>
      <c r="W111" t="inlineStr">
        <is>
          <t>Friday</t>
        </is>
      </c>
      <c r="X111" t="n">
        <v>3</v>
      </c>
      <c r="Y111" t="n">
        <v>3</v>
      </c>
      <c r="Z111" s="657" t="n">
        <v>145</v>
      </c>
      <c r="AA111" s="657" t="n">
        <v>48.33333333333334</v>
      </c>
      <c r="AB111" t="n">
        <v>145.000046178</v>
      </c>
    </row>
    <row r="112">
      <c r="V112" s="663" t="n">
        <v>46181</v>
      </c>
      <c r="W112" t="inlineStr">
        <is>
          <t>Monday</t>
        </is>
      </c>
      <c r="X112" t="n">
        <v>1</v>
      </c>
      <c r="Y112" t="n">
        <v>1</v>
      </c>
      <c r="Z112" s="657" t="n">
        <v>70</v>
      </c>
      <c r="AA112" s="657" t="n">
        <v>70</v>
      </c>
      <c r="AB112" t="n">
        <v>70.000046181</v>
      </c>
    </row>
    <row r="113">
      <c r="V113" s="663" t="n">
        <v>46182</v>
      </c>
      <c r="W113" t="inlineStr">
        <is>
          <t>Tuesday</t>
        </is>
      </c>
      <c r="X113" t="n">
        <v>2</v>
      </c>
      <c r="Y113" t="n">
        <v>2</v>
      </c>
      <c r="Z113" s="657" t="n">
        <v>155</v>
      </c>
      <c r="AA113" s="657" t="n">
        <v>77.5</v>
      </c>
      <c r="AB113" t="n">
        <v>155.000046182</v>
      </c>
    </row>
    <row r="114">
      <c r="V114" s="663" t="n">
        <v>46183</v>
      </c>
      <c r="W114" t="inlineStr">
        <is>
          <t>Wednesday</t>
        </is>
      </c>
      <c r="X114" t="n">
        <v>3</v>
      </c>
      <c r="Y114" t="n">
        <v>3</v>
      </c>
      <c r="Z114" s="657" t="n">
        <v>390</v>
      </c>
      <c r="AA114" s="657" t="n">
        <v>130</v>
      </c>
      <c r="AB114" t="n">
        <v>390.000046183</v>
      </c>
    </row>
    <row r="115">
      <c r="V115" s="663" t="n">
        <v>46184</v>
      </c>
      <c r="W115" t="inlineStr">
        <is>
          <t>Thursday</t>
        </is>
      </c>
      <c r="X115" t="n">
        <v>2</v>
      </c>
      <c r="Y115" t="n">
        <v>2</v>
      </c>
      <c r="Z115" s="657" t="n">
        <v>95</v>
      </c>
      <c r="AA115" s="657" t="n">
        <v>47.5</v>
      </c>
      <c r="AB115" t="n">
        <v>95.000046184</v>
      </c>
    </row>
    <row r="116">
      <c r="V116" s="663" t="n">
        <v>46185</v>
      </c>
      <c r="W116" t="inlineStr">
        <is>
          <t>Friday</t>
        </is>
      </c>
      <c r="X116" t="n">
        <v>1</v>
      </c>
      <c r="Y116" t="n">
        <v>1</v>
      </c>
      <c r="Z116" s="657" t="n">
        <v>50</v>
      </c>
      <c r="AA116" s="657" t="n">
        <v>50</v>
      </c>
      <c r="AB116" t="n">
        <v>50.000046185</v>
      </c>
    </row>
    <row r="117">
      <c r="V117" s="663" t="n">
        <v>46188</v>
      </c>
      <c r="W117" t="inlineStr">
        <is>
          <t>Monday</t>
        </is>
      </c>
      <c r="X117" t="n">
        <v>1</v>
      </c>
      <c r="Y117" t="n">
        <v>1</v>
      </c>
      <c r="Z117" s="657" t="n">
        <v>123.75</v>
      </c>
      <c r="AA117" s="657" t="n">
        <v>123.75</v>
      </c>
      <c r="AB117" t="n">
        <v>123.750046188</v>
      </c>
    </row>
    <row r="118">
      <c r="V118" s="663" t="n">
        <v>46190</v>
      </c>
      <c r="W118" t="inlineStr">
        <is>
          <t>Wednesday</t>
        </is>
      </c>
      <c r="X118" t="n">
        <v>2</v>
      </c>
      <c r="Y118" t="n">
        <v>2</v>
      </c>
      <c r="Z118" s="657" t="n">
        <v>218</v>
      </c>
      <c r="AA118" s="657" t="n">
        <v>109</v>
      </c>
      <c r="AB118" t="n">
        <v>218.00004619</v>
      </c>
    </row>
    <row r="119">
      <c r="V119" s="663" t="n">
        <v>46191</v>
      </c>
      <c r="W119" t="inlineStr">
        <is>
          <t>Thursday</t>
        </is>
      </c>
      <c r="X119" t="n">
        <v>2</v>
      </c>
      <c r="Y119" t="n">
        <v>2</v>
      </c>
      <c r="Z119" s="657" t="n">
        <v>200</v>
      </c>
      <c r="AA119" s="657" t="n">
        <v>100</v>
      </c>
      <c r="AB119" t="n">
        <v>200.000046191</v>
      </c>
    </row>
    <row r="120">
      <c r="V120" s="663" t="n">
        <v>46192</v>
      </c>
      <c r="W120" t="inlineStr">
        <is>
          <t>Friday</t>
        </is>
      </c>
      <c r="X120" t="n">
        <v>2</v>
      </c>
      <c r="Y120" t="n">
        <v>2</v>
      </c>
      <c r="Z120" s="657" t="n">
        <v>140</v>
      </c>
      <c r="AA120" s="657" t="n">
        <v>70</v>
      </c>
      <c r="AB120" t="n">
        <v>140.000046192</v>
      </c>
    </row>
    <row r="121">
      <c r="V121" s="663" t="n">
        <v>46195</v>
      </c>
      <c r="W121" t="inlineStr">
        <is>
          <t>Monday</t>
        </is>
      </c>
      <c r="X121" t="n">
        <v>1</v>
      </c>
      <c r="Y121" t="n">
        <v>1</v>
      </c>
      <c r="Z121" s="657" t="n">
        <v>60</v>
      </c>
      <c r="AA121" s="657" t="n">
        <v>60</v>
      </c>
      <c r="AB121" t="n">
        <v>60.000046195</v>
      </c>
    </row>
    <row r="122">
      <c r="V122" s="663" t="n">
        <v>46196</v>
      </c>
      <c r="W122" t="inlineStr">
        <is>
          <t>Tuesday</t>
        </is>
      </c>
      <c r="X122" t="n">
        <v>1</v>
      </c>
      <c r="Y122" t="n">
        <v>1</v>
      </c>
      <c r="Z122" s="657" t="n">
        <v>116.24</v>
      </c>
      <c r="AA122" s="657" t="n">
        <v>116.24</v>
      </c>
      <c r="AB122" t="n">
        <v>116.240046196</v>
      </c>
    </row>
    <row r="123">
      <c r="V123" s="663" t="n">
        <v>46197</v>
      </c>
      <c r="W123" t="inlineStr">
        <is>
          <t>Wednesday</t>
        </is>
      </c>
      <c r="X123" t="n">
        <v>1</v>
      </c>
      <c r="Y123" t="n">
        <v>1</v>
      </c>
      <c r="Z123" s="657" t="n">
        <v>132.03</v>
      </c>
      <c r="AA123" s="657" t="n">
        <v>132.03</v>
      </c>
      <c r="AB123" t="n">
        <v>132.030046197</v>
      </c>
    </row>
    <row r="124">
      <c r="V124" s="663" t="n">
        <v>46203</v>
      </c>
      <c r="W124" t="inlineStr">
        <is>
          <t>Tuesday</t>
        </is>
      </c>
      <c r="X124" t="n">
        <v>1</v>
      </c>
      <c r="Y124" t="n">
        <v>1</v>
      </c>
      <c r="Z124" s="657" t="n">
        <v>120</v>
      </c>
      <c r="AA124" s="657" t="n">
        <v>120</v>
      </c>
      <c r="AB124" t="n">
        <v>120.000046203</v>
      </c>
    </row>
    <row r="125">
      <c r="V125" s="663" t="n">
        <v>46204</v>
      </c>
      <c r="W125" t="inlineStr">
        <is>
          <t>Wednesday</t>
        </is>
      </c>
      <c r="X125" t="n">
        <v>1</v>
      </c>
      <c r="Y125" t="n">
        <v>1</v>
      </c>
      <c r="Z125" s="657" t="n">
        <v>120</v>
      </c>
      <c r="AA125" s="657" t="n">
        <v>120</v>
      </c>
      <c r="AB125" t="n">
        <v>120.000046204</v>
      </c>
    </row>
    <row r="126">
      <c r="V126" s="663" t="n">
        <v>46205</v>
      </c>
      <c r="W126" t="inlineStr">
        <is>
          <t>Thursday</t>
        </is>
      </c>
      <c r="X126" t="n">
        <v>1</v>
      </c>
      <c r="Y126" t="n">
        <v>1</v>
      </c>
      <c r="Z126" s="657" t="n">
        <v>170.66</v>
      </c>
      <c r="AA126" s="657" t="n">
        <v>170.66</v>
      </c>
      <c r="AB126" t="n">
        <v>170.660046205</v>
      </c>
    </row>
    <row r="127">
      <c r="V127" s="663" t="n">
        <v>46209</v>
      </c>
      <c r="W127" t="inlineStr">
        <is>
          <t>Monday</t>
        </is>
      </c>
      <c r="X127" t="n">
        <v>2</v>
      </c>
      <c r="Y127" t="n">
        <v>2</v>
      </c>
      <c r="Z127" s="657" t="n">
        <v>269.24</v>
      </c>
      <c r="AA127" s="657" t="n">
        <v>134.62</v>
      </c>
      <c r="AB127" t="n">
        <v>269.240046209</v>
      </c>
    </row>
    <row r="128">
      <c r="V128" s="663" t="n">
        <v>46210</v>
      </c>
      <c r="W128" t="inlineStr">
        <is>
          <t>Tuesday</t>
        </is>
      </c>
      <c r="X128" t="n">
        <v>1</v>
      </c>
      <c r="Y128" t="n">
        <v>1</v>
      </c>
      <c r="Z128" s="657" t="n">
        <v>250</v>
      </c>
      <c r="AA128" s="657" t="n">
        <v>250</v>
      </c>
      <c r="AB128" t="n">
        <v>250.00004621</v>
      </c>
    </row>
    <row r="129">
      <c r="V129" s="663" t="n">
        <v>46211</v>
      </c>
      <c r="W129" t="inlineStr">
        <is>
          <t>Wednesday</t>
        </is>
      </c>
      <c r="X129" t="n">
        <v>1</v>
      </c>
      <c r="Y129" t="n">
        <v>0</v>
      </c>
      <c r="Z129" t="n">
        <v>0</v>
      </c>
      <c r="AA129" t="n">
        <v>0</v>
      </c>
      <c r="AB129" t="n">
        <v>4.6211e-05</v>
      </c>
    </row>
    <row r="130">
      <c r="V130" s="663" t="n">
        <v>46212</v>
      </c>
      <c r="W130" t="inlineStr">
        <is>
          <t>Thursday</t>
        </is>
      </c>
      <c r="X130" t="n">
        <v>2</v>
      </c>
      <c r="Y130" t="n">
        <v>2</v>
      </c>
      <c r="Z130" t="n">
        <v>295.82</v>
      </c>
      <c r="AA130" t="n">
        <v>147.91</v>
      </c>
      <c r="AB130" t="n">
        <v>295.820046212</v>
      </c>
    </row>
    <row r="131">
      <c r="V131" s="680" t="n">
        <v>46216</v>
      </c>
      <c r="W131" s="238" t="inlineStr">
        <is>
          <t>Monday</t>
        </is>
      </c>
      <c r="X131" s="238" t="n">
        <v>3</v>
      </c>
      <c r="Y131" s="238" t="n">
        <v>0</v>
      </c>
      <c r="Z131" s="238" t="n">
        <v>0</v>
      </c>
      <c r="AA131" s="238" t="n">
        <v>0</v>
      </c>
      <c r="AB131" s="238" t="n">
        <v>4.6216e-05</v>
      </c>
      <c r="AC131" s="238" t="n"/>
      <c r="AD131" s="238" t="n"/>
    </row>
    <row r="132">
      <c r="V132" s="663" t="n">
        <v>46217</v>
      </c>
      <c r="W132" s="663" t="inlineStr">
        <is>
          <t>Tuesday</t>
        </is>
      </c>
      <c r="X132" t="n">
        <v>2</v>
      </c>
      <c r="Y132" t="n">
        <v>1</v>
      </c>
      <c r="Z132" t="n">
        <v>183.74</v>
      </c>
      <c r="AA132" s="657" t="n">
        <v>183.74</v>
      </c>
      <c r="AB132" t="n">
        <v>183.740046217</v>
      </c>
    </row>
    <row r="133">
      <c r="W133" s="663" t="n"/>
      <c r="AA133" s="657" t="n"/>
    </row>
    <row r="134">
      <c r="V134" t="inlineStr">
        <is>
          <t>Event #</t>
        </is>
      </c>
      <c r="W134" s="663" t="inlineStr">
        <is>
          <t>Date</t>
        </is>
      </c>
      <c r="X134" t="inlineStr">
        <is>
          <t>Client</t>
        </is>
      </c>
      <c r="Y134" t="inlineStr">
        <is>
          <t>City</t>
        </is>
      </c>
      <c r="Z134" t="inlineStr">
        <is>
          <t>Jurisdiction</t>
        </is>
      </c>
      <c r="AA134" s="657" t="inlineStr">
        <is>
          <t>Revenue</t>
        </is>
      </c>
      <c r="AB134" t="inlineStr">
        <is>
          <t>Eligibility</t>
        </is>
      </c>
      <c r="AC134" t="inlineStr">
        <is>
          <t>Work Orders</t>
        </is>
      </c>
      <c r="AD134" t="inlineStr">
        <is>
          <t>Rank Key</t>
        </is>
      </c>
    </row>
    <row r="135">
      <c r="V135" t="n">
        <v>1</v>
      </c>
      <c r="W135" s="663" t="n">
        <v>46132</v>
      </c>
      <c r="X135" t="inlineStr">
        <is>
          <t>Macy's</t>
        </is>
      </c>
      <c r="Y135" t="inlineStr">
        <is>
          <t>Fairfax</t>
        </is>
      </c>
      <c r="Z135" t="inlineStr">
        <is>
          <t>VA</t>
        </is>
      </c>
      <c r="AA135" s="657" t="n">
        <v>90</v>
      </c>
      <c r="AB135" t="inlineStr">
        <is>
          <t>Eligible</t>
        </is>
      </c>
      <c r="AC135" t="inlineStr">
        <is>
          <t>5847113</t>
        </is>
      </c>
      <c r="AD135" t="n">
        <v>90.000001</v>
      </c>
    </row>
    <row r="136">
      <c r="V136" t="n">
        <v>2</v>
      </c>
      <c r="W136" s="663" t="n">
        <v>46133</v>
      </c>
      <c r="X136" t="inlineStr">
        <is>
          <t>Bloomingdale's</t>
        </is>
      </c>
      <c r="Y136" t="inlineStr">
        <is>
          <t>Tysons</t>
        </is>
      </c>
      <c r="Z136" t="inlineStr">
        <is>
          <t>VA</t>
        </is>
      </c>
      <c r="AA136" s="657" t="n">
        <v>344</v>
      </c>
      <c r="AB136" t="inlineStr">
        <is>
          <t>Eligible</t>
        </is>
      </c>
      <c r="AC136" t="inlineStr">
        <is>
          <t>5860365</t>
        </is>
      </c>
      <c r="AD136" t="n">
        <v>344.000002</v>
      </c>
    </row>
    <row r="137">
      <c r="V137" t="n">
        <v>3</v>
      </c>
      <c r="W137" s="663" t="n">
        <v>46134</v>
      </c>
      <c r="X137" t="inlineStr">
        <is>
          <t>Bloomingdale's</t>
        </is>
      </c>
      <c r="Y137" t="inlineStr">
        <is>
          <t>Tysons</t>
        </is>
      </c>
      <c r="Z137" t="inlineStr">
        <is>
          <t>VA</t>
        </is>
      </c>
      <c r="AA137" s="657" t="n">
        <v>344</v>
      </c>
      <c r="AB137" t="inlineStr">
        <is>
          <t>Eligible</t>
        </is>
      </c>
      <c r="AC137" t="inlineStr">
        <is>
          <t>5860393</t>
        </is>
      </c>
      <c r="AD137" t="n">
        <v>344.000003</v>
      </c>
    </row>
    <row r="138">
      <c r="V138" t="n">
        <v>4</v>
      </c>
      <c r="W138" s="663" t="n">
        <v>46135</v>
      </c>
      <c r="X138" t="inlineStr">
        <is>
          <t>Macy's</t>
        </is>
      </c>
      <c r="Y138" t="inlineStr">
        <is>
          <t>Frederick</t>
        </is>
      </c>
      <c r="Z138" t="inlineStr">
        <is>
          <t>MD</t>
        </is>
      </c>
      <c r="AA138" s="657" t="n">
        <v>180</v>
      </c>
      <c r="AB138" t="inlineStr">
        <is>
          <t>Eligible</t>
        </is>
      </c>
      <c r="AC138" t="inlineStr">
        <is>
          <t>5874484</t>
        </is>
      </c>
      <c r="AD138" t="n">
        <v>180.000004</v>
      </c>
    </row>
    <row r="139">
      <c r="V139" t="n">
        <v>5</v>
      </c>
      <c r="W139" s="663" t="n">
        <v>46136</v>
      </c>
      <c r="X139" t="inlineStr">
        <is>
          <t>Hampton Inn &amp; Suites</t>
        </is>
      </c>
      <c r="Y139" t="inlineStr">
        <is>
          <t>Washington</t>
        </is>
      </c>
      <c r="Z139" t="inlineStr">
        <is>
          <t>DC</t>
        </is>
      </c>
      <c r="AA139" s="657" t="n">
        <v>50</v>
      </c>
      <c r="AB139" t="inlineStr">
        <is>
          <t>Eligible</t>
        </is>
      </c>
      <c r="AC139" t="inlineStr">
        <is>
          <t>5876589</t>
        </is>
      </c>
      <c r="AD139" t="n">
        <v>50.000005</v>
      </c>
    </row>
    <row r="140">
      <c r="V140" t="n">
        <v>6</v>
      </c>
      <c r="W140" s="663" t="n">
        <v>46139</v>
      </c>
      <c r="X140" t="inlineStr">
        <is>
          <t>Macy's</t>
        </is>
      </c>
      <c r="Y140" t="inlineStr">
        <is>
          <t>Frederick</t>
        </is>
      </c>
      <c r="Z140" t="inlineStr">
        <is>
          <t>MD</t>
        </is>
      </c>
      <c r="AA140" s="657" t="n">
        <v>180</v>
      </c>
      <c r="AB140" t="inlineStr">
        <is>
          <t>Eligible</t>
        </is>
      </c>
      <c r="AC140" t="inlineStr">
        <is>
          <t>5874982</t>
        </is>
      </c>
      <c r="AD140" t="n">
        <v>180.000006</v>
      </c>
    </row>
    <row r="141">
      <c r="V141" t="n">
        <v>7</v>
      </c>
      <c r="W141" s="663" t="n">
        <v>46141</v>
      </c>
      <c r="X141" t="inlineStr">
        <is>
          <t>Davis Polk &amp; Wardwell</t>
        </is>
      </c>
      <c r="Y141" t="inlineStr">
        <is>
          <t>Washington</t>
        </is>
      </c>
      <c r="Z141" t="inlineStr">
        <is>
          <t>DC</t>
        </is>
      </c>
      <c r="AA141" s="657" t="n">
        <v>50</v>
      </c>
      <c r="AB141" t="inlineStr">
        <is>
          <t>Eligible</t>
        </is>
      </c>
      <c r="AC141" t="inlineStr">
        <is>
          <t>5876638</t>
        </is>
      </c>
      <c r="AD141" t="n">
        <v>50.000007</v>
      </c>
    </row>
    <row r="142">
      <c r="V142" t="n">
        <v>8</v>
      </c>
      <c r="W142" s="663" t="n">
        <v>46141</v>
      </c>
      <c r="X142" t="inlineStr">
        <is>
          <t>Hebrew Home of Greater Washington</t>
        </is>
      </c>
      <c r="Y142" t="inlineStr">
        <is>
          <t>North Bethesda</t>
        </is>
      </c>
      <c r="Z142" t="inlineStr">
        <is>
          <t>MD</t>
        </is>
      </c>
      <c r="AA142" s="657" t="n">
        <v>45</v>
      </c>
      <c r="AB142" t="inlineStr">
        <is>
          <t>Eligible</t>
        </is>
      </c>
      <c r="AC142" t="inlineStr">
        <is>
          <t>5878985</t>
        </is>
      </c>
      <c r="AD142" t="n">
        <v>45.000008</v>
      </c>
    </row>
    <row r="143">
      <c r="V143" t="n">
        <v>9</v>
      </c>
      <c r="W143" s="663" t="n">
        <v>46142</v>
      </c>
      <c r="X143" t="inlineStr">
        <is>
          <t>7-Eleven</t>
        </is>
      </c>
      <c r="Y143" t="inlineStr">
        <is>
          <t>Baltimore</t>
        </is>
      </c>
      <c r="Z143" t="inlineStr">
        <is>
          <t>MD</t>
        </is>
      </c>
      <c r="AA143" s="657" t="n"/>
      <c r="AB143" t="inlineStr">
        <is>
          <t>Excluded</t>
        </is>
      </c>
      <c r="AC143" t="inlineStr">
        <is>
          <t>UNRESOLVED-E009</t>
        </is>
      </c>
      <c r="AD143" t="n">
        <v>9e-06</v>
      </c>
    </row>
    <row r="144">
      <c r="V144" t="n">
        <v>10</v>
      </c>
      <c r="W144" s="663" t="n">
        <v>46147</v>
      </c>
      <c r="X144" t="inlineStr">
        <is>
          <t>Giant Food Stores</t>
        </is>
      </c>
      <c r="Y144" t="inlineStr">
        <is>
          <t>Hanover</t>
        </is>
      </c>
      <c r="Z144" t="inlineStr">
        <is>
          <t>PA</t>
        </is>
      </c>
      <c r="AA144" s="657" t="n">
        <v>212.5</v>
      </c>
      <c r="AB144" t="inlineStr">
        <is>
          <t>Eligible</t>
        </is>
      </c>
      <c r="AC144" t="inlineStr">
        <is>
          <t>5882097</t>
        </is>
      </c>
      <c r="AD144" t="n">
        <v>212.50001</v>
      </c>
    </row>
    <row r="145">
      <c r="V145" t="n">
        <v>11</v>
      </c>
      <c r="W145" s="663" t="n">
        <v>46153</v>
      </c>
      <c r="X145" t="inlineStr">
        <is>
          <t>Food Lion</t>
        </is>
      </c>
      <c r="Y145" t="inlineStr">
        <is>
          <t>Leesburg</t>
        </is>
      </c>
      <c r="Z145" t="inlineStr">
        <is>
          <t>VA</t>
        </is>
      </c>
      <c r="AA145" s="657" t="n">
        <v>157.5</v>
      </c>
      <c r="AB145" t="inlineStr">
        <is>
          <t>Eligible</t>
        </is>
      </c>
      <c r="AC145" t="inlineStr">
        <is>
          <t>5884987</t>
        </is>
      </c>
      <c r="AD145" t="n">
        <v>157.500011</v>
      </c>
    </row>
    <row r="146">
      <c r="V146" t="n">
        <v>12</v>
      </c>
      <c r="W146" s="663" t="n">
        <v>46154</v>
      </c>
      <c r="X146" t="inlineStr">
        <is>
          <t>Weis Markets</t>
        </is>
      </c>
      <c r="Y146" t="inlineStr">
        <is>
          <t>Chambersburg</t>
        </is>
      </c>
      <c r="Z146" t="inlineStr">
        <is>
          <t>PA</t>
        </is>
      </c>
      <c r="AA146" s="657" t="n">
        <v>85</v>
      </c>
      <c r="AB146" t="inlineStr">
        <is>
          <t>Eligible</t>
        </is>
      </c>
      <c r="AC146" t="inlineStr">
        <is>
          <t>5884369</t>
        </is>
      </c>
      <c r="AD146" t="n">
        <v>85.000012</v>
      </c>
    </row>
    <row r="147">
      <c r="V147" t="n">
        <v>13</v>
      </c>
      <c r="W147" s="663" t="n">
        <v>46155</v>
      </c>
      <c r="X147" t="inlineStr">
        <is>
          <t>Office of MD Senator Chris Van Hollen</t>
        </is>
      </c>
      <c r="Y147" t="inlineStr">
        <is>
          <t>Rockville</t>
        </is>
      </c>
      <c r="Z147" t="inlineStr">
        <is>
          <t>MD</t>
        </is>
      </c>
      <c r="AA147" s="657" t="n">
        <v>50</v>
      </c>
      <c r="AB147" t="inlineStr">
        <is>
          <t>Eligible</t>
        </is>
      </c>
      <c r="AC147" t="inlineStr">
        <is>
          <t>5885429</t>
        </is>
      </c>
      <c r="AD147" t="n">
        <v>50.000013</v>
      </c>
    </row>
    <row r="148">
      <c r="V148" t="n">
        <v>14</v>
      </c>
      <c r="W148" s="663" t="n">
        <v>46155</v>
      </c>
      <c r="X148" t="inlineStr">
        <is>
          <t>Residential – Annapolis Neck, MD</t>
        </is>
      </c>
      <c r="Y148" t="inlineStr">
        <is>
          <t>Annapolis Neck</t>
        </is>
      </c>
      <c r="Z148" t="inlineStr">
        <is>
          <t>MD</t>
        </is>
      </c>
      <c r="AA148" s="657" t="n"/>
      <c r="AB148" t="inlineStr">
        <is>
          <t>Excluded</t>
        </is>
      </c>
      <c r="AC148" t="inlineStr">
        <is>
          <t>UNRESOLVED-E014</t>
        </is>
      </c>
      <c r="AD148" t="n">
        <v>1.4e-05</v>
      </c>
    </row>
    <row r="149">
      <c r="V149" t="n">
        <v>15</v>
      </c>
      <c r="W149" s="663" t="n">
        <v>46156</v>
      </c>
      <c r="X149" t="inlineStr">
        <is>
          <t>Verizon</t>
        </is>
      </c>
      <c r="Y149" t="inlineStr">
        <is>
          <t>College Park</t>
        </is>
      </c>
      <c r="Z149" t="inlineStr">
        <is>
          <t>MD</t>
        </is>
      </c>
      <c r="AA149" s="657" t="n">
        <v>75</v>
      </c>
      <c r="AB149" t="inlineStr">
        <is>
          <t>Eligible</t>
        </is>
      </c>
      <c r="AC149" t="inlineStr">
        <is>
          <t>5886658</t>
        </is>
      </c>
      <c r="AD149" t="n">
        <v>75.000015</v>
      </c>
    </row>
    <row r="150">
      <c r="V150" t="n">
        <v>16</v>
      </c>
      <c r="W150" s="663" t="n">
        <v>46157</v>
      </c>
      <c r="X150" t="inlineStr">
        <is>
          <t>Atrium Village</t>
        </is>
      </c>
      <c r="Y150" t="inlineStr">
        <is>
          <t>Owings Mills</t>
        </is>
      </c>
      <c r="Z150" t="inlineStr">
        <is>
          <t>MD</t>
        </is>
      </c>
      <c r="AA150" s="657" t="n">
        <v>45</v>
      </c>
      <c r="AB150" t="inlineStr">
        <is>
          <t>Eligible</t>
        </is>
      </c>
      <c r="AC150" t="inlineStr">
        <is>
          <t>5887090</t>
        </is>
      </c>
      <c r="AD150" t="n">
        <v>45.000016</v>
      </c>
    </row>
    <row r="151">
      <c r="V151" t="n">
        <v>17</v>
      </c>
      <c r="W151" s="663" t="n">
        <v>46161</v>
      </c>
      <c r="X151" t="inlineStr">
        <is>
          <t>Maryland Baptist Age Home</t>
        </is>
      </c>
      <c r="Y151" t="inlineStr">
        <is>
          <t>Baltimore</t>
        </is>
      </c>
      <c r="Z151" t="inlineStr">
        <is>
          <t>MD</t>
        </is>
      </c>
      <c r="AA151" s="657" t="n">
        <v>50</v>
      </c>
      <c r="AB151" t="inlineStr">
        <is>
          <t>Eligible</t>
        </is>
      </c>
      <c r="AC151" t="inlineStr">
        <is>
          <t>5887094</t>
        </is>
      </c>
      <c r="AD151" t="n">
        <v>50.000017</v>
      </c>
    </row>
    <row r="152">
      <c r="V152" t="n">
        <v>18</v>
      </c>
      <c r="W152" s="663" t="n">
        <v>46162</v>
      </c>
      <c r="X152" t="inlineStr">
        <is>
          <t>Under Armour</t>
        </is>
      </c>
      <c r="Y152" t="inlineStr">
        <is>
          <t>Hanover</t>
        </is>
      </c>
      <c r="Z152" t="inlineStr">
        <is>
          <t>MD</t>
        </is>
      </c>
      <c r="AA152" s="657" t="n">
        <v>106.67</v>
      </c>
      <c r="AB152" t="inlineStr">
        <is>
          <t>Eligible</t>
        </is>
      </c>
      <c r="AC152" t="inlineStr">
        <is>
          <t>5889356</t>
        </is>
      </c>
      <c r="AD152" t="n">
        <v>106.670018</v>
      </c>
    </row>
    <row r="153">
      <c r="V153" t="n">
        <v>19</v>
      </c>
      <c r="W153" s="663" t="n">
        <v>46163</v>
      </c>
      <c r="X153" t="inlineStr">
        <is>
          <t>Under Armour</t>
        </is>
      </c>
      <c r="Y153" t="inlineStr">
        <is>
          <t>Hanover</t>
        </is>
      </c>
      <c r="Z153" t="inlineStr">
        <is>
          <t>MD</t>
        </is>
      </c>
      <c r="AA153" s="657" t="n">
        <v>153.33</v>
      </c>
      <c r="AB153" t="inlineStr">
        <is>
          <t>Eligible</t>
        </is>
      </c>
      <c r="AC153" t="inlineStr">
        <is>
          <t>5889356-D2</t>
        </is>
      </c>
      <c r="AD153" t="n">
        <v>153.330019</v>
      </c>
    </row>
    <row r="154">
      <c r="V154" t="n">
        <v>20</v>
      </c>
      <c r="W154" s="663" t="n">
        <v>46163</v>
      </c>
      <c r="X154" t="inlineStr">
        <is>
          <t>Giant Food Stores</t>
        </is>
      </c>
      <c r="Y154" t="inlineStr">
        <is>
          <t>Red Lion</t>
        </is>
      </c>
      <c r="Z154" t="inlineStr">
        <is>
          <t>PA</t>
        </is>
      </c>
      <c r="AA154" s="657" t="n">
        <v>112.5</v>
      </c>
      <c r="AB154" t="inlineStr">
        <is>
          <t>Eligible</t>
        </is>
      </c>
      <c r="AC154" t="inlineStr">
        <is>
          <t>5890220</t>
        </is>
      </c>
      <c r="AD154" t="n">
        <v>112.50002</v>
      </c>
    </row>
    <row r="155">
      <c r="V155" t="n">
        <v>21</v>
      </c>
      <c r="W155" s="663" t="n">
        <v>46168</v>
      </c>
      <c r="X155" t="inlineStr">
        <is>
          <t>Food Lion</t>
        </is>
      </c>
      <c r="Y155" t="inlineStr">
        <is>
          <t>Middle River</t>
        </is>
      </c>
      <c r="Z155" t="inlineStr">
        <is>
          <t>MD</t>
        </is>
      </c>
      <c r="AA155" s="657" t="n">
        <v>97.91</v>
      </c>
      <c r="AB155" t="inlineStr">
        <is>
          <t>Eligible</t>
        </is>
      </c>
      <c r="AC155" t="inlineStr">
        <is>
          <t>5892123</t>
        </is>
      </c>
      <c r="AD155" t="n">
        <v>97.910021</v>
      </c>
    </row>
    <row r="156">
      <c r="V156" t="n">
        <v>22</v>
      </c>
      <c r="W156" s="663" t="n">
        <v>46168</v>
      </c>
      <c r="X156" t="inlineStr">
        <is>
          <t>HomeGoods</t>
        </is>
      </c>
      <c r="Y156" t="inlineStr">
        <is>
          <t>Gaithersburg</t>
        </is>
      </c>
      <c r="Z156" t="inlineStr">
        <is>
          <t>MD</t>
        </is>
      </c>
      <c r="AA156" s="657" t="n">
        <v>50</v>
      </c>
      <c r="AB156" t="inlineStr">
        <is>
          <t>Eligible</t>
        </is>
      </c>
      <c r="AC156" t="inlineStr">
        <is>
          <t>5889718</t>
        </is>
      </c>
      <c r="AD156" t="n">
        <v>50.000022</v>
      </c>
    </row>
    <row r="157">
      <c r="V157" t="n">
        <v>23</v>
      </c>
      <c r="W157" s="663" t="n">
        <v>46169</v>
      </c>
      <c r="X157" t="inlineStr">
        <is>
          <t>Joint Base Andrews</t>
        </is>
      </c>
      <c r="Y157" t="inlineStr">
        <is>
          <t>Andrews AFB</t>
        </is>
      </c>
      <c r="Z157" t="inlineStr">
        <is>
          <t>MD</t>
        </is>
      </c>
      <c r="AA157" s="657" t="n"/>
      <c r="AB157" t="inlineStr">
        <is>
          <t>Excluded</t>
        </is>
      </c>
      <c r="AC157" t="inlineStr">
        <is>
          <t>UNRESOLVED-E023</t>
        </is>
      </c>
      <c r="AD157" t="n">
        <v>2.3e-05</v>
      </c>
    </row>
    <row r="158">
      <c r="V158" t="n">
        <v>24</v>
      </c>
      <c r="W158" s="663" t="n">
        <v>46169</v>
      </c>
      <c r="X158" t="inlineStr">
        <is>
          <t>USDA</t>
        </is>
      </c>
      <c r="Y158" t="inlineStr">
        <is>
          <t>Washington</t>
        </is>
      </c>
      <c r="Z158" t="inlineStr">
        <is>
          <t>DC</t>
        </is>
      </c>
      <c r="AA158" s="657" t="n">
        <v>200</v>
      </c>
      <c r="AB158" t="inlineStr">
        <is>
          <t>Eligible</t>
        </is>
      </c>
      <c r="AC158" t="inlineStr">
        <is>
          <t>USDA-SPECIAL-E024</t>
        </is>
      </c>
      <c r="AD158" t="n">
        <v>200.000024</v>
      </c>
    </row>
    <row r="159">
      <c r="V159" t="n">
        <v>25</v>
      </c>
      <c r="W159" s="663" t="n">
        <v>46170</v>
      </c>
      <c r="X159" t="inlineStr">
        <is>
          <t>PepsiCo</t>
        </is>
      </c>
      <c r="Y159" t="inlineStr">
        <is>
          <t>Cheverly</t>
        </is>
      </c>
      <c r="Z159" t="inlineStr">
        <is>
          <t>MD</t>
        </is>
      </c>
      <c r="AA159" s="657" t="n"/>
      <c r="AB159" t="inlineStr">
        <is>
          <t>Excluded</t>
        </is>
      </c>
      <c r="AC159" t="inlineStr">
        <is>
          <t>UNRESOLVED-E025</t>
        </is>
      </c>
      <c r="AD159" t="n">
        <v>2.5e-05</v>
      </c>
    </row>
    <row r="160">
      <c r="V160" t="n">
        <v>26</v>
      </c>
      <c r="W160" s="663" t="n">
        <v>46170</v>
      </c>
      <c r="X160" t="inlineStr">
        <is>
          <t>USDA</t>
        </is>
      </c>
      <c r="Y160" t="inlineStr">
        <is>
          <t>Washington</t>
        </is>
      </c>
      <c r="Z160" t="inlineStr">
        <is>
          <t>DC</t>
        </is>
      </c>
      <c r="AA160" s="657" t="n">
        <v>175</v>
      </c>
      <c r="AB160" t="inlineStr">
        <is>
          <t>Eligible</t>
        </is>
      </c>
      <c r="AC160" t="inlineStr">
        <is>
          <t>USDA-SPECIAL-E026</t>
        </is>
      </c>
      <c r="AD160" t="n">
        <v>175.000026</v>
      </c>
    </row>
    <row r="161">
      <c r="V161" t="n">
        <v>27</v>
      </c>
      <c r="W161" s="663" t="n">
        <v>46174</v>
      </c>
      <c r="X161" t="inlineStr">
        <is>
          <t>USDA</t>
        </is>
      </c>
      <c r="Y161" t="inlineStr">
        <is>
          <t>Washington</t>
        </is>
      </c>
      <c r="Z161" t="inlineStr">
        <is>
          <t>DC</t>
        </is>
      </c>
      <c r="AA161" s="657" t="n">
        <v>320</v>
      </c>
      <c r="AB161" t="inlineStr">
        <is>
          <t>Eligible</t>
        </is>
      </c>
      <c r="AC161" t="inlineStr">
        <is>
          <t>USDA-SPECIAL-E027</t>
        </is>
      </c>
      <c r="AD161" t="n">
        <v>320.000027</v>
      </c>
    </row>
    <row r="162">
      <c r="V162" t="n">
        <v>28</v>
      </c>
      <c r="W162" s="663" t="n">
        <v>46175</v>
      </c>
      <c r="X162" t="inlineStr">
        <is>
          <t>USDA</t>
        </is>
      </c>
      <c r="Y162" t="inlineStr">
        <is>
          <t>Washington</t>
        </is>
      </c>
      <c r="Z162" t="inlineStr">
        <is>
          <t>DC</t>
        </is>
      </c>
      <c r="AA162" s="657" t="n">
        <v>320</v>
      </c>
      <c r="AB162" t="inlineStr">
        <is>
          <t>Eligible</t>
        </is>
      </c>
      <c r="AC162" t="inlineStr">
        <is>
          <t>USDA-SPECIAL-E028</t>
        </is>
      </c>
      <c r="AD162" t="n">
        <v>320.000028</v>
      </c>
    </row>
    <row r="163">
      <c r="V163" t="n">
        <v>29</v>
      </c>
      <c r="W163" s="663" t="n">
        <v>46176</v>
      </c>
      <c r="X163" t="inlineStr">
        <is>
          <t>USDA</t>
        </is>
      </c>
      <c r="Y163" t="inlineStr">
        <is>
          <t>Washington</t>
        </is>
      </c>
      <c r="Z163" t="inlineStr">
        <is>
          <t>DC</t>
        </is>
      </c>
      <c r="AA163" s="657" t="n">
        <v>200</v>
      </c>
      <c r="AB163" t="inlineStr">
        <is>
          <t>Eligible</t>
        </is>
      </c>
      <c r="AC163" t="inlineStr">
        <is>
          <t>USDA-SPECIAL-E029</t>
        </is>
      </c>
      <c r="AD163" t="n">
        <v>200.000029</v>
      </c>
    </row>
    <row r="164">
      <c r="V164" t="n">
        <v>30</v>
      </c>
      <c r="W164" s="663" t="n">
        <v>46176</v>
      </c>
      <c r="X164" t="inlineStr">
        <is>
          <t>TJ Maxx</t>
        </is>
      </c>
      <c r="Y164" t="inlineStr">
        <is>
          <t>Rockville</t>
        </is>
      </c>
      <c r="Z164" t="inlineStr">
        <is>
          <t>MD</t>
        </is>
      </c>
      <c r="AA164" s="657" t="n">
        <v>96.66</v>
      </c>
      <c r="AB164" t="inlineStr">
        <is>
          <t>Eligible</t>
        </is>
      </c>
      <c r="AC164" t="inlineStr">
        <is>
          <t>5896733</t>
        </is>
      </c>
      <c r="AD164" t="n">
        <v>96.66003000000001</v>
      </c>
    </row>
    <row r="165">
      <c r="V165" t="n">
        <v>31</v>
      </c>
      <c r="W165" s="663" t="n">
        <v>46177</v>
      </c>
      <c r="X165" t="inlineStr">
        <is>
          <t>USDA</t>
        </is>
      </c>
      <c r="Y165" t="inlineStr">
        <is>
          <t>Washington</t>
        </is>
      </c>
      <c r="Z165" t="inlineStr">
        <is>
          <t>DC</t>
        </is>
      </c>
      <c r="AA165" s="657" t="n">
        <v>140</v>
      </c>
      <c r="AB165" t="inlineStr">
        <is>
          <t>Eligible</t>
        </is>
      </c>
      <c r="AC165" t="inlineStr">
        <is>
          <t>USDA-SPECIAL-E031</t>
        </is>
      </c>
      <c r="AD165" t="n">
        <v>140.000031</v>
      </c>
    </row>
    <row r="166">
      <c r="V166" t="n">
        <v>32</v>
      </c>
      <c r="W166" s="663" t="n">
        <v>46178</v>
      </c>
      <c r="X166" t="inlineStr">
        <is>
          <t>Hilton Garden Inn</t>
        </is>
      </c>
      <c r="Y166" t="inlineStr">
        <is>
          <t>Fairfax</t>
        </is>
      </c>
      <c r="Z166" t="inlineStr">
        <is>
          <t>VA</t>
        </is>
      </c>
      <c r="AA166" s="657" t="n">
        <v>25</v>
      </c>
      <c r="AB166" t="inlineStr">
        <is>
          <t>Eligible</t>
        </is>
      </c>
      <c r="AC166" t="inlineStr">
        <is>
          <t>5898007</t>
        </is>
      </c>
      <c r="AD166" t="n">
        <v>25.000032</v>
      </c>
    </row>
    <row r="167">
      <c r="V167" t="n">
        <v>33</v>
      </c>
      <c r="W167" s="663" t="n">
        <v>46178</v>
      </c>
      <c r="X167" t="inlineStr">
        <is>
          <t>Hebrew Home of Greater Washington</t>
        </is>
      </c>
      <c r="Y167" t="inlineStr">
        <is>
          <t>North Bethesda</t>
        </is>
      </c>
      <c r="Z167" t="inlineStr">
        <is>
          <t>MD</t>
        </is>
      </c>
      <c r="AA167" s="657" t="n">
        <v>50</v>
      </c>
      <c r="AB167" t="inlineStr">
        <is>
          <t>Eligible</t>
        </is>
      </c>
      <c r="AC167" t="inlineStr">
        <is>
          <t>5896039</t>
        </is>
      </c>
      <c r="AD167" t="n">
        <v>50.000033</v>
      </c>
    </row>
    <row r="168">
      <c r="V168" t="n">
        <v>34</v>
      </c>
      <c r="W168" s="663" t="n">
        <v>46178</v>
      </c>
      <c r="X168" t="inlineStr">
        <is>
          <t>TJ Maxx</t>
        </is>
      </c>
      <c r="Y168" t="inlineStr">
        <is>
          <t>Annapolis</t>
        </is>
      </c>
      <c r="Z168" t="inlineStr">
        <is>
          <t>MD</t>
        </is>
      </c>
      <c r="AA168" s="657" t="n">
        <v>70</v>
      </c>
      <c r="AB168" t="inlineStr">
        <is>
          <t>Eligible</t>
        </is>
      </c>
      <c r="AC168" t="inlineStr">
        <is>
          <t>5898904</t>
        </is>
      </c>
      <c r="AD168" t="n">
        <v>70.000034</v>
      </c>
    </row>
    <row r="169">
      <c r="V169" t="n">
        <v>35</v>
      </c>
      <c r="W169" s="663" t="n">
        <v>46181</v>
      </c>
      <c r="X169" t="inlineStr">
        <is>
          <t>Marshalls</t>
        </is>
      </c>
      <c r="Y169" t="inlineStr">
        <is>
          <t>Dunkirk</t>
        </is>
      </c>
      <c r="Z169" t="inlineStr">
        <is>
          <t>MD</t>
        </is>
      </c>
      <c r="AA169" s="657" t="n">
        <v>70</v>
      </c>
      <c r="AB169" t="inlineStr">
        <is>
          <t>Eligible</t>
        </is>
      </c>
      <c r="AC169" t="inlineStr">
        <is>
          <t>5899056</t>
        </is>
      </c>
      <c r="AD169" t="n">
        <v>70.000035</v>
      </c>
    </row>
    <row r="170">
      <c r="V170" t="n">
        <v>36</v>
      </c>
      <c r="W170" s="663" t="n">
        <v>46182</v>
      </c>
      <c r="X170" t="inlineStr">
        <is>
          <t>Hampton Inn &amp; Suites</t>
        </is>
      </c>
      <c r="Y170" t="inlineStr">
        <is>
          <t>Edgewood</t>
        </is>
      </c>
      <c r="Z170" t="inlineStr">
        <is>
          <t>MD</t>
        </is>
      </c>
      <c r="AA170" s="657" t="n">
        <v>65</v>
      </c>
      <c r="AB170" t="inlineStr">
        <is>
          <t>Eligible</t>
        </is>
      </c>
      <c r="AC170" t="inlineStr">
        <is>
          <t>5899295</t>
        </is>
      </c>
      <c r="AD170" t="n">
        <v>65.00003599999999</v>
      </c>
    </row>
    <row r="171">
      <c r="V171" t="n">
        <v>37</v>
      </c>
      <c r="W171" s="663" t="n">
        <v>46182</v>
      </c>
      <c r="X171" t="inlineStr">
        <is>
          <t>HomeGoods</t>
        </is>
      </c>
      <c r="Y171" t="inlineStr">
        <is>
          <t>Sterling</t>
        </is>
      </c>
      <c r="Z171" t="inlineStr">
        <is>
          <t>VA</t>
        </is>
      </c>
      <c r="AA171" s="657" t="n">
        <v>90</v>
      </c>
      <c r="AB171" t="inlineStr">
        <is>
          <t>Eligible</t>
        </is>
      </c>
      <c r="AC171" t="inlineStr">
        <is>
          <t>5899715</t>
        </is>
      </c>
      <c r="AD171" t="n">
        <v>90.00003700000001</v>
      </c>
    </row>
    <row r="172">
      <c r="V172" t="n">
        <v>38</v>
      </c>
      <c r="W172" s="663" t="n">
        <v>46183</v>
      </c>
      <c r="X172" t="inlineStr">
        <is>
          <t>7-Eleven</t>
        </is>
      </c>
      <c r="Y172" t="inlineStr">
        <is>
          <t>Lanham</t>
        </is>
      </c>
      <c r="Z172" t="inlineStr">
        <is>
          <t>MD</t>
        </is>
      </c>
      <c r="AA172" s="657" t="n">
        <v>240</v>
      </c>
      <c r="AB172" t="inlineStr">
        <is>
          <t>Eligible</t>
        </is>
      </c>
      <c r="AC172" t="inlineStr">
        <is>
          <t>5900102</t>
        </is>
      </c>
      <c r="AD172" t="n">
        <v>240.000038</v>
      </c>
    </row>
    <row r="173">
      <c r="V173" t="n">
        <v>39</v>
      </c>
      <c r="W173" s="663" t="n">
        <v>46183</v>
      </c>
      <c r="X173" t="inlineStr">
        <is>
          <t>TJ Maxx</t>
        </is>
      </c>
      <c r="Y173" t="inlineStr">
        <is>
          <t>Annapolis</t>
        </is>
      </c>
      <c r="Z173" t="inlineStr">
        <is>
          <t>MD</t>
        </is>
      </c>
      <c r="AA173" s="657" t="n">
        <v>90</v>
      </c>
      <c r="AB173" t="inlineStr">
        <is>
          <t>Eligible</t>
        </is>
      </c>
      <c r="AC173" t="inlineStr">
        <is>
          <t>5900492</t>
        </is>
      </c>
      <c r="AD173" t="n">
        <v>90.000039</v>
      </c>
    </row>
    <row r="174">
      <c r="V174" t="n">
        <v>40</v>
      </c>
      <c r="W174" s="663" t="n">
        <v>46183</v>
      </c>
      <c r="X174" t="inlineStr">
        <is>
          <t>Residential – Annapolis Neck, MD</t>
        </is>
      </c>
      <c r="Y174" t="inlineStr">
        <is>
          <t>Annapolis Neck</t>
        </is>
      </c>
      <c r="Z174" t="inlineStr">
        <is>
          <t>MD</t>
        </is>
      </c>
      <c r="AA174" s="657" t="n">
        <v>60</v>
      </c>
      <c r="AB174" t="inlineStr">
        <is>
          <t>Eligible</t>
        </is>
      </c>
      <c r="AC174" t="inlineStr">
        <is>
          <t>5877236</t>
        </is>
      </c>
      <c r="AD174" t="n">
        <v>60.00004</v>
      </c>
    </row>
    <row r="175">
      <c r="V175" t="n">
        <v>41</v>
      </c>
      <c r="W175" s="663" t="n">
        <v>46184</v>
      </c>
      <c r="X175" t="inlineStr">
        <is>
          <t>Baskin-Robbins</t>
        </is>
      </c>
      <c r="Y175" t="inlineStr">
        <is>
          <t>Falls Church</t>
        </is>
      </c>
      <c r="Z175" t="inlineStr">
        <is>
          <t>VA</t>
        </is>
      </c>
      <c r="AA175" s="657" t="n">
        <v>45</v>
      </c>
      <c r="AB175" t="inlineStr">
        <is>
          <t>Eligible</t>
        </is>
      </c>
      <c r="AC175" t="inlineStr">
        <is>
          <t>5887374</t>
        </is>
      </c>
      <c r="AD175" t="n">
        <v>45.000041</v>
      </c>
    </row>
    <row r="176">
      <c r="V176" t="n">
        <v>42</v>
      </c>
      <c r="W176" s="663" t="n">
        <v>46184</v>
      </c>
      <c r="X176" t="inlineStr">
        <is>
          <t>Verizon</t>
        </is>
      </c>
      <c r="Y176" t="inlineStr">
        <is>
          <t>Ellicott City</t>
        </is>
      </c>
      <c r="Z176" t="inlineStr">
        <is>
          <t>MD</t>
        </is>
      </c>
      <c r="AA176" s="657" t="n">
        <v>50</v>
      </c>
      <c r="AB176" t="inlineStr">
        <is>
          <t>Eligible</t>
        </is>
      </c>
      <c r="AC176" t="inlineStr">
        <is>
          <t>5901061</t>
        </is>
      </c>
      <c r="AD176" t="n">
        <v>50.000042</v>
      </c>
    </row>
    <row r="177">
      <c r="V177" t="n">
        <v>43</v>
      </c>
      <c r="W177" s="663" t="n">
        <v>46185</v>
      </c>
      <c r="X177" t="inlineStr">
        <is>
          <t>Verizon</t>
        </is>
      </c>
      <c r="Y177" t="inlineStr">
        <is>
          <t>Lanham</t>
        </is>
      </c>
      <c r="Z177" t="inlineStr">
        <is>
          <t>MD</t>
        </is>
      </c>
      <c r="AA177" s="657" t="n">
        <v>50</v>
      </c>
      <c r="AB177" t="inlineStr">
        <is>
          <t>Eligible</t>
        </is>
      </c>
      <c r="AC177" t="inlineStr">
        <is>
          <t>5902689</t>
        </is>
      </c>
      <c r="AD177" t="n">
        <v>50.000043</v>
      </c>
    </row>
    <row r="178">
      <c r="V178" t="n">
        <v>44</v>
      </c>
      <c r="W178" s="663" t="n">
        <v>46188</v>
      </c>
      <c r="X178" t="inlineStr">
        <is>
          <t>Marshalls</t>
        </is>
      </c>
      <c r="Y178" t="inlineStr">
        <is>
          <t>Frederick</t>
        </is>
      </c>
      <c r="Z178" t="inlineStr">
        <is>
          <t>MD</t>
        </is>
      </c>
      <c r="AA178" s="657" t="n">
        <v>123.75</v>
      </c>
      <c r="AB178" t="inlineStr">
        <is>
          <t>Eligible</t>
        </is>
      </c>
      <c r="AC178" t="inlineStr">
        <is>
          <t>5902930</t>
        </is>
      </c>
      <c r="AD178" t="n">
        <v>123.750044</v>
      </c>
    </row>
    <row r="179">
      <c r="V179" t="n">
        <v>45</v>
      </c>
      <c r="W179" s="663" t="n">
        <v>46190</v>
      </c>
      <c r="X179" t="inlineStr">
        <is>
          <t>Montpelier Liquors</t>
        </is>
      </c>
      <c r="Y179" t="inlineStr">
        <is>
          <t>Laurel</t>
        </is>
      </c>
      <c r="Z179" t="inlineStr">
        <is>
          <t>MD</t>
        </is>
      </c>
      <c r="AA179" s="657" t="n">
        <v>128</v>
      </c>
      <c r="AB179" t="inlineStr">
        <is>
          <t>Eligible</t>
        </is>
      </c>
      <c r="AC179" t="inlineStr">
        <is>
          <t>5900963</t>
        </is>
      </c>
      <c r="AD179" t="n">
        <v>128.000045</v>
      </c>
    </row>
    <row r="180">
      <c r="V180" t="n">
        <v>46</v>
      </c>
      <c r="W180" s="663" t="n">
        <v>46190</v>
      </c>
      <c r="X180" t="inlineStr">
        <is>
          <t>Marshalls</t>
        </is>
      </c>
      <c r="Y180" t="inlineStr">
        <is>
          <t>Laurel</t>
        </is>
      </c>
      <c r="Z180" t="inlineStr">
        <is>
          <t>MD</t>
        </is>
      </c>
      <c r="AA180" s="657" t="n">
        <v>90</v>
      </c>
      <c r="AB180" t="inlineStr">
        <is>
          <t>Eligible</t>
        </is>
      </c>
      <c r="AC180" t="inlineStr">
        <is>
          <t>5904843</t>
        </is>
      </c>
      <c r="AD180" t="n">
        <v>90.000046</v>
      </c>
    </row>
    <row r="181">
      <c r="V181" t="n">
        <v>47</v>
      </c>
      <c r="W181" s="663" t="n">
        <v>46191</v>
      </c>
      <c r="X181" t="inlineStr">
        <is>
          <t>Office of MD Senator Angela Alsobrooks</t>
        </is>
      </c>
      <c r="Y181" t="inlineStr">
        <is>
          <t>Bowie</t>
        </is>
      </c>
      <c r="Z181" t="inlineStr">
        <is>
          <t>MD</t>
        </is>
      </c>
      <c r="AA181" s="657" t="n">
        <v>130</v>
      </c>
      <c r="AB181" t="inlineStr">
        <is>
          <t>Eligible</t>
        </is>
      </c>
      <c r="AC181" t="inlineStr">
        <is>
          <t>5898644</t>
        </is>
      </c>
      <c r="AD181" t="n">
        <v>130.000047</v>
      </c>
    </row>
    <row r="182">
      <c r="V182" t="n">
        <v>48</v>
      </c>
      <c r="W182" s="663" t="n">
        <v>46191</v>
      </c>
      <c r="X182" t="inlineStr">
        <is>
          <t>Hebrew Home of Greater Washington</t>
        </is>
      </c>
      <c r="Y182" t="inlineStr">
        <is>
          <t>North Bethesda</t>
        </is>
      </c>
      <c r="Z182" t="inlineStr">
        <is>
          <t>MD</t>
        </is>
      </c>
      <c r="AA182" s="657" t="n">
        <v>70</v>
      </c>
      <c r="AB182" t="inlineStr">
        <is>
          <t>Eligible</t>
        </is>
      </c>
      <c r="AC182" t="inlineStr">
        <is>
          <t>5905576</t>
        </is>
      </c>
      <c r="AD182" t="n">
        <v>70.00004800000001</v>
      </c>
    </row>
    <row r="183">
      <c r="V183" t="n">
        <v>49</v>
      </c>
      <c r="W183" s="663" t="n">
        <v>46192</v>
      </c>
      <c r="X183" t="inlineStr">
        <is>
          <t>Weis Markets</t>
        </is>
      </c>
      <c r="Y183" t="inlineStr">
        <is>
          <t>Callaway</t>
        </is>
      </c>
      <c r="Z183" t="inlineStr">
        <is>
          <t>MD</t>
        </is>
      </c>
      <c r="AA183" s="657" t="n">
        <v>90</v>
      </c>
      <c r="AB183" t="inlineStr">
        <is>
          <t>Eligible</t>
        </is>
      </c>
      <c r="AC183" t="inlineStr">
        <is>
          <t>5899546</t>
        </is>
      </c>
      <c r="AD183" t="n">
        <v>90.000049</v>
      </c>
    </row>
    <row r="184">
      <c r="V184" t="n">
        <v>50</v>
      </c>
      <c r="W184" s="663" t="n">
        <v>46192</v>
      </c>
      <c r="X184" t="inlineStr">
        <is>
          <t>Giant Food Stores</t>
        </is>
      </c>
      <c r="Y184" t="inlineStr">
        <is>
          <t>Washington</t>
        </is>
      </c>
      <c r="Z184" t="inlineStr">
        <is>
          <t>DC</t>
        </is>
      </c>
      <c r="AA184" s="657" t="n">
        <v>50</v>
      </c>
      <c r="AB184" t="inlineStr">
        <is>
          <t>Eligible</t>
        </is>
      </c>
      <c r="AC184" t="inlineStr">
        <is>
          <t>5903036</t>
        </is>
      </c>
      <c r="AD184" t="n">
        <v>50.00005</v>
      </c>
    </row>
    <row r="185">
      <c r="V185" t="n">
        <v>51</v>
      </c>
      <c r="W185" s="663" t="n">
        <v>46195</v>
      </c>
      <c r="X185" t="inlineStr">
        <is>
          <t>Hebrew Home of Greater Washington</t>
        </is>
      </c>
      <c r="Y185" t="inlineStr">
        <is>
          <t>North Bethesda</t>
        </is>
      </c>
      <c r="Z185" t="inlineStr">
        <is>
          <t>MD</t>
        </is>
      </c>
      <c r="AA185" s="657" t="n">
        <v>60</v>
      </c>
      <c r="AB185" t="inlineStr">
        <is>
          <t>Eligible</t>
        </is>
      </c>
      <c r="AC185" t="inlineStr">
        <is>
          <t>5905579</t>
        </is>
      </c>
      <c r="AD185" t="n">
        <v>60.000051</v>
      </c>
    </row>
    <row r="186">
      <c r="V186" t="n">
        <v>52</v>
      </c>
      <c r="W186" s="663" t="n">
        <v>46196</v>
      </c>
      <c r="X186" t="inlineStr">
        <is>
          <t>Food Lion</t>
        </is>
      </c>
      <c r="Y186" t="inlineStr">
        <is>
          <t>Upper Marlboro</t>
        </is>
      </c>
      <c r="Z186" t="inlineStr">
        <is>
          <t>MD</t>
        </is>
      </c>
      <c r="AA186" s="657" t="n">
        <v>116.24</v>
      </c>
      <c r="AB186" t="inlineStr">
        <is>
          <t>Eligible</t>
        </is>
      </c>
      <c r="AC186" t="inlineStr">
        <is>
          <t>5906380</t>
        </is>
      </c>
      <c r="AD186" t="n">
        <v>116.240052</v>
      </c>
    </row>
    <row r="187">
      <c r="V187" t="n">
        <v>53</v>
      </c>
      <c r="W187" s="663" t="n">
        <v>46197</v>
      </c>
      <c r="X187" t="inlineStr">
        <is>
          <t>Hilton Garden Inn</t>
        </is>
      </c>
      <c r="Y187" t="inlineStr">
        <is>
          <t>Washington</t>
        </is>
      </c>
      <c r="Z187" t="inlineStr">
        <is>
          <t>DC</t>
        </is>
      </c>
      <c r="AA187" s="657" t="n">
        <v>132.03</v>
      </c>
      <c r="AB187" t="inlineStr">
        <is>
          <t>Eligible</t>
        </is>
      </c>
      <c r="AC187" t="inlineStr">
        <is>
          <t>5907571</t>
        </is>
      </c>
      <c r="AD187" t="n">
        <v>132.030053</v>
      </c>
    </row>
    <row r="188">
      <c r="V188" t="n">
        <v>54</v>
      </c>
      <c r="W188" s="663" t="n">
        <v>46203</v>
      </c>
      <c r="X188" t="inlineStr">
        <is>
          <t>7-Eleven</t>
        </is>
      </c>
      <c r="Y188" t="inlineStr">
        <is>
          <t>Owings Mills</t>
        </is>
      </c>
      <c r="Z188" t="inlineStr">
        <is>
          <t>MD</t>
        </is>
      </c>
      <c r="AA188" s="657" t="n">
        <v>120</v>
      </c>
      <c r="AB188" t="inlineStr">
        <is>
          <t>Eligible</t>
        </is>
      </c>
      <c r="AC188" t="inlineStr">
        <is>
          <t>5910094</t>
        </is>
      </c>
      <c r="AD188" t="n">
        <v>120.000054</v>
      </c>
    </row>
    <row r="189">
      <c r="V189" t="n">
        <v>55</v>
      </c>
      <c r="W189" s="663" t="n">
        <v>46204</v>
      </c>
      <c r="X189" t="inlineStr">
        <is>
          <t>Office of MD Senator Angela Alsobrooks</t>
        </is>
      </c>
      <c r="Y189" t="inlineStr">
        <is>
          <t>Largo</t>
        </is>
      </c>
      <c r="Z189" t="inlineStr">
        <is>
          <t>MD</t>
        </is>
      </c>
      <c r="AA189" s="657" t="n">
        <v>120</v>
      </c>
      <c r="AB189" t="inlineStr">
        <is>
          <t>Eligible</t>
        </is>
      </c>
      <c r="AC189" t="inlineStr">
        <is>
          <t>5898645</t>
        </is>
      </c>
      <c r="AD189" t="n">
        <v>120.000055</v>
      </c>
    </row>
    <row r="190">
      <c r="V190" t="n">
        <v>56</v>
      </c>
      <c r="W190" s="663" t="n">
        <v>46205</v>
      </c>
      <c r="X190" t="inlineStr">
        <is>
          <t>Dunkin</t>
        </is>
      </c>
      <c r="Y190" t="inlineStr">
        <is>
          <t>Reisterstown</t>
        </is>
      </c>
      <c r="Z190" t="inlineStr">
        <is>
          <t>MD</t>
        </is>
      </c>
      <c r="AA190" s="657" t="n">
        <v>170.66</v>
      </c>
      <c r="AB190" t="inlineStr">
        <is>
          <t>Eligible</t>
        </is>
      </c>
      <c r="AC190" t="inlineStr">
        <is>
          <t>5900784</t>
        </is>
      </c>
      <c r="AD190" t="n">
        <v>170.660056</v>
      </c>
    </row>
    <row r="191">
      <c r="V191" t="n">
        <v>57</v>
      </c>
      <c r="W191" s="663" t="n">
        <v>46209</v>
      </c>
      <c r="X191" t="inlineStr">
        <is>
          <t>Montpelier Liquors</t>
        </is>
      </c>
      <c r="Y191" t="inlineStr">
        <is>
          <t>Laurel</t>
        </is>
      </c>
      <c r="Z191" t="inlineStr">
        <is>
          <t>MD</t>
        </is>
      </c>
      <c r="AA191" s="657" t="n">
        <v>66.73999999999999</v>
      </c>
      <c r="AB191" t="inlineStr">
        <is>
          <t>Eligible</t>
        </is>
      </c>
      <c r="AC191" t="inlineStr">
        <is>
          <t>5911577</t>
        </is>
      </c>
      <c r="AD191" t="n">
        <v>66.74005699999999</v>
      </c>
    </row>
    <row r="192">
      <c r="V192" t="n">
        <v>58</v>
      </c>
      <c r="W192" s="663" t="n">
        <v>46209</v>
      </c>
      <c r="X192" t="inlineStr">
        <is>
          <t>Dunkin</t>
        </is>
      </c>
      <c r="Y192" t="inlineStr">
        <is>
          <t>Lutherville</t>
        </is>
      </c>
      <c r="Z192" t="inlineStr">
        <is>
          <t>MD</t>
        </is>
      </c>
      <c r="AA192" s="657" t="n">
        <v>202.5</v>
      </c>
      <c r="AB192" t="inlineStr">
        <is>
          <t>Eligible</t>
        </is>
      </c>
      <c r="AC192" t="inlineStr">
        <is>
          <t>5900780</t>
        </is>
      </c>
      <c r="AD192" t="n">
        <v>202.500058</v>
      </c>
    </row>
    <row r="193">
      <c r="V193" t="n">
        <v>59</v>
      </c>
      <c r="W193" s="663" t="n">
        <v>46210</v>
      </c>
      <c r="X193" t="inlineStr">
        <is>
          <t>Dunkin</t>
        </is>
      </c>
      <c r="Y193" t="inlineStr">
        <is>
          <t>Aberdeen</t>
        </is>
      </c>
      <c r="Z193" t="inlineStr">
        <is>
          <t>MD</t>
        </is>
      </c>
      <c r="AA193" s="657" t="n">
        <v>250</v>
      </c>
      <c r="AB193" t="inlineStr">
        <is>
          <t>Eligible</t>
        </is>
      </c>
      <c r="AC193" t="inlineStr">
        <is>
          <t>5900830</t>
        </is>
      </c>
      <c r="AD193" t="n">
        <v>250.000059</v>
      </c>
    </row>
    <row r="194">
      <c r="V194" t="n">
        <v>60</v>
      </c>
      <c r="W194" s="663" t="n">
        <v>46211</v>
      </c>
      <c r="X194" t="inlineStr">
        <is>
          <t>Carvana</t>
        </is>
      </c>
      <c r="Y194" t="inlineStr">
        <is>
          <t>Baltimore</t>
        </is>
      </c>
      <c r="Z194" t="inlineStr">
        <is>
          <t>MD</t>
        </is>
      </c>
      <c r="AB194" t="inlineStr">
        <is>
          <t>Excluded</t>
        </is>
      </c>
      <c r="AC194" t="inlineStr">
        <is>
          <t>5912364 / 5914049</t>
        </is>
      </c>
      <c r="AD194" t="n">
        <v>6e-05</v>
      </c>
    </row>
    <row r="195">
      <c r="V195" t="n">
        <v>61</v>
      </c>
      <c r="W195" s="663" t="n">
        <v>46212</v>
      </c>
      <c r="X195" t="inlineStr">
        <is>
          <t>TJ Maxx</t>
        </is>
      </c>
      <c r="Y195" t="inlineStr">
        <is>
          <t>Germantown</t>
        </is>
      </c>
      <c r="Z195" t="inlineStr">
        <is>
          <t>MD</t>
        </is>
      </c>
      <c r="AA195" t="n">
        <v>194.99</v>
      </c>
      <c r="AB195" t="inlineStr">
        <is>
          <t>Eligible</t>
        </is>
      </c>
      <c r="AC195" t="inlineStr">
        <is>
          <t>5909344</t>
        </is>
      </c>
      <c r="AD195" t="n">
        <v>194.990061</v>
      </c>
    </row>
    <row r="196">
      <c r="V196" t="n">
        <v>62</v>
      </c>
      <c r="W196" s="663" t="n">
        <v>46212</v>
      </c>
      <c r="X196" t="inlineStr">
        <is>
          <t>TJ Maxx</t>
        </is>
      </c>
      <c r="Y196" t="inlineStr">
        <is>
          <t>Martinsburg</t>
        </is>
      </c>
      <c r="Z196" t="inlineStr">
        <is>
          <t>WV</t>
        </is>
      </c>
      <c r="AA196" t="n">
        <v>100.83</v>
      </c>
      <c r="AB196" t="inlineStr">
        <is>
          <t>Eligible</t>
        </is>
      </c>
      <c r="AC196" t="inlineStr">
        <is>
          <t>5913868</t>
        </is>
      </c>
      <c r="AD196" t="n">
        <v>100.830062</v>
      </c>
    </row>
    <row r="197">
      <c r="V197" t="n">
        <v>63</v>
      </c>
      <c r="W197" s="663" t="n">
        <v>46216</v>
      </c>
      <c r="X197" t="inlineStr">
        <is>
          <t>Marshalls</t>
        </is>
      </c>
      <c r="Y197" t="inlineStr">
        <is>
          <t>Cockeysville</t>
        </is>
      </c>
      <c r="Z197" t="inlineStr">
        <is>
          <t>MD</t>
        </is>
      </c>
      <c r="AB197" t="inlineStr">
        <is>
          <t>Excluded</t>
        </is>
      </c>
      <c r="AC197" t="inlineStr">
        <is>
          <t>5909368</t>
        </is>
      </c>
      <c r="AD197" t="n">
        <v>6.3e-05</v>
      </c>
    </row>
    <row r="198">
      <c r="V198" t="n">
        <v>64</v>
      </c>
      <c r="W198" s="663" t="n">
        <v>46216</v>
      </c>
      <c r="X198" t="inlineStr">
        <is>
          <t>Marshalls</t>
        </is>
      </c>
      <c r="Y198" t="inlineStr">
        <is>
          <t>Hagerstown</t>
        </is>
      </c>
      <c r="Z198" t="inlineStr">
        <is>
          <t>MD</t>
        </is>
      </c>
      <c r="AB198" t="inlineStr">
        <is>
          <t>Excluded</t>
        </is>
      </c>
      <c r="AC198" t="inlineStr">
        <is>
          <t>5916961</t>
        </is>
      </c>
      <c r="AD198" t="n">
        <v>6.4e-05</v>
      </c>
    </row>
    <row r="199">
      <c r="V199" t="n">
        <v>65</v>
      </c>
      <c r="W199" s="663" t="n">
        <v>46216</v>
      </c>
      <c r="X199" t="inlineStr">
        <is>
          <t>HomeGoods</t>
        </is>
      </c>
      <c r="Y199" t="inlineStr">
        <is>
          <t>Gaithersburg</t>
        </is>
      </c>
      <c r="Z199" t="inlineStr">
        <is>
          <t>MD</t>
        </is>
      </c>
      <c r="AB199" t="inlineStr">
        <is>
          <t>Excluded</t>
        </is>
      </c>
      <c r="AC199" t="inlineStr">
        <is>
          <t>5917407</t>
        </is>
      </c>
      <c r="AD199" t="n">
        <v>6.499999999999999e-05</v>
      </c>
    </row>
    <row r="200">
      <c r="V200" t="n">
        <v>66</v>
      </c>
      <c r="W200" s="663" t="n">
        <v>46217</v>
      </c>
      <c r="X200" t="inlineStr">
        <is>
          <t>TJ Maxx</t>
        </is>
      </c>
      <c r="Y200" t="inlineStr">
        <is>
          <t>Bel Air</t>
        </is>
      </c>
      <c r="Z200" t="inlineStr">
        <is>
          <t>MD</t>
        </is>
      </c>
      <c r="AB200" t="inlineStr">
        <is>
          <t>Excluded</t>
        </is>
      </c>
      <c r="AC200" t="inlineStr">
        <is>
          <t>5909385</t>
        </is>
      </c>
      <c r="AD200" t="n">
        <v>6.600000000000001e-05</v>
      </c>
    </row>
    <row r="201">
      <c r="V201" t="n">
        <v>67</v>
      </c>
      <c r="W201" s="663" t="n">
        <v>46217</v>
      </c>
      <c r="X201" t="inlineStr">
        <is>
          <t>Dunkin</t>
        </is>
      </c>
      <c r="Y201" t="inlineStr">
        <is>
          <t>Aberdeen</t>
        </is>
      </c>
      <c r="Z201" t="inlineStr">
        <is>
          <t>MD</t>
        </is>
      </c>
      <c r="AA201" t="n">
        <v>183.74</v>
      </c>
      <c r="AB201" t="inlineStr">
        <is>
          <t>Eligible</t>
        </is>
      </c>
      <c r="AC201" t="inlineStr">
        <is>
          <t>5914898</t>
        </is>
      </c>
      <c r="AD201" t="n">
        <v>183.740067</v>
      </c>
    </row>
  </sheetData>
  <mergeCells count="17">
    <mergeCell ref="A10:L10"/>
    <mergeCell ref="A60:F60"/>
    <mergeCell ref="A57:T58"/>
    <mergeCell ref="H60:M60"/>
    <mergeCell ref="J41:R41"/>
    <mergeCell ref="A4:D4"/>
    <mergeCell ref="A50:G50"/>
    <mergeCell ref="A105:T105"/>
    <mergeCell ref="H88:M88"/>
    <mergeCell ref="O88:T88"/>
    <mergeCell ref="A41:H41"/>
    <mergeCell ref="A74:F74"/>
    <mergeCell ref="A88:F88"/>
    <mergeCell ref="A1:R2"/>
    <mergeCell ref="O74:T74"/>
    <mergeCell ref="H74:M74"/>
    <mergeCell ref="O60:T60"/>
  </mergeCells>
  <conditionalFormatting sqref="C62:C71">
    <cfRule type="dataBar" priority="5">
      <dataBar>
        <cfvo type="min"/>
        <cfvo type="max"/>
        <color rgb="FF5B9BD5"/>
      </dataBar>
    </cfRule>
  </conditionalFormatting>
  <conditionalFormatting sqref="K62:K71">
    <cfRule type="dataBar" priority="6">
      <dataBar>
        <cfvo type="min"/>
        <cfvo type="max"/>
        <color rgb="FF5B9BD5"/>
      </dataBar>
    </cfRule>
  </conditionalFormatting>
  <conditionalFormatting sqref="Q62:Q71">
    <cfRule type="dataBar" priority="7">
      <dataBar>
        <cfvo type="min"/>
        <cfvo type="max"/>
        <color rgb="FF5B9BD5"/>
      </dataBar>
    </cfRule>
  </conditionalFormatting>
  <conditionalFormatting sqref="C76:C80">
    <cfRule type="dataBar" priority="8">
      <dataBar>
        <cfvo type="min"/>
        <cfvo type="max"/>
        <color rgb="FF5B9BD5"/>
      </dataBar>
    </cfRule>
  </conditionalFormatting>
  <conditionalFormatting sqref="K76:K85">
    <cfRule type="dataBar" priority="9">
      <dataBar>
        <cfvo type="min"/>
        <cfvo type="max"/>
        <color rgb="FF5B9BD5"/>
      </dataBar>
    </cfRule>
  </conditionalFormatting>
  <conditionalFormatting sqref="T76:T85">
    <cfRule type="dataBar" priority="10">
      <dataBar>
        <cfvo type="min"/>
        <cfvo type="max"/>
        <color rgb="FF5B9BD5"/>
      </dataBar>
    </cfRule>
  </conditionalFormatting>
  <conditionalFormatting sqref="C90:C101">
    <cfRule type="dataBar" priority="11">
      <dataBar>
        <cfvo type="min"/>
        <cfvo type="max"/>
        <color rgb="FF5B9BD5"/>
      </dataBar>
    </cfRule>
  </conditionalFormatting>
  <conditionalFormatting sqref="J90:J92">
    <cfRule type="dataBar" priority="12">
      <dataBar>
        <cfvo type="min"/>
        <cfvo type="max"/>
        <color rgb="FF5B9BD5"/>
      </dataBar>
    </cfRule>
  </conditionalFormatting>
  <conditionalFormatting sqref="R90:R101">
    <cfRule type="dataBar" priority="13">
      <dataBar>
        <cfvo type="min"/>
        <cfvo type="max"/>
        <color rgb="FF9DC3E6"/>
      </dataBar>
    </cfRule>
  </conditionalFormatting>
  <conditionalFormatting sqref="G12:G38">
    <cfRule type="dataBar" priority="14">
      <dataBar>
        <cfvo type="min"/>
        <cfvo type="max"/>
        <color rgb="FF5B9BD5"/>
      </dataBar>
    </cfRule>
  </conditionalFormatting>
  <conditionalFormatting sqref="H12:I38">
    <cfRule type="colorScale" priority="15">
      <colorScale>
        <cfvo type="min"/>
        <cfvo type="percentile" val="50"/>
        <cfvo type="max"/>
        <color rgb="FFF4CCCC"/>
        <color rgb="FFFFF2CC"/>
        <color rgb="FFE2F0D9"/>
      </colorScale>
    </cfRule>
  </conditionalFormatting>
  <conditionalFormatting sqref="L12:L38">
    <cfRule type="expression" priority="16" dxfId="46">
      <formula>$L12="Yes"</formula>
    </cfRule>
    <cfRule type="expression" priority="17" dxfId="60">
      <formula>$L12="No"</formula>
    </cfRule>
  </conditionalFormatting>
  <conditionalFormatting sqref="B43:B47">
    <cfRule type="dataBar" priority="18">
      <dataBar>
        <cfvo type="min"/>
        <cfvo type="max"/>
        <color rgb="FF9DC3E6"/>
      </dataBar>
    </cfRule>
  </conditionalFormatting>
  <conditionalFormatting sqref="E43:E47">
    <cfRule type="dataBar" priority="19">
      <dataBar>
        <cfvo type="min"/>
        <cfvo type="max"/>
        <color rgb="FF5B9BD5"/>
      </dataBar>
    </cfRule>
  </conditionalFormatting>
  <conditionalFormatting sqref="G43:H47">
    <cfRule type="colorScale" priority="20">
      <colorScale>
        <cfvo type="min"/>
        <cfvo type="percentile" val="50"/>
        <cfvo type="max"/>
        <color rgb="FFFCE4D6"/>
        <color rgb="FFFFF2CC"/>
        <color rgb="FFE2F0D9"/>
      </colorScale>
    </cfRule>
  </conditionalFormatting>
  <conditionalFormatting sqref="K43:K47">
    <cfRule type="dataBar" priority="21">
      <dataBar>
        <cfvo type="min"/>
        <cfvo type="max"/>
        <color rgb="FF5B9BD5"/>
      </dataBar>
    </cfRule>
  </conditionalFormatting>
  <conditionalFormatting sqref="O43:O47">
    <cfRule type="colorScale" priority="22">
      <colorScale>
        <cfvo type="min"/>
        <cfvo type="percentile" val="50"/>
        <cfvo type="max"/>
        <color rgb="FFF4CCCC"/>
        <color rgb="FFFFF2CC"/>
        <color rgb="FFE2F0D9"/>
      </colorScale>
    </cfRule>
  </conditionalFormatting>
  <conditionalFormatting sqref="R43:R47">
    <cfRule type="expression" priority="23" dxfId="21">
      <formula>$R43=1</formula>
    </cfRule>
    <cfRule type="expression" priority="24" dxfId="23">
      <formula>$R43=5</formula>
    </cfRule>
  </conditionalFormatting>
  <conditionalFormatting sqref="F52:F54">
    <cfRule type="dataBar" priority="25">
      <dataBar>
        <cfvo type="min"/>
        <cfvo type="max"/>
        <color rgb="FF5B9BD5"/>
      </dataBar>
    </cfRule>
  </conditionalFormatting>
  <conditionalFormatting sqref="G52:G54">
    <cfRule type="colorScale" priority="26">
      <colorScale>
        <cfvo type="min"/>
        <cfvo type="percentile" val="50"/>
        <cfvo type="max"/>
        <color rgb="FFF4CCCC"/>
        <color rgb="FFFFF2CC"/>
        <color rgb="FFE2F0D9"/>
      </colorScale>
    </cfRule>
  </conditionalFormatting>
  <conditionalFormatting sqref="Z2:Z28">
    <cfRule type="dataBar" priority="27">
      <dataBar>
        <cfvo type="min"/>
        <cfvo type="max"/>
        <color rgb="FF5B9BD5"/>
      </dataBar>
    </cfRule>
  </conditionalFormatting>
  <conditionalFormatting sqref="AA2:AB28">
    <cfRule type="colorScale" priority="28">
      <colorScale>
        <cfvo type="min"/>
        <cfvo type="percentile" val="50"/>
        <cfvo type="max"/>
        <color rgb="FFF4CCCC"/>
        <color rgb="FFFFF2CC"/>
        <color rgb="FFE2F0D9"/>
      </colorScale>
    </cfRule>
  </conditionalFormatting>
  <conditionalFormatting sqref="AC2:AC28">
    <cfRule type="expression" priority="29" dxfId="46">
      <formula>$AC2="Yes"</formula>
    </cfRule>
    <cfRule type="expression" priority="30" dxfId="60">
      <formula>$AC2="No"</formula>
    </cfRule>
  </conditionalFormatting>
  <conditionalFormatting sqref="Z32:Z68">
    <cfRule type="dataBar" priority="31">
      <dataBar>
        <cfvo type="min"/>
        <cfvo type="max"/>
        <color rgb="FF5B9BD5"/>
      </dataBar>
    </cfRule>
  </conditionalFormatting>
  <conditionalFormatting sqref="AA32:AA68">
    <cfRule type="colorScale" priority="32">
      <colorScale>
        <cfvo type="min"/>
        <cfvo type="percentile" val="50"/>
        <cfvo type="max"/>
        <color rgb="FFF4CCCC"/>
        <color rgb="FFFFF2CC"/>
        <color rgb="FFE2F0D9"/>
      </colorScale>
    </cfRule>
  </conditionalFormatting>
  <conditionalFormatting sqref="Y70:Y82">
    <cfRule type="dataBar" priority="33">
      <dataBar>
        <cfvo type="min"/>
        <cfvo type="max"/>
        <color rgb="FF5B9BD5"/>
      </dataBar>
    </cfRule>
  </conditionalFormatting>
  <conditionalFormatting sqref="Z70:Z82">
    <cfRule type="colorScale" priority="34">
      <colorScale>
        <cfvo type="min"/>
        <cfvo type="percentile" val="50"/>
        <cfvo type="max"/>
        <color rgb="FFF4CCCC"/>
        <color rgb="FFFFF2CC"/>
        <color rgb="FFE2F0D9"/>
      </colorScale>
    </cfRule>
  </conditionalFormatting>
  <conditionalFormatting sqref="Z85:Z129">
    <cfRule type="dataBar" priority="35">
      <dataBar>
        <cfvo type="min"/>
        <cfvo type="max"/>
        <color rgb="FF5B9BD5"/>
      </dataBar>
    </cfRule>
  </conditionalFormatting>
  <conditionalFormatting sqref="AA85:AA129">
    <cfRule type="colorScale" priority="36">
      <colorScale>
        <cfvo type="min"/>
        <cfvo type="percentile" val="50"/>
        <cfvo type="max"/>
        <color rgb="FFF4CCCC"/>
        <color rgb="FFFFF2CC"/>
        <color rgb="FFE2F0D9"/>
      </colorScale>
    </cfRule>
  </conditionalFormatting>
  <pageMargins left="0.7" right="0.7" top="0.75" bottom="0.75" header="0.3" footer="0.3"/>
  <drawing xmlns:r="http://schemas.openxmlformats.org/officeDocument/2006/relationships" r:id="rId1"/>
  <tableParts count="12">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xl/worksheets/sheet5.xml><?xml version="1.0" encoding="utf-8"?>
<worksheet xmlns="http://schemas.openxmlformats.org/spreadsheetml/2006/main">
  <sheetPr>
    <outlinePr summaryBelow="1" summaryRight="1"/>
    <pageSetUpPr/>
  </sheetPr>
  <dimension ref="A1:BK269"/>
  <sheetViews>
    <sheetView showGridLines="0" workbookViewId="0">
      <selection activeCell="A1" sqref="A1"/>
    </sheetView>
  </sheetViews>
  <sheetFormatPr baseColWidth="8" defaultRowHeight="15"/>
  <cols>
    <col width="14" customWidth="1" style="192" min="1" max="1"/>
    <col width="18" customWidth="1" style="192" min="2" max="2"/>
    <col width="34" customWidth="1" style="192" min="3" max="3"/>
    <col width="16" customWidth="1" style="192" min="4" max="4"/>
    <col width="14" customWidth="1" style="192" min="5" max="5"/>
    <col width="14" customWidth="1" style="192" min="6" max="6"/>
    <col width="32" customWidth="1" style="192" min="7" max="7"/>
    <col width="38" customWidth="1" style="192" min="8" max="8"/>
    <col width="14" customWidth="1" style="192" min="9" max="9"/>
    <col width="16" customWidth="1" style="192" min="10" max="10"/>
    <col width="15" customWidth="1" style="192" min="11" max="11"/>
    <col width="38" customWidth="1" style="192" min="12" max="12"/>
    <col width="18" customWidth="1" style="192" min="13" max="13"/>
    <col width="18" customWidth="1" style="192" min="14" max="14"/>
    <col width="18" customWidth="1" style="192" min="15" max="15"/>
    <col width="22" customWidth="1" style="192" min="16" max="16"/>
    <col width="18" customWidth="1" style="192" min="17" max="17"/>
    <col width="22" customWidth="1" style="192" min="18" max="18"/>
    <col width="15" customWidth="1" style="192" min="19" max="19"/>
    <col width="32" customWidth="1" style="192" min="20" max="20"/>
    <col width="10" customWidth="1" style="192" min="21" max="21"/>
    <col width="16" customWidth="1" style="192" min="22" max="22"/>
  </cols>
  <sheetData>
    <row r="1">
      <c r="A1" s="681" t="inlineStr">
        <is>
          <t>Barrister Exception &amp; Integrity Engine — Phase 3H</t>
        </is>
      </c>
      <c r="B1" s="1" t="n"/>
      <c r="C1" s="1" t="n"/>
      <c r="D1" s="1" t="n"/>
      <c r="E1" s="1" t="n"/>
      <c r="F1" s="1" t="n"/>
      <c r="G1" s="1" t="n"/>
      <c r="H1" s="1" t="n"/>
      <c r="I1" s="1" t="n"/>
      <c r="J1" s="1" t="n"/>
      <c r="K1" s="1" t="n"/>
      <c r="L1" s="1" t="n"/>
      <c r="M1" s="1" t="n"/>
      <c r="N1" s="1" t="n"/>
      <c r="O1" s="1" t="n"/>
      <c r="P1" s="1" t="n"/>
      <c r="Q1" s="1" t="n"/>
      <c r="R1" s="1" t="n"/>
      <c r="S1" s="1" t="n"/>
      <c r="T1" s="1" t="n"/>
      <c r="U1" s="1" t="n"/>
      <c r="V1" s="1" t="n"/>
      <c r="W1" s="52" t="n"/>
      <c r="X1" s="52" t="n"/>
      <c r="Y1" s="52" t="n"/>
      <c r="Z1" s="52" t="n"/>
      <c r="AA1" s="52" t="n"/>
      <c r="AB1" s="52" t="n"/>
      <c r="AC1" s="52" t="n"/>
      <c r="AD1" s="52" t="n"/>
      <c r="AE1" s="52"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682" t="inlineStr">
        <is>
          <t>Formula-driven operational, financial, cross-table, and structural integrity controls</t>
        </is>
      </c>
      <c r="B3" s="1" t="n"/>
      <c r="C3" s="1" t="n"/>
      <c r="D3" s="1" t="n"/>
      <c r="E3" s="1" t="n"/>
      <c r="F3" s="1" t="n"/>
      <c r="G3" s="1" t="n"/>
      <c r="H3" s="1" t="n"/>
      <c r="I3" s="1" t="n"/>
      <c r="J3" s="1" t="n"/>
      <c r="K3" s="1" t="n"/>
      <c r="L3" s="1" t="n"/>
      <c r="M3" s="1" t="n"/>
      <c r="N3" s="1" t="n"/>
      <c r="O3" s="1" t="n"/>
      <c r="P3" s="1" t="n"/>
      <c r="Q3" s="1" t="n"/>
      <c r="R3" s="1" t="n"/>
      <c r="S3" s="1" t="n"/>
      <c r="T3" s="1" t="n"/>
      <c r="U3" s="1" t="n"/>
      <c r="V3" s="1" t="n"/>
    </row>
    <row r="4">
      <c r="A4" s="66" t="n"/>
      <c r="B4" s="66" t="n"/>
      <c r="C4" s="66" t="n"/>
      <c r="D4" s="66" t="n"/>
      <c r="E4" s="66" t="n"/>
      <c r="F4" s="66" t="n"/>
      <c r="G4" s="66" t="n"/>
      <c r="H4" s="66" t="n"/>
      <c r="I4" s="68" t="n"/>
      <c r="J4" s="68" t="n"/>
    </row>
    <row r="5">
      <c r="A5" s="683" t="inlineStr">
        <is>
          <t>Critical Exceptions</t>
        </is>
      </c>
      <c r="B5" s="1" t="n"/>
      <c r="C5" s="1" t="n"/>
      <c r="D5" s="683" t="inlineStr">
        <is>
          <t>Warnings</t>
        </is>
      </c>
      <c r="E5" s="1" t="n"/>
      <c r="F5" s="1" t="n"/>
      <c r="G5" s="683" t="inlineStr">
        <is>
          <t>Pending Items</t>
        </is>
      </c>
      <c r="H5" s="1" t="n"/>
      <c r="I5" s="1" t="n"/>
      <c r="J5" s="683" t="inlineStr">
        <is>
          <t>Mapping Holds</t>
        </is>
      </c>
      <c r="K5" s="1" t="n"/>
      <c r="L5" s="1" t="n"/>
      <c r="M5" s="683" t="inlineStr">
        <is>
          <t>Duplicate WO Flags</t>
        </is>
      </c>
      <c r="N5" s="1" t="n"/>
      <c r="O5" s="1" t="n"/>
      <c r="P5" s="683" t="inlineStr">
        <is>
          <t>Missing Event Links</t>
        </is>
      </c>
      <c r="Q5" s="1" t="n"/>
      <c r="R5" s="1" t="n"/>
      <c r="S5" s="683" t="inlineStr">
        <is>
          <t>Variance Exposure</t>
        </is>
      </c>
      <c r="T5" s="1" t="n"/>
      <c r="U5" s="1" t="n"/>
      <c r="V5" s="1" t="n"/>
    </row>
    <row r="6">
      <c r="A6" s="684">
        <f>COUNTIF(S31:S98,"Critical")+COUNTIF(Q100:Q166,"Critical")</f>
        <v/>
      </c>
      <c r="B6" s="1" t="n"/>
      <c r="C6" s="1" t="n"/>
      <c r="D6" s="685">
        <f>COUNTIF(S31:S98,"Warning")+COUNTIF(Q100:Q166,"Warning")</f>
        <v/>
      </c>
      <c r="E6" s="1" t="n"/>
      <c r="F6" s="1" t="n"/>
      <c r="G6" s="686">
        <f>COUNTIF(S31:S98,"Informational")+COUNTIF(Q100:Q166,"Informational")</f>
        <v/>
      </c>
      <c r="H6" s="1" t="n"/>
      <c r="I6" s="1" t="n"/>
      <c r="J6" s="684">
        <f>COUNTIF(J31:J98,"Yes")</f>
        <v/>
      </c>
      <c r="K6" s="1" t="n"/>
      <c r="L6" s="1" t="n"/>
      <c r="M6" s="685">
        <f>COUNTIF(H31:H98,"Yes")</f>
        <v/>
      </c>
      <c r="N6" s="1" t="n"/>
      <c r="O6" s="1" t="n"/>
      <c r="P6" s="684">
        <f>COUNTIF(I31:I98,"Yes")</f>
        <v/>
      </c>
      <c r="Q6" s="1" t="n"/>
      <c r="R6" s="1" t="n"/>
      <c r="S6" s="687">
        <f>SUM(V31:V98)</f>
        <v/>
      </c>
      <c r="T6" s="1" t="n"/>
      <c r="U6" s="1" t="n"/>
      <c r="V6" s="1" t="n"/>
    </row>
    <row r="7">
      <c r="A7" s="1" t="n"/>
      <c r="B7" s="1" t="n"/>
      <c r="C7" s="1" t="n"/>
      <c r="D7" s="1" t="n"/>
      <c r="E7" s="1" t="n"/>
      <c r="F7" s="1" t="n"/>
      <c r="G7" s="1" t="n"/>
      <c r="H7" s="1" t="n"/>
      <c r="I7" s="1" t="n"/>
      <c r="J7" s="1" t="n"/>
      <c r="K7" s="1" t="n"/>
      <c r="L7" s="1" t="n"/>
      <c r="M7" s="1" t="n"/>
      <c r="N7" s="1" t="n"/>
      <c r="O7" s="1" t="n"/>
      <c r="P7" s="1" t="n"/>
      <c r="Q7" s="1" t="n"/>
      <c r="R7" s="1" t="n"/>
      <c r="S7" s="1" t="n"/>
      <c r="T7" s="1" t="n"/>
      <c r="U7" s="1" t="n"/>
      <c r="V7" s="1" t="n"/>
    </row>
    <row r="8">
      <c r="F8" s="657" t="n"/>
    </row>
    <row r="9">
      <c r="A9" s="688" t="inlineStr">
        <is>
          <t>Current Open Exceptions — Snapshot</t>
        </is>
      </c>
      <c r="B9" s="1" t="n"/>
      <c r="C9" s="1" t="n"/>
      <c r="D9" s="1" t="n"/>
      <c r="E9" s="1" t="n"/>
      <c r="F9" s="1" t="n"/>
      <c r="G9" s="1" t="n"/>
      <c r="H9" s="1" t="n"/>
      <c r="I9" s="1" t="n"/>
      <c r="J9" s="1" t="n"/>
      <c r="K9" s="1" t="n"/>
      <c r="L9" s="1" t="n"/>
    </row>
    <row r="10">
      <c r="A10" s="294" t="inlineStr">
        <is>
          <t>Severity</t>
        </is>
      </c>
      <c r="B10" s="294" t="inlineStr">
        <is>
          <t>Issue</t>
        </is>
      </c>
      <c r="C10" s="294" t="inlineStr">
        <is>
          <t>Event #</t>
        </is>
      </c>
      <c r="D10" s="294" t="inlineStr">
        <is>
          <t>WO #</t>
        </is>
      </c>
      <c r="E10" s="294" t="inlineStr">
        <is>
          <t>Client</t>
        </is>
      </c>
      <c r="F10" s="689" t="inlineStr">
        <is>
          <t>City</t>
        </is>
      </c>
      <c r="G10" s="294" t="inlineStr">
        <is>
          <t>Jurisdiction</t>
        </is>
      </c>
      <c r="H10" s="294" t="inlineStr">
        <is>
          <t>Amount</t>
        </is>
      </c>
      <c r="I10" s="294" t="inlineStr">
        <is>
          <t>Status</t>
        </is>
      </c>
      <c r="J10" s="294" t="inlineStr">
        <is>
          <t>Required Action</t>
        </is>
      </c>
      <c r="K10" s="294" t="inlineStr">
        <is>
          <t>Source</t>
        </is>
      </c>
      <c r="L10" s="294" t="inlineStr">
        <is>
          <t>Notes</t>
        </is>
      </c>
    </row>
    <row r="11">
      <c r="A11" t="inlineStr">
        <is>
          <t>Informational</t>
        </is>
      </c>
      <c r="B11" t="inlineStr">
        <is>
          <t>Pending ACH</t>
        </is>
      </c>
      <c r="C11" t="n">
        <v>52</v>
      </c>
      <c r="D11" t="inlineStr">
        <is>
          <t>5906380</t>
        </is>
      </c>
      <c r="E11" t="inlineStr">
        <is>
          <t>Food Lion</t>
        </is>
      </c>
      <c r="F11" s="657" t="inlineStr">
        <is>
          <t>Upper Marlboro</t>
        </is>
      </c>
      <c r="G11" t="inlineStr">
        <is>
          <t>MD</t>
        </is>
      </c>
      <c r="H11" s="657" t="n">
        <v>116.24</v>
      </c>
      <c r="I11" t="inlineStr">
        <is>
          <t>ACH missing</t>
        </is>
      </c>
      <c r="J11" t="inlineStr">
        <is>
          <t>Await ACH processing</t>
        </is>
      </c>
      <c r="K11" t="inlineStr">
        <is>
          <t>WO Alias Index + Canonical Ledger</t>
        </is>
      </c>
      <c r="L11" t="inlineStr">
        <is>
          <t>Food Lion payment breakdown confirmed.</t>
        </is>
      </c>
    </row>
    <row r="12">
      <c r="A12" t="inlineStr">
        <is>
          <t>Informational</t>
        </is>
      </c>
      <c r="B12" t="inlineStr">
        <is>
          <t>Pending ACH</t>
        </is>
      </c>
      <c r="C12" t="n">
        <v>55</v>
      </c>
      <c r="D12" t="inlineStr">
        <is>
          <t>5898645</t>
        </is>
      </c>
      <c r="E12" t="inlineStr">
        <is>
          <t>Office of MD Senator Angela Alsobrooks</t>
        </is>
      </c>
      <c r="F12" s="657" t="inlineStr">
        <is>
          <t>Largo</t>
        </is>
      </c>
      <c r="G12" t="inlineStr">
        <is>
          <t>MD</t>
        </is>
      </c>
      <c r="H12" s="657" t="n">
        <v>120</v>
      </c>
      <c r="I12" t="inlineStr">
        <is>
          <t>ACH missing</t>
        </is>
      </c>
      <c r="J12" t="inlineStr">
        <is>
          <t>Await ACH processing</t>
        </is>
      </c>
      <c r="K12" t="inlineStr">
        <is>
          <t>WO Alias Index + Canonical Ledger</t>
        </is>
      </c>
      <c r="L12" t="inlineStr">
        <is>
          <t>Payment breakdown $120 received; ACH pending.</t>
        </is>
      </c>
    </row>
    <row r="13">
      <c r="A13" t="inlineStr">
        <is>
          <t>Informational</t>
        </is>
      </c>
      <c r="B13" t="inlineStr">
        <is>
          <t>Pending ACH</t>
        </is>
      </c>
      <c r="C13" t="n">
        <v>56</v>
      </c>
      <c r="D13" t="inlineStr">
        <is>
          <t>5900784</t>
        </is>
      </c>
      <c r="E13" t="inlineStr">
        <is>
          <t>Dunkin</t>
        </is>
      </c>
      <c r="F13" s="657" t="inlineStr">
        <is>
          <t>Reisterstown</t>
        </is>
      </c>
      <c r="G13" t="inlineStr">
        <is>
          <t>MD</t>
        </is>
      </c>
      <c r="H13" s="657" t="n">
        <v>170.66</v>
      </c>
      <c r="I13" t="inlineStr">
        <is>
          <t>ACH missing</t>
        </is>
      </c>
      <c r="J13" t="inlineStr">
        <is>
          <t>Await ACH processing</t>
        </is>
      </c>
      <c r="K13" t="inlineStr">
        <is>
          <t>WO Alias Index + Canonical Ledger</t>
        </is>
      </c>
      <c r="L13" t="inlineStr">
        <is>
          <t>Dunkin Reisterstown payment breakdown confirmed.</t>
        </is>
      </c>
    </row>
    <row r="14">
      <c r="A14" t="inlineStr">
        <is>
          <t>Informational</t>
        </is>
      </c>
      <c r="B14" t="inlineStr">
        <is>
          <t>Pending ACH</t>
        </is>
      </c>
      <c r="C14" t="n">
        <v>57</v>
      </c>
      <c r="D14" t="inlineStr">
        <is>
          <t>5911577</t>
        </is>
      </c>
      <c r="E14" t="inlineStr">
        <is>
          <t>Montpelier Liquors</t>
        </is>
      </c>
      <c r="F14" s="657" t="inlineStr">
        <is>
          <t>Laurel</t>
        </is>
      </c>
      <c r="G14" t="inlineStr">
        <is>
          <t>MD</t>
        </is>
      </c>
      <c r="H14" s="657" t="n">
        <v>66.73999999999999</v>
      </c>
      <c r="I14" t="inlineStr">
        <is>
          <t>ACH missing</t>
        </is>
      </c>
      <c r="J14" t="inlineStr">
        <is>
          <t>Await ACH processing</t>
        </is>
      </c>
      <c r="K14" t="inlineStr">
        <is>
          <t>WO Alias Index + Canonical Ledger</t>
        </is>
      </c>
      <c r="L14" t="inlineStr">
        <is>
          <t>No-access visit paid breakdown.</t>
        </is>
      </c>
    </row>
    <row r="15">
      <c r="A15" t="inlineStr">
        <is>
          <t>Informational</t>
        </is>
      </c>
      <c r="B15" t="inlineStr">
        <is>
          <t>Pending ACH</t>
        </is>
      </c>
      <c r="C15" t="n">
        <v>58</v>
      </c>
      <c r="D15" t="inlineStr">
        <is>
          <t>5900780</t>
        </is>
      </c>
      <c r="E15" t="inlineStr">
        <is>
          <t>Dunkin</t>
        </is>
      </c>
      <c r="F15" s="657" t="inlineStr">
        <is>
          <t>Lutherville</t>
        </is>
      </c>
      <c r="G15" t="inlineStr">
        <is>
          <t>MD</t>
        </is>
      </c>
      <c r="H15" s="657" t="n">
        <v>202.5</v>
      </c>
      <c r="I15" t="inlineStr">
        <is>
          <t>ACH missing</t>
        </is>
      </c>
      <c r="J15" t="inlineStr">
        <is>
          <t>Await ACH processing</t>
        </is>
      </c>
      <c r="K15" t="inlineStr">
        <is>
          <t>WO Alias Index + Canonical Ledger</t>
        </is>
      </c>
      <c r="L15" t="inlineStr">
        <is>
          <t>Dunkin Lutherville payment breakdown confirmed.</t>
        </is>
      </c>
    </row>
    <row r="16">
      <c r="A16" t="inlineStr">
        <is>
          <t>Informational</t>
        </is>
      </c>
      <c r="B16" t="inlineStr">
        <is>
          <t>Pending ACH</t>
        </is>
      </c>
      <c r="C16" t="n">
        <v>59</v>
      </c>
      <c r="D16" t="inlineStr">
        <is>
          <t>5900830</t>
        </is>
      </c>
      <c r="E16" t="inlineStr">
        <is>
          <t>Dunkin</t>
        </is>
      </c>
      <c r="F16" s="657" t="inlineStr">
        <is>
          <t>Aberdeen</t>
        </is>
      </c>
      <c r="G16" t="inlineStr">
        <is>
          <t>MD</t>
        </is>
      </c>
      <c r="H16" s="657" t="n">
        <v>250</v>
      </c>
      <c r="I16" t="inlineStr">
        <is>
          <t>ACH missing</t>
        </is>
      </c>
      <c r="J16" t="inlineStr">
        <is>
          <t>Await ACH processing</t>
        </is>
      </c>
      <c r="K16" t="inlineStr">
        <is>
          <t>WO Alias Index + Canonical Ledger</t>
        </is>
      </c>
      <c r="L16" t="inlineStr">
        <is>
          <t>First Aberdeen visit payment breakdown confirmed.</t>
        </is>
      </c>
    </row>
    <row r="17">
      <c r="A17" t="inlineStr">
        <is>
          <t>Informational</t>
        </is>
      </c>
      <c r="B17" t="inlineStr">
        <is>
          <t>Pending Breakdown</t>
        </is>
      </c>
      <c r="C17" t="n">
        <v>60</v>
      </c>
      <c r="D17" t="inlineStr">
        <is>
          <t>5912364</t>
        </is>
      </c>
      <c r="E17" t="inlineStr">
        <is>
          <t>Carvana</t>
        </is>
      </c>
      <c r="F17" s="657" t="inlineStr">
        <is>
          <t>Baltimore</t>
        </is>
      </c>
      <c r="G17" t="inlineStr">
        <is>
          <t>MD</t>
        </is>
      </c>
      <c r="H17" s="657" t="n"/>
      <c r="I17" t="inlineStr">
        <is>
          <t>Combined visit / partial breakdown</t>
        </is>
      </c>
      <c r="J17" t="inlineStr">
        <is>
          <t>Await payment breakdown</t>
        </is>
      </c>
      <c r="K17" t="inlineStr">
        <is>
          <t>WO Alias Index + Canonical Ledger</t>
        </is>
      </c>
      <c r="L17" t="inlineStr">
        <is>
          <t>Alias maps to combined one-visit Carvana event; 5912364 closed by user, breakdown pending.</t>
        </is>
      </c>
    </row>
    <row r="18">
      <c r="A18" t="inlineStr">
        <is>
          <t>Warning</t>
        </is>
      </c>
      <c r="B18" t="inlineStr">
        <is>
          <t>Partial Breakdown</t>
        </is>
      </c>
      <c r="C18" t="n">
        <v>60</v>
      </c>
      <c r="D18" t="inlineStr">
        <is>
          <t>5914049</t>
        </is>
      </c>
      <c r="E18" t="inlineStr">
        <is>
          <t>Carvana</t>
        </is>
      </c>
      <c r="F18" s="657" t="inlineStr">
        <is>
          <t>Baltimore</t>
        </is>
      </c>
      <c r="G18" t="inlineStr">
        <is>
          <t>MD</t>
        </is>
      </c>
      <c r="H18" s="657" t="n">
        <v>65</v>
      </c>
      <c r="I18" t="inlineStr">
        <is>
          <t>Combined visit / partial breakdown</t>
        </is>
      </c>
      <c r="J18" t="inlineStr">
        <is>
          <t>Confirm remaining work-order breakdown</t>
        </is>
      </c>
      <c r="K18" t="inlineStr">
        <is>
          <t>WO Alias Index + Canonical Ledger</t>
        </is>
      </c>
      <c r="L18" t="inlineStr">
        <is>
          <t>Alias maps to combined one-visit Carvana event; 5914049 breakdown $65 received.</t>
        </is>
      </c>
    </row>
    <row r="19">
      <c r="A19" s="12" t="inlineStr">
        <is>
          <t>Informational</t>
        </is>
      </c>
      <c r="B19" s="12" t="inlineStr">
        <is>
          <t>Pending ACH</t>
        </is>
      </c>
      <c r="C19" s="12" t="n">
        <v>61</v>
      </c>
      <c r="D19" s="12" t="inlineStr">
        <is>
          <t>5909344</t>
        </is>
      </c>
      <c r="E19" s="12" t="inlineStr">
        <is>
          <t>TJ Maxx</t>
        </is>
      </c>
      <c r="F19" s="674" t="inlineStr">
        <is>
          <t>Germantown</t>
        </is>
      </c>
      <c r="G19" s="12" t="inlineStr">
        <is>
          <t>MD</t>
        </is>
      </c>
      <c r="H19" s="674" t="n">
        <v>194.99</v>
      </c>
      <c r="I19" s="12" t="inlineStr">
        <is>
          <t>ACH missing</t>
        </is>
      </c>
      <c r="J19" s="12" t="inlineStr">
        <is>
          <t>Await ACH processing</t>
        </is>
      </c>
      <c r="K19" t="inlineStr">
        <is>
          <t>Gmail payment breakdown 2026-07-11</t>
        </is>
      </c>
      <c r="L19" t="inlineStr">
        <is>
          <t>Payment breakdown confirmed at $194.99; expected payment 2026-07-23; ACH pending.</t>
        </is>
      </c>
    </row>
    <row r="20">
      <c r="A20" s="242" t="inlineStr">
        <is>
          <t>Warning</t>
        </is>
      </c>
      <c r="B20" s="242" t="inlineStr">
        <is>
          <t>Revenue Variance</t>
        </is>
      </c>
      <c r="C20" s="242" t="n">
        <v>62</v>
      </c>
      <c r="D20" s="242" t="inlineStr">
        <is>
          <t>5913868</t>
        </is>
      </c>
      <c r="E20" s="242" t="inlineStr">
        <is>
          <t>TJ Maxx</t>
        </is>
      </c>
      <c r="F20" s="675" t="inlineStr">
        <is>
          <t>Martinsburg</t>
        </is>
      </c>
      <c r="G20" s="242" t="inlineStr">
        <is>
          <t>WV</t>
        </is>
      </c>
      <c r="H20" s="675" t="n">
        <v>49.17</v>
      </c>
      <c r="I20" s="242" t="inlineStr">
        <is>
          <t>BREAKDOWN_MISMATCH</t>
        </is>
      </c>
      <c r="J20" s="242" t="inlineStr">
        <is>
          <t>Review and dispute or reconcile the variance</t>
        </is>
      </c>
      <c r="K20" t="inlineStr">
        <is>
          <t>Gmail payment breakdown 2026-07-10 + Phase 1 ledger</t>
        </is>
      </c>
      <c r="L20" t="inlineStr">
        <is>
          <t>Negotiated amount $150.00; payment breakdown received for $100.83; variance -$49.17; expected payment 2026-07-23.</t>
        </is>
      </c>
    </row>
    <row r="21">
      <c r="A21" t="inlineStr">
        <is>
          <t>Critical</t>
        </is>
      </c>
      <c r="B21" t="inlineStr">
        <is>
          <t>Mapping Hold</t>
        </is>
      </c>
      <c r="D21" t="inlineStr">
        <is>
          <t>5905579</t>
        </is>
      </c>
      <c r="E21" t="inlineStr">
        <is>
          <t>Hebrew Home of Greater Washington</t>
        </is>
      </c>
      <c r="F21" s="657" t="inlineStr">
        <is>
          <t>North Bethesda</t>
        </is>
      </c>
      <c r="G21" t="inlineStr">
        <is>
          <t>MD</t>
        </is>
      </c>
      <c r="H21" s="657" t="n">
        <v>35</v>
      </c>
      <c r="I21" t="inlineStr">
        <is>
          <t>MAPPING_HOLD</t>
        </is>
      </c>
      <c r="J21" t="inlineStr">
        <is>
          <t>Resolve WO-to-event ownership before financial closure</t>
        </is>
      </c>
      <c r="K21" t="inlineStr">
        <is>
          <t>Phase 1 duplicate rows consolidated</t>
        </is>
      </c>
      <c r="L21" t="inlineStr">
        <is>
          <t>Duplicate WO collision preserved without guessing. Event 48 legacy breakdown $70; Event 51 legacy breakdown $60; ACH $35. Human mapping required before assigning this WO.</t>
        </is>
      </c>
    </row>
    <row r="22">
      <c r="A22" t="inlineStr">
        <is>
          <t>Informational</t>
        </is>
      </c>
      <c r="B22" t="inlineStr">
        <is>
          <t>Pending Breakdown</t>
        </is>
      </c>
      <c r="C22" t="n">
        <v>63</v>
      </c>
      <c r="D22" t="inlineStr">
        <is>
          <t>5909368</t>
        </is>
      </c>
      <c r="E22" t="inlineStr">
        <is>
          <t>Marshalls</t>
        </is>
      </c>
      <c r="F22" t="inlineStr">
        <is>
          <t>Cockeysville</t>
        </is>
      </c>
      <c r="G22" t="inlineStr">
        <is>
          <t>MD</t>
        </is>
      </c>
      <c r="H22" s="657" t="n"/>
      <c r="I22" t="inlineStr">
        <is>
          <t>Breakdown pending</t>
        </is>
      </c>
      <c r="J22" t="inlineStr">
        <is>
          <t>Await payment breakdown</t>
        </is>
      </c>
      <c r="K22" t="inlineStr">
        <is>
          <t>WO 5909368 + user completion</t>
        </is>
      </c>
      <c r="L22" t="inlineStr">
        <is>
          <t>Hourly rate $40.00; final payable hours and breakdown pending.</t>
        </is>
      </c>
    </row>
    <row r="23">
      <c r="A23" t="inlineStr">
        <is>
          <t>Informational</t>
        </is>
      </c>
      <c r="B23" t="inlineStr">
        <is>
          <t>Pending Breakdown</t>
        </is>
      </c>
      <c r="C23" t="n">
        <v>64</v>
      </c>
      <c r="D23" t="inlineStr">
        <is>
          <t>5916961</t>
        </is>
      </c>
      <c r="E23" t="inlineStr">
        <is>
          <t>Marshalls</t>
        </is>
      </c>
      <c r="F23" t="inlineStr">
        <is>
          <t>Hagerstown</t>
        </is>
      </c>
      <c r="G23" t="inlineStr">
        <is>
          <t>MD</t>
        </is>
      </c>
      <c r="H23" s="657" t="n"/>
      <c r="I23" t="inlineStr">
        <is>
          <t>Breakdown pending</t>
        </is>
      </c>
      <c r="J23" t="inlineStr">
        <is>
          <t>Await payment breakdown</t>
        </is>
      </c>
      <c r="K23" t="inlineStr">
        <is>
          <t>WO 5916961 + onsite timeline</t>
        </is>
      </c>
      <c r="L23" t="inlineStr">
        <is>
          <t>Hourly rate $55.00; documented support-driven extended onsite time; final breakdown pending.</t>
        </is>
      </c>
    </row>
    <row r="24">
      <c r="A24" t="inlineStr">
        <is>
          <t>Informational</t>
        </is>
      </c>
      <c r="B24" t="inlineStr">
        <is>
          <t>Pending Breakdown</t>
        </is>
      </c>
      <c r="C24" t="n">
        <v>65</v>
      </c>
      <c r="D24" t="inlineStr">
        <is>
          <t>5917407</t>
        </is>
      </c>
      <c r="E24" t="inlineStr">
        <is>
          <t>HomeGoods</t>
        </is>
      </c>
      <c r="F24" t="inlineStr">
        <is>
          <t>Gaithersburg</t>
        </is>
      </c>
      <c r="G24" t="inlineStr">
        <is>
          <t>MD</t>
        </is>
      </c>
      <c r="H24" s="657" t="n"/>
      <c r="I24" t="inlineStr">
        <is>
          <t>Breakdown pending</t>
        </is>
      </c>
      <c r="J24" t="inlineStr">
        <is>
          <t>Await payment breakdown</t>
        </is>
      </c>
      <c r="K24" t="inlineStr">
        <is>
          <t>User completion + ticket/photo evidence</t>
        </is>
      </c>
      <c r="L24" t="inlineStr">
        <is>
          <t>Hourly rate $50.00; power cable and pin pad replaced; final breakdown pending.</t>
        </is>
      </c>
    </row>
    <row r="25">
      <c r="A25" t="inlineStr">
        <is>
          <t>Informational</t>
        </is>
      </c>
      <c r="B25" t="inlineStr">
        <is>
          <t>Pending Breakdown</t>
        </is>
      </c>
      <c r="C25" t="n">
        <v>66</v>
      </c>
      <c r="D25" t="inlineStr">
        <is>
          <t>5909385</t>
        </is>
      </c>
      <c r="E25" t="inlineStr">
        <is>
          <t>TJ Maxx</t>
        </is>
      </c>
      <c r="F25" t="inlineStr">
        <is>
          <t>Bel Air</t>
        </is>
      </c>
      <c r="G25" t="inlineStr">
        <is>
          <t>MD</t>
        </is>
      </c>
      <c r="H25" s="657" t="n"/>
      <c r="I25" t="inlineStr">
        <is>
          <t>Breakdown pending</t>
        </is>
      </c>
      <c r="J25" t="inlineStr">
        <is>
          <t>Await payment breakdown</t>
        </is>
      </c>
      <c r="K25" t="inlineStr">
        <is>
          <t>WO 5909385 + user completion</t>
        </is>
      </c>
      <c r="L25" t="inlineStr">
        <is>
          <t>Hourly rate $45.00; NextGen 11 server refresh completed; final breakdown pending.</t>
        </is>
      </c>
    </row>
    <row r="26">
      <c r="A26" t="inlineStr">
        <is>
          <t>Informational</t>
        </is>
      </c>
      <c r="B26" t="inlineStr">
        <is>
          <t>Pending ACH</t>
        </is>
      </c>
      <c r="C26" t="n">
        <v>67</v>
      </c>
      <c r="D26" t="inlineStr">
        <is>
          <t>5914898</t>
        </is>
      </c>
      <c r="E26" t="inlineStr">
        <is>
          <t>Dunkin</t>
        </is>
      </c>
      <c r="F26" t="inlineStr">
        <is>
          <t>Aberdeen</t>
        </is>
      </c>
      <c r="G26" t="inlineStr">
        <is>
          <t>MD</t>
        </is>
      </c>
      <c r="H26" s="657" t="n">
        <v>183.74</v>
      </c>
      <c r="I26" t="inlineStr">
        <is>
          <t>ACH missing</t>
        </is>
      </c>
      <c r="J26" t="inlineStr">
        <is>
          <t>Await ACH processing</t>
        </is>
      </c>
      <c r="K26" t="inlineStr">
        <is>
          <t>Gmail payment breakdown 2026-07-14 + user completion</t>
        </is>
      </c>
      <c r="L26" t="inlineStr">
        <is>
          <t>Return visit completed; $183.74 breakdown confirmed; expected payment 2026-07-28; ACH pending.</t>
        </is>
      </c>
    </row>
    <row r="27"/>
    <row r="28"/>
    <row r="29">
      <c r="A29" s="688" t="inlineStr">
        <is>
          <t>Ledger Exception Matrix — Dynamic</t>
        </is>
      </c>
      <c r="B29" s="1" t="n"/>
      <c r="C29" s="1" t="n"/>
      <c r="D29" s="1" t="n"/>
      <c r="E29" s="1" t="n"/>
      <c r="F29" s="1" t="n"/>
      <c r="G29" s="1" t="n"/>
      <c r="H29" s="1" t="n"/>
      <c r="I29" s="1" t="n"/>
      <c r="J29" s="1" t="n"/>
      <c r="K29" s="1" t="n"/>
      <c r="L29" s="1" t="n"/>
      <c r="M29" s="1" t="n"/>
      <c r="N29" s="1" t="n"/>
      <c r="O29" s="1" t="n"/>
      <c r="P29" s="1" t="n"/>
      <c r="Q29" s="1" t="n"/>
      <c r="R29" s="1" t="n"/>
      <c r="S29" s="1" t="n"/>
      <c r="T29" s="1" t="n"/>
      <c r="U29" s="1" t="n"/>
      <c r="V29" s="1" t="n"/>
    </row>
    <row r="30">
      <c r="A30" s="294" t="inlineStr">
        <is>
          <t>Ledger Record ID</t>
        </is>
      </c>
      <c r="B30" s="294" t="inlineStr">
        <is>
          <t>WO #</t>
        </is>
      </c>
      <c r="C30" s="294" t="inlineStr">
        <is>
          <t>Event #</t>
        </is>
      </c>
      <c r="D30" s="294" t="inlineStr">
        <is>
          <t>Client</t>
        </is>
      </c>
      <c r="E30" s="294" t="inlineStr">
        <is>
          <t>Breakdown Status</t>
        </is>
      </c>
      <c r="F30" s="294" t="inlineStr">
        <is>
          <t>ACH Status</t>
        </is>
      </c>
      <c r="G30" s="294" t="inlineStr">
        <is>
          <t>Variance</t>
        </is>
      </c>
      <c r="H30" s="294" t="inlineStr">
        <is>
          <t>Duplicate WO</t>
        </is>
      </c>
      <c r="I30" s="294" t="inlineStr">
        <is>
          <t>Missing Event Link</t>
        </is>
      </c>
      <c r="J30" s="294" t="inlineStr">
        <is>
          <t>Mapping Hold</t>
        </is>
      </c>
      <c r="K30" s="294" t="inlineStr">
        <is>
          <t>Missing Breakdown</t>
        </is>
      </c>
      <c r="L30" s="294" t="inlineStr">
        <is>
          <t>Pending ACH</t>
        </is>
      </c>
      <c r="M30" s="294" t="inlineStr">
        <is>
          <t>Revenue Variance</t>
        </is>
      </c>
      <c r="N30" s="294" t="inlineStr">
        <is>
          <t>Missing Client</t>
        </is>
      </c>
      <c r="O30" s="294" t="inlineStr">
        <is>
          <t>Missing Location</t>
        </is>
      </c>
      <c r="P30" s="294" t="inlineStr">
        <is>
          <t>Unknown Breakdown Status</t>
        </is>
      </c>
      <c r="Q30" s="294" t="inlineStr">
        <is>
          <t>Unknown ACH Status</t>
        </is>
      </c>
      <c r="R30" s="294" t="inlineStr">
        <is>
          <t>Primary Issue</t>
        </is>
      </c>
      <c r="S30" s="294" t="inlineStr">
        <is>
          <t>Severity</t>
        </is>
      </c>
      <c r="T30" s="294" t="inlineStr">
        <is>
          <t>Required Action</t>
        </is>
      </c>
      <c r="U30" s="294" t="inlineStr">
        <is>
          <t>Open?</t>
        </is>
      </c>
      <c r="V30" s="294" t="inlineStr">
        <is>
          <t>Absolute Variance</t>
        </is>
      </c>
    </row>
    <row r="31">
      <c r="A31" t="inlineStr">
        <is>
          <t>LED-0001</t>
        </is>
      </c>
      <c r="B31">
        <f>INDEX(tblLedger[Work Order #],MATCH($A31,tblLedger[Ledger Record ID],0))</f>
        <v/>
      </c>
      <c r="C31">
        <f>INDEX(tblLedger[Event #],MATCH($A31,tblLedger[Ledger Record ID],0))</f>
        <v/>
      </c>
      <c r="D31">
        <f>INDEX(tblLedger[Client],MATCH($A31,tblLedger[Ledger Record ID],0))</f>
        <v/>
      </c>
      <c r="E31">
        <f>INDEX(tblLedger[Breakdown Confirmed],MATCH($A31,tblLedger[Ledger Record ID],0))</f>
        <v/>
      </c>
      <c r="F31">
        <f>INDEX(tblLedger[ACH Confirmed],MATCH($A31,tblLedger[Ledger Record ID],0))</f>
        <v/>
      </c>
      <c r="G31" s="657">
        <f>INDEX(tblLedger[Variance],MATCH($A31,tblLedger[Ledger Record ID],0))</f>
        <v/>
      </c>
      <c r="H31">
        <f>IF(COUNTIF(tblLedger[Work Order #],B31)&gt;1,"Yes","No")</f>
        <v/>
      </c>
      <c r="I31">
        <f>IF(C31="","Yes","No")</f>
        <v/>
      </c>
      <c r="J31">
        <f>IF(INDEX(tblLedger[Mapping Status],MATCH($A31,tblLedger[Ledger Record ID],0))="MAPPING_HOLD","Yes","No")</f>
        <v/>
      </c>
      <c r="K31">
        <f>IF(AND(OR(E31="No",E31="Pending"),IFERROR(INDEX(tblServiceEvents[Financial Scope],MATCH(C31,tblServiceEvents[Event #],0)),"Included")="Included"),"Yes","No")</f>
        <v/>
      </c>
      <c r="L31">
        <f>IF(AND(E31="Yes",OR(F31="No",F31="Pending")),"Yes","No")</f>
        <v/>
      </c>
      <c r="M31">
        <f>IF(OR(ABS(N(G31))&gt;0,INDEX(tblLedger[Reconciliation Status],MATCH($A31,tblLedger[Ledger Record ID],0))="BREAKDOWN_MISMATCH",INDEX(tblLedger[Reconciliation Status],MATCH($A31,tblLedger[Ledger Record ID],0))="ACH_MISMATCH"),"Yes","No")</f>
        <v/>
      </c>
      <c r="N31">
        <f>IF(D31="","Yes","No")</f>
        <v/>
      </c>
      <c r="O31">
        <f>IF(OR(INDEX(tblLedger[City],MATCH($A31,tblLedger[Ledger Record ID],0))="",INDEX(tblLedger[Jurisdiction],MATCH($A31,tblLedger[Ledger Record ID],0))=""),"Yes","No")</f>
        <v/>
      </c>
      <c r="P31">
        <f>IF(COUNTIF({"Yes","No","Partial","Pending","Mapping Hold"},E31)=0,"Yes","No")</f>
        <v/>
      </c>
      <c r="Q31">
        <f>IF(COUNTIF({"Yes","No","Partial","Pending","Mapping Review"},F31)=0,"Yes","No")</f>
        <v/>
      </c>
      <c r="R31">
        <f>IF(J31="Yes","Mapping Hold",IF(I31="Yes","Missing Event Link",IF(H31="Yes","Duplicate WO",IF(M31="Yes","Revenue Variance",IF(K31="Yes","Missing Breakdown",IF(L31="Yes","Pending ACH",IF(E31="Partial","Partial Breakdown",IF(N31="Yes","Missing Client",IF(O31="Yes","Missing Location",IF(P31="Yes","Unknown Breakdown Status",IF(Q31="Yes","Unknown ACH Status","OK")))))))))))</f>
        <v/>
      </c>
      <c r="S31">
        <f>IF(OR(J31="Yes",I31="Yes",H31="Yes"),"Critical",IF(OR(M31="Yes",E31="Partial",N31="Yes",O31="Yes",P31="Yes",Q31="Yes"),"Warning",IF(OR(K31="Yes",L31="Yes"),"Informational","OK")))</f>
        <v/>
      </c>
      <c r="T31">
        <f>IF(R31="Mapping Hold","Resolve mapping before update",IF(R31="Missing Event Link","Map to one authoritative event",IF(R31="Duplicate WO","Review duplicate identity",IF(R31="Revenue Variance","Reconcile or dispute amount",IF(R31="Missing Breakdown","Await breakdown",IF(R31="Pending ACH","Await ACH",IF(R31="Partial Breakdown","Confirm remaining breakdown",IF(R31="Missing Client","Add canonical client",IF(R31="Missing Location","Complete location fields",IF(R31="OK","No action","Review invalid status"))))))))))</f>
        <v/>
      </c>
      <c r="U31">
        <f>IF(R31="OK","No","Yes")</f>
        <v/>
      </c>
      <c r="V31" s="657">
        <f>ABS(N(G31))</f>
        <v/>
      </c>
    </row>
    <row r="32">
      <c r="A32" t="inlineStr">
        <is>
          <t>LED-0002</t>
        </is>
      </c>
      <c r="B32">
        <f>INDEX(tblLedger[Work Order #],MATCH($A32,tblLedger[Ledger Record ID],0))</f>
        <v/>
      </c>
      <c r="C32">
        <f>INDEX(tblLedger[Event #],MATCH($A32,tblLedger[Ledger Record ID],0))</f>
        <v/>
      </c>
      <c r="D32">
        <f>INDEX(tblLedger[Client],MATCH($A32,tblLedger[Ledger Record ID],0))</f>
        <v/>
      </c>
      <c r="E32">
        <f>INDEX(tblLedger[Breakdown Confirmed],MATCH($A32,tblLedger[Ledger Record ID],0))</f>
        <v/>
      </c>
      <c r="F32">
        <f>INDEX(tblLedger[ACH Confirmed],MATCH($A32,tblLedger[Ledger Record ID],0))</f>
        <v/>
      </c>
      <c r="G32" s="657">
        <f>INDEX(tblLedger[Variance],MATCH($A32,tblLedger[Ledger Record ID],0))</f>
        <v/>
      </c>
      <c r="H32">
        <f>IF(COUNTIF(tblLedger[Work Order #],B32)&gt;1,"Yes","No")</f>
        <v/>
      </c>
      <c r="I32">
        <f>IF(C32="","Yes","No")</f>
        <v/>
      </c>
      <c r="J32">
        <f>IF(INDEX(tblLedger[Mapping Status],MATCH($A32,tblLedger[Ledger Record ID],0))="MAPPING_HOLD","Yes","No")</f>
        <v/>
      </c>
      <c r="K32">
        <f>IF(AND(OR(E32="No",E32="Pending"),IFERROR(INDEX(tblServiceEvents[Financial Scope],MATCH(C32,tblServiceEvents[Event #],0)),"Included")="Included"),"Yes","No")</f>
        <v/>
      </c>
      <c r="L32">
        <f>IF(AND(E32="Yes",OR(F32="No",F32="Pending")),"Yes","No")</f>
        <v/>
      </c>
      <c r="M32">
        <f>IF(OR(ABS(N(G32))&gt;0,INDEX(tblLedger[Reconciliation Status],MATCH($A32,tblLedger[Ledger Record ID],0))="BREAKDOWN_MISMATCH",INDEX(tblLedger[Reconciliation Status],MATCH($A32,tblLedger[Ledger Record ID],0))="ACH_MISMATCH"),"Yes","No")</f>
        <v/>
      </c>
      <c r="N32">
        <f>IF(D32="","Yes","No")</f>
        <v/>
      </c>
      <c r="O32">
        <f>IF(OR(INDEX(tblLedger[City],MATCH($A32,tblLedger[Ledger Record ID],0))="",INDEX(tblLedger[Jurisdiction],MATCH($A32,tblLedger[Ledger Record ID],0))=""),"Yes","No")</f>
        <v/>
      </c>
      <c r="P32">
        <f>IF(COUNTIF({"Yes","No","Partial","Pending","Mapping Hold"},E32)=0,"Yes","No")</f>
        <v/>
      </c>
      <c r="Q32">
        <f>IF(COUNTIF({"Yes","No","Partial","Pending","Mapping Review"},F32)=0,"Yes","No")</f>
        <v/>
      </c>
      <c r="R32">
        <f>IF(J32="Yes","Mapping Hold",IF(I32="Yes","Missing Event Link",IF(H32="Yes","Duplicate WO",IF(M32="Yes","Revenue Variance",IF(K32="Yes","Missing Breakdown",IF(L32="Yes","Pending ACH",IF(E32="Partial","Partial Breakdown",IF(N32="Yes","Missing Client",IF(O32="Yes","Missing Location",IF(P32="Yes","Unknown Breakdown Status",IF(Q32="Yes","Unknown ACH Status","OK")))))))))))</f>
        <v/>
      </c>
      <c r="S32">
        <f>IF(OR(J32="Yes",I32="Yes",H32="Yes"),"Critical",IF(OR(M32="Yes",E32="Partial",N32="Yes",O32="Yes",P32="Yes",Q32="Yes"),"Warning",IF(OR(K32="Yes",L32="Yes"),"Informational","OK")))</f>
        <v/>
      </c>
      <c r="T32">
        <f>IF(R32="Mapping Hold","Resolve mapping before update",IF(R32="Missing Event Link","Map to one authoritative event",IF(R32="Duplicate WO","Review duplicate identity",IF(R32="Revenue Variance","Reconcile or dispute amount",IF(R32="Missing Breakdown","Await breakdown",IF(R32="Pending ACH","Await ACH",IF(R32="Partial Breakdown","Confirm remaining breakdown",IF(R32="Missing Client","Add canonical client",IF(R32="Missing Location","Complete location fields",IF(R32="OK","No action","Review invalid status"))))))))))</f>
        <v/>
      </c>
      <c r="U32">
        <f>IF(R32="OK","No","Yes")</f>
        <v/>
      </c>
      <c r="V32" s="657">
        <f>ABS(N(G32))</f>
        <v/>
      </c>
    </row>
    <row r="33">
      <c r="A33" t="inlineStr">
        <is>
          <t>LED-0003</t>
        </is>
      </c>
      <c r="B33">
        <f>INDEX(tblLedger[Work Order #],MATCH($A33,tblLedger[Ledger Record ID],0))</f>
        <v/>
      </c>
      <c r="C33">
        <f>INDEX(tblLedger[Event #],MATCH($A33,tblLedger[Ledger Record ID],0))</f>
        <v/>
      </c>
      <c r="D33">
        <f>INDEX(tblLedger[Client],MATCH($A33,tblLedger[Ledger Record ID],0))</f>
        <v/>
      </c>
      <c r="E33">
        <f>INDEX(tblLedger[Breakdown Confirmed],MATCH($A33,tblLedger[Ledger Record ID],0))</f>
        <v/>
      </c>
      <c r="F33">
        <f>INDEX(tblLedger[ACH Confirmed],MATCH($A33,tblLedger[Ledger Record ID],0))</f>
        <v/>
      </c>
      <c r="G33" s="657">
        <f>INDEX(tblLedger[Variance],MATCH($A33,tblLedger[Ledger Record ID],0))</f>
        <v/>
      </c>
      <c r="H33">
        <f>IF(COUNTIF(tblLedger[Work Order #],B33)&gt;1,"Yes","No")</f>
        <v/>
      </c>
      <c r="I33">
        <f>IF(C33="","Yes","No")</f>
        <v/>
      </c>
      <c r="J33">
        <f>IF(INDEX(tblLedger[Mapping Status],MATCH($A33,tblLedger[Ledger Record ID],0))="MAPPING_HOLD","Yes","No")</f>
        <v/>
      </c>
      <c r="K33">
        <f>IF(AND(OR(E33="No",E33="Pending"),IFERROR(INDEX(tblServiceEvents[Financial Scope],MATCH(C33,tblServiceEvents[Event #],0)),"Included")="Included"),"Yes","No")</f>
        <v/>
      </c>
      <c r="L33">
        <f>IF(AND(E33="Yes",OR(F33="No",F33="Pending")),"Yes","No")</f>
        <v/>
      </c>
      <c r="M33">
        <f>IF(OR(ABS(N(G33))&gt;0,INDEX(tblLedger[Reconciliation Status],MATCH($A33,tblLedger[Ledger Record ID],0))="BREAKDOWN_MISMATCH",INDEX(tblLedger[Reconciliation Status],MATCH($A33,tblLedger[Ledger Record ID],0))="ACH_MISMATCH"),"Yes","No")</f>
        <v/>
      </c>
      <c r="N33">
        <f>IF(D33="","Yes","No")</f>
        <v/>
      </c>
      <c r="O33">
        <f>IF(OR(INDEX(tblLedger[City],MATCH($A33,tblLedger[Ledger Record ID],0))="",INDEX(tblLedger[Jurisdiction],MATCH($A33,tblLedger[Ledger Record ID],0))=""),"Yes","No")</f>
        <v/>
      </c>
      <c r="P33">
        <f>IF(COUNTIF({"Yes","No","Partial","Pending","Mapping Hold"},E33)=0,"Yes","No")</f>
        <v/>
      </c>
      <c r="Q33">
        <f>IF(COUNTIF({"Yes","No","Partial","Pending","Mapping Review"},F33)=0,"Yes","No")</f>
        <v/>
      </c>
      <c r="R33">
        <f>IF(J33="Yes","Mapping Hold",IF(I33="Yes","Missing Event Link",IF(H33="Yes","Duplicate WO",IF(M33="Yes","Revenue Variance",IF(K33="Yes","Missing Breakdown",IF(L33="Yes","Pending ACH",IF(E33="Partial","Partial Breakdown",IF(N33="Yes","Missing Client",IF(O33="Yes","Missing Location",IF(P33="Yes","Unknown Breakdown Status",IF(Q33="Yes","Unknown ACH Status","OK")))))))))))</f>
        <v/>
      </c>
      <c r="S33">
        <f>IF(OR(J33="Yes",I33="Yes",H33="Yes"),"Critical",IF(OR(M33="Yes",E33="Partial",N33="Yes",O33="Yes",P33="Yes",Q33="Yes"),"Warning",IF(OR(K33="Yes",L33="Yes"),"Informational","OK")))</f>
        <v/>
      </c>
      <c r="T33">
        <f>IF(R33="Mapping Hold","Resolve mapping before update",IF(R33="Missing Event Link","Map to one authoritative event",IF(R33="Duplicate WO","Review duplicate identity",IF(R33="Revenue Variance","Reconcile or dispute amount",IF(R33="Missing Breakdown","Await breakdown",IF(R33="Pending ACH","Await ACH",IF(R33="Partial Breakdown","Confirm remaining breakdown",IF(R33="Missing Client","Add canonical client",IF(R33="Missing Location","Complete location fields",IF(R33="OK","No action","Review invalid status"))))))))))</f>
        <v/>
      </c>
      <c r="U33">
        <f>IF(R33="OK","No","Yes")</f>
        <v/>
      </c>
      <c r="V33" s="657">
        <f>ABS(N(G33))</f>
        <v/>
      </c>
    </row>
    <row r="34">
      <c r="A34" s="12" t="inlineStr">
        <is>
          <t>LED-0004</t>
        </is>
      </c>
      <c r="B34" s="12">
        <f>INDEX(tblLedger[Work Order #],MATCH($A34,tblLedger[Ledger Record ID],0))</f>
        <v/>
      </c>
      <c r="C34" s="12">
        <f>INDEX(tblLedger[Event #],MATCH($A34,tblLedger[Ledger Record ID],0))</f>
        <v/>
      </c>
      <c r="D34" s="12">
        <f>INDEX(tblLedger[Client],MATCH($A34,tblLedger[Ledger Record ID],0))</f>
        <v/>
      </c>
      <c r="E34" s="12">
        <f>INDEX(tblLedger[Breakdown Confirmed],MATCH($A34,tblLedger[Ledger Record ID],0))</f>
        <v/>
      </c>
      <c r="F34" s="12">
        <f>INDEX(tblLedger[ACH Confirmed],MATCH($A34,tblLedger[Ledger Record ID],0))</f>
        <v/>
      </c>
      <c r="G34" s="674">
        <f>INDEX(tblLedger[Variance],MATCH($A34,tblLedger[Ledger Record ID],0))</f>
        <v/>
      </c>
      <c r="H34" s="12">
        <f>IF(COUNTIF(tblLedger[Work Order #],B34)&gt;1,"Yes","No")</f>
        <v/>
      </c>
      <c r="I34">
        <f>IF(C34="","Yes","No")</f>
        <v/>
      </c>
      <c r="J34">
        <f>IF(INDEX(tblLedger[Mapping Status],MATCH($A34,tblLedger[Ledger Record ID],0))="MAPPING_HOLD","Yes","No")</f>
        <v/>
      </c>
      <c r="K34">
        <f>IF(AND(OR(E34="No",E34="Pending"),IFERROR(INDEX(tblServiceEvents[Financial Scope],MATCH(C34,tblServiceEvents[Event #],0)),"Included")="Included"),"Yes","No")</f>
        <v/>
      </c>
      <c r="L34">
        <f>IF(AND(E34="Yes",OR(F34="No",F34="Pending")),"Yes","No")</f>
        <v/>
      </c>
      <c r="M34">
        <f>IF(OR(ABS(N(G34))&gt;0,INDEX(tblLedger[Reconciliation Status],MATCH($A34,tblLedger[Ledger Record ID],0))="BREAKDOWN_MISMATCH",INDEX(tblLedger[Reconciliation Status],MATCH($A34,tblLedger[Ledger Record ID],0))="ACH_MISMATCH"),"Yes","No")</f>
        <v/>
      </c>
      <c r="N34">
        <f>IF(D34="","Yes","No")</f>
        <v/>
      </c>
      <c r="O34">
        <f>IF(OR(INDEX(tblLedger[City],MATCH($A34,tblLedger[Ledger Record ID],0))="",INDEX(tblLedger[Jurisdiction],MATCH($A34,tblLedger[Ledger Record ID],0))=""),"Yes","No")</f>
        <v/>
      </c>
      <c r="P34">
        <f>IF(COUNTIF({"Yes","No","Partial","Pending","Mapping Hold"},E34)=0,"Yes","No")</f>
        <v/>
      </c>
      <c r="Q34">
        <f>IF(COUNTIF({"Yes","No","Partial","Pending","Mapping Review"},F34)=0,"Yes","No")</f>
        <v/>
      </c>
      <c r="R34">
        <f>IF(J34="Yes","Mapping Hold",IF(I34="Yes","Missing Event Link",IF(H34="Yes","Duplicate WO",IF(M34="Yes","Revenue Variance",IF(K34="Yes","Missing Breakdown",IF(L34="Yes","Pending ACH",IF(E34="Partial","Partial Breakdown",IF(N34="Yes","Missing Client",IF(O34="Yes","Missing Location",IF(P34="Yes","Unknown Breakdown Status",IF(Q34="Yes","Unknown ACH Status","OK")))))))))))</f>
        <v/>
      </c>
      <c r="S34">
        <f>IF(OR(J34="Yes",I34="Yes",H34="Yes"),"Critical",IF(OR(M34="Yes",E34="Partial",N34="Yes",O34="Yes",P34="Yes",Q34="Yes"),"Warning",IF(OR(K34="Yes",L34="Yes"),"Informational","OK")))</f>
        <v/>
      </c>
      <c r="T34">
        <f>IF(R34="Mapping Hold","Resolve mapping before update",IF(R34="Missing Event Link","Map to one authoritative event",IF(R34="Duplicate WO","Review duplicate identity",IF(R34="Revenue Variance","Reconcile or dispute amount",IF(R34="Missing Breakdown","Await breakdown",IF(R34="Pending ACH","Await ACH",IF(R34="Partial Breakdown","Confirm remaining breakdown",IF(R34="Missing Client","Add canonical client",IF(R34="Missing Location","Complete location fields",IF(R34="OK","No action","Review invalid status"))))))))))</f>
        <v/>
      </c>
      <c r="U34">
        <f>IF(R34="OK","No","Yes")</f>
        <v/>
      </c>
      <c r="V34" s="657">
        <f>ABS(N(G34))</f>
        <v/>
      </c>
    </row>
    <row r="35">
      <c r="A35" s="242" t="inlineStr">
        <is>
          <t>LED-0005</t>
        </is>
      </c>
      <c r="B35" s="242">
        <f>INDEX(tblLedger[Work Order #],MATCH($A35,tblLedger[Ledger Record ID],0))</f>
        <v/>
      </c>
      <c r="C35" s="242">
        <f>INDEX(tblLedger[Event #],MATCH($A35,tblLedger[Ledger Record ID],0))</f>
        <v/>
      </c>
      <c r="D35" s="242">
        <f>INDEX(tblLedger[Client],MATCH($A35,tblLedger[Ledger Record ID],0))</f>
        <v/>
      </c>
      <c r="E35" s="242">
        <f>INDEX(tblLedger[Breakdown Confirmed],MATCH($A35,tblLedger[Ledger Record ID],0))</f>
        <v/>
      </c>
      <c r="F35" s="242">
        <f>INDEX(tblLedger[ACH Confirmed],MATCH($A35,tblLedger[Ledger Record ID],0))</f>
        <v/>
      </c>
      <c r="G35" s="675">
        <f>INDEX(tblLedger[Variance],MATCH($A35,tblLedger[Ledger Record ID],0))</f>
        <v/>
      </c>
      <c r="H35" s="242">
        <f>IF(COUNTIF(tblLedger[Work Order #],B35)&gt;1,"Yes","No")</f>
        <v/>
      </c>
      <c r="I35">
        <f>IF(C35="","Yes","No")</f>
        <v/>
      </c>
      <c r="J35">
        <f>IF(INDEX(tblLedger[Mapping Status],MATCH($A35,tblLedger[Ledger Record ID],0))="MAPPING_HOLD","Yes","No")</f>
        <v/>
      </c>
      <c r="K35">
        <f>IF(AND(OR(E35="No",E35="Pending"),IFERROR(INDEX(tblServiceEvents[Financial Scope],MATCH(C35,tblServiceEvents[Event #],0)),"Included")="Included"),"Yes","No")</f>
        <v/>
      </c>
      <c r="L35">
        <f>IF(AND(E35="Yes",OR(F35="No",F35="Pending")),"Yes","No")</f>
        <v/>
      </c>
      <c r="M35">
        <f>IF(OR(ABS(N(G35))&gt;0,INDEX(tblLedger[Reconciliation Status],MATCH($A35,tblLedger[Ledger Record ID],0))="BREAKDOWN_MISMATCH",INDEX(tblLedger[Reconciliation Status],MATCH($A35,tblLedger[Ledger Record ID],0))="ACH_MISMATCH"),"Yes","No")</f>
        <v/>
      </c>
      <c r="N35">
        <f>IF(D35="","Yes","No")</f>
        <v/>
      </c>
      <c r="O35">
        <f>IF(OR(INDEX(tblLedger[City],MATCH($A35,tblLedger[Ledger Record ID],0))="",INDEX(tblLedger[Jurisdiction],MATCH($A35,tblLedger[Ledger Record ID],0))=""),"Yes","No")</f>
        <v/>
      </c>
      <c r="P35">
        <f>IF(COUNTIF({"Yes","No","Partial","Pending","Mapping Hold"},E35)=0,"Yes","No")</f>
        <v/>
      </c>
      <c r="Q35">
        <f>IF(COUNTIF({"Yes","No","Partial","Pending","Mapping Review"},F35)=0,"Yes","No")</f>
        <v/>
      </c>
      <c r="R35">
        <f>IF(J35="Yes","Mapping Hold",IF(I35="Yes","Missing Event Link",IF(H35="Yes","Duplicate WO",IF(M35="Yes","Revenue Variance",IF(K35="Yes","Missing Breakdown",IF(L35="Yes","Pending ACH",IF(E35="Partial","Partial Breakdown",IF(N35="Yes","Missing Client",IF(O35="Yes","Missing Location",IF(P35="Yes","Unknown Breakdown Status",IF(Q35="Yes","Unknown ACH Status","OK")))))))))))</f>
        <v/>
      </c>
      <c r="S35">
        <f>IF(OR(J35="Yes",I35="Yes",H35="Yes"),"Critical",IF(OR(M35="Yes",E35="Partial",N35="Yes",O35="Yes",P35="Yes",Q35="Yes"),"Warning",IF(OR(K35="Yes",L35="Yes"),"Informational","OK")))</f>
        <v/>
      </c>
      <c r="T35">
        <f>IF(R35="Mapping Hold","Resolve mapping before update",IF(R35="Missing Event Link","Map to one authoritative event",IF(R35="Duplicate WO","Review duplicate identity",IF(R35="Revenue Variance","Reconcile or dispute amount",IF(R35="Missing Breakdown","Await breakdown",IF(R35="Pending ACH","Await ACH",IF(R35="Partial Breakdown","Confirm remaining breakdown",IF(R35="Missing Client","Add canonical client",IF(R35="Missing Location","Complete location fields",IF(R35="OK","No action","Review invalid status"))))))))))</f>
        <v/>
      </c>
      <c r="U35">
        <f>IF(R35="OK","No","Yes")</f>
        <v/>
      </c>
      <c r="V35" s="657">
        <f>ABS(N(G35))</f>
        <v/>
      </c>
    </row>
    <row r="36">
      <c r="A36" t="inlineStr">
        <is>
          <t>LED-0006</t>
        </is>
      </c>
      <c r="B36">
        <f>INDEX(tblLedger[Work Order #],MATCH($A36,tblLedger[Ledger Record ID],0))</f>
        <v/>
      </c>
      <c r="C36">
        <f>INDEX(tblLedger[Event #],MATCH($A36,tblLedger[Ledger Record ID],0))</f>
        <v/>
      </c>
      <c r="D36">
        <f>INDEX(tblLedger[Client],MATCH($A36,tblLedger[Ledger Record ID],0))</f>
        <v/>
      </c>
      <c r="E36">
        <f>INDEX(tblLedger[Breakdown Confirmed],MATCH($A36,tblLedger[Ledger Record ID],0))</f>
        <v/>
      </c>
      <c r="F36">
        <f>INDEX(tblLedger[ACH Confirmed],MATCH($A36,tblLedger[Ledger Record ID],0))</f>
        <v/>
      </c>
      <c r="G36" s="657">
        <f>INDEX(tblLedger[Variance],MATCH($A36,tblLedger[Ledger Record ID],0))</f>
        <v/>
      </c>
      <c r="H36">
        <f>IF(COUNTIF(tblLedger[Work Order #],B36)&gt;1,"Yes","No")</f>
        <v/>
      </c>
      <c r="I36">
        <f>IF(C36="","Yes","No")</f>
        <v/>
      </c>
      <c r="J36">
        <f>IF(INDEX(tblLedger[Mapping Status],MATCH($A36,tblLedger[Ledger Record ID],0))="MAPPING_HOLD","Yes","No")</f>
        <v/>
      </c>
      <c r="K36">
        <f>IF(AND(OR(E36="No",E36="Pending"),IFERROR(INDEX(tblServiceEvents[Financial Scope],MATCH(C36,tblServiceEvents[Event #],0)),"Included")="Included"),"Yes","No")</f>
        <v/>
      </c>
      <c r="L36">
        <f>IF(AND(E36="Yes",OR(F36="No",F36="Pending")),"Yes","No")</f>
        <v/>
      </c>
      <c r="M36">
        <f>IF(OR(ABS(N(G36))&gt;0,INDEX(tblLedger[Reconciliation Status],MATCH($A36,tblLedger[Ledger Record ID],0))="BREAKDOWN_MISMATCH",INDEX(tblLedger[Reconciliation Status],MATCH($A36,tblLedger[Ledger Record ID],0))="ACH_MISMATCH"),"Yes","No")</f>
        <v/>
      </c>
      <c r="N36">
        <f>IF(D36="","Yes","No")</f>
        <v/>
      </c>
      <c r="O36">
        <f>IF(OR(INDEX(tblLedger[City],MATCH($A36,tblLedger[Ledger Record ID],0))="",INDEX(tblLedger[Jurisdiction],MATCH($A36,tblLedger[Ledger Record ID],0))=""),"Yes","No")</f>
        <v/>
      </c>
      <c r="P36">
        <f>IF(COUNTIF({"Yes","No","Partial","Pending","Mapping Hold"},E36)=0,"Yes","No")</f>
        <v/>
      </c>
      <c r="Q36">
        <f>IF(COUNTIF({"Yes","No","Partial","Pending","Mapping Review"},F36)=0,"Yes","No")</f>
        <v/>
      </c>
      <c r="R36">
        <f>IF(J36="Yes","Mapping Hold",IF(I36="Yes","Missing Event Link",IF(H36="Yes","Duplicate WO",IF(M36="Yes","Revenue Variance",IF(K36="Yes","Missing Breakdown",IF(L36="Yes","Pending ACH",IF(E36="Partial","Partial Breakdown",IF(N36="Yes","Missing Client",IF(O36="Yes","Missing Location",IF(P36="Yes","Unknown Breakdown Status",IF(Q36="Yes","Unknown ACH Status","OK")))))))))))</f>
        <v/>
      </c>
      <c r="S36">
        <f>IF(OR(J36="Yes",I36="Yes",H36="Yes"),"Critical",IF(OR(M36="Yes",E36="Partial",N36="Yes",O36="Yes",P36="Yes",Q36="Yes"),"Warning",IF(OR(K36="Yes",L36="Yes"),"Informational","OK")))</f>
        <v/>
      </c>
      <c r="T36">
        <f>IF(R36="Mapping Hold","Resolve mapping before update",IF(R36="Missing Event Link","Map to one authoritative event",IF(R36="Duplicate WO","Review duplicate identity",IF(R36="Revenue Variance","Reconcile or dispute amount",IF(R36="Missing Breakdown","Await breakdown",IF(R36="Pending ACH","Await ACH",IF(R36="Partial Breakdown","Confirm remaining breakdown",IF(R36="Missing Client","Add canonical client",IF(R36="Missing Location","Complete location fields",IF(R36="OK","No action","Review invalid status"))))))))))</f>
        <v/>
      </c>
      <c r="U36">
        <f>IF(R36="OK","No","Yes")</f>
        <v/>
      </c>
      <c r="V36" s="657">
        <f>ABS(N(G36))</f>
        <v/>
      </c>
    </row>
    <row r="37">
      <c r="A37" t="inlineStr">
        <is>
          <t>LED-0007</t>
        </is>
      </c>
      <c r="B37">
        <f>INDEX(tblLedger[Work Order #],MATCH($A37,tblLedger[Ledger Record ID],0))</f>
        <v/>
      </c>
      <c r="C37">
        <f>INDEX(tblLedger[Event #],MATCH($A37,tblLedger[Ledger Record ID],0))</f>
        <v/>
      </c>
      <c r="D37">
        <f>INDEX(tblLedger[Client],MATCH($A37,tblLedger[Ledger Record ID],0))</f>
        <v/>
      </c>
      <c r="E37">
        <f>INDEX(tblLedger[Breakdown Confirmed],MATCH($A37,tblLedger[Ledger Record ID],0))</f>
        <v/>
      </c>
      <c r="F37">
        <f>INDEX(tblLedger[ACH Confirmed],MATCH($A37,tblLedger[Ledger Record ID],0))</f>
        <v/>
      </c>
      <c r="G37" s="657">
        <f>INDEX(tblLedger[Variance],MATCH($A37,tblLedger[Ledger Record ID],0))</f>
        <v/>
      </c>
      <c r="H37">
        <f>IF(COUNTIF(tblLedger[Work Order #],B37)&gt;1,"Yes","No")</f>
        <v/>
      </c>
      <c r="I37">
        <f>IF(C37="","Yes","No")</f>
        <v/>
      </c>
      <c r="J37">
        <f>IF(INDEX(tblLedger[Mapping Status],MATCH($A37,tblLedger[Ledger Record ID],0))="MAPPING_HOLD","Yes","No")</f>
        <v/>
      </c>
      <c r="K37">
        <f>IF(AND(OR(E37="No",E37="Pending"),IFERROR(INDEX(tblServiceEvents[Financial Scope],MATCH(C37,tblServiceEvents[Event #],0)),"Included")="Included"),"Yes","No")</f>
        <v/>
      </c>
      <c r="L37">
        <f>IF(AND(E37="Yes",OR(F37="No",F37="Pending")),"Yes","No")</f>
        <v/>
      </c>
      <c r="M37">
        <f>IF(OR(ABS(N(G37))&gt;0,INDEX(tblLedger[Reconciliation Status],MATCH($A37,tblLedger[Ledger Record ID],0))="BREAKDOWN_MISMATCH",INDEX(tblLedger[Reconciliation Status],MATCH($A37,tblLedger[Ledger Record ID],0))="ACH_MISMATCH"),"Yes","No")</f>
        <v/>
      </c>
      <c r="N37">
        <f>IF(D37="","Yes","No")</f>
        <v/>
      </c>
      <c r="O37">
        <f>IF(OR(INDEX(tblLedger[City],MATCH($A37,tblLedger[Ledger Record ID],0))="",INDEX(tblLedger[Jurisdiction],MATCH($A37,tblLedger[Ledger Record ID],0))=""),"Yes","No")</f>
        <v/>
      </c>
      <c r="P37">
        <f>IF(COUNTIF({"Yes","No","Partial","Pending","Mapping Hold"},E37)=0,"Yes","No")</f>
        <v/>
      </c>
      <c r="Q37">
        <f>IF(COUNTIF({"Yes","No","Partial","Pending","Mapping Review"},F37)=0,"Yes","No")</f>
        <v/>
      </c>
      <c r="R37">
        <f>IF(J37="Yes","Mapping Hold",IF(I37="Yes","Missing Event Link",IF(H37="Yes","Duplicate WO",IF(M37="Yes","Revenue Variance",IF(K37="Yes","Missing Breakdown",IF(L37="Yes","Pending ACH",IF(E37="Partial","Partial Breakdown",IF(N37="Yes","Missing Client",IF(O37="Yes","Missing Location",IF(P37="Yes","Unknown Breakdown Status",IF(Q37="Yes","Unknown ACH Status","OK")))))))))))</f>
        <v/>
      </c>
      <c r="S37">
        <f>IF(OR(J37="Yes",I37="Yes",H37="Yes"),"Critical",IF(OR(M37="Yes",E37="Partial",N37="Yes",O37="Yes",P37="Yes",Q37="Yes"),"Warning",IF(OR(K37="Yes",L37="Yes"),"Informational","OK")))</f>
        <v/>
      </c>
      <c r="T37">
        <f>IF(R37="Mapping Hold","Resolve mapping before update",IF(R37="Missing Event Link","Map to one authoritative event",IF(R37="Duplicate WO","Review duplicate identity",IF(R37="Revenue Variance","Reconcile or dispute amount",IF(R37="Missing Breakdown","Await breakdown",IF(R37="Pending ACH","Await ACH",IF(R37="Partial Breakdown","Confirm remaining breakdown",IF(R37="Missing Client","Add canonical client",IF(R37="Missing Location","Complete location fields",IF(R37="OK","No action","Review invalid status"))))))))))</f>
        <v/>
      </c>
      <c r="U37">
        <f>IF(R37="OK","No","Yes")</f>
        <v/>
      </c>
      <c r="V37" s="657">
        <f>ABS(N(G37))</f>
        <v/>
      </c>
    </row>
    <row r="38">
      <c r="A38" t="inlineStr">
        <is>
          <t>LED-0008</t>
        </is>
      </c>
      <c r="B38">
        <f>INDEX(tblLedger[Work Order #],MATCH($A38,tblLedger[Ledger Record ID],0))</f>
        <v/>
      </c>
      <c r="C38">
        <f>INDEX(tblLedger[Event #],MATCH($A38,tblLedger[Ledger Record ID],0))</f>
        <v/>
      </c>
      <c r="D38">
        <f>INDEX(tblLedger[Client],MATCH($A38,tblLedger[Ledger Record ID],0))</f>
        <v/>
      </c>
      <c r="E38">
        <f>INDEX(tblLedger[Breakdown Confirmed],MATCH($A38,tblLedger[Ledger Record ID],0))</f>
        <v/>
      </c>
      <c r="F38">
        <f>INDEX(tblLedger[ACH Confirmed],MATCH($A38,tblLedger[Ledger Record ID],0))</f>
        <v/>
      </c>
      <c r="G38" s="657">
        <f>INDEX(tblLedger[Variance],MATCH($A38,tblLedger[Ledger Record ID],0))</f>
        <v/>
      </c>
      <c r="H38">
        <f>IF(COUNTIF(tblLedger[Work Order #],B38)&gt;1,"Yes","No")</f>
        <v/>
      </c>
      <c r="I38">
        <f>IF(C38="","Yes","No")</f>
        <v/>
      </c>
      <c r="J38">
        <f>IF(INDEX(tblLedger[Mapping Status],MATCH($A38,tblLedger[Ledger Record ID],0))="MAPPING_HOLD","Yes","No")</f>
        <v/>
      </c>
      <c r="K38">
        <f>IF(AND(OR(E38="No",E38="Pending"),IFERROR(INDEX(tblServiceEvents[Financial Scope],MATCH(C38,tblServiceEvents[Event #],0)),"Included")="Included"),"Yes","No")</f>
        <v/>
      </c>
      <c r="L38">
        <f>IF(AND(E38="Yes",OR(F38="No",F38="Pending")),"Yes","No")</f>
        <v/>
      </c>
      <c r="M38">
        <f>IF(OR(ABS(N(G38))&gt;0,INDEX(tblLedger[Reconciliation Status],MATCH($A38,tblLedger[Ledger Record ID],0))="BREAKDOWN_MISMATCH",INDEX(tblLedger[Reconciliation Status],MATCH($A38,tblLedger[Ledger Record ID],0))="ACH_MISMATCH"),"Yes","No")</f>
        <v/>
      </c>
      <c r="N38">
        <f>IF(D38="","Yes","No")</f>
        <v/>
      </c>
      <c r="O38">
        <f>IF(OR(INDEX(tblLedger[City],MATCH($A38,tblLedger[Ledger Record ID],0))="",INDEX(tblLedger[Jurisdiction],MATCH($A38,tblLedger[Ledger Record ID],0))=""),"Yes","No")</f>
        <v/>
      </c>
      <c r="P38">
        <f>IF(COUNTIF({"Yes","No","Partial","Pending","Mapping Hold"},E38)=0,"Yes","No")</f>
        <v/>
      </c>
      <c r="Q38">
        <f>IF(COUNTIF({"Yes","No","Partial","Pending","Mapping Review"},F38)=0,"Yes","No")</f>
        <v/>
      </c>
      <c r="R38">
        <f>IF(J38="Yes","Mapping Hold",IF(I38="Yes","Missing Event Link",IF(H38="Yes","Duplicate WO",IF(M38="Yes","Revenue Variance",IF(K38="Yes","Missing Breakdown",IF(L38="Yes","Pending ACH",IF(E38="Partial","Partial Breakdown",IF(N38="Yes","Missing Client",IF(O38="Yes","Missing Location",IF(P38="Yes","Unknown Breakdown Status",IF(Q38="Yes","Unknown ACH Status","OK")))))))))))</f>
        <v/>
      </c>
      <c r="S38">
        <f>IF(OR(J38="Yes",I38="Yes",H38="Yes"),"Critical",IF(OR(M38="Yes",E38="Partial",N38="Yes",O38="Yes",P38="Yes",Q38="Yes"),"Warning",IF(OR(K38="Yes",L38="Yes"),"Informational","OK")))</f>
        <v/>
      </c>
      <c r="T38">
        <f>IF(R38="Mapping Hold","Resolve mapping before update",IF(R38="Missing Event Link","Map to one authoritative event",IF(R38="Duplicate WO","Review duplicate identity",IF(R38="Revenue Variance","Reconcile or dispute amount",IF(R38="Missing Breakdown","Await breakdown",IF(R38="Pending ACH","Await ACH",IF(R38="Partial Breakdown","Confirm remaining breakdown",IF(R38="Missing Client","Add canonical client",IF(R38="Missing Location","Complete location fields",IF(R38="OK","No action","Review invalid status"))))))))))</f>
        <v/>
      </c>
      <c r="U38">
        <f>IF(R38="OK","No","Yes")</f>
        <v/>
      </c>
      <c r="V38" s="657">
        <f>ABS(N(G38))</f>
        <v/>
      </c>
    </row>
    <row r="39">
      <c r="A39" t="inlineStr">
        <is>
          <t>LED-0009</t>
        </is>
      </c>
      <c r="B39">
        <f>INDEX(tblLedger[Work Order #],MATCH($A39,tblLedger[Ledger Record ID],0))</f>
        <v/>
      </c>
      <c r="C39">
        <f>INDEX(tblLedger[Event #],MATCH($A39,tblLedger[Ledger Record ID],0))</f>
        <v/>
      </c>
      <c r="D39">
        <f>INDEX(tblLedger[Client],MATCH($A39,tblLedger[Ledger Record ID],0))</f>
        <v/>
      </c>
      <c r="E39">
        <f>INDEX(tblLedger[Breakdown Confirmed],MATCH($A39,tblLedger[Ledger Record ID],0))</f>
        <v/>
      </c>
      <c r="F39">
        <f>INDEX(tblLedger[ACH Confirmed],MATCH($A39,tblLedger[Ledger Record ID],0))</f>
        <v/>
      </c>
      <c r="G39" s="657">
        <f>INDEX(tblLedger[Variance],MATCH($A39,tblLedger[Ledger Record ID],0))</f>
        <v/>
      </c>
      <c r="H39">
        <f>IF(COUNTIF(tblLedger[Work Order #],B39)&gt;1,"Yes","No")</f>
        <v/>
      </c>
      <c r="I39">
        <f>IF(C39="","Yes","No")</f>
        <v/>
      </c>
      <c r="J39">
        <f>IF(INDEX(tblLedger[Mapping Status],MATCH($A39,tblLedger[Ledger Record ID],0))="MAPPING_HOLD","Yes","No")</f>
        <v/>
      </c>
      <c r="K39">
        <f>IF(AND(OR(E39="No",E39="Pending"),IFERROR(INDEX(tblServiceEvents[Financial Scope],MATCH(C39,tblServiceEvents[Event #],0)),"Included")="Included"),"Yes","No")</f>
        <v/>
      </c>
      <c r="L39">
        <f>IF(AND(E39="Yes",OR(F39="No",F39="Pending")),"Yes","No")</f>
        <v/>
      </c>
      <c r="M39">
        <f>IF(OR(ABS(N(G39))&gt;0,INDEX(tblLedger[Reconciliation Status],MATCH($A39,tblLedger[Ledger Record ID],0))="BREAKDOWN_MISMATCH",INDEX(tblLedger[Reconciliation Status],MATCH($A39,tblLedger[Ledger Record ID],0))="ACH_MISMATCH"),"Yes","No")</f>
        <v/>
      </c>
      <c r="N39">
        <f>IF(D39="","Yes","No")</f>
        <v/>
      </c>
      <c r="O39">
        <f>IF(OR(INDEX(tblLedger[City],MATCH($A39,tblLedger[Ledger Record ID],0))="",INDEX(tblLedger[Jurisdiction],MATCH($A39,tblLedger[Ledger Record ID],0))=""),"Yes","No")</f>
        <v/>
      </c>
      <c r="P39">
        <f>IF(COUNTIF({"Yes","No","Partial","Pending","Mapping Hold"},E39)=0,"Yes","No")</f>
        <v/>
      </c>
      <c r="Q39">
        <f>IF(COUNTIF({"Yes","No","Partial","Pending","Mapping Review"},F39)=0,"Yes","No")</f>
        <v/>
      </c>
      <c r="R39">
        <f>IF(J39="Yes","Mapping Hold",IF(I39="Yes","Missing Event Link",IF(H39="Yes","Duplicate WO",IF(M39="Yes","Revenue Variance",IF(K39="Yes","Missing Breakdown",IF(L39="Yes","Pending ACH",IF(E39="Partial","Partial Breakdown",IF(N39="Yes","Missing Client",IF(O39="Yes","Missing Location",IF(P39="Yes","Unknown Breakdown Status",IF(Q39="Yes","Unknown ACH Status","OK")))))))))))</f>
        <v/>
      </c>
      <c r="S39">
        <f>IF(OR(J39="Yes",I39="Yes",H39="Yes"),"Critical",IF(OR(M39="Yes",E39="Partial",N39="Yes",O39="Yes",P39="Yes",Q39="Yes"),"Warning",IF(OR(K39="Yes",L39="Yes"),"Informational","OK")))</f>
        <v/>
      </c>
      <c r="T39">
        <f>IF(R39="Mapping Hold","Resolve mapping before update",IF(R39="Missing Event Link","Map to one authoritative event",IF(R39="Duplicate WO","Review duplicate identity",IF(R39="Revenue Variance","Reconcile or dispute amount",IF(R39="Missing Breakdown","Await breakdown",IF(R39="Pending ACH","Await ACH",IF(R39="Partial Breakdown","Confirm remaining breakdown",IF(R39="Missing Client","Add canonical client",IF(R39="Missing Location","Complete location fields",IF(R39="OK","No action","Review invalid status"))))))))))</f>
        <v/>
      </c>
      <c r="U39">
        <f>IF(R39="OK","No","Yes")</f>
        <v/>
      </c>
      <c r="V39" s="657">
        <f>ABS(N(G39))</f>
        <v/>
      </c>
    </row>
    <row r="40">
      <c r="A40" t="inlineStr">
        <is>
          <t>LED-0010</t>
        </is>
      </c>
      <c r="B40">
        <f>INDEX(tblLedger[Work Order #],MATCH($A40,tblLedger[Ledger Record ID],0))</f>
        <v/>
      </c>
      <c r="C40">
        <f>INDEX(tblLedger[Event #],MATCH($A40,tblLedger[Ledger Record ID],0))</f>
        <v/>
      </c>
      <c r="D40">
        <f>INDEX(tblLedger[Client],MATCH($A40,tblLedger[Ledger Record ID],0))</f>
        <v/>
      </c>
      <c r="E40">
        <f>INDEX(tblLedger[Breakdown Confirmed],MATCH($A40,tblLedger[Ledger Record ID],0))</f>
        <v/>
      </c>
      <c r="F40">
        <f>INDEX(tblLedger[ACH Confirmed],MATCH($A40,tblLedger[Ledger Record ID],0))</f>
        <v/>
      </c>
      <c r="G40" s="657">
        <f>INDEX(tblLedger[Variance],MATCH($A40,tblLedger[Ledger Record ID],0))</f>
        <v/>
      </c>
      <c r="H40">
        <f>IF(COUNTIF(tblLedger[Work Order #],B40)&gt;1,"Yes","No")</f>
        <v/>
      </c>
      <c r="I40">
        <f>IF(C40="","Yes","No")</f>
        <v/>
      </c>
      <c r="J40">
        <f>IF(INDEX(tblLedger[Mapping Status],MATCH($A40,tblLedger[Ledger Record ID],0))="MAPPING_HOLD","Yes","No")</f>
        <v/>
      </c>
      <c r="K40">
        <f>IF(AND(OR(E40="No",E40="Pending"),IFERROR(INDEX(tblServiceEvents[Financial Scope],MATCH(C40,tblServiceEvents[Event #],0)),"Included")="Included"),"Yes","No")</f>
        <v/>
      </c>
      <c r="L40">
        <f>IF(AND(E40="Yes",OR(F40="No",F40="Pending")),"Yes","No")</f>
        <v/>
      </c>
      <c r="M40">
        <f>IF(OR(ABS(N(G40))&gt;0,INDEX(tblLedger[Reconciliation Status],MATCH($A40,tblLedger[Ledger Record ID],0))="BREAKDOWN_MISMATCH",INDEX(tblLedger[Reconciliation Status],MATCH($A40,tblLedger[Ledger Record ID],0))="ACH_MISMATCH"),"Yes","No")</f>
        <v/>
      </c>
      <c r="N40">
        <f>IF(D40="","Yes","No")</f>
        <v/>
      </c>
      <c r="O40">
        <f>IF(OR(INDEX(tblLedger[City],MATCH($A40,tblLedger[Ledger Record ID],0))="",INDEX(tblLedger[Jurisdiction],MATCH($A40,tblLedger[Ledger Record ID],0))=""),"Yes","No")</f>
        <v/>
      </c>
      <c r="P40">
        <f>IF(COUNTIF({"Yes","No","Partial","Pending","Mapping Hold"},E40)=0,"Yes","No")</f>
        <v/>
      </c>
      <c r="Q40">
        <f>IF(COUNTIF({"Yes","No","Partial","Pending","Mapping Review"},F40)=0,"Yes","No")</f>
        <v/>
      </c>
      <c r="R40">
        <f>IF(J40="Yes","Mapping Hold",IF(I40="Yes","Missing Event Link",IF(H40="Yes","Duplicate WO",IF(M40="Yes","Revenue Variance",IF(K40="Yes","Missing Breakdown",IF(L40="Yes","Pending ACH",IF(E40="Partial","Partial Breakdown",IF(N40="Yes","Missing Client",IF(O40="Yes","Missing Location",IF(P40="Yes","Unknown Breakdown Status",IF(Q40="Yes","Unknown ACH Status","OK")))))))))))</f>
        <v/>
      </c>
      <c r="S40">
        <f>IF(OR(J40="Yes",I40="Yes",H40="Yes"),"Critical",IF(OR(M40="Yes",E40="Partial",N40="Yes",O40="Yes",P40="Yes",Q40="Yes"),"Warning",IF(OR(K40="Yes",L40="Yes"),"Informational","OK")))</f>
        <v/>
      </c>
      <c r="T40">
        <f>IF(R40="Mapping Hold","Resolve mapping before update",IF(R40="Missing Event Link","Map to one authoritative event",IF(R40="Duplicate WO","Review duplicate identity",IF(R40="Revenue Variance","Reconcile or dispute amount",IF(R40="Missing Breakdown","Await breakdown",IF(R40="Pending ACH","Await ACH",IF(R40="Partial Breakdown","Confirm remaining breakdown",IF(R40="Missing Client","Add canonical client",IF(R40="Missing Location","Complete location fields",IF(R40="OK","No action","Review invalid status"))))))))))</f>
        <v/>
      </c>
      <c r="U40">
        <f>IF(R40="OK","No","Yes")</f>
        <v/>
      </c>
      <c r="V40" s="657">
        <f>ABS(N(G40))</f>
        <v/>
      </c>
    </row>
    <row r="41">
      <c r="A41" t="inlineStr">
        <is>
          <t>LED-0011</t>
        </is>
      </c>
      <c r="B41">
        <f>INDEX(tblLedger[Work Order #],MATCH($A41,tblLedger[Ledger Record ID],0))</f>
        <v/>
      </c>
      <c r="C41">
        <f>INDEX(tblLedger[Event #],MATCH($A41,tblLedger[Ledger Record ID],0))</f>
        <v/>
      </c>
      <c r="D41">
        <f>INDEX(tblLedger[Client],MATCH($A41,tblLedger[Ledger Record ID],0))</f>
        <v/>
      </c>
      <c r="E41">
        <f>INDEX(tblLedger[Breakdown Confirmed],MATCH($A41,tblLedger[Ledger Record ID],0))</f>
        <v/>
      </c>
      <c r="F41">
        <f>INDEX(tblLedger[ACH Confirmed],MATCH($A41,tblLedger[Ledger Record ID],0))</f>
        <v/>
      </c>
      <c r="G41" s="657">
        <f>INDEX(tblLedger[Variance],MATCH($A41,tblLedger[Ledger Record ID],0))</f>
        <v/>
      </c>
      <c r="H41">
        <f>IF(COUNTIF(tblLedger[Work Order #],B41)&gt;1,"Yes","No")</f>
        <v/>
      </c>
      <c r="I41">
        <f>IF(C41="","Yes","No")</f>
        <v/>
      </c>
      <c r="J41">
        <f>IF(INDEX(tblLedger[Mapping Status],MATCH($A41,tblLedger[Ledger Record ID],0))="MAPPING_HOLD","Yes","No")</f>
        <v/>
      </c>
      <c r="K41">
        <f>IF(AND(OR(E41="No",E41="Pending"),IFERROR(INDEX(tblServiceEvents[Financial Scope],MATCH(C41,tblServiceEvents[Event #],0)),"Included")="Included"),"Yes","No")</f>
        <v/>
      </c>
      <c r="L41">
        <f>IF(AND(E41="Yes",OR(F41="No",F41="Pending")),"Yes","No")</f>
        <v/>
      </c>
      <c r="M41">
        <f>IF(OR(ABS(N(G41))&gt;0,INDEX(tblLedger[Reconciliation Status],MATCH($A41,tblLedger[Ledger Record ID],0))="BREAKDOWN_MISMATCH",INDEX(tblLedger[Reconciliation Status],MATCH($A41,tblLedger[Ledger Record ID],0))="ACH_MISMATCH"),"Yes","No")</f>
        <v/>
      </c>
      <c r="N41">
        <f>IF(D41="","Yes","No")</f>
        <v/>
      </c>
      <c r="O41">
        <f>IF(OR(INDEX(tblLedger[City],MATCH($A41,tblLedger[Ledger Record ID],0))="",INDEX(tblLedger[Jurisdiction],MATCH($A41,tblLedger[Ledger Record ID],0))=""),"Yes","No")</f>
        <v/>
      </c>
      <c r="P41">
        <f>IF(COUNTIF({"Yes","No","Partial","Pending","Mapping Hold"},E41)=0,"Yes","No")</f>
        <v/>
      </c>
      <c r="Q41">
        <f>IF(COUNTIF({"Yes","No","Partial","Pending","Mapping Review"},F41)=0,"Yes","No")</f>
        <v/>
      </c>
      <c r="R41">
        <f>IF(J41="Yes","Mapping Hold",IF(I41="Yes","Missing Event Link",IF(H41="Yes","Duplicate WO",IF(M41="Yes","Revenue Variance",IF(K41="Yes","Missing Breakdown",IF(L41="Yes","Pending ACH",IF(E41="Partial","Partial Breakdown",IF(N41="Yes","Missing Client",IF(O41="Yes","Missing Location",IF(P41="Yes","Unknown Breakdown Status",IF(Q41="Yes","Unknown ACH Status","OK")))))))))))</f>
        <v/>
      </c>
      <c r="S41">
        <f>IF(OR(J41="Yes",I41="Yes",H41="Yes"),"Critical",IF(OR(M41="Yes",E41="Partial",N41="Yes",O41="Yes",P41="Yes",Q41="Yes"),"Warning",IF(OR(K41="Yes",L41="Yes"),"Informational","OK")))</f>
        <v/>
      </c>
      <c r="T41">
        <f>IF(R41="Mapping Hold","Resolve mapping before update",IF(R41="Missing Event Link","Map to one authoritative event",IF(R41="Duplicate WO","Review duplicate identity",IF(R41="Revenue Variance","Reconcile or dispute amount",IF(R41="Missing Breakdown","Await breakdown",IF(R41="Pending ACH","Await ACH",IF(R41="Partial Breakdown","Confirm remaining breakdown",IF(R41="Missing Client","Add canonical client",IF(R41="Missing Location","Complete location fields",IF(R41="OK","No action","Review invalid status"))))))))))</f>
        <v/>
      </c>
      <c r="U41">
        <f>IF(R41="OK","No","Yes")</f>
        <v/>
      </c>
      <c r="V41" s="657">
        <f>ABS(N(G41))</f>
        <v/>
      </c>
    </row>
    <row r="42">
      <c r="A42" t="inlineStr">
        <is>
          <t>LED-0012</t>
        </is>
      </c>
      <c r="B42">
        <f>INDEX(tblLedger[Work Order #],MATCH($A42,tblLedger[Ledger Record ID],0))</f>
        <v/>
      </c>
      <c r="C42">
        <f>INDEX(tblLedger[Event #],MATCH($A42,tblLedger[Ledger Record ID],0))</f>
        <v/>
      </c>
      <c r="D42">
        <f>INDEX(tblLedger[Client],MATCH($A42,tblLedger[Ledger Record ID],0))</f>
        <v/>
      </c>
      <c r="E42">
        <f>INDEX(tblLedger[Breakdown Confirmed],MATCH($A42,tblLedger[Ledger Record ID],0))</f>
        <v/>
      </c>
      <c r="F42">
        <f>INDEX(tblLedger[ACH Confirmed],MATCH($A42,tblLedger[Ledger Record ID],0))</f>
        <v/>
      </c>
      <c r="G42" s="657">
        <f>INDEX(tblLedger[Variance],MATCH($A42,tblLedger[Ledger Record ID],0))</f>
        <v/>
      </c>
      <c r="H42">
        <f>IF(COUNTIF(tblLedger[Work Order #],B42)&gt;1,"Yes","No")</f>
        <v/>
      </c>
      <c r="I42">
        <f>IF(C42="","Yes","No")</f>
        <v/>
      </c>
      <c r="J42">
        <f>IF(INDEX(tblLedger[Mapping Status],MATCH($A42,tblLedger[Ledger Record ID],0))="MAPPING_HOLD","Yes","No")</f>
        <v/>
      </c>
      <c r="K42">
        <f>IF(AND(OR(E42="No",E42="Pending"),IFERROR(INDEX(tblServiceEvents[Financial Scope],MATCH(C42,tblServiceEvents[Event #],0)),"Included")="Included"),"Yes","No")</f>
        <v/>
      </c>
      <c r="L42">
        <f>IF(AND(E42="Yes",OR(F42="No",F42="Pending")),"Yes","No")</f>
        <v/>
      </c>
      <c r="M42">
        <f>IF(OR(ABS(N(G42))&gt;0,INDEX(tblLedger[Reconciliation Status],MATCH($A42,tblLedger[Ledger Record ID],0))="BREAKDOWN_MISMATCH",INDEX(tblLedger[Reconciliation Status],MATCH($A42,tblLedger[Ledger Record ID],0))="ACH_MISMATCH"),"Yes","No")</f>
        <v/>
      </c>
      <c r="N42">
        <f>IF(D42="","Yes","No")</f>
        <v/>
      </c>
      <c r="O42">
        <f>IF(OR(INDEX(tblLedger[City],MATCH($A42,tblLedger[Ledger Record ID],0))="",INDEX(tblLedger[Jurisdiction],MATCH($A42,tblLedger[Ledger Record ID],0))=""),"Yes","No")</f>
        <v/>
      </c>
      <c r="P42">
        <f>IF(COUNTIF({"Yes","No","Partial","Pending","Mapping Hold"},E42)=0,"Yes","No")</f>
        <v/>
      </c>
      <c r="Q42">
        <f>IF(COUNTIF({"Yes","No","Partial","Pending","Mapping Review"},F42)=0,"Yes","No")</f>
        <v/>
      </c>
      <c r="R42">
        <f>IF(J42="Yes","Mapping Hold",IF(I42="Yes","Missing Event Link",IF(H42="Yes","Duplicate WO",IF(M42="Yes","Revenue Variance",IF(K42="Yes","Missing Breakdown",IF(L42="Yes","Pending ACH",IF(E42="Partial","Partial Breakdown",IF(N42="Yes","Missing Client",IF(O42="Yes","Missing Location",IF(P42="Yes","Unknown Breakdown Status",IF(Q42="Yes","Unknown ACH Status","OK")))))))))))</f>
        <v/>
      </c>
      <c r="S42">
        <f>IF(OR(J42="Yes",I42="Yes",H42="Yes"),"Critical",IF(OR(M42="Yes",E42="Partial",N42="Yes",O42="Yes",P42="Yes",Q42="Yes"),"Warning",IF(OR(K42="Yes",L42="Yes"),"Informational","OK")))</f>
        <v/>
      </c>
      <c r="T42">
        <f>IF(R42="Mapping Hold","Resolve mapping before update",IF(R42="Missing Event Link","Map to one authoritative event",IF(R42="Duplicate WO","Review duplicate identity",IF(R42="Revenue Variance","Reconcile or dispute amount",IF(R42="Missing Breakdown","Await breakdown",IF(R42="Pending ACH","Await ACH",IF(R42="Partial Breakdown","Confirm remaining breakdown",IF(R42="Missing Client","Add canonical client",IF(R42="Missing Location","Complete location fields",IF(R42="OK","No action","Review invalid status"))))))))))</f>
        <v/>
      </c>
      <c r="U42">
        <f>IF(R42="OK","No","Yes")</f>
        <v/>
      </c>
      <c r="V42" s="657">
        <f>ABS(N(G42))</f>
        <v/>
      </c>
    </row>
    <row r="43">
      <c r="A43" t="inlineStr">
        <is>
          <t>LED-0013</t>
        </is>
      </c>
      <c r="B43">
        <f>INDEX(tblLedger[Work Order #],MATCH($A43,tblLedger[Ledger Record ID],0))</f>
        <v/>
      </c>
      <c r="C43">
        <f>INDEX(tblLedger[Event #],MATCH($A43,tblLedger[Ledger Record ID],0))</f>
        <v/>
      </c>
      <c r="D43">
        <f>INDEX(tblLedger[Client],MATCH($A43,tblLedger[Ledger Record ID],0))</f>
        <v/>
      </c>
      <c r="E43">
        <f>INDEX(tblLedger[Breakdown Confirmed],MATCH($A43,tblLedger[Ledger Record ID],0))</f>
        <v/>
      </c>
      <c r="F43">
        <f>INDEX(tblLedger[ACH Confirmed],MATCH($A43,tblLedger[Ledger Record ID],0))</f>
        <v/>
      </c>
      <c r="G43" s="657">
        <f>INDEX(tblLedger[Variance],MATCH($A43,tblLedger[Ledger Record ID],0))</f>
        <v/>
      </c>
      <c r="H43">
        <f>IF(COUNTIF(tblLedger[Work Order #],B43)&gt;1,"Yes","No")</f>
        <v/>
      </c>
      <c r="I43">
        <f>IF(C43="","Yes","No")</f>
        <v/>
      </c>
      <c r="J43">
        <f>IF(INDEX(tblLedger[Mapping Status],MATCH($A43,tblLedger[Ledger Record ID],0))="MAPPING_HOLD","Yes","No")</f>
        <v/>
      </c>
      <c r="K43">
        <f>IF(AND(OR(E43="No",E43="Pending"),IFERROR(INDEX(tblServiceEvents[Financial Scope],MATCH(C43,tblServiceEvents[Event #],0)),"Included")="Included"),"Yes","No")</f>
        <v/>
      </c>
      <c r="L43">
        <f>IF(AND(E43="Yes",OR(F43="No",F43="Pending")),"Yes","No")</f>
        <v/>
      </c>
      <c r="M43">
        <f>IF(OR(ABS(N(G43))&gt;0,INDEX(tblLedger[Reconciliation Status],MATCH($A43,tblLedger[Ledger Record ID],0))="BREAKDOWN_MISMATCH",INDEX(tblLedger[Reconciliation Status],MATCH($A43,tblLedger[Ledger Record ID],0))="ACH_MISMATCH"),"Yes","No")</f>
        <v/>
      </c>
      <c r="N43">
        <f>IF(D43="","Yes","No")</f>
        <v/>
      </c>
      <c r="O43">
        <f>IF(OR(INDEX(tblLedger[City],MATCH($A43,tblLedger[Ledger Record ID],0))="",INDEX(tblLedger[Jurisdiction],MATCH($A43,tblLedger[Ledger Record ID],0))=""),"Yes","No")</f>
        <v/>
      </c>
      <c r="P43">
        <f>IF(COUNTIF({"Yes","No","Partial","Pending","Mapping Hold"},E43)=0,"Yes","No")</f>
        <v/>
      </c>
      <c r="Q43">
        <f>IF(COUNTIF({"Yes","No","Partial","Pending","Mapping Review"},F43)=0,"Yes","No")</f>
        <v/>
      </c>
      <c r="R43">
        <f>IF(J43="Yes","Mapping Hold",IF(I43="Yes","Missing Event Link",IF(H43="Yes","Duplicate WO",IF(M43="Yes","Revenue Variance",IF(K43="Yes","Missing Breakdown",IF(L43="Yes","Pending ACH",IF(E43="Partial","Partial Breakdown",IF(N43="Yes","Missing Client",IF(O43="Yes","Missing Location",IF(P43="Yes","Unknown Breakdown Status",IF(Q43="Yes","Unknown ACH Status","OK")))))))))))</f>
        <v/>
      </c>
      <c r="S43">
        <f>IF(OR(J43="Yes",I43="Yes",H43="Yes"),"Critical",IF(OR(M43="Yes",E43="Partial",N43="Yes",O43="Yes",P43="Yes",Q43="Yes"),"Warning",IF(OR(K43="Yes",L43="Yes"),"Informational","OK")))</f>
        <v/>
      </c>
      <c r="T43">
        <f>IF(R43="Mapping Hold","Resolve mapping before update",IF(R43="Missing Event Link","Map to one authoritative event",IF(R43="Duplicate WO","Review duplicate identity",IF(R43="Revenue Variance","Reconcile or dispute amount",IF(R43="Missing Breakdown","Await breakdown",IF(R43="Pending ACH","Await ACH",IF(R43="Partial Breakdown","Confirm remaining breakdown",IF(R43="Missing Client","Add canonical client",IF(R43="Missing Location","Complete location fields",IF(R43="OK","No action","Review invalid status"))))))))))</f>
        <v/>
      </c>
      <c r="U43">
        <f>IF(R43="OK","No","Yes")</f>
        <v/>
      </c>
      <c r="V43" s="657">
        <f>ABS(N(G43))</f>
        <v/>
      </c>
    </row>
    <row r="44">
      <c r="A44" t="inlineStr">
        <is>
          <t>LED-0014</t>
        </is>
      </c>
      <c r="B44">
        <f>INDEX(tblLedger[Work Order #],MATCH($A44,tblLedger[Ledger Record ID],0))</f>
        <v/>
      </c>
      <c r="C44">
        <f>INDEX(tblLedger[Event #],MATCH($A44,tblLedger[Ledger Record ID],0))</f>
        <v/>
      </c>
      <c r="D44">
        <f>INDEX(tblLedger[Client],MATCH($A44,tblLedger[Ledger Record ID],0))</f>
        <v/>
      </c>
      <c r="E44">
        <f>INDEX(tblLedger[Breakdown Confirmed],MATCH($A44,tblLedger[Ledger Record ID],0))</f>
        <v/>
      </c>
      <c r="F44">
        <f>INDEX(tblLedger[ACH Confirmed],MATCH($A44,tblLedger[Ledger Record ID],0))</f>
        <v/>
      </c>
      <c r="G44" s="657">
        <f>INDEX(tblLedger[Variance],MATCH($A44,tblLedger[Ledger Record ID],0))</f>
        <v/>
      </c>
      <c r="H44">
        <f>IF(COUNTIF(tblLedger[Work Order #],B44)&gt;1,"Yes","No")</f>
        <v/>
      </c>
      <c r="I44">
        <f>IF(C44="","Yes","No")</f>
        <v/>
      </c>
      <c r="J44">
        <f>IF(INDEX(tblLedger[Mapping Status],MATCH($A44,tblLedger[Ledger Record ID],0))="MAPPING_HOLD","Yes","No")</f>
        <v/>
      </c>
      <c r="K44">
        <f>IF(AND(OR(E44="No",E44="Pending"),IFERROR(INDEX(tblServiceEvents[Financial Scope],MATCH(C44,tblServiceEvents[Event #],0)),"Included")="Included"),"Yes","No")</f>
        <v/>
      </c>
      <c r="L44">
        <f>IF(AND(E44="Yes",OR(F44="No",F44="Pending")),"Yes","No")</f>
        <v/>
      </c>
      <c r="M44">
        <f>IF(OR(ABS(N(G44))&gt;0,INDEX(tblLedger[Reconciliation Status],MATCH($A44,tblLedger[Ledger Record ID],0))="BREAKDOWN_MISMATCH",INDEX(tblLedger[Reconciliation Status],MATCH($A44,tblLedger[Ledger Record ID],0))="ACH_MISMATCH"),"Yes","No")</f>
        <v/>
      </c>
      <c r="N44">
        <f>IF(D44="","Yes","No")</f>
        <v/>
      </c>
      <c r="O44">
        <f>IF(OR(INDEX(tblLedger[City],MATCH($A44,tblLedger[Ledger Record ID],0))="",INDEX(tblLedger[Jurisdiction],MATCH($A44,tblLedger[Ledger Record ID],0))=""),"Yes","No")</f>
        <v/>
      </c>
      <c r="P44">
        <f>IF(COUNTIF({"Yes","No","Partial","Pending","Mapping Hold"},E44)=0,"Yes","No")</f>
        <v/>
      </c>
      <c r="Q44">
        <f>IF(COUNTIF({"Yes","No","Partial","Pending","Mapping Review"},F44)=0,"Yes","No")</f>
        <v/>
      </c>
      <c r="R44">
        <f>IF(J44="Yes","Mapping Hold",IF(I44="Yes","Missing Event Link",IF(H44="Yes","Duplicate WO",IF(M44="Yes","Revenue Variance",IF(K44="Yes","Missing Breakdown",IF(L44="Yes","Pending ACH",IF(E44="Partial","Partial Breakdown",IF(N44="Yes","Missing Client",IF(O44="Yes","Missing Location",IF(P44="Yes","Unknown Breakdown Status",IF(Q44="Yes","Unknown ACH Status","OK")))))))))))</f>
        <v/>
      </c>
      <c r="S44">
        <f>IF(OR(J44="Yes",I44="Yes",H44="Yes"),"Critical",IF(OR(M44="Yes",E44="Partial",N44="Yes",O44="Yes",P44="Yes",Q44="Yes"),"Warning",IF(OR(K44="Yes",L44="Yes"),"Informational","OK")))</f>
        <v/>
      </c>
      <c r="T44">
        <f>IF(R44="Mapping Hold","Resolve mapping before update",IF(R44="Missing Event Link","Map to one authoritative event",IF(R44="Duplicate WO","Review duplicate identity",IF(R44="Revenue Variance","Reconcile or dispute amount",IF(R44="Missing Breakdown","Await breakdown",IF(R44="Pending ACH","Await ACH",IF(R44="Partial Breakdown","Confirm remaining breakdown",IF(R44="Missing Client","Add canonical client",IF(R44="Missing Location","Complete location fields",IF(R44="OK","No action","Review invalid status"))))))))))</f>
        <v/>
      </c>
      <c r="U44">
        <f>IF(R44="OK","No","Yes")</f>
        <v/>
      </c>
      <c r="V44" s="657">
        <f>ABS(N(G44))</f>
        <v/>
      </c>
    </row>
    <row r="45">
      <c r="A45" t="inlineStr">
        <is>
          <t>LED-0015</t>
        </is>
      </c>
      <c r="B45">
        <f>INDEX(tblLedger[Work Order #],MATCH($A45,tblLedger[Ledger Record ID],0))</f>
        <v/>
      </c>
      <c r="C45">
        <f>INDEX(tblLedger[Event #],MATCH($A45,tblLedger[Ledger Record ID],0))</f>
        <v/>
      </c>
      <c r="D45">
        <f>INDEX(tblLedger[Client],MATCH($A45,tblLedger[Ledger Record ID],0))</f>
        <v/>
      </c>
      <c r="E45">
        <f>INDEX(tblLedger[Breakdown Confirmed],MATCH($A45,tblLedger[Ledger Record ID],0))</f>
        <v/>
      </c>
      <c r="F45">
        <f>INDEX(tblLedger[ACH Confirmed],MATCH($A45,tblLedger[Ledger Record ID],0))</f>
        <v/>
      </c>
      <c r="G45" s="657">
        <f>INDEX(tblLedger[Variance],MATCH($A45,tblLedger[Ledger Record ID],0))</f>
        <v/>
      </c>
      <c r="H45">
        <f>IF(COUNTIF(tblLedger[Work Order #],B45)&gt;1,"Yes","No")</f>
        <v/>
      </c>
      <c r="I45">
        <f>IF(C45="","Yes","No")</f>
        <v/>
      </c>
      <c r="J45">
        <f>IF(INDEX(tblLedger[Mapping Status],MATCH($A45,tblLedger[Ledger Record ID],0))="MAPPING_HOLD","Yes","No")</f>
        <v/>
      </c>
      <c r="K45">
        <f>IF(AND(OR(E45="No",E45="Pending"),IFERROR(INDEX(tblServiceEvents[Financial Scope],MATCH(C45,tblServiceEvents[Event #],0)),"Included")="Included"),"Yes","No")</f>
        <v/>
      </c>
      <c r="L45">
        <f>IF(AND(E45="Yes",OR(F45="No",F45="Pending")),"Yes","No")</f>
        <v/>
      </c>
      <c r="M45">
        <f>IF(OR(ABS(N(G45))&gt;0,INDEX(tblLedger[Reconciliation Status],MATCH($A45,tblLedger[Ledger Record ID],0))="BREAKDOWN_MISMATCH",INDEX(tblLedger[Reconciliation Status],MATCH($A45,tblLedger[Ledger Record ID],0))="ACH_MISMATCH"),"Yes","No")</f>
        <v/>
      </c>
      <c r="N45">
        <f>IF(D45="","Yes","No")</f>
        <v/>
      </c>
      <c r="O45">
        <f>IF(OR(INDEX(tblLedger[City],MATCH($A45,tblLedger[Ledger Record ID],0))="",INDEX(tblLedger[Jurisdiction],MATCH($A45,tblLedger[Ledger Record ID],0))=""),"Yes","No")</f>
        <v/>
      </c>
      <c r="P45">
        <f>IF(COUNTIF({"Yes","No","Partial","Pending","Mapping Hold"},E45)=0,"Yes","No")</f>
        <v/>
      </c>
      <c r="Q45">
        <f>IF(COUNTIF({"Yes","No","Partial","Pending","Mapping Review"},F45)=0,"Yes","No")</f>
        <v/>
      </c>
      <c r="R45">
        <f>IF(J45="Yes","Mapping Hold",IF(I45="Yes","Missing Event Link",IF(H45="Yes","Duplicate WO",IF(M45="Yes","Revenue Variance",IF(K45="Yes","Missing Breakdown",IF(L45="Yes","Pending ACH",IF(E45="Partial","Partial Breakdown",IF(N45="Yes","Missing Client",IF(O45="Yes","Missing Location",IF(P45="Yes","Unknown Breakdown Status",IF(Q45="Yes","Unknown ACH Status","OK")))))))))))</f>
        <v/>
      </c>
      <c r="S45">
        <f>IF(OR(J45="Yes",I45="Yes",H45="Yes"),"Critical",IF(OR(M45="Yes",E45="Partial",N45="Yes",O45="Yes",P45="Yes",Q45="Yes"),"Warning",IF(OR(K45="Yes",L45="Yes"),"Informational","OK")))</f>
        <v/>
      </c>
      <c r="T45">
        <f>IF(R45="Mapping Hold","Resolve mapping before update",IF(R45="Missing Event Link","Map to one authoritative event",IF(R45="Duplicate WO","Review duplicate identity",IF(R45="Revenue Variance","Reconcile or dispute amount",IF(R45="Missing Breakdown","Await breakdown",IF(R45="Pending ACH","Await ACH",IF(R45="Partial Breakdown","Confirm remaining breakdown",IF(R45="Missing Client","Add canonical client",IF(R45="Missing Location","Complete location fields",IF(R45="OK","No action","Review invalid status"))))))))))</f>
        <v/>
      </c>
      <c r="U45">
        <f>IF(R45="OK","No","Yes")</f>
        <v/>
      </c>
      <c r="V45" s="657">
        <f>ABS(N(G45))</f>
        <v/>
      </c>
    </row>
    <row r="46">
      <c r="A46" t="inlineStr">
        <is>
          <t>LED-0016</t>
        </is>
      </c>
      <c r="B46">
        <f>INDEX(tblLedger[Work Order #],MATCH($A46,tblLedger[Ledger Record ID],0))</f>
        <v/>
      </c>
      <c r="C46">
        <f>INDEX(tblLedger[Event #],MATCH($A46,tblLedger[Ledger Record ID],0))</f>
        <v/>
      </c>
      <c r="D46">
        <f>INDEX(tblLedger[Client],MATCH($A46,tblLedger[Ledger Record ID],0))</f>
        <v/>
      </c>
      <c r="E46">
        <f>INDEX(tblLedger[Breakdown Confirmed],MATCH($A46,tblLedger[Ledger Record ID],0))</f>
        <v/>
      </c>
      <c r="F46">
        <f>INDEX(tblLedger[ACH Confirmed],MATCH($A46,tblLedger[Ledger Record ID],0))</f>
        <v/>
      </c>
      <c r="G46" s="657">
        <f>INDEX(tblLedger[Variance],MATCH($A46,tblLedger[Ledger Record ID],0))</f>
        <v/>
      </c>
      <c r="H46">
        <f>IF(COUNTIF(tblLedger[Work Order #],B46)&gt;1,"Yes","No")</f>
        <v/>
      </c>
      <c r="I46">
        <f>IF(C46="","Yes","No")</f>
        <v/>
      </c>
      <c r="J46">
        <f>IF(INDEX(tblLedger[Mapping Status],MATCH($A46,tblLedger[Ledger Record ID],0))="MAPPING_HOLD","Yes","No")</f>
        <v/>
      </c>
      <c r="K46">
        <f>IF(AND(OR(E46="No",E46="Pending"),IFERROR(INDEX(tblServiceEvents[Financial Scope],MATCH(C46,tblServiceEvents[Event #],0)),"Included")="Included"),"Yes","No")</f>
        <v/>
      </c>
      <c r="L46">
        <f>IF(AND(E46="Yes",OR(F46="No",F46="Pending")),"Yes","No")</f>
        <v/>
      </c>
      <c r="M46">
        <f>IF(OR(ABS(N(G46))&gt;0,INDEX(tblLedger[Reconciliation Status],MATCH($A46,tblLedger[Ledger Record ID],0))="BREAKDOWN_MISMATCH",INDEX(tblLedger[Reconciliation Status],MATCH($A46,tblLedger[Ledger Record ID],0))="ACH_MISMATCH"),"Yes","No")</f>
        <v/>
      </c>
      <c r="N46">
        <f>IF(D46="","Yes","No")</f>
        <v/>
      </c>
      <c r="O46">
        <f>IF(OR(INDEX(tblLedger[City],MATCH($A46,tblLedger[Ledger Record ID],0))="",INDEX(tblLedger[Jurisdiction],MATCH($A46,tblLedger[Ledger Record ID],0))=""),"Yes","No")</f>
        <v/>
      </c>
      <c r="P46">
        <f>IF(COUNTIF({"Yes","No","Partial","Pending","Mapping Hold"},E46)=0,"Yes","No")</f>
        <v/>
      </c>
      <c r="Q46">
        <f>IF(COUNTIF({"Yes","No","Partial","Pending","Mapping Review"},F46)=0,"Yes","No")</f>
        <v/>
      </c>
      <c r="R46">
        <f>IF(J46="Yes","Mapping Hold",IF(I46="Yes","Missing Event Link",IF(H46="Yes","Duplicate WO",IF(M46="Yes","Revenue Variance",IF(K46="Yes","Missing Breakdown",IF(L46="Yes","Pending ACH",IF(E46="Partial","Partial Breakdown",IF(N46="Yes","Missing Client",IF(O46="Yes","Missing Location",IF(P46="Yes","Unknown Breakdown Status",IF(Q46="Yes","Unknown ACH Status","OK")))))))))))</f>
        <v/>
      </c>
      <c r="S46">
        <f>IF(OR(J46="Yes",I46="Yes",H46="Yes"),"Critical",IF(OR(M46="Yes",E46="Partial",N46="Yes",O46="Yes",P46="Yes",Q46="Yes"),"Warning",IF(OR(K46="Yes",L46="Yes"),"Informational","OK")))</f>
        <v/>
      </c>
      <c r="T46">
        <f>IF(R46="Mapping Hold","Resolve mapping before update",IF(R46="Missing Event Link","Map to one authoritative event",IF(R46="Duplicate WO","Review duplicate identity",IF(R46="Revenue Variance","Reconcile or dispute amount",IF(R46="Missing Breakdown","Await breakdown",IF(R46="Pending ACH","Await ACH",IF(R46="Partial Breakdown","Confirm remaining breakdown",IF(R46="Missing Client","Add canonical client",IF(R46="Missing Location","Complete location fields",IF(R46="OK","No action","Review invalid status"))))))))))</f>
        <v/>
      </c>
      <c r="U46">
        <f>IF(R46="OK","No","Yes")</f>
        <v/>
      </c>
      <c r="V46" s="657">
        <f>ABS(N(G46))</f>
        <v/>
      </c>
    </row>
    <row r="47">
      <c r="A47" t="inlineStr">
        <is>
          <t>LED-0017</t>
        </is>
      </c>
      <c r="B47">
        <f>INDEX(tblLedger[Work Order #],MATCH($A47,tblLedger[Ledger Record ID],0))</f>
        <v/>
      </c>
      <c r="C47">
        <f>INDEX(tblLedger[Event #],MATCH($A47,tblLedger[Ledger Record ID],0))</f>
        <v/>
      </c>
      <c r="D47">
        <f>INDEX(tblLedger[Client],MATCH($A47,tblLedger[Ledger Record ID],0))</f>
        <v/>
      </c>
      <c r="E47">
        <f>INDEX(tblLedger[Breakdown Confirmed],MATCH($A47,tblLedger[Ledger Record ID],0))</f>
        <v/>
      </c>
      <c r="F47">
        <f>INDEX(tblLedger[ACH Confirmed],MATCH($A47,tblLedger[Ledger Record ID],0))</f>
        <v/>
      </c>
      <c r="G47" s="657">
        <f>INDEX(tblLedger[Variance],MATCH($A47,tblLedger[Ledger Record ID],0))</f>
        <v/>
      </c>
      <c r="H47">
        <f>IF(COUNTIF(tblLedger[Work Order #],B47)&gt;1,"Yes","No")</f>
        <v/>
      </c>
      <c r="I47">
        <f>IF(C47="","Yes","No")</f>
        <v/>
      </c>
      <c r="J47">
        <f>IF(INDEX(tblLedger[Mapping Status],MATCH($A47,tblLedger[Ledger Record ID],0))="MAPPING_HOLD","Yes","No")</f>
        <v/>
      </c>
      <c r="K47">
        <f>IF(AND(OR(E47="No",E47="Pending"),IFERROR(INDEX(tblServiceEvents[Financial Scope],MATCH(C47,tblServiceEvents[Event #],0)),"Included")="Included"),"Yes","No")</f>
        <v/>
      </c>
      <c r="L47">
        <f>IF(AND(E47="Yes",OR(F47="No",F47="Pending")),"Yes","No")</f>
        <v/>
      </c>
      <c r="M47">
        <f>IF(OR(ABS(N(G47))&gt;0,INDEX(tblLedger[Reconciliation Status],MATCH($A47,tblLedger[Ledger Record ID],0))="BREAKDOWN_MISMATCH",INDEX(tblLedger[Reconciliation Status],MATCH($A47,tblLedger[Ledger Record ID],0))="ACH_MISMATCH"),"Yes","No")</f>
        <v/>
      </c>
      <c r="N47">
        <f>IF(D47="","Yes","No")</f>
        <v/>
      </c>
      <c r="O47">
        <f>IF(OR(INDEX(tblLedger[City],MATCH($A47,tblLedger[Ledger Record ID],0))="",INDEX(tblLedger[Jurisdiction],MATCH($A47,tblLedger[Ledger Record ID],0))=""),"Yes","No")</f>
        <v/>
      </c>
      <c r="P47">
        <f>IF(COUNTIF({"Yes","No","Partial","Pending","Mapping Hold"},E47)=0,"Yes","No")</f>
        <v/>
      </c>
      <c r="Q47">
        <f>IF(COUNTIF({"Yes","No","Partial","Pending","Mapping Review"},F47)=0,"Yes","No")</f>
        <v/>
      </c>
      <c r="R47">
        <f>IF(J47="Yes","Mapping Hold",IF(I47="Yes","Missing Event Link",IF(H47="Yes","Duplicate WO",IF(M47="Yes","Revenue Variance",IF(K47="Yes","Missing Breakdown",IF(L47="Yes","Pending ACH",IF(E47="Partial","Partial Breakdown",IF(N47="Yes","Missing Client",IF(O47="Yes","Missing Location",IF(P47="Yes","Unknown Breakdown Status",IF(Q47="Yes","Unknown ACH Status","OK")))))))))))</f>
        <v/>
      </c>
      <c r="S47">
        <f>IF(OR(J47="Yes",I47="Yes",H47="Yes"),"Critical",IF(OR(M47="Yes",E47="Partial",N47="Yes",O47="Yes",P47="Yes",Q47="Yes"),"Warning",IF(OR(K47="Yes",L47="Yes"),"Informational","OK")))</f>
        <v/>
      </c>
      <c r="T47">
        <f>IF(R47="Mapping Hold","Resolve mapping before update",IF(R47="Missing Event Link","Map to one authoritative event",IF(R47="Duplicate WO","Review duplicate identity",IF(R47="Revenue Variance","Reconcile or dispute amount",IF(R47="Missing Breakdown","Await breakdown",IF(R47="Pending ACH","Await ACH",IF(R47="Partial Breakdown","Confirm remaining breakdown",IF(R47="Missing Client","Add canonical client",IF(R47="Missing Location","Complete location fields",IF(R47="OK","No action","Review invalid status"))))))))))</f>
        <v/>
      </c>
      <c r="U47">
        <f>IF(R47="OK","No","Yes")</f>
        <v/>
      </c>
      <c r="V47" s="657">
        <f>ABS(N(G47))</f>
        <v/>
      </c>
    </row>
    <row r="48">
      <c r="A48" t="inlineStr">
        <is>
          <t>LED-0018</t>
        </is>
      </c>
      <c r="B48">
        <f>INDEX(tblLedger[Work Order #],MATCH($A48,tblLedger[Ledger Record ID],0))</f>
        <v/>
      </c>
      <c r="C48">
        <f>INDEX(tblLedger[Event #],MATCH($A48,tblLedger[Ledger Record ID],0))</f>
        <v/>
      </c>
      <c r="D48">
        <f>INDEX(tblLedger[Client],MATCH($A48,tblLedger[Ledger Record ID],0))</f>
        <v/>
      </c>
      <c r="E48">
        <f>INDEX(tblLedger[Breakdown Confirmed],MATCH($A48,tblLedger[Ledger Record ID],0))</f>
        <v/>
      </c>
      <c r="F48">
        <f>INDEX(tblLedger[ACH Confirmed],MATCH($A48,tblLedger[Ledger Record ID],0))</f>
        <v/>
      </c>
      <c r="G48" s="657">
        <f>INDEX(tblLedger[Variance],MATCH($A48,tblLedger[Ledger Record ID],0))</f>
        <v/>
      </c>
      <c r="H48">
        <f>IF(COUNTIF(tblLedger[Work Order #],B48)&gt;1,"Yes","No")</f>
        <v/>
      </c>
      <c r="I48">
        <f>IF(C48="","Yes","No")</f>
        <v/>
      </c>
      <c r="J48">
        <f>IF(INDEX(tblLedger[Mapping Status],MATCH($A48,tblLedger[Ledger Record ID],0))="MAPPING_HOLD","Yes","No")</f>
        <v/>
      </c>
      <c r="K48">
        <f>IF(AND(OR(E48="No",E48="Pending"),IFERROR(INDEX(tblServiceEvents[Financial Scope],MATCH(C48,tblServiceEvents[Event #],0)),"Included")="Included"),"Yes","No")</f>
        <v/>
      </c>
      <c r="L48">
        <f>IF(AND(E48="Yes",OR(F48="No",F48="Pending")),"Yes","No")</f>
        <v/>
      </c>
      <c r="M48">
        <f>IF(OR(ABS(N(G48))&gt;0,INDEX(tblLedger[Reconciliation Status],MATCH($A48,tblLedger[Ledger Record ID],0))="BREAKDOWN_MISMATCH",INDEX(tblLedger[Reconciliation Status],MATCH($A48,tblLedger[Ledger Record ID],0))="ACH_MISMATCH"),"Yes","No")</f>
        <v/>
      </c>
      <c r="N48">
        <f>IF(D48="","Yes","No")</f>
        <v/>
      </c>
      <c r="O48">
        <f>IF(OR(INDEX(tblLedger[City],MATCH($A48,tblLedger[Ledger Record ID],0))="",INDEX(tblLedger[Jurisdiction],MATCH($A48,tblLedger[Ledger Record ID],0))=""),"Yes","No")</f>
        <v/>
      </c>
      <c r="P48">
        <f>IF(COUNTIF({"Yes","No","Partial","Pending","Mapping Hold"},E48)=0,"Yes","No")</f>
        <v/>
      </c>
      <c r="Q48">
        <f>IF(COUNTIF({"Yes","No","Partial","Pending","Mapping Review"},F48)=0,"Yes","No")</f>
        <v/>
      </c>
      <c r="R48">
        <f>IF(J48="Yes","Mapping Hold",IF(I48="Yes","Missing Event Link",IF(H48="Yes","Duplicate WO",IF(M48="Yes","Revenue Variance",IF(K48="Yes","Missing Breakdown",IF(L48="Yes","Pending ACH",IF(E48="Partial","Partial Breakdown",IF(N48="Yes","Missing Client",IF(O48="Yes","Missing Location",IF(P48="Yes","Unknown Breakdown Status",IF(Q48="Yes","Unknown ACH Status","OK")))))))))))</f>
        <v/>
      </c>
      <c r="S48">
        <f>IF(OR(J48="Yes",I48="Yes",H48="Yes"),"Critical",IF(OR(M48="Yes",E48="Partial",N48="Yes",O48="Yes",P48="Yes",Q48="Yes"),"Warning",IF(OR(K48="Yes",L48="Yes"),"Informational","OK")))</f>
        <v/>
      </c>
      <c r="T48">
        <f>IF(R48="Mapping Hold","Resolve mapping before update",IF(R48="Missing Event Link","Map to one authoritative event",IF(R48="Duplicate WO","Review duplicate identity",IF(R48="Revenue Variance","Reconcile or dispute amount",IF(R48="Missing Breakdown","Await breakdown",IF(R48="Pending ACH","Await ACH",IF(R48="Partial Breakdown","Confirm remaining breakdown",IF(R48="Missing Client","Add canonical client",IF(R48="Missing Location","Complete location fields",IF(R48="OK","No action","Review invalid status"))))))))))</f>
        <v/>
      </c>
      <c r="U48">
        <f>IF(R48="OK","No","Yes")</f>
        <v/>
      </c>
      <c r="V48" s="657">
        <f>ABS(N(G48))</f>
        <v/>
      </c>
    </row>
    <row r="49">
      <c r="A49" t="inlineStr">
        <is>
          <t>LED-0019</t>
        </is>
      </c>
      <c r="B49">
        <f>INDEX(tblLedger[Work Order #],MATCH($A49,tblLedger[Ledger Record ID],0))</f>
        <v/>
      </c>
      <c r="C49">
        <f>INDEX(tblLedger[Event #],MATCH($A49,tblLedger[Ledger Record ID],0))</f>
        <v/>
      </c>
      <c r="D49">
        <f>INDEX(tblLedger[Client],MATCH($A49,tblLedger[Ledger Record ID],0))</f>
        <v/>
      </c>
      <c r="E49">
        <f>INDEX(tblLedger[Breakdown Confirmed],MATCH($A49,tblLedger[Ledger Record ID],0))</f>
        <v/>
      </c>
      <c r="F49">
        <f>INDEX(tblLedger[ACH Confirmed],MATCH($A49,tblLedger[Ledger Record ID],0))</f>
        <v/>
      </c>
      <c r="G49" s="657">
        <f>INDEX(tblLedger[Variance],MATCH($A49,tblLedger[Ledger Record ID],0))</f>
        <v/>
      </c>
      <c r="H49">
        <f>IF(COUNTIF(tblLedger[Work Order #],B49)&gt;1,"Yes","No")</f>
        <v/>
      </c>
      <c r="I49">
        <f>IF(C49="","Yes","No")</f>
        <v/>
      </c>
      <c r="J49">
        <f>IF(INDEX(tblLedger[Mapping Status],MATCH($A49,tblLedger[Ledger Record ID],0))="MAPPING_HOLD","Yes","No")</f>
        <v/>
      </c>
      <c r="K49">
        <f>IF(AND(OR(E49="No",E49="Pending"),IFERROR(INDEX(tblServiceEvents[Financial Scope],MATCH(C49,tblServiceEvents[Event #],0)),"Included")="Included"),"Yes","No")</f>
        <v/>
      </c>
      <c r="L49">
        <f>IF(AND(E49="Yes",OR(F49="No",F49="Pending")),"Yes","No")</f>
        <v/>
      </c>
      <c r="M49">
        <f>IF(OR(ABS(N(G49))&gt;0,INDEX(tblLedger[Reconciliation Status],MATCH($A49,tblLedger[Ledger Record ID],0))="BREAKDOWN_MISMATCH",INDEX(tblLedger[Reconciliation Status],MATCH($A49,tblLedger[Ledger Record ID],0))="ACH_MISMATCH"),"Yes","No")</f>
        <v/>
      </c>
      <c r="N49">
        <f>IF(D49="","Yes","No")</f>
        <v/>
      </c>
      <c r="O49">
        <f>IF(OR(INDEX(tblLedger[City],MATCH($A49,tblLedger[Ledger Record ID],0))="",INDEX(tblLedger[Jurisdiction],MATCH($A49,tblLedger[Ledger Record ID],0))=""),"Yes","No")</f>
        <v/>
      </c>
      <c r="P49">
        <f>IF(COUNTIF({"Yes","No","Partial","Pending","Mapping Hold"},E49)=0,"Yes","No")</f>
        <v/>
      </c>
      <c r="Q49">
        <f>IF(COUNTIF({"Yes","No","Partial","Pending","Mapping Review"},F49)=0,"Yes","No")</f>
        <v/>
      </c>
      <c r="R49">
        <f>IF(J49="Yes","Mapping Hold",IF(I49="Yes","Missing Event Link",IF(H49="Yes","Duplicate WO",IF(M49="Yes","Revenue Variance",IF(K49="Yes","Missing Breakdown",IF(L49="Yes","Pending ACH",IF(E49="Partial","Partial Breakdown",IF(N49="Yes","Missing Client",IF(O49="Yes","Missing Location",IF(P49="Yes","Unknown Breakdown Status",IF(Q49="Yes","Unknown ACH Status","OK")))))))))))</f>
        <v/>
      </c>
      <c r="S49">
        <f>IF(OR(J49="Yes",I49="Yes",H49="Yes"),"Critical",IF(OR(M49="Yes",E49="Partial",N49="Yes",O49="Yes",P49="Yes",Q49="Yes"),"Warning",IF(OR(K49="Yes",L49="Yes"),"Informational","OK")))</f>
        <v/>
      </c>
      <c r="T49">
        <f>IF(R49="Mapping Hold","Resolve mapping before update",IF(R49="Missing Event Link","Map to one authoritative event",IF(R49="Duplicate WO","Review duplicate identity",IF(R49="Revenue Variance","Reconcile or dispute amount",IF(R49="Missing Breakdown","Await breakdown",IF(R49="Pending ACH","Await ACH",IF(R49="Partial Breakdown","Confirm remaining breakdown",IF(R49="Missing Client","Add canonical client",IF(R49="Missing Location","Complete location fields",IF(R49="OK","No action","Review invalid status"))))))))))</f>
        <v/>
      </c>
      <c r="U49">
        <f>IF(R49="OK","No","Yes")</f>
        <v/>
      </c>
      <c r="V49" s="657">
        <f>ABS(N(G49))</f>
        <v/>
      </c>
    </row>
    <row r="50">
      <c r="A50" t="inlineStr">
        <is>
          <t>LED-0020</t>
        </is>
      </c>
      <c r="B50">
        <f>INDEX(tblLedger[Work Order #],MATCH($A50,tblLedger[Ledger Record ID],0))</f>
        <v/>
      </c>
      <c r="C50">
        <f>INDEX(tblLedger[Event #],MATCH($A50,tblLedger[Ledger Record ID],0))</f>
        <v/>
      </c>
      <c r="D50">
        <f>INDEX(tblLedger[Client],MATCH($A50,tblLedger[Ledger Record ID],0))</f>
        <v/>
      </c>
      <c r="E50">
        <f>INDEX(tblLedger[Breakdown Confirmed],MATCH($A50,tblLedger[Ledger Record ID],0))</f>
        <v/>
      </c>
      <c r="F50">
        <f>INDEX(tblLedger[ACH Confirmed],MATCH($A50,tblLedger[Ledger Record ID],0))</f>
        <v/>
      </c>
      <c r="G50" s="657">
        <f>INDEX(tblLedger[Variance],MATCH($A50,tblLedger[Ledger Record ID],0))</f>
        <v/>
      </c>
      <c r="H50">
        <f>IF(COUNTIF(tblLedger[Work Order #],B50)&gt;1,"Yes","No")</f>
        <v/>
      </c>
      <c r="I50">
        <f>IF(C50="","Yes","No")</f>
        <v/>
      </c>
      <c r="J50">
        <f>IF(INDEX(tblLedger[Mapping Status],MATCH($A50,tblLedger[Ledger Record ID],0))="MAPPING_HOLD","Yes","No")</f>
        <v/>
      </c>
      <c r="K50">
        <f>IF(AND(OR(E50="No",E50="Pending"),IFERROR(INDEX(tblServiceEvents[Financial Scope],MATCH(C50,tblServiceEvents[Event #],0)),"Included")="Included"),"Yes","No")</f>
        <v/>
      </c>
      <c r="L50">
        <f>IF(AND(E50="Yes",OR(F50="No",F50="Pending")),"Yes","No")</f>
        <v/>
      </c>
      <c r="M50">
        <f>IF(OR(ABS(N(G50))&gt;0,INDEX(tblLedger[Reconciliation Status],MATCH($A50,tblLedger[Ledger Record ID],0))="BREAKDOWN_MISMATCH",INDEX(tblLedger[Reconciliation Status],MATCH($A50,tblLedger[Ledger Record ID],0))="ACH_MISMATCH"),"Yes","No")</f>
        <v/>
      </c>
      <c r="N50">
        <f>IF(D50="","Yes","No")</f>
        <v/>
      </c>
      <c r="O50">
        <f>IF(OR(INDEX(tblLedger[City],MATCH($A50,tblLedger[Ledger Record ID],0))="",INDEX(tblLedger[Jurisdiction],MATCH($A50,tblLedger[Ledger Record ID],0))=""),"Yes","No")</f>
        <v/>
      </c>
      <c r="P50">
        <f>IF(COUNTIF({"Yes","No","Partial","Pending","Mapping Hold"},E50)=0,"Yes","No")</f>
        <v/>
      </c>
      <c r="Q50">
        <f>IF(COUNTIF({"Yes","No","Partial","Pending","Mapping Review"},F50)=0,"Yes","No")</f>
        <v/>
      </c>
      <c r="R50">
        <f>IF(J50="Yes","Mapping Hold",IF(I50="Yes","Missing Event Link",IF(H50="Yes","Duplicate WO",IF(M50="Yes","Revenue Variance",IF(K50="Yes","Missing Breakdown",IF(L50="Yes","Pending ACH",IF(E50="Partial","Partial Breakdown",IF(N50="Yes","Missing Client",IF(O50="Yes","Missing Location",IF(P50="Yes","Unknown Breakdown Status",IF(Q50="Yes","Unknown ACH Status","OK")))))))))))</f>
        <v/>
      </c>
      <c r="S50">
        <f>IF(OR(J50="Yes",I50="Yes",H50="Yes"),"Critical",IF(OR(M50="Yes",E50="Partial",N50="Yes",O50="Yes",P50="Yes",Q50="Yes"),"Warning",IF(OR(K50="Yes",L50="Yes"),"Informational","OK")))</f>
        <v/>
      </c>
      <c r="T50">
        <f>IF(R50="Mapping Hold","Resolve mapping before update",IF(R50="Missing Event Link","Map to one authoritative event",IF(R50="Duplicate WO","Review duplicate identity",IF(R50="Revenue Variance","Reconcile or dispute amount",IF(R50="Missing Breakdown","Await breakdown",IF(R50="Pending ACH","Await ACH",IF(R50="Partial Breakdown","Confirm remaining breakdown",IF(R50="Missing Client","Add canonical client",IF(R50="Missing Location","Complete location fields",IF(R50="OK","No action","Review invalid status"))))))))))</f>
        <v/>
      </c>
      <c r="U50">
        <f>IF(R50="OK","No","Yes")</f>
        <v/>
      </c>
      <c r="V50" s="657">
        <f>ABS(N(G50))</f>
        <v/>
      </c>
    </row>
    <row r="51">
      <c r="A51" t="inlineStr">
        <is>
          <t>LED-0021</t>
        </is>
      </c>
      <c r="B51">
        <f>INDEX(tblLedger[Work Order #],MATCH($A51,tblLedger[Ledger Record ID],0))</f>
        <v/>
      </c>
      <c r="C51">
        <f>INDEX(tblLedger[Event #],MATCH($A51,tblLedger[Ledger Record ID],0))</f>
        <v/>
      </c>
      <c r="D51">
        <f>INDEX(tblLedger[Client],MATCH($A51,tblLedger[Ledger Record ID],0))</f>
        <v/>
      </c>
      <c r="E51">
        <f>INDEX(tblLedger[Breakdown Confirmed],MATCH($A51,tblLedger[Ledger Record ID],0))</f>
        <v/>
      </c>
      <c r="F51">
        <f>INDEX(tblLedger[ACH Confirmed],MATCH($A51,tblLedger[Ledger Record ID],0))</f>
        <v/>
      </c>
      <c r="G51" s="657">
        <f>INDEX(tblLedger[Variance],MATCH($A51,tblLedger[Ledger Record ID],0))</f>
        <v/>
      </c>
      <c r="H51">
        <f>IF(COUNTIF(tblLedger[Work Order #],B51)&gt;1,"Yes","No")</f>
        <v/>
      </c>
      <c r="I51">
        <f>IF(C51="","Yes","No")</f>
        <v/>
      </c>
      <c r="J51">
        <f>IF(INDEX(tblLedger[Mapping Status],MATCH($A51,tblLedger[Ledger Record ID],0))="MAPPING_HOLD","Yes","No")</f>
        <v/>
      </c>
      <c r="K51">
        <f>IF(AND(OR(E51="No",E51="Pending"),IFERROR(INDEX(tblServiceEvents[Financial Scope],MATCH(C51,tblServiceEvents[Event #],0)),"Included")="Included"),"Yes","No")</f>
        <v/>
      </c>
      <c r="L51">
        <f>IF(AND(E51="Yes",OR(F51="No",F51="Pending")),"Yes","No")</f>
        <v/>
      </c>
      <c r="M51">
        <f>IF(OR(ABS(N(G51))&gt;0,INDEX(tblLedger[Reconciliation Status],MATCH($A51,tblLedger[Ledger Record ID],0))="BREAKDOWN_MISMATCH",INDEX(tblLedger[Reconciliation Status],MATCH($A51,tblLedger[Ledger Record ID],0))="ACH_MISMATCH"),"Yes","No")</f>
        <v/>
      </c>
      <c r="N51">
        <f>IF(D51="","Yes","No")</f>
        <v/>
      </c>
      <c r="O51">
        <f>IF(OR(INDEX(tblLedger[City],MATCH($A51,tblLedger[Ledger Record ID],0))="",INDEX(tblLedger[Jurisdiction],MATCH($A51,tblLedger[Ledger Record ID],0))=""),"Yes","No")</f>
        <v/>
      </c>
      <c r="P51">
        <f>IF(COUNTIF({"Yes","No","Partial","Pending","Mapping Hold"},E51)=0,"Yes","No")</f>
        <v/>
      </c>
      <c r="Q51">
        <f>IF(COUNTIF({"Yes","No","Partial","Pending","Mapping Review"},F51)=0,"Yes","No")</f>
        <v/>
      </c>
      <c r="R51">
        <f>IF(J51="Yes","Mapping Hold",IF(I51="Yes","Missing Event Link",IF(H51="Yes","Duplicate WO",IF(M51="Yes","Revenue Variance",IF(K51="Yes","Missing Breakdown",IF(L51="Yes","Pending ACH",IF(E51="Partial","Partial Breakdown",IF(N51="Yes","Missing Client",IF(O51="Yes","Missing Location",IF(P51="Yes","Unknown Breakdown Status",IF(Q51="Yes","Unknown ACH Status","OK")))))))))))</f>
        <v/>
      </c>
      <c r="S51">
        <f>IF(OR(J51="Yes",I51="Yes",H51="Yes"),"Critical",IF(OR(M51="Yes",E51="Partial",N51="Yes",O51="Yes",P51="Yes",Q51="Yes"),"Warning",IF(OR(K51="Yes",L51="Yes"),"Informational","OK")))</f>
        <v/>
      </c>
      <c r="T51">
        <f>IF(R51="Mapping Hold","Resolve mapping before update",IF(R51="Missing Event Link","Map to one authoritative event",IF(R51="Duplicate WO","Review duplicate identity",IF(R51="Revenue Variance","Reconcile or dispute amount",IF(R51="Missing Breakdown","Await breakdown",IF(R51="Pending ACH","Await ACH",IF(R51="Partial Breakdown","Confirm remaining breakdown",IF(R51="Missing Client","Add canonical client",IF(R51="Missing Location","Complete location fields",IF(R51="OK","No action","Review invalid status"))))))))))</f>
        <v/>
      </c>
      <c r="U51">
        <f>IF(R51="OK","No","Yes")</f>
        <v/>
      </c>
      <c r="V51" s="657">
        <f>ABS(N(G51))</f>
        <v/>
      </c>
    </row>
    <row r="52">
      <c r="A52" t="inlineStr">
        <is>
          <t>LED-0022</t>
        </is>
      </c>
      <c r="B52">
        <f>INDEX(tblLedger[Work Order #],MATCH($A52,tblLedger[Ledger Record ID],0))</f>
        <v/>
      </c>
      <c r="C52">
        <f>INDEX(tblLedger[Event #],MATCH($A52,tblLedger[Ledger Record ID],0))</f>
        <v/>
      </c>
      <c r="D52">
        <f>INDEX(tblLedger[Client],MATCH($A52,tblLedger[Ledger Record ID],0))</f>
        <v/>
      </c>
      <c r="E52">
        <f>INDEX(tblLedger[Breakdown Confirmed],MATCH($A52,tblLedger[Ledger Record ID],0))</f>
        <v/>
      </c>
      <c r="F52">
        <f>INDEX(tblLedger[ACH Confirmed],MATCH($A52,tblLedger[Ledger Record ID],0))</f>
        <v/>
      </c>
      <c r="G52" s="657">
        <f>INDEX(tblLedger[Variance],MATCH($A52,tblLedger[Ledger Record ID],0))</f>
        <v/>
      </c>
      <c r="H52">
        <f>IF(COUNTIF(tblLedger[Work Order #],B52)&gt;1,"Yes","No")</f>
        <v/>
      </c>
      <c r="I52">
        <f>IF(C52="","Yes","No")</f>
        <v/>
      </c>
      <c r="J52">
        <f>IF(INDEX(tblLedger[Mapping Status],MATCH($A52,tblLedger[Ledger Record ID],0))="MAPPING_HOLD","Yes","No")</f>
        <v/>
      </c>
      <c r="K52">
        <f>IF(AND(OR(E52="No",E52="Pending"),IFERROR(INDEX(tblServiceEvents[Financial Scope],MATCH(C52,tblServiceEvents[Event #],0)),"Included")="Included"),"Yes","No")</f>
        <v/>
      </c>
      <c r="L52">
        <f>IF(AND(E52="Yes",OR(F52="No",F52="Pending")),"Yes","No")</f>
        <v/>
      </c>
      <c r="M52">
        <f>IF(OR(ABS(N(G52))&gt;0,INDEX(tblLedger[Reconciliation Status],MATCH($A52,tblLedger[Ledger Record ID],0))="BREAKDOWN_MISMATCH",INDEX(tblLedger[Reconciliation Status],MATCH($A52,tblLedger[Ledger Record ID],0))="ACH_MISMATCH"),"Yes","No")</f>
        <v/>
      </c>
      <c r="N52">
        <f>IF(D52="","Yes","No")</f>
        <v/>
      </c>
      <c r="O52">
        <f>IF(OR(INDEX(tblLedger[City],MATCH($A52,tblLedger[Ledger Record ID],0))="",INDEX(tblLedger[Jurisdiction],MATCH($A52,tblLedger[Ledger Record ID],0))=""),"Yes","No")</f>
        <v/>
      </c>
      <c r="P52">
        <f>IF(COUNTIF({"Yes","No","Partial","Pending","Mapping Hold"},E52)=0,"Yes","No")</f>
        <v/>
      </c>
      <c r="Q52">
        <f>IF(COUNTIF({"Yes","No","Partial","Pending","Mapping Review"},F52)=0,"Yes","No")</f>
        <v/>
      </c>
      <c r="R52">
        <f>IF(J52="Yes","Mapping Hold",IF(I52="Yes","Missing Event Link",IF(H52="Yes","Duplicate WO",IF(M52="Yes","Revenue Variance",IF(K52="Yes","Missing Breakdown",IF(L52="Yes","Pending ACH",IF(E52="Partial","Partial Breakdown",IF(N52="Yes","Missing Client",IF(O52="Yes","Missing Location",IF(P52="Yes","Unknown Breakdown Status",IF(Q52="Yes","Unknown ACH Status","OK")))))))))))</f>
        <v/>
      </c>
      <c r="S52">
        <f>IF(OR(J52="Yes",I52="Yes",H52="Yes"),"Critical",IF(OR(M52="Yes",E52="Partial",N52="Yes",O52="Yes",P52="Yes",Q52="Yes"),"Warning",IF(OR(K52="Yes",L52="Yes"),"Informational","OK")))</f>
        <v/>
      </c>
      <c r="T52">
        <f>IF(R52="Mapping Hold","Resolve mapping before update",IF(R52="Missing Event Link","Map to one authoritative event",IF(R52="Duplicate WO","Review duplicate identity",IF(R52="Revenue Variance","Reconcile or dispute amount",IF(R52="Missing Breakdown","Await breakdown",IF(R52="Pending ACH","Await ACH",IF(R52="Partial Breakdown","Confirm remaining breakdown",IF(R52="Missing Client","Add canonical client",IF(R52="Missing Location","Complete location fields",IF(R52="OK","No action","Review invalid status"))))))))))</f>
        <v/>
      </c>
      <c r="U52">
        <f>IF(R52="OK","No","Yes")</f>
        <v/>
      </c>
      <c r="V52" s="657">
        <f>ABS(N(G52))</f>
        <v/>
      </c>
    </row>
    <row r="53">
      <c r="A53" t="inlineStr">
        <is>
          <t>LED-0023</t>
        </is>
      </c>
      <c r="B53">
        <f>INDEX(tblLedger[Work Order #],MATCH($A53,tblLedger[Ledger Record ID],0))</f>
        <v/>
      </c>
      <c r="C53">
        <f>INDEX(tblLedger[Event #],MATCH($A53,tblLedger[Ledger Record ID],0))</f>
        <v/>
      </c>
      <c r="D53">
        <f>INDEX(tblLedger[Client],MATCH($A53,tblLedger[Ledger Record ID],0))</f>
        <v/>
      </c>
      <c r="E53">
        <f>INDEX(tblLedger[Breakdown Confirmed],MATCH($A53,tblLedger[Ledger Record ID],0))</f>
        <v/>
      </c>
      <c r="F53">
        <f>INDEX(tblLedger[ACH Confirmed],MATCH($A53,tblLedger[Ledger Record ID],0))</f>
        <v/>
      </c>
      <c r="G53" s="657">
        <f>INDEX(tblLedger[Variance],MATCH($A53,tblLedger[Ledger Record ID],0))</f>
        <v/>
      </c>
      <c r="H53">
        <f>IF(COUNTIF(tblLedger[Work Order #],B53)&gt;1,"Yes","No")</f>
        <v/>
      </c>
      <c r="I53">
        <f>IF(C53="","Yes","No")</f>
        <v/>
      </c>
      <c r="J53">
        <f>IF(INDEX(tblLedger[Mapping Status],MATCH($A53,tblLedger[Ledger Record ID],0))="MAPPING_HOLD","Yes","No")</f>
        <v/>
      </c>
      <c r="K53">
        <f>IF(AND(OR(E53="No",E53="Pending"),IFERROR(INDEX(tblServiceEvents[Financial Scope],MATCH(C53,tblServiceEvents[Event #],0)),"Included")="Included"),"Yes","No")</f>
        <v/>
      </c>
      <c r="L53">
        <f>IF(AND(E53="Yes",OR(F53="No",F53="Pending")),"Yes","No")</f>
        <v/>
      </c>
      <c r="M53">
        <f>IF(OR(ABS(N(G53))&gt;0,INDEX(tblLedger[Reconciliation Status],MATCH($A53,tblLedger[Ledger Record ID],0))="BREAKDOWN_MISMATCH",INDEX(tblLedger[Reconciliation Status],MATCH($A53,tblLedger[Ledger Record ID],0))="ACH_MISMATCH"),"Yes","No")</f>
        <v/>
      </c>
      <c r="N53">
        <f>IF(D53="","Yes","No")</f>
        <v/>
      </c>
      <c r="O53">
        <f>IF(OR(INDEX(tblLedger[City],MATCH($A53,tblLedger[Ledger Record ID],0))="",INDEX(tblLedger[Jurisdiction],MATCH($A53,tblLedger[Ledger Record ID],0))=""),"Yes","No")</f>
        <v/>
      </c>
      <c r="P53">
        <f>IF(COUNTIF({"Yes","No","Partial","Pending","Mapping Hold"},E53)=0,"Yes","No")</f>
        <v/>
      </c>
      <c r="Q53">
        <f>IF(COUNTIF({"Yes","No","Partial","Pending","Mapping Review"},F53)=0,"Yes","No")</f>
        <v/>
      </c>
      <c r="R53">
        <f>IF(J53="Yes","Mapping Hold",IF(I53="Yes","Missing Event Link",IF(H53="Yes","Duplicate WO",IF(M53="Yes","Revenue Variance",IF(K53="Yes","Missing Breakdown",IF(L53="Yes","Pending ACH",IF(E53="Partial","Partial Breakdown",IF(N53="Yes","Missing Client",IF(O53="Yes","Missing Location",IF(P53="Yes","Unknown Breakdown Status",IF(Q53="Yes","Unknown ACH Status","OK")))))))))))</f>
        <v/>
      </c>
      <c r="S53">
        <f>IF(OR(J53="Yes",I53="Yes",H53="Yes"),"Critical",IF(OR(M53="Yes",E53="Partial",N53="Yes",O53="Yes",P53="Yes",Q53="Yes"),"Warning",IF(OR(K53="Yes",L53="Yes"),"Informational","OK")))</f>
        <v/>
      </c>
      <c r="T53">
        <f>IF(R53="Mapping Hold","Resolve mapping before update",IF(R53="Missing Event Link","Map to one authoritative event",IF(R53="Duplicate WO","Review duplicate identity",IF(R53="Revenue Variance","Reconcile or dispute amount",IF(R53="Missing Breakdown","Await breakdown",IF(R53="Pending ACH","Await ACH",IF(R53="Partial Breakdown","Confirm remaining breakdown",IF(R53="Missing Client","Add canonical client",IF(R53="Missing Location","Complete location fields",IF(R53="OK","No action","Review invalid status"))))))))))</f>
        <v/>
      </c>
      <c r="U53">
        <f>IF(R53="OK","No","Yes")</f>
        <v/>
      </c>
      <c r="V53" s="657">
        <f>ABS(N(G53))</f>
        <v/>
      </c>
    </row>
    <row r="54">
      <c r="A54" t="inlineStr">
        <is>
          <t>LED-0024</t>
        </is>
      </c>
      <c r="B54">
        <f>INDEX(tblLedger[Work Order #],MATCH($A54,tblLedger[Ledger Record ID],0))</f>
        <v/>
      </c>
      <c r="C54">
        <f>INDEX(tblLedger[Event #],MATCH($A54,tblLedger[Ledger Record ID],0))</f>
        <v/>
      </c>
      <c r="D54">
        <f>INDEX(tblLedger[Client],MATCH($A54,tblLedger[Ledger Record ID],0))</f>
        <v/>
      </c>
      <c r="E54">
        <f>INDEX(tblLedger[Breakdown Confirmed],MATCH($A54,tblLedger[Ledger Record ID],0))</f>
        <v/>
      </c>
      <c r="F54">
        <f>INDEX(tblLedger[ACH Confirmed],MATCH($A54,tblLedger[Ledger Record ID],0))</f>
        <v/>
      </c>
      <c r="G54" s="657">
        <f>INDEX(tblLedger[Variance],MATCH($A54,tblLedger[Ledger Record ID],0))</f>
        <v/>
      </c>
      <c r="H54">
        <f>IF(COUNTIF(tblLedger[Work Order #],B54)&gt;1,"Yes","No")</f>
        <v/>
      </c>
      <c r="I54">
        <f>IF(C54="","Yes","No")</f>
        <v/>
      </c>
      <c r="J54">
        <f>IF(INDEX(tblLedger[Mapping Status],MATCH($A54,tblLedger[Ledger Record ID],0))="MAPPING_HOLD","Yes","No")</f>
        <v/>
      </c>
      <c r="K54">
        <f>IF(AND(OR(E54="No",E54="Pending"),IFERROR(INDEX(tblServiceEvents[Financial Scope],MATCH(C54,tblServiceEvents[Event #],0)),"Included")="Included"),"Yes","No")</f>
        <v/>
      </c>
      <c r="L54">
        <f>IF(AND(E54="Yes",OR(F54="No",F54="Pending")),"Yes","No")</f>
        <v/>
      </c>
      <c r="M54">
        <f>IF(OR(ABS(N(G54))&gt;0,INDEX(tblLedger[Reconciliation Status],MATCH($A54,tblLedger[Ledger Record ID],0))="BREAKDOWN_MISMATCH",INDEX(tblLedger[Reconciliation Status],MATCH($A54,tblLedger[Ledger Record ID],0))="ACH_MISMATCH"),"Yes","No")</f>
        <v/>
      </c>
      <c r="N54">
        <f>IF(D54="","Yes","No")</f>
        <v/>
      </c>
      <c r="O54">
        <f>IF(OR(INDEX(tblLedger[City],MATCH($A54,tblLedger[Ledger Record ID],0))="",INDEX(tblLedger[Jurisdiction],MATCH($A54,tblLedger[Ledger Record ID],0))=""),"Yes","No")</f>
        <v/>
      </c>
      <c r="P54">
        <f>IF(COUNTIF({"Yes","No","Partial","Pending","Mapping Hold"},E54)=0,"Yes","No")</f>
        <v/>
      </c>
      <c r="Q54">
        <f>IF(COUNTIF({"Yes","No","Partial","Pending","Mapping Review"},F54)=0,"Yes","No")</f>
        <v/>
      </c>
      <c r="R54">
        <f>IF(J54="Yes","Mapping Hold",IF(I54="Yes","Missing Event Link",IF(H54="Yes","Duplicate WO",IF(M54="Yes","Revenue Variance",IF(K54="Yes","Missing Breakdown",IF(L54="Yes","Pending ACH",IF(E54="Partial","Partial Breakdown",IF(N54="Yes","Missing Client",IF(O54="Yes","Missing Location",IF(P54="Yes","Unknown Breakdown Status",IF(Q54="Yes","Unknown ACH Status","OK")))))))))))</f>
        <v/>
      </c>
      <c r="S54">
        <f>IF(OR(J54="Yes",I54="Yes",H54="Yes"),"Critical",IF(OR(M54="Yes",E54="Partial",N54="Yes",O54="Yes",P54="Yes",Q54="Yes"),"Warning",IF(OR(K54="Yes",L54="Yes"),"Informational","OK")))</f>
        <v/>
      </c>
      <c r="T54">
        <f>IF(R54="Mapping Hold","Resolve mapping before update",IF(R54="Missing Event Link","Map to one authoritative event",IF(R54="Duplicate WO","Review duplicate identity",IF(R54="Revenue Variance","Reconcile or dispute amount",IF(R54="Missing Breakdown","Await breakdown",IF(R54="Pending ACH","Await ACH",IF(R54="Partial Breakdown","Confirm remaining breakdown",IF(R54="Missing Client","Add canonical client",IF(R54="Missing Location","Complete location fields",IF(R54="OK","No action","Review invalid status"))))))))))</f>
        <v/>
      </c>
      <c r="U54">
        <f>IF(R54="OK","No","Yes")</f>
        <v/>
      </c>
      <c r="V54" s="657">
        <f>ABS(N(G54))</f>
        <v/>
      </c>
    </row>
    <row r="55">
      <c r="A55" t="inlineStr">
        <is>
          <t>LED-0025</t>
        </is>
      </c>
      <c r="B55">
        <f>INDEX(tblLedger[Work Order #],MATCH($A55,tblLedger[Ledger Record ID],0))</f>
        <v/>
      </c>
      <c r="C55">
        <f>INDEX(tblLedger[Event #],MATCH($A55,tblLedger[Ledger Record ID],0))</f>
        <v/>
      </c>
      <c r="D55">
        <f>INDEX(tblLedger[Client],MATCH($A55,tblLedger[Ledger Record ID],0))</f>
        <v/>
      </c>
      <c r="E55">
        <f>INDEX(tblLedger[Breakdown Confirmed],MATCH($A55,tblLedger[Ledger Record ID],0))</f>
        <v/>
      </c>
      <c r="F55">
        <f>INDEX(tblLedger[ACH Confirmed],MATCH($A55,tblLedger[Ledger Record ID],0))</f>
        <v/>
      </c>
      <c r="G55" s="657">
        <f>INDEX(tblLedger[Variance],MATCH($A55,tblLedger[Ledger Record ID],0))</f>
        <v/>
      </c>
      <c r="H55">
        <f>IF(COUNTIF(tblLedger[Work Order #],B55)&gt;1,"Yes","No")</f>
        <v/>
      </c>
      <c r="I55">
        <f>IF(C55="","Yes","No")</f>
        <v/>
      </c>
      <c r="J55">
        <f>IF(INDEX(tblLedger[Mapping Status],MATCH($A55,tblLedger[Ledger Record ID],0))="MAPPING_HOLD","Yes","No")</f>
        <v/>
      </c>
      <c r="K55">
        <f>IF(AND(OR(E55="No",E55="Pending"),IFERROR(INDEX(tblServiceEvents[Financial Scope],MATCH(C55,tblServiceEvents[Event #],0)),"Included")="Included"),"Yes","No")</f>
        <v/>
      </c>
      <c r="L55">
        <f>IF(AND(E55="Yes",OR(F55="No",F55="Pending")),"Yes","No")</f>
        <v/>
      </c>
      <c r="M55">
        <f>IF(OR(ABS(N(G55))&gt;0,INDEX(tblLedger[Reconciliation Status],MATCH($A55,tblLedger[Ledger Record ID],0))="BREAKDOWN_MISMATCH",INDEX(tblLedger[Reconciliation Status],MATCH($A55,tblLedger[Ledger Record ID],0))="ACH_MISMATCH"),"Yes","No")</f>
        <v/>
      </c>
      <c r="N55">
        <f>IF(D55="","Yes","No")</f>
        <v/>
      </c>
      <c r="O55">
        <f>IF(OR(INDEX(tblLedger[City],MATCH($A55,tblLedger[Ledger Record ID],0))="",INDEX(tblLedger[Jurisdiction],MATCH($A55,tblLedger[Ledger Record ID],0))=""),"Yes","No")</f>
        <v/>
      </c>
      <c r="P55">
        <f>IF(COUNTIF({"Yes","No","Partial","Pending","Mapping Hold"},E55)=0,"Yes","No")</f>
        <v/>
      </c>
      <c r="Q55">
        <f>IF(COUNTIF({"Yes","No","Partial","Pending","Mapping Review"},F55)=0,"Yes","No")</f>
        <v/>
      </c>
      <c r="R55">
        <f>IF(J55="Yes","Mapping Hold",IF(I55="Yes","Missing Event Link",IF(H55="Yes","Duplicate WO",IF(M55="Yes","Revenue Variance",IF(K55="Yes","Missing Breakdown",IF(L55="Yes","Pending ACH",IF(E55="Partial","Partial Breakdown",IF(N55="Yes","Missing Client",IF(O55="Yes","Missing Location",IF(P55="Yes","Unknown Breakdown Status",IF(Q55="Yes","Unknown ACH Status","OK")))))))))))</f>
        <v/>
      </c>
      <c r="S55">
        <f>IF(OR(J55="Yes",I55="Yes",H55="Yes"),"Critical",IF(OR(M55="Yes",E55="Partial",N55="Yes",O55="Yes",P55="Yes",Q55="Yes"),"Warning",IF(OR(K55="Yes",L55="Yes"),"Informational","OK")))</f>
        <v/>
      </c>
      <c r="T55">
        <f>IF(R55="Mapping Hold","Resolve mapping before update",IF(R55="Missing Event Link","Map to one authoritative event",IF(R55="Duplicate WO","Review duplicate identity",IF(R55="Revenue Variance","Reconcile or dispute amount",IF(R55="Missing Breakdown","Await breakdown",IF(R55="Pending ACH","Await ACH",IF(R55="Partial Breakdown","Confirm remaining breakdown",IF(R55="Missing Client","Add canonical client",IF(R55="Missing Location","Complete location fields",IF(R55="OK","No action","Review invalid status"))))))))))</f>
        <v/>
      </c>
      <c r="U55">
        <f>IF(R55="OK","No","Yes")</f>
        <v/>
      </c>
      <c r="V55" s="657">
        <f>ABS(N(G55))</f>
        <v/>
      </c>
    </row>
    <row r="56">
      <c r="A56" t="inlineStr">
        <is>
          <t>LED-0026</t>
        </is>
      </c>
      <c r="B56">
        <f>INDEX(tblLedger[Work Order #],MATCH($A56,tblLedger[Ledger Record ID],0))</f>
        <v/>
      </c>
      <c r="C56">
        <f>INDEX(tblLedger[Event #],MATCH($A56,tblLedger[Ledger Record ID],0))</f>
        <v/>
      </c>
      <c r="D56">
        <f>INDEX(tblLedger[Client],MATCH($A56,tblLedger[Ledger Record ID],0))</f>
        <v/>
      </c>
      <c r="E56">
        <f>INDEX(tblLedger[Breakdown Confirmed],MATCH($A56,tblLedger[Ledger Record ID],0))</f>
        <v/>
      </c>
      <c r="F56">
        <f>INDEX(tblLedger[ACH Confirmed],MATCH($A56,tblLedger[Ledger Record ID],0))</f>
        <v/>
      </c>
      <c r="G56" s="657">
        <f>INDEX(tblLedger[Variance],MATCH($A56,tblLedger[Ledger Record ID],0))</f>
        <v/>
      </c>
      <c r="H56">
        <f>IF(COUNTIF(tblLedger[Work Order #],B56)&gt;1,"Yes","No")</f>
        <v/>
      </c>
      <c r="I56">
        <f>IF(C56="","Yes","No")</f>
        <v/>
      </c>
      <c r="J56">
        <f>IF(INDEX(tblLedger[Mapping Status],MATCH($A56,tblLedger[Ledger Record ID],0))="MAPPING_HOLD","Yes","No")</f>
        <v/>
      </c>
      <c r="K56">
        <f>IF(AND(OR(E56="No",E56="Pending"),IFERROR(INDEX(tblServiceEvents[Financial Scope],MATCH(C56,tblServiceEvents[Event #],0)),"Included")="Included"),"Yes","No")</f>
        <v/>
      </c>
      <c r="L56">
        <f>IF(AND(E56="Yes",OR(F56="No",F56="Pending")),"Yes","No")</f>
        <v/>
      </c>
      <c r="M56">
        <f>IF(OR(ABS(N(G56))&gt;0,INDEX(tblLedger[Reconciliation Status],MATCH($A56,tblLedger[Ledger Record ID],0))="BREAKDOWN_MISMATCH",INDEX(tblLedger[Reconciliation Status],MATCH($A56,tblLedger[Ledger Record ID],0))="ACH_MISMATCH"),"Yes","No")</f>
        <v/>
      </c>
      <c r="N56">
        <f>IF(D56="","Yes","No")</f>
        <v/>
      </c>
      <c r="O56">
        <f>IF(OR(INDEX(tblLedger[City],MATCH($A56,tblLedger[Ledger Record ID],0))="",INDEX(tblLedger[Jurisdiction],MATCH($A56,tblLedger[Ledger Record ID],0))=""),"Yes","No")</f>
        <v/>
      </c>
      <c r="P56">
        <f>IF(COUNTIF({"Yes","No","Partial","Pending","Mapping Hold"},E56)=0,"Yes","No")</f>
        <v/>
      </c>
      <c r="Q56">
        <f>IF(COUNTIF({"Yes","No","Partial","Pending","Mapping Review"},F56)=0,"Yes","No")</f>
        <v/>
      </c>
      <c r="R56">
        <f>IF(J56="Yes","Mapping Hold",IF(I56="Yes","Missing Event Link",IF(H56="Yes","Duplicate WO",IF(M56="Yes","Revenue Variance",IF(K56="Yes","Missing Breakdown",IF(L56="Yes","Pending ACH",IF(E56="Partial","Partial Breakdown",IF(N56="Yes","Missing Client",IF(O56="Yes","Missing Location",IF(P56="Yes","Unknown Breakdown Status",IF(Q56="Yes","Unknown ACH Status","OK")))))))))))</f>
        <v/>
      </c>
      <c r="S56">
        <f>IF(OR(J56="Yes",I56="Yes",H56="Yes"),"Critical",IF(OR(M56="Yes",E56="Partial",N56="Yes",O56="Yes",P56="Yes",Q56="Yes"),"Warning",IF(OR(K56="Yes",L56="Yes"),"Informational","OK")))</f>
        <v/>
      </c>
      <c r="T56">
        <f>IF(R56="Mapping Hold","Resolve mapping before update",IF(R56="Missing Event Link","Map to one authoritative event",IF(R56="Duplicate WO","Review duplicate identity",IF(R56="Revenue Variance","Reconcile or dispute amount",IF(R56="Missing Breakdown","Await breakdown",IF(R56="Pending ACH","Await ACH",IF(R56="Partial Breakdown","Confirm remaining breakdown",IF(R56="Missing Client","Add canonical client",IF(R56="Missing Location","Complete location fields",IF(R56="OK","No action","Review invalid status"))))))))))</f>
        <v/>
      </c>
      <c r="U56">
        <f>IF(R56="OK","No","Yes")</f>
        <v/>
      </c>
      <c r="V56" s="657">
        <f>ABS(N(G56))</f>
        <v/>
      </c>
    </row>
    <row r="57">
      <c r="A57" t="inlineStr">
        <is>
          <t>LED-0027</t>
        </is>
      </c>
      <c r="B57">
        <f>INDEX(tblLedger[Work Order #],MATCH($A57,tblLedger[Ledger Record ID],0))</f>
        <v/>
      </c>
      <c r="C57">
        <f>INDEX(tblLedger[Event #],MATCH($A57,tblLedger[Ledger Record ID],0))</f>
        <v/>
      </c>
      <c r="D57">
        <f>INDEX(tblLedger[Client],MATCH($A57,tblLedger[Ledger Record ID],0))</f>
        <v/>
      </c>
      <c r="E57">
        <f>INDEX(tblLedger[Breakdown Confirmed],MATCH($A57,tblLedger[Ledger Record ID],0))</f>
        <v/>
      </c>
      <c r="F57">
        <f>INDEX(tblLedger[ACH Confirmed],MATCH($A57,tblLedger[Ledger Record ID],0))</f>
        <v/>
      </c>
      <c r="G57" s="657">
        <f>INDEX(tblLedger[Variance],MATCH($A57,tblLedger[Ledger Record ID],0))</f>
        <v/>
      </c>
      <c r="H57">
        <f>IF(COUNTIF(tblLedger[Work Order #],B57)&gt;1,"Yes","No")</f>
        <v/>
      </c>
      <c r="I57">
        <f>IF(C57="","Yes","No")</f>
        <v/>
      </c>
      <c r="J57">
        <f>IF(INDEX(tblLedger[Mapping Status],MATCH($A57,tblLedger[Ledger Record ID],0))="MAPPING_HOLD","Yes","No")</f>
        <v/>
      </c>
      <c r="K57">
        <f>IF(AND(OR(E57="No",E57="Pending"),IFERROR(INDEX(tblServiceEvents[Financial Scope],MATCH(C57,tblServiceEvents[Event #],0)),"Included")="Included"),"Yes","No")</f>
        <v/>
      </c>
      <c r="L57">
        <f>IF(AND(E57="Yes",OR(F57="No",F57="Pending")),"Yes","No")</f>
        <v/>
      </c>
      <c r="M57">
        <f>IF(OR(ABS(N(G57))&gt;0,INDEX(tblLedger[Reconciliation Status],MATCH($A57,tblLedger[Ledger Record ID],0))="BREAKDOWN_MISMATCH",INDEX(tblLedger[Reconciliation Status],MATCH($A57,tblLedger[Ledger Record ID],0))="ACH_MISMATCH"),"Yes","No")</f>
        <v/>
      </c>
      <c r="N57">
        <f>IF(D57="","Yes","No")</f>
        <v/>
      </c>
      <c r="O57">
        <f>IF(OR(INDEX(tblLedger[City],MATCH($A57,tblLedger[Ledger Record ID],0))="",INDEX(tblLedger[Jurisdiction],MATCH($A57,tblLedger[Ledger Record ID],0))=""),"Yes","No")</f>
        <v/>
      </c>
      <c r="P57">
        <f>IF(COUNTIF({"Yes","No","Partial","Pending","Mapping Hold"},E57)=0,"Yes","No")</f>
        <v/>
      </c>
      <c r="Q57">
        <f>IF(COUNTIF({"Yes","No","Partial","Pending","Mapping Review"},F57)=0,"Yes","No")</f>
        <v/>
      </c>
      <c r="R57">
        <f>IF(J57="Yes","Mapping Hold",IF(I57="Yes","Missing Event Link",IF(H57="Yes","Duplicate WO",IF(M57="Yes","Revenue Variance",IF(K57="Yes","Missing Breakdown",IF(L57="Yes","Pending ACH",IF(E57="Partial","Partial Breakdown",IF(N57="Yes","Missing Client",IF(O57="Yes","Missing Location",IF(P57="Yes","Unknown Breakdown Status",IF(Q57="Yes","Unknown ACH Status","OK")))))))))))</f>
        <v/>
      </c>
      <c r="S57">
        <f>IF(OR(J57="Yes",I57="Yes",H57="Yes"),"Critical",IF(OR(M57="Yes",E57="Partial",N57="Yes",O57="Yes",P57="Yes",Q57="Yes"),"Warning",IF(OR(K57="Yes",L57="Yes"),"Informational","OK")))</f>
        <v/>
      </c>
      <c r="T57">
        <f>IF(R57="Mapping Hold","Resolve mapping before update",IF(R57="Missing Event Link","Map to one authoritative event",IF(R57="Duplicate WO","Review duplicate identity",IF(R57="Revenue Variance","Reconcile or dispute amount",IF(R57="Missing Breakdown","Await breakdown",IF(R57="Pending ACH","Await ACH",IF(R57="Partial Breakdown","Confirm remaining breakdown",IF(R57="Missing Client","Add canonical client",IF(R57="Missing Location","Complete location fields",IF(R57="OK","No action","Review invalid status"))))))))))</f>
        <v/>
      </c>
      <c r="U57">
        <f>IF(R57="OK","No","Yes")</f>
        <v/>
      </c>
      <c r="V57" s="657">
        <f>ABS(N(G57))</f>
        <v/>
      </c>
    </row>
    <row r="58">
      <c r="A58" t="inlineStr">
        <is>
          <t>LED-0028</t>
        </is>
      </c>
      <c r="B58">
        <f>INDEX(tblLedger[Work Order #],MATCH($A58,tblLedger[Ledger Record ID],0))</f>
        <v/>
      </c>
      <c r="C58">
        <f>INDEX(tblLedger[Event #],MATCH($A58,tblLedger[Ledger Record ID],0))</f>
        <v/>
      </c>
      <c r="D58">
        <f>INDEX(tblLedger[Client],MATCH($A58,tblLedger[Ledger Record ID],0))</f>
        <v/>
      </c>
      <c r="E58">
        <f>INDEX(tblLedger[Breakdown Confirmed],MATCH($A58,tblLedger[Ledger Record ID],0))</f>
        <v/>
      </c>
      <c r="F58">
        <f>INDEX(tblLedger[ACH Confirmed],MATCH($A58,tblLedger[Ledger Record ID],0))</f>
        <v/>
      </c>
      <c r="G58" s="657">
        <f>INDEX(tblLedger[Variance],MATCH($A58,tblLedger[Ledger Record ID],0))</f>
        <v/>
      </c>
      <c r="H58">
        <f>IF(COUNTIF(tblLedger[Work Order #],B58)&gt;1,"Yes","No")</f>
        <v/>
      </c>
      <c r="I58">
        <f>IF(C58="","Yes","No")</f>
        <v/>
      </c>
      <c r="J58">
        <f>IF(INDEX(tblLedger[Mapping Status],MATCH($A58,tblLedger[Ledger Record ID],0))="MAPPING_HOLD","Yes","No")</f>
        <v/>
      </c>
      <c r="K58">
        <f>IF(AND(OR(E58="No",E58="Pending"),IFERROR(INDEX(tblServiceEvents[Financial Scope],MATCH(C58,tblServiceEvents[Event #],0)),"Included")="Included"),"Yes","No")</f>
        <v/>
      </c>
      <c r="L58">
        <f>IF(AND(E58="Yes",OR(F58="No",F58="Pending")),"Yes","No")</f>
        <v/>
      </c>
      <c r="M58">
        <f>IF(OR(ABS(N(G58))&gt;0,INDEX(tblLedger[Reconciliation Status],MATCH($A58,tblLedger[Ledger Record ID],0))="BREAKDOWN_MISMATCH",INDEX(tblLedger[Reconciliation Status],MATCH($A58,tblLedger[Ledger Record ID],0))="ACH_MISMATCH"),"Yes","No")</f>
        <v/>
      </c>
      <c r="N58">
        <f>IF(D58="","Yes","No")</f>
        <v/>
      </c>
      <c r="O58">
        <f>IF(OR(INDEX(tblLedger[City],MATCH($A58,tblLedger[Ledger Record ID],0))="",INDEX(tblLedger[Jurisdiction],MATCH($A58,tblLedger[Ledger Record ID],0))=""),"Yes","No")</f>
        <v/>
      </c>
      <c r="P58">
        <f>IF(COUNTIF({"Yes","No","Partial","Pending","Mapping Hold"},E58)=0,"Yes","No")</f>
        <v/>
      </c>
      <c r="Q58">
        <f>IF(COUNTIF({"Yes","No","Partial","Pending","Mapping Review"},F58)=0,"Yes","No")</f>
        <v/>
      </c>
      <c r="R58">
        <f>IF(J58="Yes","Mapping Hold",IF(I58="Yes","Missing Event Link",IF(H58="Yes","Duplicate WO",IF(M58="Yes","Revenue Variance",IF(K58="Yes","Missing Breakdown",IF(L58="Yes","Pending ACH",IF(E58="Partial","Partial Breakdown",IF(N58="Yes","Missing Client",IF(O58="Yes","Missing Location",IF(P58="Yes","Unknown Breakdown Status",IF(Q58="Yes","Unknown ACH Status","OK")))))))))))</f>
        <v/>
      </c>
      <c r="S58">
        <f>IF(OR(J58="Yes",I58="Yes",H58="Yes"),"Critical",IF(OR(M58="Yes",E58="Partial",N58="Yes",O58="Yes",P58="Yes",Q58="Yes"),"Warning",IF(OR(K58="Yes",L58="Yes"),"Informational","OK")))</f>
        <v/>
      </c>
      <c r="T58">
        <f>IF(R58="Mapping Hold","Resolve mapping before update",IF(R58="Missing Event Link","Map to one authoritative event",IF(R58="Duplicate WO","Review duplicate identity",IF(R58="Revenue Variance","Reconcile or dispute amount",IF(R58="Missing Breakdown","Await breakdown",IF(R58="Pending ACH","Await ACH",IF(R58="Partial Breakdown","Confirm remaining breakdown",IF(R58="Missing Client","Add canonical client",IF(R58="Missing Location","Complete location fields",IF(R58="OK","No action","Review invalid status"))))))))))</f>
        <v/>
      </c>
      <c r="U58">
        <f>IF(R58="OK","No","Yes")</f>
        <v/>
      </c>
      <c r="V58" s="657">
        <f>ABS(N(G58))</f>
        <v/>
      </c>
    </row>
    <row r="59">
      <c r="A59" t="inlineStr">
        <is>
          <t>LED-0029</t>
        </is>
      </c>
      <c r="B59">
        <f>INDEX(tblLedger[Work Order #],MATCH($A59,tblLedger[Ledger Record ID],0))</f>
        <v/>
      </c>
      <c r="C59">
        <f>INDEX(tblLedger[Event #],MATCH($A59,tblLedger[Ledger Record ID],0))</f>
        <v/>
      </c>
      <c r="D59">
        <f>INDEX(tblLedger[Client],MATCH($A59,tblLedger[Ledger Record ID],0))</f>
        <v/>
      </c>
      <c r="E59">
        <f>INDEX(tblLedger[Breakdown Confirmed],MATCH($A59,tblLedger[Ledger Record ID],0))</f>
        <v/>
      </c>
      <c r="F59">
        <f>INDEX(tblLedger[ACH Confirmed],MATCH($A59,tblLedger[Ledger Record ID],0))</f>
        <v/>
      </c>
      <c r="G59" s="657">
        <f>INDEX(tblLedger[Variance],MATCH($A59,tblLedger[Ledger Record ID],0))</f>
        <v/>
      </c>
      <c r="H59">
        <f>IF(COUNTIF(tblLedger[Work Order #],B59)&gt;1,"Yes","No")</f>
        <v/>
      </c>
      <c r="I59">
        <f>IF(C59="","Yes","No")</f>
        <v/>
      </c>
      <c r="J59">
        <f>IF(INDEX(tblLedger[Mapping Status],MATCH($A59,tblLedger[Ledger Record ID],0))="MAPPING_HOLD","Yes","No")</f>
        <v/>
      </c>
      <c r="K59">
        <f>IF(AND(OR(E59="No",E59="Pending"),IFERROR(INDEX(tblServiceEvents[Financial Scope],MATCH(C59,tblServiceEvents[Event #],0)),"Included")="Included"),"Yes","No")</f>
        <v/>
      </c>
      <c r="L59">
        <f>IF(AND(E59="Yes",OR(F59="No",F59="Pending")),"Yes","No")</f>
        <v/>
      </c>
      <c r="M59">
        <f>IF(OR(ABS(N(G59))&gt;0,INDEX(tblLedger[Reconciliation Status],MATCH($A59,tblLedger[Ledger Record ID],0))="BREAKDOWN_MISMATCH",INDEX(tblLedger[Reconciliation Status],MATCH($A59,tblLedger[Ledger Record ID],0))="ACH_MISMATCH"),"Yes","No")</f>
        <v/>
      </c>
      <c r="N59">
        <f>IF(D59="","Yes","No")</f>
        <v/>
      </c>
      <c r="O59">
        <f>IF(OR(INDEX(tblLedger[City],MATCH($A59,tblLedger[Ledger Record ID],0))="",INDEX(tblLedger[Jurisdiction],MATCH($A59,tblLedger[Ledger Record ID],0))=""),"Yes","No")</f>
        <v/>
      </c>
      <c r="P59">
        <f>IF(COUNTIF({"Yes","No","Partial","Pending","Mapping Hold"},E59)=0,"Yes","No")</f>
        <v/>
      </c>
      <c r="Q59">
        <f>IF(COUNTIF({"Yes","No","Partial","Pending","Mapping Review"},F59)=0,"Yes","No")</f>
        <v/>
      </c>
      <c r="R59">
        <f>IF(J59="Yes","Mapping Hold",IF(I59="Yes","Missing Event Link",IF(H59="Yes","Duplicate WO",IF(M59="Yes","Revenue Variance",IF(K59="Yes","Missing Breakdown",IF(L59="Yes","Pending ACH",IF(E59="Partial","Partial Breakdown",IF(N59="Yes","Missing Client",IF(O59="Yes","Missing Location",IF(P59="Yes","Unknown Breakdown Status",IF(Q59="Yes","Unknown ACH Status","OK")))))))))))</f>
        <v/>
      </c>
      <c r="S59">
        <f>IF(OR(J59="Yes",I59="Yes",H59="Yes"),"Critical",IF(OR(M59="Yes",E59="Partial",N59="Yes",O59="Yes",P59="Yes",Q59="Yes"),"Warning",IF(OR(K59="Yes",L59="Yes"),"Informational","OK")))</f>
        <v/>
      </c>
      <c r="T59">
        <f>IF(R59="Mapping Hold","Resolve mapping before update",IF(R59="Missing Event Link","Map to one authoritative event",IF(R59="Duplicate WO","Review duplicate identity",IF(R59="Revenue Variance","Reconcile or dispute amount",IF(R59="Missing Breakdown","Await breakdown",IF(R59="Pending ACH","Await ACH",IF(R59="Partial Breakdown","Confirm remaining breakdown",IF(R59="Missing Client","Add canonical client",IF(R59="Missing Location","Complete location fields",IF(R59="OK","No action","Review invalid status"))))))))))</f>
        <v/>
      </c>
      <c r="U59">
        <f>IF(R59="OK","No","Yes")</f>
        <v/>
      </c>
      <c r="V59" s="657">
        <f>ABS(N(G59))</f>
        <v/>
      </c>
    </row>
    <row r="60">
      <c r="A60" t="inlineStr">
        <is>
          <t>LED-0030</t>
        </is>
      </c>
      <c r="B60">
        <f>INDEX(tblLedger[Work Order #],MATCH($A60,tblLedger[Ledger Record ID],0))</f>
        <v/>
      </c>
      <c r="C60">
        <f>INDEX(tblLedger[Event #],MATCH($A60,tblLedger[Ledger Record ID],0))</f>
        <v/>
      </c>
      <c r="D60">
        <f>INDEX(tblLedger[Client],MATCH($A60,tblLedger[Ledger Record ID],0))</f>
        <v/>
      </c>
      <c r="E60">
        <f>INDEX(tblLedger[Breakdown Confirmed],MATCH($A60,tblLedger[Ledger Record ID],0))</f>
        <v/>
      </c>
      <c r="F60">
        <f>INDEX(tblLedger[ACH Confirmed],MATCH($A60,tblLedger[Ledger Record ID],0))</f>
        <v/>
      </c>
      <c r="G60" s="657">
        <f>INDEX(tblLedger[Variance],MATCH($A60,tblLedger[Ledger Record ID],0))</f>
        <v/>
      </c>
      <c r="H60">
        <f>IF(COUNTIF(tblLedger[Work Order #],B60)&gt;1,"Yes","No")</f>
        <v/>
      </c>
      <c r="I60">
        <f>IF(C60="","Yes","No")</f>
        <v/>
      </c>
      <c r="J60">
        <f>IF(INDEX(tblLedger[Mapping Status],MATCH($A60,tblLedger[Ledger Record ID],0))="MAPPING_HOLD","Yes","No")</f>
        <v/>
      </c>
      <c r="K60">
        <f>IF(AND(OR(E60="No",E60="Pending"),IFERROR(INDEX(tblServiceEvents[Financial Scope],MATCH(C60,tblServiceEvents[Event #],0)),"Included")="Included"),"Yes","No")</f>
        <v/>
      </c>
      <c r="L60">
        <f>IF(AND(E60="Yes",OR(F60="No",F60="Pending")),"Yes","No")</f>
        <v/>
      </c>
      <c r="M60">
        <f>IF(OR(ABS(N(G60))&gt;0,INDEX(tblLedger[Reconciliation Status],MATCH($A60,tblLedger[Ledger Record ID],0))="BREAKDOWN_MISMATCH",INDEX(tblLedger[Reconciliation Status],MATCH($A60,tblLedger[Ledger Record ID],0))="ACH_MISMATCH"),"Yes","No")</f>
        <v/>
      </c>
      <c r="N60">
        <f>IF(D60="","Yes","No")</f>
        <v/>
      </c>
      <c r="O60">
        <f>IF(OR(INDEX(tblLedger[City],MATCH($A60,tblLedger[Ledger Record ID],0))="",INDEX(tblLedger[Jurisdiction],MATCH($A60,tblLedger[Ledger Record ID],0))=""),"Yes","No")</f>
        <v/>
      </c>
      <c r="P60">
        <f>IF(COUNTIF({"Yes","No","Partial","Pending","Mapping Hold"},E60)=0,"Yes","No")</f>
        <v/>
      </c>
      <c r="Q60">
        <f>IF(COUNTIF({"Yes","No","Partial","Pending","Mapping Review"},F60)=0,"Yes","No")</f>
        <v/>
      </c>
      <c r="R60">
        <f>IF(J60="Yes","Mapping Hold",IF(I60="Yes","Missing Event Link",IF(H60="Yes","Duplicate WO",IF(M60="Yes","Revenue Variance",IF(K60="Yes","Missing Breakdown",IF(L60="Yes","Pending ACH",IF(E60="Partial","Partial Breakdown",IF(N60="Yes","Missing Client",IF(O60="Yes","Missing Location",IF(P60="Yes","Unknown Breakdown Status",IF(Q60="Yes","Unknown ACH Status","OK")))))))))))</f>
        <v/>
      </c>
      <c r="S60">
        <f>IF(OR(J60="Yes",I60="Yes",H60="Yes"),"Critical",IF(OR(M60="Yes",E60="Partial",N60="Yes",O60="Yes",P60="Yes",Q60="Yes"),"Warning",IF(OR(K60="Yes",L60="Yes"),"Informational","OK")))</f>
        <v/>
      </c>
      <c r="T60">
        <f>IF(R60="Mapping Hold","Resolve mapping before update",IF(R60="Missing Event Link","Map to one authoritative event",IF(R60="Duplicate WO","Review duplicate identity",IF(R60="Revenue Variance","Reconcile or dispute amount",IF(R60="Missing Breakdown","Await breakdown",IF(R60="Pending ACH","Await ACH",IF(R60="Partial Breakdown","Confirm remaining breakdown",IF(R60="Missing Client","Add canonical client",IF(R60="Missing Location","Complete location fields",IF(R60="OK","No action","Review invalid status"))))))))))</f>
        <v/>
      </c>
      <c r="U60">
        <f>IF(R60="OK","No","Yes")</f>
        <v/>
      </c>
      <c r="V60" s="657">
        <f>ABS(N(G60))</f>
        <v/>
      </c>
    </row>
    <row r="61">
      <c r="A61" t="inlineStr">
        <is>
          <t>LED-0031</t>
        </is>
      </c>
      <c r="B61">
        <f>INDEX(tblLedger[Work Order #],MATCH($A61,tblLedger[Ledger Record ID],0))</f>
        <v/>
      </c>
      <c r="C61">
        <f>INDEX(tblLedger[Event #],MATCH($A61,tblLedger[Ledger Record ID],0))</f>
        <v/>
      </c>
      <c r="D61">
        <f>INDEX(tblLedger[Client],MATCH($A61,tblLedger[Ledger Record ID],0))</f>
        <v/>
      </c>
      <c r="E61">
        <f>INDEX(tblLedger[Breakdown Confirmed],MATCH($A61,tblLedger[Ledger Record ID],0))</f>
        <v/>
      </c>
      <c r="F61">
        <f>INDEX(tblLedger[ACH Confirmed],MATCH($A61,tblLedger[Ledger Record ID],0))</f>
        <v/>
      </c>
      <c r="G61" s="657">
        <f>INDEX(tblLedger[Variance],MATCH($A61,tblLedger[Ledger Record ID],0))</f>
        <v/>
      </c>
      <c r="H61">
        <f>IF(COUNTIF(tblLedger[Work Order #],B61)&gt;1,"Yes","No")</f>
        <v/>
      </c>
      <c r="I61">
        <f>IF(C61="","Yes","No")</f>
        <v/>
      </c>
      <c r="J61">
        <f>IF(INDEX(tblLedger[Mapping Status],MATCH($A61,tblLedger[Ledger Record ID],0))="MAPPING_HOLD","Yes","No")</f>
        <v/>
      </c>
      <c r="K61">
        <f>IF(AND(OR(E61="No",E61="Pending"),IFERROR(INDEX(tblServiceEvents[Financial Scope],MATCH(C61,tblServiceEvents[Event #],0)),"Included")="Included"),"Yes","No")</f>
        <v/>
      </c>
      <c r="L61">
        <f>IF(AND(E61="Yes",OR(F61="No",F61="Pending")),"Yes","No")</f>
        <v/>
      </c>
      <c r="M61">
        <f>IF(OR(ABS(N(G61))&gt;0,INDEX(tblLedger[Reconciliation Status],MATCH($A61,tblLedger[Ledger Record ID],0))="BREAKDOWN_MISMATCH",INDEX(tblLedger[Reconciliation Status],MATCH($A61,tblLedger[Ledger Record ID],0))="ACH_MISMATCH"),"Yes","No")</f>
        <v/>
      </c>
      <c r="N61">
        <f>IF(D61="","Yes","No")</f>
        <v/>
      </c>
      <c r="O61">
        <f>IF(OR(INDEX(tblLedger[City],MATCH($A61,tblLedger[Ledger Record ID],0))="",INDEX(tblLedger[Jurisdiction],MATCH($A61,tblLedger[Ledger Record ID],0))=""),"Yes","No")</f>
        <v/>
      </c>
      <c r="P61">
        <f>IF(COUNTIF({"Yes","No","Partial","Pending","Mapping Hold"},E61)=0,"Yes","No")</f>
        <v/>
      </c>
      <c r="Q61">
        <f>IF(COUNTIF({"Yes","No","Partial","Pending","Mapping Review"},F61)=0,"Yes","No")</f>
        <v/>
      </c>
      <c r="R61">
        <f>IF(J61="Yes","Mapping Hold",IF(I61="Yes","Missing Event Link",IF(H61="Yes","Duplicate WO",IF(M61="Yes","Revenue Variance",IF(K61="Yes","Missing Breakdown",IF(L61="Yes","Pending ACH",IF(E61="Partial","Partial Breakdown",IF(N61="Yes","Missing Client",IF(O61="Yes","Missing Location",IF(P61="Yes","Unknown Breakdown Status",IF(Q61="Yes","Unknown ACH Status","OK")))))))))))</f>
        <v/>
      </c>
      <c r="S61">
        <f>IF(OR(J61="Yes",I61="Yes",H61="Yes"),"Critical",IF(OR(M61="Yes",E61="Partial",N61="Yes",O61="Yes",P61="Yes",Q61="Yes"),"Warning",IF(OR(K61="Yes",L61="Yes"),"Informational","OK")))</f>
        <v/>
      </c>
      <c r="T61">
        <f>IF(R61="Mapping Hold","Resolve mapping before update",IF(R61="Missing Event Link","Map to one authoritative event",IF(R61="Duplicate WO","Review duplicate identity",IF(R61="Revenue Variance","Reconcile or dispute amount",IF(R61="Missing Breakdown","Await breakdown",IF(R61="Pending ACH","Await ACH",IF(R61="Partial Breakdown","Confirm remaining breakdown",IF(R61="Missing Client","Add canonical client",IF(R61="Missing Location","Complete location fields",IF(R61="OK","No action","Review invalid status"))))))))))</f>
        <v/>
      </c>
      <c r="U61">
        <f>IF(R61="OK","No","Yes")</f>
        <v/>
      </c>
      <c r="V61" s="657">
        <f>ABS(N(G61))</f>
        <v/>
      </c>
    </row>
    <row r="62">
      <c r="A62" t="inlineStr">
        <is>
          <t>LED-0032</t>
        </is>
      </c>
      <c r="B62">
        <f>INDEX(tblLedger[Work Order #],MATCH($A62,tblLedger[Ledger Record ID],0))</f>
        <v/>
      </c>
      <c r="C62">
        <f>INDEX(tblLedger[Event #],MATCH($A62,tblLedger[Ledger Record ID],0))</f>
        <v/>
      </c>
      <c r="D62">
        <f>INDEX(tblLedger[Client],MATCH($A62,tblLedger[Ledger Record ID],0))</f>
        <v/>
      </c>
      <c r="E62">
        <f>INDEX(tblLedger[Breakdown Confirmed],MATCH($A62,tblLedger[Ledger Record ID],0))</f>
        <v/>
      </c>
      <c r="F62">
        <f>INDEX(tblLedger[ACH Confirmed],MATCH($A62,tblLedger[Ledger Record ID],0))</f>
        <v/>
      </c>
      <c r="G62" s="657">
        <f>INDEX(tblLedger[Variance],MATCH($A62,tblLedger[Ledger Record ID],0))</f>
        <v/>
      </c>
      <c r="H62">
        <f>IF(COUNTIF(tblLedger[Work Order #],B62)&gt;1,"Yes","No")</f>
        <v/>
      </c>
      <c r="I62">
        <f>IF(C62="","Yes","No")</f>
        <v/>
      </c>
      <c r="J62">
        <f>IF(INDEX(tblLedger[Mapping Status],MATCH($A62,tblLedger[Ledger Record ID],0))="MAPPING_HOLD","Yes","No")</f>
        <v/>
      </c>
      <c r="K62">
        <f>IF(AND(OR(E62="No",E62="Pending"),IFERROR(INDEX(tblServiceEvents[Financial Scope],MATCH(C62,tblServiceEvents[Event #],0)),"Included")="Included"),"Yes","No")</f>
        <v/>
      </c>
      <c r="L62">
        <f>IF(AND(E62="Yes",OR(F62="No",F62="Pending")),"Yes","No")</f>
        <v/>
      </c>
      <c r="M62">
        <f>IF(OR(ABS(N(G62))&gt;0,INDEX(tblLedger[Reconciliation Status],MATCH($A62,tblLedger[Ledger Record ID],0))="BREAKDOWN_MISMATCH",INDEX(tblLedger[Reconciliation Status],MATCH($A62,tblLedger[Ledger Record ID],0))="ACH_MISMATCH"),"Yes","No")</f>
        <v/>
      </c>
      <c r="N62">
        <f>IF(D62="","Yes","No")</f>
        <v/>
      </c>
      <c r="O62">
        <f>IF(OR(INDEX(tblLedger[City],MATCH($A62,tblLedger[Ledger Record ID],0))="",INDEX(tblLedger[Jurisdiction],MATCH($A62,tblLedger[Ledger Record ID],0))=""),"Yes","No")</f>
        <v/>
      </c>
      <c r="P62">
        <f>IF(COUNTIF({"Yes","No","Partial","Pending","Mapping Hold"},E62)=0,"Yes","No")</f>
        <v/>
      </c>
      <c r="Q62">
        <f>IF(COUNTIF({"Yes","No","Partial","Pending","Mapping Review"},F62)=0,"Yes","No")</f>
        <v/>
      </c>
      <c r="R62">
        <f>IF(J62="Yes","Mapping Hold",IF(I62="Yes","Missing Event Link",IF(H62="Yes","Duplicate WO",IF(M62="Yes","Revenue Variance",IF(K62="Yes","Missing Breakdown",IF(L62="Yes","Pending ACH",IF(E62="Partial","Partial Breakdown",IF(N62="Yes","Missing Client",IF(O62="Yes","Missing Location",IF(P62="Yes","Unknown Breakdown Status",IF(Q62="Yes","Unknown ACH Status","OK")))))))))))</f>
        <v/>
      </c>
      <c r="S62">
        <f>IF(OR(J62="Yes",I62="Yes",H62="Yes"),"Critical",IF(OR(M62="Yes",E62="Partial",N62="Yes",O62="Yes",P62="Yes",Q62="Yes"),"Warning",IF(OR(K62="Yes",L62="Yes"),"Informational","OK")))</f>
        <v/>
      </c>
      <c r="T62">
        <f>IF(R62="Mapping Hold","Resolve mapping before update",IF(R62="Missing Event Link","Map to one authoritative event",IF(R62="Duplicate WO","Review duplicate identity",IF(R62="Revenue Variance","Reconcile or dispute amount",IF(R62="Missing Breakdown","Await breakdown",IF(R62="Pending ACH","Await ACH",IF(R62="Partial Breakdown","Confirm remaining breakdown",IF(R62="Missing Client","Add canonical client",IF(R62="Missing Location","Complete location fields",IF(R62="OK","No action","Review invalid status"))))))))))</f>
        <v/>
      </c>
      <c r="U62">
        <f>IF(R62="OK","No","Yes")</f>
        <v/>
      </c>
      <c r="V62" s="657">
        <f>ABS(N(G62))</f>
        <v/>
      </c>
    </row>
    <row r="63">
      <c r="A63" t="inlineStr">
        <is>
          <t>LED-0033</t>
        </is>
      </c>
      <c r="B63">
        <f>INDEX(tblLedger[Work Order #],MATCH($A63,tblLedger[Ledger Record ID],0))</f>
        <v/>
      </c>
      <c r="C63">
        <f>INDEX(tblLedger[Event #],MATCH($A63,tblLedger[Ledger Record ID],0))</f>
        <v/>
      </c>
      <c r="D63">
        <f>INDEX(tblLedger[Client],MATCH($A63,tblLedger[Ledger Record ID],0))</f>
        <v/>
      </c>
      <c r="E63">
        <f>INDEX(tblLedger[Breakdown Confirmed],MATCH($A63,tblLedger[Ledger Record ID],0))</f>
        <v/>
      </c>
      <c r="F63">
        <f>INDEX(tblLedger[ACH Confirmed],MATCH($A63,tblLedger[Ledger Record ID],0))</f>
        <v/>
      </c>
      <c r="G63" s="657">
        <f>INDEX(tblLedger[Variance],MATCH($A63,tblLedger[Ledger Record ID],0))</f>
        <v/>
      </c>
      <c r="H63">
        <f>IF(COUNTIF(tblLedger[Work Order #],B63)&gt;1,"Yes","No")</f>
        <v/>
      </c>
      <c r="I63">
        <f>IF(C63="","Yes","No")</f>
        <v/>
      </c>
      <c r="J63">
        <f>IF(INDEX(tblLedger[Mapping Status],MATCH($A63,tblLedger[Ledger Record ID],0))="MAPPING_HOLD","Yes","No")</f>
        <v/>
      </c>
      <c r="K63">
        <f>IF(AND(OR(E63="No",E63="Pending"),IFERROR(INDEX(tblServiceEvents[Financial Scope],MATCH(C63,tblServiceEvents[Event #],0)),"Included")="Included"),"Yes","No")</f>
        <v/>
      </c>
      <c r="L63">
        <f>IF(AND(E63="Yes",OR(F63="No",F63="Pending")),"Yes","No")</f>
        <v/>
      </c>
      <c r="M63">
        <f>IF(OR(ABS(N(G63))&gt;0,INDEX(tblLedger[Reconciliation Status],MATCH($A63,tblLedger[Ledger Record ID],0))="BREAKDOWN_MISMATCH",INDEX(tblLedger[Reconciliation Status],MATCH($A63,tblLedger[Ledger Record ID],0))="ACH_MISMATCH"),"Yes","No")</f>
        <v/>
      </c>
      <c r="N63">
        <f>IF(D63="","Yes","No")</f>
        <v/>
      </c>
      <c r="O63">
        <f>IF(OR(INDEX(tblLedger[City],MATCH($A63,tblLedger[Ledger Record ID],0))="",INDEX(tblLedger[Jurisdiction],MATCH($A63,tblLedger[Ledger Record ID],0))=""),"Yes","No")</f>
        <v/>
      </c>
      <c r="P63">
        <f>IF(COUNTIF({"Yes","No","Partial","Pending","Mapping Hold"},E63)=0,"Yes","No")</f>
        <v/>
      </c>
      <c r="Q63">
        <f>IF(COUNTIF({"Yes","No","Partial","Pending","Mapping Review"},F63)=0,"Yes","No")</f>
        <v/>
      </c>
      <c r="R63">
        <f>IF(J63="Yes","Mapping Hold",IF(I63="Yes","Missing Event Link",IF(H63="Yes","Duplicate WO",IF(M63="Yes","Revenue Variance",IF(K63="Yes","Missing Breakdown",IF(L63="Yes","Pending ACH",IF(E63="Partial","Partial Breakdown",IF(N63="Yes","Missing Client",IF(O63="Yes","Missing Location",IF(P63="Yes","Unknown Breakdown Status",IF(Q63="Yes","Unknown ACH Status","OK")))))))))))</f>
        <v/>
      </c>
      <c r="S63">
        <f>IF(OR(J63="Yes",I63="Yes",H63="Yes"),"Critical",IF(OR(M63="Yes",E63="Partial",N63="Yes",O63="Yes",P63="Yes",Q63="Yes"),"Warning",IF(OR(K63="Yes",L63="Yes"),"Informational","OK")))</f>
        <v/>
      </c>
      <c r="T63">
        <f>IF(R63="Mapping Hold","Resolve mapping before update",IF(R63="Missing Event Link","Map to one authoritative event",IF(R63="Duplicate WO","Review duplicate identity",IF(R63="Revenue Variance","Reconcile or dispute amount",IF(R63="Missing Breakdown","Await breakdown",IF(R63="Pending ACH","Await ACH",IF(R63="Partial Breakdown","Confirm remaining breakdown",IF(R63="Missing Client","Add canonical client",IF(R63="Missing Location","Complete location fields",IF(R63="OK","No action","Review invalid status"))))))))))</f>
        <v/>
      </c>
      <c r="U63">
        <f>IF(R63="OK","No","Yes")</f>
        <v/>
      </c>
      <c r="V63" s="657">
        <f>ABS(N(G63))</f>
        <v/>
      </c>
    </row>
    <row r="64">
      <c r="A64" t="inlineStr">
        <is>
          <t>LED-0034</t>
        </is>
      </c>
      <c r="B64">
        <f>INDEX(tblLedger[Work Order #],MATCH($A64,tblLedger[Ledger Record ID],0))</f>
        <v/>
      </c>
      <c r="C64">
        <f>INDEX(tblLedger[Event #],MATCH($A64,tblLedger[Ledger Record ID],0))</f>
        <v/>
      </c>
      <c r="D64">
        <f>INDEX(tblLedger[Client],MATCH($A64,tblLedger[Ledger Record ID],0))</f>
        <v/>
      </c>
      <c r="E64">
        <f>INDEX(tblLedger[Breakdown Confirmed],MATCH($A64,tblLedger[Ledger Record ID],0))</f>
        <v/>
      </c>
      <c r="F64">
        <f>INDEX(tblLedger[ACH Confirmed],MATCH($A64,tblLedger[Ledger Record ID],0))</f>
        <v/>
      </c>
      <c r="G64" s="657">
        <f>INDEX(tblLedger[Variance],MATCH($A64,tblLedger[Ledger Record ID],0))</f>
        <v/>
      </c>
      <c r="H64">
        <f>IF(COUNTIF(tblLedger[Work Order #],B64)&gt;1,"Yes","No")</f>
        <v/>
      </c>
      <c r="I64">
        <f>IF(C64="","Yes","No")</f>
        <v/>
      </c>
      <c r="J64">
        <f>IF(INDEX(tblLedger[Mapping Status],MATCH($A64,tblLedger[Ledger Record ID],0))="MAPPING_HOLD","Yes","No")</f>
        <v/>
      </c>
      <c r="K64">
        <f>IF(AND(OR(E64="No",E64="Pending"),IFERROR(INDEX(tblServiceEvents[Financial Scope],MATCH(C64,tblServiceEvents[Event #],0)),"Included")="Included"),"Yes","No")</f>
        <v/>
      </c>
      <c r="L64">
        <f>IF(AND(E64="Yes",OR(F64="No",F64="Pending")),"Yes","No")</f>
        <v/>
      </c>
      <c r="M64">
        <f>IF(OR(ABS(N(G64))&gt;0,INDEX(tblLedger[Reconciliation Status],MATCH($A64,tblLedger[Ledger Record ID],0))="BREAKDOWN_MISMATCH",INDEX(tblLedger[Reconciliation Status],MATCH($A64,tblLedger[Ledger Record ID],0))="ACH_MISMATCH"),"Yes","No")</f>
        <v/>
      </c>
      <c r="N64">
        <f>IF(D64="","Yes","No")</f>
        <v/>
      </c>
      <c r="O64">
        <f>IF(OR(INDEX(tblLedger[City],MATCH($A64,tblLedger[Ledger Record ID],0))="",INDEX(tblLedger[Jurisdiction],MATCH($A64,tblLedger[Ledger Record ID],0))=""),"Yes","No")</f>
        <v/>
      </c>
      <c r="P64">
        <f>IF(COUNTIF({"Yes","No","Partial","Pending","Mapping Hold"},E64)=0,"Yes","No")</f>
        <v/>
      </c>
      <c r="Q64">
        <f>IF(COUNTIF({"Yes","No","Partial","Pending","Mapping Review"},F64)=0,"Yes","No")</f>
        <v/>
      </c>
      <c r="R64">
        <f>IF(J64="Yes","Mapping Hold",IF(I64="Yes","Missing Event Link",IF(H64="Yes","Duplicate WO",IF(M64="Yes","Revenue Variance",IF(K64="Yes","Missing Breakdown",IF(L64="Yes","Pending ACH",IF(E64="Partial","Partial Breakdown",IF(N64="Yes","Missing Client",IF(O64="Yes","Missing Location",IF(P64="Yes","Unknown Breakdown Status",IF(Q64="Yes","Unknown ACH Status","OK")))))))))))</f>
        <v/>
      </c>
      <c r="S64">
        <f>IF(OR(J64="Yes",I64="Yes",H64="Yes"),"Critical",IF(OR(M64="Yes",E64="Partial",N64="Yes",O64="Yes",P64="Yes",Q64="Yes"),"Warning",IF(OR(K64="Yes",L64="Yes"),"Informational","OK")))</f>
        <v/>
      </c>
      <c r="T64">
        <f>IF(R64="Mapping Hold","Resolve mapping before update",IF(R64="Missing Event Link","Map to one authoritative event",IF(R64="Duplicate WO","Review duplicate identity",IF(R64="Revenue Variance","Reconcile or dispute amount",IF(R64="Missing Breakdown","Await breakdown",IF(R64="Pending ACH","Await ACH",IF(R64="Partial Breakdown","Confirm remaining breakdown",IF(R64="Missing Client","Add canonical client",IF(R64="Missing Location","Complete location fields",IF(R64="OK","No action","Review invalid status"))))))))))</f>
        <v/>
      </c>
      <c r="U64">
        <f>IF(R64="OK","No","Yes")</f>
        <v/>
      </c>
      <c r="V64" s="657">
        <f>ABS(N(G64))</f>
        <v/>
      </c>
    </row>
    <row r="65">
      <c r="A65" t="inlineStr">
        <is>
          <t>LED-0035</t>
        </is>
      </c>
      <c r="B65">
        <f>INDEX(tblLedger[Work Order #],MATCH($A65,tblLedger[Ledger Record ID],0))</f>
        <v/>
      </c>
      <c r="C65">
        <f>INDEX(tblLedger[Event #],MATCH($A65,tblLedger[Ledger Record ID],0))</f>
        <v/>
      </c>
      <c r="D65">
        <f>INDEX(tblLedger[Client],MATCH($A65,tblLedger[Ledger Record ID],0))</f>
        <v/>
      </c>
      <c r="E65">
        <f>INDEX(tblLedger[Breakdown Confirmed],MATCH($A65,tblLedger[Ledger Record ID],0))</f>
        <v/>
      </c>
      <c r="F65">
        <f>INDEX(tblLedger[ACH Confirmed],MATCH($A65,tblLedger[Ledger Record ID],0))</f>
        <v/>
      </c>
      <c r="G65" s="657">
        <f>INDEX(tblLedger[Variance],MATCH($A65,tblLedger[Ledger Record ID],0))</f>
        <v/>
      </c>
      <c r="H65">
        <f>IF(COUNTIF(tblLedger[Work Order #],B65)&gt;1,"Yes","No")</f>
        <v/>
      </c>
      <c r="I65">
        <f>IF(C65="","Yes","No")</f>
        <v/>
      </c>
      <c r="J65">
        <f>IF(INDEX(tblLedger[Mapping Status],MATCH($A65,tblLedger[Ledger Record ID],0))="MAPPING_HOLD","Yes","No")</f>
        <v/>
      </c>
      <c r="K65">
        <f>IF(AND(OR(E65="No",E65="Pending"),IFERROR(INDEX(tblServiceEvents[Financial Scope],MATCH(C65,tblServiceEvents[Event #],0)),"Included")="Included"),"Yes","No")</f>
        <v/>
      </c>
      <c r="L65">
        <f>IF(AND(E65="Yes",OR(F65="No",F65="Pending")),"Yes","No")</f>
        <v/>
      </c>
      <c r="M65">
        <f>IF(OR(ABS(N(G65))&gt;0,INDEX(tblLedger[Reconciliation Status],MATCH($A65,tblLedger[Ledger Record ID],0))="BREAKDOWN_MISMATCH",INDEX(tblLedger[Reconciliation Status],MATCH($A65,tblLedger[Ledger Record ID],0))="ACH_MISMATCH"),"Yes","No")</f>
        <v/>
      </c>
      <c r="N65">
        <f>IF(D65="","Yes","No")</f>
        <v/>
      </c>
      <c r="O65">
        <f>IF(OR(INDEX(tblLedger[City],MATCH($A65,tblLedger[Ledger Record ID],0))="",INDEX(tblLedger[Jurisdiction],MATCH($A65,tblLedger[Ledger Record ID],0))=""),"Yes","No")</f>
        <v/>
      </c>
      <c r="P65">
        <f>IF(COUNTIF({"Yes","No","Partial","Pending","Mapping Hold"},E65)=0,"Yes","No")</f>
        <v/>
      </c>
      <c r="Q65">
        <f>IF(COUNTIF({"Yes","No","Partial","Pending","Mapping Review"},F65)=0,"Yes","No")</f>
        <v/>
      </c>
      <c r="R65">
        <f>IF(J65="Yes","Mapping Hold",IF(I65="Yes","Missing Event Link",IF(H65="Yes","Duplicate WO",IF(M65="Yes","Revenue Variance",IF(K65="Yes","Missing Breakdown",IF(L65="Yes","Pending ACH",IF(E65="Partial","Partial Breakdown",IF(N65="Yes","Missing Client",IF(O65="Yes","Missing Location",IF(P65="Yes","Unknown Breakdown Status",IF(Q65="Yes","Unknown ACH Status","OK")))))))))))</f>
        <v/>
      </c>
      <c r="S65">
        <f>IF(OR(J65="Yes",I65="Yes",H65="Yes"),"Critical",IF(OR(M65="Yes",E65="Partial",N65="Yes",O65="Yes",P65="Yes",Q65="Yes"),"Warning",IF(OR(K65="Yes",L65="Yes"),"Informational","OK")))</f>
        <v/>
      </c>
      <c r="T65">
        <f>IF(R65="Mapping Hold","Resolve mapping before update",IF(R65="Missing Event Link","Map to one authoritative event",IF(R65="Duplicate WO","Review duplicate identity",IF(R65="Revenue Variance","Reconcile or dispute amount",IF(R65="Missing Breakdown","Await breakdown",IF(R65="Pending ACH","Await ACH",IF(R65="Partial Breakdown","Confirm remaining breakdown",IF(R65="Missing Client","Add canonical client",IF(R65="Missing Location","Complete location fields",IF(R65="OK","No action","Review invalid status"))))))))))</f>
        <v/>
      </c>
      <c r="U65">
        <f>IF(R65="OK","No","Yes")</f>
        <v/>
      </c>
      <c r="V65" s="657">
        <f>ABS(N(G65))</f>
        <v/>
      </c>
    </row>
    <row r="66">
      <c r="A66" t="inlineStr">
        <is>
          <t>LED-0036</t>
        </is>
      </c>
      <c r="B66">
        <f>INDEX(tblLedger[Work Order #],MATCH($A66,tblLedger[Ledger Record ID],0))</f>
        <v/>
      </c>
      <c r="C66">
        <f>INDEX(tblLedger[Event #],MATCH($A66,tblLedger[Ledger Record ID],0))</f>
        <v/>
      </c>
      <c r="D66">
        <f>INDEX(tblLedger[Client],MATCH($A66,tblLedger[Ledger Record ID],0))</f>
        <v/>
      </c>
      <c r="E66">
        <f>INDEX(tblLedger[Breakdown Confirmed],MATCH($A66,tblLedger[Ledger Record ID],0))</f>
        <v/>
      </c>
      <c r="F66">
        <f>INDEX(tblLedger[ACH Confirmed],MATCH($A66,tblLedger[Ledger Record ID],0))</f>
        <v/>
      </c>
      <c r="G66" s="657">
        <f>INDEX(tblLedger[Variance],MATCH($A66,tblLedger[Ledger Record ID],0))</f>
        <v/>
      </c>
      <c r="H66">
        <f>IF(COUNTIF(tblLedger[Work Order #],B66)&gt;1,"Yes","No")</f>
        <v/>
      </c>
      <c r="I66">
        <f>IF(C66="","Yes","No")</f>
        <v/>
      </c>
      <c r="J66">
        <f>IF(INDEX(tblLedger[Mapping Status],MATCH($A66,tblLedger[Ledger Record ID],0))="MAPPING_HOLD","Yes","No")</f>
        <v/>
      </c>
      <c r="K66">
        <f>IF(AND(OR(E66="No",E66="Pending"),IFERROR(INDEX(tblServiceEvents[Financial Scope],MATCH(C66,tblServiceEvents[Event #],0)),"Included")="Included"),"Yes","No")</f>
        <v/>
      </c>
      <c r="L66">
        <f>IF(AND(E66="Yes",OR(F66="No",F66="Pending")),"Yes","No")</f>
        <v/>
      </c>
      <c r="M66">
        <f>IF(OR(ABS(N(G66))&gt;0,INDEX(tblLedger[Reconciliation Status],MATCH($A66,tblLedger[Ledger Record ID],0))="BREAKDOWN_MISMATCH",INDEX(tblLedger[Reconciliation Status],MATCH($A66,tblLedger[Ledger Record ID],0))="ACH_MISMATCH"),"Yes","No")</f>
        <v/>
      </c>
      <c r="N66">
        <f>IF(D66="","Yes","No")</f>
        <v/>
      </c>
      <c r="O66">
        <f>IF(OR(INDEX(tblLedger[City],MATCH($A66,tblLedger[Ledger Record ID],0))="",INDEX(tblLedger[Jurisdiction],MATCH($A66,tblLedger[Ledger Record ID],0))=""),"Yes","No")</f>
        <v/>
      </c>
      <c r="P66">
        <f>IF(COUNTIF({"Yes","No","Partial","Pending","Mapping Hold"},E66)=0,"Yes","No")</f>
        <v/>
      </c>
      <c r="Q66">
        <f>IF(COUNTIF({"Yes","No","Partial","Pending","Mapping Review"},F66)=0,"Yes","No")</f>
        <v/>
      </c>
      <c r="R66">
        <f>IF(J66="Yes","Mapping Hold",IF(I66="Yes","Missing Event Link",IF(H66="Yes","Duplicate WO",IF(M66="Yes","Revenue Variance",IF(K66="Yes","Missing Breakdown",IF(L66="Yes","Pending ACH",IF(E66="Partial","Partial Breakdown",IF(N66="Yes","Missing Client",IF(O66="Yes","Missing Location",IF(P66="Yes","Unknown Breakdown Status",IF(Q66="Yes","Unknown ACH Status","OK")))))))))))</f>
        <v/>
      </c>
      <c r="S66">
        <f>IF(OR(J66="Yes",I66="Yes",H66="Yes"),"Critical",IF(OR(M66="Yes",E66="Partial",N66="Yes",O66="Yes",P66="Yes",Q66="Yes"),"Warning",IF(OR(K66="Yes",L66="Yes"),"Informational","OK")))</f>
        <v/>
      </c>
      <c r="T66">
        <f>IF(R66="Mapping Hold","Resolve mapping before update",IF(R66="Missing Event Link","Map to one authoritative event",IF(R66="Duplicate WO","Review duplicate identity",IF(R66="Revenue Variance","Reconcile or dispute amount",IF(R66="Missing Breakdown","Await breakdown",IF(R66="Pending ACH","Await ACH",IF(R66="Partial Breakdown","Confirm remaining breakdown",IF(R66="Missing Client","Add canonical client",IF(R66="Missing Location","Complete location fields",IF(R66="OK","No action","Review invalid status"))))))))))</f>
        <v/>
      </c>
      <c r="U66">
        <f>IF(R66="OK","No","Yes")</f>
        <v/>
      </c>
      <c r="V66" s="657">
        <f>ABS(N(G66))</f>
        <v/>
      </c>
    </row>
    <row r="67">
      <c r="A67" t="inlineStr">
        <is>
          <t>LED-0037</t>
        </is>
      </c>
      <c r="B67">
        <f>INDEX(tblLedger[Work Order #],MATCH($A67,tblLedger[Ledger Record ID],0))</f>
        <v/>
      </c>
      <c r="C67">
        <f>INDEX(tblLedger[Event #],MATCH($A67,tblLedger[Ledger Record ID],0))</f>
        <v/>
      </c>
      <c r="D67">
        <f>INDEX(tblLedger[Client],MATCH($A67,tblLedger[Ledger Record ID],0))</f>
        <v/>
      </c>
      <c r="E67">
        <f>INDEX(tblLedger[Breakdown Confirmed],MATCH($A67,tblLedger[Ledger Record ID],0))</f>
        <v/>
      </c>
      <c r="F67">
        <f>INDEX(tblLedger[ACH Confirmed],MATCH($A67,tblLedger[Ledger Record ID],0))</f>
        <v/>
      </c>
      <c r="G67" s="657">
        <f>INDEX(tblLedger[Variance],MATCH($A67,tblLedger[Ledger Record ID],0))</f>
        <v/>
      </c>
      <c r="H67">
        <f>IF(COUNTIF(tblLedger[Work Order #],B67)&gt;1,"Yes","No")</f>
        <v/>
      </c>
      <c r="I67">
        <f>IF(C67="","Yes","No")</f>
        <v/>
      </c>
      <c r="J67">
        <f>IF(INDEX(tblLedger[Mapping Status],MATCH($A67,tblLedger[Ledger Record ID],0))="MAPPING_HOLD","Yes","No")</f>
        <v/>
      </c>
      <c r="K67">
        <f>IF(AND(OR(E67="No",E67="Pending"),IFERROR(INDEX(tblServiceEvents[Financial Scope],MATCH(C67,tblServiceEvents[Event #],0)),"Included")="Included"),"Yes","No")</f>
        <v/>
      </c>
      <c r="L67">
        <f>IF(AND(E67="Yes",OR(F67="No",F67="Pending")),"Yes","No")</f>
        <v/>
      </c>
      <c r="M67">
        <f>IF(OR(ABS(N(G67))&gt;0,INDEX(tblLedger[Reconciliation Status],MATCH($A67,tblLedger[Ledger Record ID],0))="BREAKDOWN_MISMATCH",INDEX(tblLedger[Reconciliation Status],MATCH($A67,tblLedger[Ledger Record ID],0))="ACH_MISMATCH"),"Yes","No")</f>
        <v/>
      </c>
      <c r="N67">
        <f>IF(D67="","Yes","No")</f>
        <v/>
      </c>
      <c r="O67">
        <f>IF(OR(INDEX(tblLedger[City],MATCH($A67,tblLedger[Ledger Record ID],0))="",INDEX(tblLedger[Jurisdiction],MATCH($A67,tblLedger[Ledger Record ID],0))=""),"Yes","No")</f>
        <v/>
      </c>
      <c r="P67">
        <f>IF(COUNTIF({"Yes","No","Partial","Pending","Mapping Hold"},E67)=0,"Yes","No")</f>
        <v/>
      </c>
      <c r="Q67">
        <f>IF(COUNTIF({"Yes","No","Partial","Pending","Mapping Review"},F67)=0,"Yes","No")</f>
        <v/>
      </c>
      <c r="R67">
        <f>IF(J67="Yes","Mapping Hold",IF(I67="Yes","Missing Event Link",IF(H67="Yes","Duplicate WO",IF(M67="Yes","Revenue Variance",IF(K67="Yes","Missing Breakdown",IF(L67="Yes","Pending ACH",IF(E67="Partial","Partial Breakdown",IF(N67="Yes","Missing Client",IF(O67="Yes","Missing Location",IF(P67="Yes","Unknown Breakdown Status",IF(Q67="Yes","Unknown ACH Status","OK")))))))))))</f>
        <v/>
      </c>
      <c r="S67">
        <f>IF(OR(J67="Yes",I67="Yes",H67="Yes"),"Critical",IF(OR(M67="Yes",E67="Partial",N67="Yes",O67="Yes",P67="Yes",Q67="Yes"),"Warning",IF(OR(K67="Yes",L67="Yes"),"Informational","OK")))</f>
        <v/>
      </c>
      <c r="T67">
        <f>IF(R67="Mapping Hold","Resolve mapping before update",IF(R67="Missing Event Link","Map to one authoritative event",IF(R67="Duplicate WO","Review duplicate identity",IF(R67="Revenue Variance","Reconcile or dispute amount",IF(R67="Missing Breakdown","Await breakdown",IF(R67="Pending ACH","Await ACH",IF(R67="Partial Breakdown","Confirm remaining breakdown",IF(R67="Missing Client","Add canonical client",IF(R67="Missing Location","Complete location fields",IF(R67="OK","No action","Review invalid status"))))))))))</f>
        <v/>
      </c>
      <c r="U67">
        <f>IF(R67="OK","No","Yes")</f>
        <v/>
      </c>
      <c r="V67" s="657">
        <f>ABS(N(G67))</f>
        <v/>
      </c>
    </row>
    <row r="68">
      <c r="A68" t="inlineStr">
        <is>
          <t>LED-0038</t>
        </is>
      </c>
      <c r="B68">
        <f>INDEX(tblLedger[Work Order #],MATCH($A68,tblLedger[Ledger Record ID],0))</f>
        <v/>
      </c>
      <c r="C68">
        <f>INDEX(tblLedger[Event #],MATCH($A68,tblLedger[Ledger Record ID],0))</f>
        <v/>
      </c>
      <c r="D68">
        <f>INDEX(tblLedger[Client],MATCH($A68,tblLedger[Ledger Record ID],0))</f>
        <v/>
      </c>
      <c r="E68">
        <f>INDEX(tblLedger[Breakdown Confirmed],MATCH($A68,tblLedger[Ledger Record ID],0))</f>
        <v/>
      </c>
      <c r="F68">
        <f>INDEX(tblLedger[ACH Confirmed],MATCH($A68,tblLedger[Ledger Record ID],0))</f>
        <v/>
      </c>
      <c r="G68" s="657">
        <f>INDEX(tblLedger[Variance],MATCH($A68,tblLedger[Ledger Record ID],0))</f>
        <v/>
      </c>
      <c r="H68">
        <f>IF(COUNTIF(tblLedger[Work Order #],B68)&gt;1,"Yes","No")</f>
        <v/>
      </c>
      <c r="I68">
        <f>IF(C68="","Yes","No")</f>
        <v/>
      </c>
      <c r="J68">
        <f>IF(INDEX(tblLedger[Mapping Status],MATCH($A68,tblLedger[Ledger Record ID],0))="MAPPING_HOLD","Yes","No")</f>
        <v/>
      </c>
      <c r="K68">
        <f>IF(AND(OR(E68="No",E68="Pending"),IFERROR(INDEX(tblServiceEvents[Financial Scope],MATCH(C68,tblServiceEvents[Event #],0)),"Included")="Included"),"Yes","No")</f>
        <v/>
      </c>
      <c r="L68">
        <f>IF(AND(E68="Yes",OR(F68="No",F68="Pending")),"Yes","No")</f>
        <v/>
      </c>
      <c r="M68">
        <f>IF(OR(ABS(N(G68))&gt;0,INDEX(tblLedger[Reconciliation Status],MATCH($A68,tblLedger[Ledger Record ID],0))="BREAKDOWN_MISMATCH",INDEX(tblLedger[Reconciliation Status],MATCH($A68,tblLedger[Ledger Record ID],0))="ACH_MISMATCH"),"Yes","No")</f>
        <v/>
      </c>
      <c r="N68">
        <f>IF(D68="","Yes","No")</f>
        <v/>
      </c>
      <c r="O68">
        <f>IF(OR(INDEX(tblLedger[City],MATCH($A68,tblLedger[Ledger Record ID],0))="",INDEX(tblLedger[Jurisdiction],MATCH($A68,tblLedger[Ledger Record ID],0))=""),"Yes","No")</f>
        <v/>
      </c>
      <c r="P68">
        <f>IF(COUNTIF({"Yes","No","Partial","Pending","Mapping Hold"},E68)=0,"Yes","No")</f>
        <v/>
      </c>
      <c r="Q68">
        <f>IF(COUNTIF({"Yes","No","Partial","Pending","Mapping Review"},F68)=0,"Yes","No")</f>
        <v/>
      </c>
      <c r="R68">
        <f>IF(J68="Yes","Mapping Hold",IF(I68="Yes","Missing Event Link",IF(H68="Yes","Duplicate WO",IF(M68="Yes","Revenue Variance",IF(K68="Yes","Missing Breakdown",IF(L68="Yes","Pending ACH",IF(E68="Partial","Partial Breakdown",IF(N68="Yes","Missing Client",IF(O68="Yes","Missing Location",IF(P68="Yes","Unknown Breakdown Status",IF(Q68="Yes","Unknown ACH Status","OK")))))))))))</f>
        <v/>
      </c>
      <c r="S68">
        <f>IF(OR(J68="Yes",I68="Yes",H68="Yes"),"Critical",IF(OR(M68="Yes",E68="Partial",N68="Yes",O68="Yes",P68="Yes",Q68="Yes"),"Warning",IF(OR(K68="Yes",L68="Yes"),"Informational","OK")))</f>
        <v/>
      </c>
      <c r="T68">
        <f>IF(R68="Mapping Hold","Resolve mapping before update",IF(R68="Missing Event Link","Map to one authoritative event",IF(R68="Duplicate WO","Review duplicate identity",IF(R68="Revenue Variance","Reconcile or dispute amount",IF(R68="Missing Breakdown","Await breakdown",IF(R68="Pending ACH","Await ACH",IF(R68="Partial Breakdown","Confirm remaining breakdown",IF(R68="Missing Client","Add canonical client",IF(R68="Missing Location","Complete location fields",IF(R68="OK","No action","Review invalid status"))))))))))</f>
        <v/>
      </c>
      <c r="U68">
        <f>IF(R68="OK","No","Yes")</f>
        <v/>
      </c>
      <c r="V68" s="657">
        <f>ABS(N(G68))</f>
        <v/>
      </c>
    </row>
    <row r="69">
      <c r="A69" t="inlineStr">
        <is>
          <t>LED-0039</t>
        </is>
      </c>
      <c r="B69">
        <f>INDEX(tblLedger[Work Order #],MATCH($A69,tblLedger[Ledger Record ID],0))</f>
        <v/>
      </c>
      <c r="C69">
        <f>INDEX(tblLedger[Event #],MATCH($A69,tblLedger[Ledger Record ID],0))</f>
        <v/>
      </c>
      <c r="D69">
        <f>INDEX(tblLedger[Client],MATCH($A69,tblLedger[Ledger Record ID],0))</f>
        <v/>
      </c>
      <c r="E69">
        <f>INDEX(tblLedger[Breakdown Confirmed],MATCH($A69,tblLedger[Ledger Record ID],0))</f>
        <v/>
      </c>
      <c r="F69">
        <f>INDEX(tblLedger[ACH Confirmed],MATCH($A69,tblLedger[Ledger Record ID],0))</f>
        <v/>
      </c>
      <c r="G69" s="657">
        <f>INDEX(tblLedger[Variance],MATCH($A69,tblLedger[Ledger Record ID],0))</f>
        <v/>
      </c>
      <c r="H69">
        <f>IF(COUNTIF(tblLedger[Work Order #],B69)&gt;1,"Yes","No")</f>
        <v/>
      </c>
      <c r="I69">
        <f>IF(C69="","Yes","No")</f>
        <v/>
      </c>
      <c r="J69">
        <f>IF(INDEX(tblLedger[Mapping Status],MATCH($A69,tblLedger[Ledger Record ID],0))="MAPPING_HOLD","Yes","No")</f>
        <v/>
      </c>
      <c r="K69">
        <f>IF(AND(OR(E69="No",E69="Pending"),IFERROR(INDEX(tblServiceEvents[Financial Scope],MATCH(C69,tblServiceEvents[Event #],0)),"Included")="Included"),"Yes","No")</f>
        <v/>
      </c>
      <c r="L69">
        <f>IF(AND(E69="Yes",OR(F69="No",F69="Pending")),"Yes","No")</f>
        <v/>
      </c>
      <c r="M69">
        <f>IF(OR(ABS(N(G69))&gt;0,INDEX(tblLedger[Reconciliation Status],MATCH($A69,tblLedger[Ledger Record ID],0))="BREAKDOWN_MISMATCH",INDEX(tblLedger[Reconciliation Status],MATCH($A69,tblLedger[Ledger Record ID],0))="ACH_MISMATCH"),"Yes","No")</f>
        <v/>
      </c>
      <c r="N69">
        <f>IF(D69="","Yes","No")</f>
        <v/>
      </c>
      <c r="O69">
        <f>IF(OR(INDEX(tblLedger[City],MATCH($A69,tblLedger[Ledger Record ID],0))="",INDEX(tblLedger[Jurisdiction],MATCH($A69,tblLedger[Ledger Record ID],0))=""),"Yes","No")</f>
        <v/>
      </c>
      <c r="P69">
        <f>IF(COUNTIF({"Yes","No","Partial","Pending","Mapping Hold"},E69)=0,"Yes","No")</f>
        <v/>
      </c>
      <c r="Q69">
        <f>IF(COUNTIF({"Yes","No","Partial","Pending","Mapping Review"},F69)=0,"Yes","No")</f>
        <v/>
      </c>
      <c r="R69">
        <f>IF(J69="Yes","Mapping Hold",IF(I69="Yes","Missing Event Link",IF(H69="Yes","Duplicate WO",IF(M69="Yes","Revenue Variance",IF(K69="Yes","Missing Breakdown",IF(L69="Yes","Pending ACH",IF(E69="Partial","Partial Breakdown",IF(N69="Yes","Missing Client",IF(O69="Yes","Missing Location",IF(P69="Yes","Unknown Breakdown Status",IF(Q69="Yes","Unknown ACH Status","OK")))))))))))</f>
        <v/>
      </c>
      <c r="S69">
        <f>IF(OR(J69="Yes",I69="Yes",H69="Yes"),"Critical",IF(OR(M69="Yes",E69="Partial",N69="Yes",O69="Yes",P69="Yes",Q69="Yes"),"Warning",IF(OR(K69="Yes",L69="Yes"),"Informational","OK")))</f>
        <v/>
      </c>
      <c r="T69">
        <f>IF(R69="Mapping Hold","Resolve mapping before update",IF(R69="Missing Event Link","Map to one authoritative event",IF(R69="Duplicate WO","Review duplicate identity",IF(R69="Revenue Variance","Reconcile or dispute amount",IF(R69="Missing Breakdown","Await breakdown",IF(R69="Pending ACH","Await ACH",IF(R69="Partial Breakdown","Confirm remaining breakdown",IF(R69="Missing Client","Add canonical client",IF(R69="Missing Location","Complete location fields",IF(R69="OK","No action","Review invalid status"))))))))))</f>
        <v/>
      </c>
      <c r="U69">
        <f>IF(R69="OK","No","Yes")</f>
        <v/>
      </c>
      <c r="V69" s="657">
        <f>ABS(N(G69))</f>
        <v/>
      </c>
    </row>
    <row r="70">
      <c r="A70" t="inlineStr">
        <is>
          <t>LED-0040</t>
        </is>
      </c>
      <c r="B70">
        <f>INDEX(tblLedger[Work Order #],MATCH($A70,tblLedger[Ledger Record ID],0))</f>
        <v/>
      </c>
      <c r="C70">
        <f>INDEX(tblLedger[Event #],MATCH($A70,tblLedger[Ledger Record ID],0))</f>
        <v/>
      </c>
      <c r="D70">
        <f>INDEX(tblLedger[Client],MATCH($A70,tblLedger[Ledger Record ID],0))</f>
        <v/>
      </c>
      <c r="E70">
        <f>INDEX(tblLedger[Breakdown Confirmed],MATCH($A70,tblLedger[Ledger Record ID],0))</f>
        <v/>
      </c>
      <c r="F70">
        <f>INDEX(tblLedger[ACH Confirmed],MATCH($A70,tblLedger[Ledger Record ID],0))</f>
        <v/>
      </c>
      <c r="G70" s="657">
        <f>INDEX(tblLedger[Variance],MATCH($A70,tblLedger[Ledger Record ID],0))</f>
        <v/>
      </c>
      <c r="H70">
        <f>IF(COUNTIF(tblLedger[Work Order #],B70)&gt;1,"Yes","No")</f>
        <v/>
      </c>
      <c r="I70">
        <f>IF(C70="","Yes","No")</f>
        <v/>
      </c>
      <c r="J70">
        <f>IF(INDEX(tblLedger[Mapping Status],MATCH($A70,tblLedger[Ledger Record ID],0))="MAPPING_HOLD","Yes","No")</f>
        <v/>
      </c>
      <c r="K70">
        <f>IF(AND(OR(E70="No",E70="Pending"),IFERROR(INDEX(tblServiceEvents[Financial Scope],MATCH(C70,tblServiceEvents[Event #],0)),"Included")="Included"),"Yes","No")</f>
        <v/>
      </c>
      <c r="L70">
        <f>IF(AND(E70="Yes",OR(F70="No",F70="Pending")),"Yes","No")</f>
        <v/>
      </c>
      <c r="M70">
        <f>IF(OR(ABS(N(G70))&gt;0,INDEX(tblLedger[Reconciliation Status],MATCH($A70,tblLedger[Ledger Record ID],0))="BREAKDOWN_MISMATCH",INDEX(tblLedger[Reconciliation Status],MATCH($A70,tblLedger[Ledger Record ID],0))="ACH_MISMATCH"),"Yes","No")</f>
        <v/>
      </c>
      <c r="N70">
        <f>IF(D70="","Yes","No")</f>
        <v/>
      </c>
      <c r="O70">
        <f>IF(OR(INDEX(tblLedger[City],MATCH($A70,tblLedger[Ledger Record ID],0))="",INDEX(tblLedger[Jurisdiction],MATCH($A70,tblLedger[Ledger Record ID],0))=""),"Yes","No")</f>
        <v/>
      </c>
      <c r="P70">
        <f>IF(COUNTIF({"Yes","No","Partial","Pending","Mapping Hold"},E70)=0,"Yes","No")</f>
        <v/>
      </c>
      <c r="Q70">
        <f>IF(COUNTIF({"Yes","No","Partial","Pending","Mapping Review"},F70)=0,"Yes","No")</f>
        <v/>
      </c>
      <c r="R70">
        <f>IF(J70="Yes","Mapping Hold",IF(I70="Yes","Missing Event Link",IF(H70="Yes","Duplicate WO",IF(M70="Yes","Revenue Variance",IF(K70="Yes","Missing Breakdown",IF(L70="Yes","Pending ACH",IF(E70="Partial","Partial Breakdown",IF(N70="Yes","Missing Client",IF(O70="Yes","Missing Location",IF(P70="Yes","Unknown Breakdown Status",IF(Q70="Yes","Unknown ACH Status","OK")))))))))))</f>
        <v/>
      </c>
      <c r="S70">
        <f>IF(OR(J70="Yes",I70="Yes",H70="Yes"),"Critical",IF(OR(M70="Yes",E70="Partial",N70="Yes",O70="Yes",P70="Yes",Q70="Yes"),"Warning",IF(OR(K70="Yes",L70="Yes"),"Informational","OK")))</f>
        <v/>
      </c>
      <c r="T70">
        <f>IF(R70="Mapping Hold","Resolve mapping before update",IF(R70="Missing Event Link","Map to one authoritative event",IF(R70="Duplicate WO","Review duplicate identity",IF(R70="Revenue Variance","Reconcile or dispute amount",IF(R70="Missing Breakdown","Await breakdown",IF(R70="Pending ACH","Await ACH",IF(R70="Partial Breakdown","Confirm remaining breakdown",IF(R70="Missing Client","Add canonical client",IF(R70="Missing Location","Complete location fields",IF(R70="OK","No action","Review invalid status"))))))))))</f>
        <v/>
      </c>
      <c r="U70">
        <f>IF(R70="OK","No","Yes")</f>
        <v/>
      </c>
      <c r="V70" s="657">
        <f>ABS(N(G70))</f>
        <v/>
      </c>
    </row>
    <row r="71">
      <c r="A71" t="inlineStr">
        <is>
          <t>LED-0041</t>
        </is>
      </c>
      <c r="B71">
        <f>INDEX(tblLedger[Work Order #],MATCH($A71,tblLedger[Ledger Record ID],0))</f>
        <v/>
      </c>
      <c r="C71">
        <f>INDEX(tblLedger[Event #],MATCH($A71,tblLedger[Ledger Record ID],0))</f>
        <v/>
      </c>
      <c r="D71">
        <f>INDEX(tblLedger[Client],MATCH($A71,tblLedger[Ledger Record ID],0))</f>
        <v/>
      </c>
      <c r="E71">
        <f>INDEX(tblLedger[Breakdown Confirmed],MATCH($A71,tblLedger[Ledger Record ID],0))</f>
        <v/>
      </c>
      <c r="F71">
        <f>INDEX(tblLedger[ACH Confirmed],MATCH($A71,tblLedger[Ledger Record ID],0))</f>
        <v/>
      </c>
      <c r="G71" s="657">
        <f>INDEX(tblLedger[Variance],MATCH($A71,tblLedger[Ledger Record ID],0))</f>
        <v/>
      </c>
      <c r="H71">
        <f>IF(COUNTIF(tblLedger[Work Order #],B71)&gt;1,"Yes","No")</f>
        <v/>
      </c>
      <c r="I71">
        <f>IF(C71="","Yes","No")</f>
        <v/>
      </c>
      <c r="J71">
        <f>IF(INDEX(tblLedger[Mapping Status],MATCH($A71,tblLedger[Ledger Record ID],0))="MAPPING_HOLD","Yes","No")</f>
        <v/>
      </c>
      <c r="K71">
        <f>IF(AND(OR(E71="No",E71="Pending"),IFERROR(INDEX(tblServiceEvents[Financial Scope],MATCH(C71,tblServiceEvents[Event #],0)),"Included")="Included"),"Yes","No")</f>
        <v/>
      </c>
      <c r="L71">
        <f>IF(AND(E71="Yes",OR(F71="No",F71="Pending")),"Yes","No")</f>
        <v/>
      </c>
      <c r="M71">
        <f>IF(OR(ABS(N(G71))&gt;0,INDEX(tblLedger[Reconciliation Status],MATCH($A71,tblLedger[Ledger Record ID],0))="BREAKDOWN_MISMATCH",INDEX(tblLedger[Reconciliation Status],MATCH($A71,tblLedger[Ledger Record ID],0))="ACH_MISMATCH"),"Yes","No")</f>
        <v/>
      </c>
      <c r="N71">
        <f>IF(D71="","Yes","No")</f>
        <v/>
      </c>
      <c r="O71">
        <f>IF(OR(INDEX(tblLedger[City],MATCH($A71,tblLedger[Ledger Record ID],0))="",INDEX(tblLedger[Jurisdiction],MATCH($A71,tblLedger[Ledger Record ID],0))=""),"Yes","No")</f>
        <v/>
      </c>
      <c r="P71">
        <f>IF(COUNTIF({"Yes","No","Partial","Pending","Mapping Hold"},E71)=0,"Yes","No")</f>
        <v/>
      </c>
      <c r="Q71">
        <f>IF(COUNTIF({"Yes","No","Partial","Pending","Mapping Review"},F71)=0,"Yes","No")</f>
        <v/>
      </c>
      <c r="R71">
        <f>IF(J71="Yes","Mapping Hold",IF(I71="Yes","Missing Event Link",IF(H71="Yes","Duplicate WO",IF(M71="Yes","Revenue Variance",IF(K71="Yes","Missing Breakdown",IF(L71="Yes","Pending ACH",IF(E71="Partial","Partial Breakdown",IF(N71="Yes","Missing Client",IF(O71="Yes","Missing Location",IF(P71="Yes","Unknown Breakdown Status",IF(Q71="Yes","Unknown ACH Status","OK")))))))))))</f>
        <v/>
      </c>
      <c r="S71">
        <f>IF(OR(J71="Yes",I71="Yes",H71="Yes"),"Critical",IF(OR(M71="Yes",E71="Partial",N71="Yes",O71="Yes",P71="Yes",Q71="Yes"),"Warning",IF(OR(K71="Yes",L71="Yes"),"Informational","OK")))</f>
        <v/>
      </c>
      <c r="T71">
        <f>IF(R71="Mapping Hold","Resolve mapping before update",IF(R71="Missing Event Link","Map to one authoritative event",IF(R71="Duplicate WO","Review duplicate identity",IF(R71="Revenue Variance","Reconcile or dispute amount",IF(R71="Missing Breakdown","Await breakdown",IF(R71="Pending ACH","Await ACH",IF(R71="Partial Breakdown","Confirm remaining breakdown",IF(R71="Missing Client","Add canonical client",IF(R71="Missing Location","Complete location fields",IF(R71="OK","No action","Review invalid status"))))))))))</f>
        <v/>
      </c>
      <c r="U71">
        <f>IF(R71="OK","No","Yes")</f>
        <v/>
      </c>
      <c r="V71" s="657">
        <f>ABS(N(G71))</f>
        <v/>
      </c>
    </row>
    <row r="72">
      <c r="A72" t="inlineStr">
        <is>
          <t>LED-0042</t>
        </is>
      </c>
      <c r="B72">
        <f>INDEX(tblLedger[Work Order #],MATCH($A72,tblLedger[Ledger Record ID],0))</f>
        <v/>
      </c>
      <c r="C72">
        <f>INDEX(tblLedger[Event #],MATCH($A72,tblLedger[Ledger Record ID],0))</f>
        <v/>
      </c>
      <c r="D72">
        <f>INDEX(tblLedger[Client],MATCH($A72,tblLedger[Ledger Record ID],0))</f>
        <v/>
      </c>
      <c r="E72">
        <f>INDEX(tblLedger[Breakdown Confirmed],MATCH($A72,tblLedger[Ledger Record ID],0))</f>
        <v/>
      </c>
      <c r="F72">
        <f>INDEX(tblLedger[ACH Confirmed],MATCH($A72,tblLedger[Ledger Record ID],0))</f>
        <v/>
      </c>
      <c r="G72" s="657">
        <f>INDEX(tblLedger[Variance],MATCH($A72,tblLedger[Ledger Record ID],0))</f>
        <v/>
      </c>
      <c r="H72">
        <f>IF(COUNTIF(tblLedger[Work Order #],B72)&gt;1,"Yes","No")</f>
        <v/>
      </c>
      <c r="I72">
        <f>IF(C72="","Yes","No")</f>
        <v/>
      </c>
      <c r="J72">
        <f>IF(INDEX(tblLedger[Mapping Status],MATCH($A72,tblLedger[Ledger Record ID],0))="MAPPING_HOLD","Yes","No")</f>
        <v/>
      </c>
      <c r="K72">
        <f>IF(AND(OR(E72="No",E72="Pending"),IFERROR(INDEX(tblServiceEvents[Financial Scope],MATCH(C72,tblServiceEvents[Event #],0)),"Included")="Included"),"Yes","No")</f>
        <v/>
      </c>
      <c r="L72">
        <f>IF(AND(E72="Yes",OR(F72="No",F72="Pending")),"Yes","No")</f>
        <v/>
      </c>
      <c r="M72">
        <f>IF(OR(ABS(N(G72))&gt;0,INDEX(tblLedger[Reconciliation Status],MATCH($A72,tblLedger[Ledger Record ID],0))="BREAKDOWN_MISMATCH",INDEX(tblLedger[Reconciliation Status],MATCH($A72,tblLedger[Ledger Record ID],0))="ACH_MISMATCH"),"Yes","No")</f>
        <v/>
      </c>
      <c r="N72">
        <f>IF(D72="","Yes","No")</f>
        <v/>
      </c>
      <c r="O72">
        <f>IF(OR(INDEX(tblLedger[City],MATCH($A72,tblLedger[Ledger Record ID],0))="",INDEX(tblLedger[Jurisdiction],MATCH($A72,tblLedger[Ledger Record ID],0))=""),"Yes","No")</f>
        <v/>
      </c>
      <c r="P72">
        <f>IF(COUNTIF({"Yes","No","Partial","Pending","Mapping Hold"},E72)=0,"Yes","No")</f>
        <v/>
      </c>
      <c r="Q72">
        <f>IF(COUNTIF({"Yes","No","Partial","Pending","Mapping Review"},F72)=0,"Yes","No")</f>
        <v/>
      </c>
      <c r="R72">
        <f>IF(J72="Yes","Mapping Hold",IF(I72="Yes","Missing Event Link",IF(H72="Yes","Duplicate WO",IF(M72="Yes","Revenue Variance",IF(K72="Yes","Missing Breakdown",IF(L72="Yes","Pending ACH",IF(E72="Partial","Partial Breakdown",IF(N72="Yes","Missing Client",IF(O72="Yes","Missing Location",IF(P72="Yes","Unknown Breakdown Status",IF(Q72="Yes","Unknown ACH Status","OK")))))))))))</f>
        <v/>
      </c>
      <c r="S72">
        <f>IF(OR(J72="Yes",I72="Yes",H72="Yes"),"Critical",IF(OR(M72="Yes",E72="Partial",N72="Yes",O72="Yes",P72="Yes",Q72="Yes"),"Warning",IF(OR(K72="Yes",L72="Yes"),"Informational","OK")))</f>
        <v/>
      </c>
      <c r="T72">
        <f>IF(R72="Mapping Hold","Resolve mapping before update",IF(R72="Missing Event Link","Map to one authoritative event",IF(R72="Duplicate WO","Review duplicate identity",IF(R72="Revenue Variance","Reconcile or dispute amount",IF(R72="Missing Breakdown","Await breakdown",IF(R72="Pending ACH","Await ACH",IF(R72="Partial Breakdown","Confirm remaining breakdown",IF(R72="Missing Client","Add canonical client",IF(R72="Missing Location","Complete location fields",IF(R72="OK","No action","Review invalid status"))))))))))</f>
        <v/>
      </c>
      <c r="U72">
        <f>IF(R72="OK","No","Yes")</f>
        <v/>
      </c>
      <c r="V72" s="657">
        <f>ABS(N(G72))</f>
        <v/>
      </c>
    </row>
    <row r="73">
      <c r="A73" t="inlineStr">
        <is>
          <t>LED-0043</t>
        </is>
      </c>
      <c r="B73">
        <f>INDEX(tblLedger[Work Order #],MATCH($A73,tblLedger[Ledger Record ID],0))</f>
        <v/>
      </c>
      <c r="C73">
        <f>INDEX(tblLedger[Event #],MATCH($A73,tblLedger[Ledger Record ID],0))</f>
        <v/>
      </c>
      <c r="D73">
        <f>INDEX(tblLedger[Client],MATCH($A73,tblLedger[Ledger Record ID],0))</f>
        <v/>
      </c>
      <c r="E73">
        <f>INDEX(tblLedger[Breakdown Confirmed],MATCH($A73,tblLedger[Ledger Record ID],0))</f>
        <v/>
      </c>
      <c r="F73">
        <f>INDEX(tblLedger[ACH Confirmed],MATCH($A73,tblLedger[Ledger Record ID],0))</f>
        <v/>
      </c>
      <c r="G73" s="657">
        <f>INDEX(tblLedger[Variance],MATCH($A73,tblLedger[Ledger Record ID],0))</f>
        <v/>
      </c>
      <c r="H73">
        <f>IF(COUNTIF(tblLedger[Work Order #],B73)&gt;1,"Yes","No")</f>
        <v/>
      </c>
      <c r="I73">
        <f>IF(C73="","Yes","No")</f>
        <v/>
      </c>
      <c r="J73">
        <f>IF(INDEX(tblLedger[Mapping Status],MATCH($A73,tblLedger[Ledger Record ID],0))="MAPPING_HOLD","Yes","No")</f>
        <v/>
      </c>
      <c r="K73">
        <f>IF(AND(OR(E73="No",E73="Pending"),IFERROR(INDEX(tblServiceEvents[Financial Scope],MATCH(C73,tblServiceEvents[Event #],0)),"Included")="Included"),"Yes","No")</f>
        <v/>
      </c>
      <c r="L73">
        <f>IF(AND(E73="Yes",OR(F73="No",F73="Pending")),"Yes","No")</f>
        <v/>
      </c>
      <c r="M73">
        <f>IF(OR(ABS(N(G73))&gt;0,INDEX(tblLedger[Reconciliation Status],MATCH($A73,tblLedger[Ledger Record ID],0))="BREAKDOWN_MISMATCH",INDEX(tblLedger[Reconciliation Status],MATCH($A73,tblLedger[Ledger Record ID],0))="ACH_MISMATCH"),"Yes","No")</f>
        <v/>
      </c>
      <c r="N73">
        <f>IF(D73="","Yes","No")</f>
        <v/>
      </c>
      <c r="O73">
        <f>IF(OR(INDEX(tblLedger[City],MATCH($A73,tblLedger[Ledger Record ID],0))="",INDEX(tblLedger[Jurisdiction],MATCH($A73,tblLedger[Ledger Record ID],0))=""),"Yes","No")</f>
        <v/>
      </c>
      <c r="P73">
        <f>IF(COUNTIF({"Yes","No","Partial","Pending","Mapping Hold"},E73)=0,"Yes","No")</f>
        <v/>
      </c>
      <c r="Q73">
        <f>IF(COUNTIF({"Yes","No","Partial","Pending","Mapping Review"},F73)=0,"Yes","No")</f>
        <v/>
      </c>
      <c r="R73">
        <f>IF(J73="Yes","Mapping Hold",IF(I73="Yes","Missing Event Link",IF(H73="Yes","Duplicate WO",IF(M73="Yes","Revenue Variance",IF(K73="Yes","Missing Breakdown",IF(L73="Yes","Pending ACH",IF(E73="Partial","Partial Breakdown",IF(N73="Yes","Missing Client",IF(O73="Yes","Missing Location",IF(P73="Yes","Unknown Breakdown Status",IF(Q73="Yes","Unknown ACH Status","OK")))))))))))</f>
        <v/>
      </c>
      <c r="S73">
        <f>IF(OR(J73="Yes",I73="Yes",H73="Yes"),"Critical",IF(OR(M73="Yes",E73="Partial",N73="Yes",O73="Yes",P73="Yes",Q73="Yes"),"Warning",IF(OR(K73="Yes",L73="Yes"),"Informational","OK")))</f>
        <v/>
      </c>
      <c r="T73">
        <f>IF(R73="Mapping Hold","Resolve mapping before update",IF(R73="Missing Event Link","Map to one authoritative event",IF(R73="Duplicate WO","Review duplicate identity",IF(R73="Revenue Variance","Reconcile or dispute amount",IF(R73="Missing Breakdown","Await breakdown",IF(R73="Pending ACH","Await ACH",IF(R73="Partial Breakdown","Confirm remaining breakdown",IF(R73="Missing Client","Add canonical client",IF(R73="Missing Location","Complete location fields",IF(R73="OK","No action","Review invalid status"))))))))))</f>
        <v/>
      </c>
      <c r="U73">
        <f>IF(R73="OK","No","Yes")</f>
        <v/>
      </c>
      <c r="V73" s="657">
        <f>ABS(N(G73))</f>
        <v/>
      </c>
    </row>
    <row r="74">
      <c r="A74" t="inlineStr">
        <is>
          <t>LED-0044</t>
        </is>
      </c>
      <c r="B74">
        <f>INDEX(tblLedger[Work Order #],MATCH($A74,tblLedger[Ledger Record ID],0))</f>
        <v/>
      </c>
      <c r="C74">
        <f>INDEX(tblLedger[Event #],MATCH($A74,tblLedger[Ledger Record ID],0))</f>
        <v/>
      </c>
      <c r="D74">
        <f>INDEX(tblLedger[Client],MATCH($A74,tblLedger[Ledger Record ID],0))</f>
        <v/>
      </c>
      <c r="E74">
        <f>INDEX(tblLedger[Breakdown Confirmed],MATCH($A74,tblLedger[Ledger Record ID],0))</f>
        <v/>
      </c>
      <c r="F74">
        <f>INDEX(tblLedger[ACH Confirmed],MATCH($A74,tblLedger[Ledger Record ID],0))</f>
        <v/>
      </c>
      <c r="G74" s="657">
        <f>INDEX(tblLedger[Variance],MATCH($A74,tblLedger[Ledger Record ID],0))</f>
        <v/>
      </c>
      <c r="H74">
        <f>IF(COUNTIF(tblLedger[Work Order #],B74)&gt;1,"Yes","No")</f>
        <v/>
      </c>
      <c r="I74">
        <f>IF(C74="","Yes","No")</f>
        <v/>
      </c>
      <c r="J74">
        <f>IF(INDEX(tblLedger[Mapping Status],MATCH($A74,tblLedger[Ledger Record ID],0))="MAPPING_HOLD","Yes","No")</f>
        <v/>
      </c>
      <c r="K74">
        <f>IF(AND(OR(E74="No",E74="Pending"),IFERROR(INDEX(tblServiceEvents[Financial Scope],MATCH(C74,tblServiceEvents[Event #],0)),"Included")="Included"),"Yes","No")</f>
        <v/>
      </c>
      <c r="L74">
        <f>IF(AND(E74="Yes",OR(F74="No",F74="Pending")),"Yes","No")</f>
        <v/>
      </c>
      <c r="M74">
        <f>IF(OR(ABS(N(G74))&gt;0,INDEX(tblLedger[Reconciliation Status],MATCH($A74,tblLedger[Ledger Record ID],0))="BREAKDOWN_MISMATCH",INDEX(tblLedger[Reconciliation Status],MATCH($A74,tblLedger[Ledger Record ID],0))="ACH_MISMATCH"),"Yes","No")</f>
        <v/>
      </c>
      <c r="N74">
        <f>IF(D74="","Yes","No")</f>
        <v/>
      </c>
      <c r="O74">
        <f>IF(OR(INDEX(tblLedger[City],MATCH($A74,tblLedger[Ledger Record ID],0))="",INDEX(tblLedger[Jurisdiction],MATCH($A74,tblLedger[Ledger Record ID],0))=""),"Yes","No")</f>
        <v/>
      </c>
      <c r="P74">
        <f>IF(COUNTIF({"Yes","No","Partial","Pending","Mapping Hold"},E74)=0,"Yes","No")</f>
        <v/>
      </c>
      <c r="Q74">
        <f>IF(COUNTIF({"Yes","No","Partial","Pending","Mapping Review"},F74)=0,"Yes","No")</f>
        <v/>
      </c>
      <c r="R74">
        <f>IF(J74="Yes","Mapping Hold",IF(I74="Yes","Missing Event Link",IF(H74="Yes","Duplicate WO",IF(M74="Yes","Revenue Variance",IF(K74="Yes","Missing Breakdown",IF(L74="Yes","Pending ACH",IF(E74="Partial","Partial Breakdown",IF(N74="Yes","Missing Client",IF(O74="Yes","Missing Location",IF(P74="Yes","Unknown Breakdown Status",IF(Q74="Yes","Unknown ACH Status","OK")))))))))))</f>
        <v/>
      </c>
      <c r="S74">
        <f>IF(OR(J74="Yes",I74="Yes",H74="Yes"),"Critical",IF(OR(M74="Yes",E74="Partial",N74="Yes",O74="Yes",P74="Yes",Q74="Yes"),"Warning",IF(OR(K74="Yes",L74="Yes"),"Informational","OK")))</f>
        <v/>
      </c>
      <c r="T74">
        <f>IF(R74="Mapping Hold","Resolve mapping before update",IF(R74="Missing Event Link","Map to one authoritative event",IF(R74="Duplicate WO","Review duplicate identity",IF(R74="Revenue Variance","Reconcile or dispute amount",IF(R74="Missing Breakdown","Await breakdown",IF(R74="Pending ACH","Await ACH",IF(R74="Partial Breakdown","Confirm remaining breakdown",IF(R74="Missing Client","Add canonical client",IF(R74="Missing Location","Complete location fields",IF(R74="OK","No action","Review invalid status"))))))))))</f>
        <v/>
      </c>
      <c r="U74">
        <f>IF(R74="OK","No","Yes")</f>
        <v/>
      </c>
      <c r="V74" s="657">
        <f>ABS(N(G74))</f>
        <v/>
      </c>
    </row>
    <row r="75">
      <c r="A75" t="inlineStr">
        <is>
          <t>LED-0045</t>
        </is>
      </c>
      <c r="B75">
        <f>INDEX(tblLedger[Work Order #],MATCH($A75,tblLedger[Ledger Record ID],0))</f>
        <v/>
      </c>
      <c r="C75">
        <f>INDEX(tblLedger[Event #],MATCH($A75,tblLedger[Ledger Record ID],0))</f>
        <v/>
      </c>
      <c r="D75">
        <f>INDEX(tblLedger[Client],MATCH($A75,tblLedger[Ledger Record ID],0))</f>
        <v/>
      </c>
      <c r="E75">
        <f>INDEX(tblLedger[Breakdown Confirmed],MATCH($A75,tblLedger[Ledger Record ID],0))</f>
        <v/>
      </c>
      <c r="F75">
        <f>INDEX(tblLedger[ACH Confirmed],MATCH($A75,tblLedger[Ledger Record ID],0))</f>
        <v/>
      </c>
      <c r="G75" s="657">
        <f>INDEX(tblLedger[Variance],MATCH($A75,tblLedger[Ledger Record ID],0))</f>
        <v/>
      </c>
      <c r="H75">
        <f>IF(COUNTIF(tblLedger[Work Order #],B75)&gt;1,"Yes","No")</f>
        <v/>
      </c>
      <c r="I75">
        <f>IF(C75="","Yes","No")</f>
        <v/>
      </c>
      <c r="J75">
        <f>IF(INDEX(tblLedger[Mapping Status],MATCH($A75,tblLedger[Ledger Record ID],0))="MAPPING_HOLD","Yes","No")</f>
        <v/>
      </c>
      <c r="K75">
        <f>IF(AND(OR(E75="No",E75="Pending"),IFERROR(INDEX(tblServiceEvents[Financial Scope],MATCH(C75,tblServiceEvents[Event #],0)),"Included")="Included"),"Yes","No")</f>
        <v/>
      </c>
      <c r="L75">
        <f>IF(AND(E75="Yes",OR(F75="No",F75="Pending")),"Yes","No")</f>
        <v/>
      </c>
      <c r="M75">
        <f>IF(OR(ABS(N(G75))&gt;0,INDEX(tblLedger[Reconciliation Status],MATCH($A75,tblLedger[Ledger Record ID],0))="BREAKDOWN_MISMATCH",INDEX(tblLedger[Reconciliation Status],MATCH($A75,tblLedger[Ledger Record ID],0))="ACH_MISMATCH"),"Yes","No")</f>
        <v/>
      </c>
      <c r="N75">
        <f>IF(D75="","Yes","No")</f>
        <v/>
      </c>
      <c r="O75">
        <f>IF(OR(INDEX(tblLedger[City],MATCH($A75,tblLedger[Ledger Record ID],0))="",INDEX(tblLedger[Jurisdiction],MATCH($A75,tblLedger[Ledger Record ID],0))=""),"Yes","No")</f>
        <v/>
      </c>
      <c r="P75">
        <f>IF(COUNTIF({"Yes","No","Partial","Pending","Mapping Hold"},E75)=0,"Yes","No")</f>
        <v/>
      </c>
      <c r="Q75">
        <f>IF(COUNTIF({"Yes","No","Partial","Pending","Mapping Review"},F75)=0,"Yes","No")</f>
        <v/>
      </c>
      <c r="R75">
        <f>IF(J75="Yes","Mapping Hold",IF(I75="Yes","Missing Event Link",IF(H75="Yes","Duplicate WO",IF(M75="Yes","Revenue Variance",IF(K75="Yes","Missing Breakdown",IF(L75="Yes","Pending ACH",IF(E75="Partial","Partial Breakdown",IF(N75="Yes","Missing Client",IF(O75="Yes","Missing Location",IF(P75="Yes","Unknown Breakdown Status",IF(Q75="Yes","Unknown ACH Status","OK")))))))))))</f>
        <v/>
      </c>
      <c r="S75">
        <f>IF(OR(J75="Yes",I75="Yes",H75="Yes"),"Critical",IF(OR(M75="Yes",E75="Partial",N75="Yes",O75="Yes",P75="Yes",Q75="Yes"),"Warning",IF(OR(K75="Yes",L75="Yes"),"Informational","OK")))</f>
        <v/>
      </c>
      <c r="T75">
        <f>IF(R75="Mapping Hold","Resolve mapping before update",IF(R75="Missing Event Link","Map to one authoritative event",IF(R75="Duplicate WO","Review duplicate identity",IF(R75="Revenue Variance","Reconcile or dispute amount",IF(R75="Missing Breakdown","Await breakdown",IF(R75="Pending ACH","Await ACH",IF(R75="Partial Breakdown","Confirm remaining breakdown",IF(R75="Missing Client","Add canonical client",IF(R75="Missing Location","Complete location fields",IF(R75="OK","No action","Review invalid status"))))))))))</f>
        <v/>
      </c>
      <c r="U75">
        <f>IF(R75="OK","No","Yes")</f>
        <v/>
      </c>
      <c r="V75" s="657">
        <f>ABS(N(G75))</f>
        <v/>
      </c>
    </row>
    <row r="76">
      <c r="A76" t="inlineStr">
        <is>
          <t>LED-0046</t>
        </is>
      </c>
      <c r="B76">
        <f>INDEX(tblLedger[Work Order #],MATCH($A76,tblLedger[Ledger Record ID],0))</f>
        <v/>
      </c>
      <c r="C76">
        <f>INDEX(tblLedger[Event #],MATCH($A76,tblLedger[Ledger Record ID],0))</f>
        <v/>
      </c>
      <c r="D76">
        <f>INDEX(tblLedger[Client],MATCH($A76,tblLedger[Ledger Record ID],0))</f>
        <v/>
      </c>
      <c r="E76">
        <f>INDEX(tblLedger[Breakdown Confirmed],MATCH($A76,tblLedger[Ledger Record ID],0))</f>
        <v/>
      </c>
      <c r="F76">
        <f>INDEX(tblLedger[ACH Confirmed],MATCH($A76,tblLedger[Ledger Record ID],0))</f>
        <v/>
      </c>
      <c r="G76" s="657">
        <f>INDEX(tblLedger[Variance],MATCH($A76,tblLedger[Ledger Record ID],0))</f>
        <v/>
      </c>
      <c r="H76">
        <f>IF(COUNTIF(tblLedger[Work Order #],B76)&gt;1,"Yes","No")</f>
        <v/>
      </c>
      <c r="I76">
        <f>IF(C76="","Yes","No")</f>
        <v/>
      </c>
      <c r="J76">
        <f>IF(INDEX(tblLedger[Mapping Status],MATCH($A76,tblLedger[Ledger Record ID],0))="MAPPING_HOLD","Yes","No")</f>
        <v/>
      </c>
      <c r="K76">
        <f>IF(AND(OR(E76="No",E76="Pending"),IFERROR(INDEX(tblServiceEvents[Financial Scope],MATCH(C76,tblServiceEvents[Event #],0)),"Included")="Included"),"Yes","No")</f>
        <v/>
      </c>
      <c r="L76">
        <f>IF(AND(E76="Yes",OR(F76="No",F76="Pending")),"Yes","No")</f>
        <v/>
      </c>
      <c r="M76">
        <f>IF(OR(ABS(N(G76))&gt;0,INDEX(tblLedger[Reconciliation Status],MATCH($A76,tblLedger[Ledger Record ID],0))="BREAKDOWN_MISMATCH",INDEX(tblLedger[Reconciliation Status],MATCH($A76,tblLedger[Ledger Record ID],0))="ACH_MISMATCH"),"Yes","No")</f>
        <v/>
      </c>
      <c r="N76">
        <f>IF(D76="","Yes","No")</f>
        <v/>
      </c>
      <c r="O76">
        <f>IF(OR(INDEX(tblLedger[City],MATCH($A76,tblLedger[Ledger Record ID],0))="",INDEX(tblLedger[Jurisdiction],MATCH($A76,tblLedger[Ledger Record ID],0))=""),"Yes","No")</f>
        <v/>
      </c>
      <c r="P76">
        <f>IF(COUNTIF({"Yes","No","Partial","Pending","Mapping Hold"},E76)=0,"Yes","No")</f>
        <v/>
      </c>
      <c r="Q76">
        <f>IF(COUNTIF({"Yes","No","Partial","Pending","Mapping Review"},F76)=0,"Yes","No")</f>
        <v/>
      </c>
      <c r="R76">
        <f>IF(J76="Yes","Mapping Hold",IF(I76="Yes","Missing Event Link",IF(H76="Yes","Duplicate WO",IF(M76="Yes","Revenue Variance",IF(K76="Yes","Missing Breakdown",IF(L76="Yes","Pending ACH",IF(E76="Partial","Partial Breakdown",IF(N76="Yes","Missing Client",IF(O76="Yes","Missing Location",IF(P76="Yes","Unknown Breakdown Status",IF(Q76="Yes","Unknown ACH Status","OK")))))))))))</f>
        <v/>
      </c>
      <c r="S76">
        <f>IF(OR(J76="Yes",I76="Yes",H76="Yes"),"Critical",IF(OR(M76="Yes",E76="Partial",N76="Yes",O76="Yes",P76="Yes",Q76="Yes"),"Warning",IF(OR(K76="Yes",L76="Yes"),"Informational","OK")))</f>
        <v/>
      </c>
      <c r="T76">
        <f>IF(R76="Mapping Hold","Resolve mapping before update",IF(R76="Missing Event Link","Map to one authoritative event",IF(R76="Duplicate WO","Review duplicate identity",IF(R76="Revenue Variance","Reconcile or dispute amount",IF(R76="Missing Breakdown","Await breakdown",IF(R76="Pending ACH","Await ACH",IF(R76="Partial Breakdown","Confirm remaining breakdown",IF(R76="Missing Client","Add canonical client",IF(R76="Missing Location","Complete location fields",IF(R76="OK","No action","Review invalid status"))))))))))</f>
        <v/>
      </c>
      <c r="U76">
        <f>IF(R76="OK","No","Yes")</f>
        <v/>
      </c>
      <c r="V76" s="657">
        <f>ABS(N(G76))</f>
        <v/>
      </c>
    </row>
    <row r="77">
      <c r="A77" t="inlineStr">
        <is>
          <t>LED-0047</t>
        </is>
      </c>
      <c r="B77">
        <f>INDEX(tblLedger[Work Order #],MATCH($A77,tblLedger[Ledger Record ID],0))</f>
        <v/>
      </c>
      <c r="C77">
        <f>INDEX(tblLedger[Event #],MATCH($A77,tblLedger[Ledger Record ID],0))</f>
        <v/>
      </c>
      <c r="D77">
        <f>INDEX(tblLedger[Client],MATCH($A77,tblLedger[Ledger Record ID],0))</f>
        <v/>
      </c>
      <c r="E77">
        <f>INDEX(tblLedger[Breakdown Confirmed],MATCH($A77,tblLedger[Ledger Record ID],0))</f>
        <v/>
      </c>
      <c r="F77">
        <f>INDEX(tblLedger[ACH Confirmed],MATCH($A77,tblLedger[Ledger Record ID],0))</f>
        <v/>
      </c>
      <c r="G77" s="657">
        <f>INDEX(tblLedger[Variance],MATCH($A77,tblLedger[Ledger Record ID],0))</f>
        <v/>
      </c>
      <c r="H77">
        <f>IF(COUNTIF(tblLedger[Work Order #],B77)&gt;1,"Yes","No")</f>
        <v/>
      </c>
      <c r="I77">
        <f>IF(C77="","Yes","No")</f>
        <v/>
      </c>
      <c r="J77">
        <f>IF(INDEX(tblLedger[Mapping Status],MATCH($A77,tblLedger[Ledger Record ID],0))="MAPPING_HOLD","Yes","No")</f>
        <v/>
      </c>
      <c r="K77">
        <f>IF(AND(OR(E77="No",E77="Pending"),IFERROR(INDEX(tblServiceEvents[Financial Scope],MATCH(C77,tblServiceEvents[Event #],0)),"Included")="Included"),"Yes","No")</f>
        <v/>
      </c>
      <c r="L77">
        <f>IF(AND(E77="Yes",OR(F77="No",F77="Pending")),"Yes","No")</f>
        <v/>
      </c>
      <c r="M77">
        <f>IF(OR(ABS(N(G77))&gt;0,INDEX(tblLedger[Reconciliation Status],MATCH($A77,tblLedger[Ledger Record ID],0))="BREAKDOWN_MISMATCH",INDEX(tblLedger[Reconciliation Status],MATCH($A77,tblLedger[Ledger Record ID],0))="ACH_MISMATCH"),"Yes","No")</f>
        <v/>
      </c>
      <c r="N77">
        <f>IF(D77="","Yes","No")</f>
        <v/>
      </c>
      <c r="O77">
        <f>IF(OR(INDEX(tblLedger[City],MATCH($A77,tblLedger[Ledger Record ID],0))="",INDEX(tblLedger[Jurisdiction],MATCH($A77,tblLedger[Ledger Record ID],0))=""),"Yes","No")</f>
        <v/>
      </c>
      <c r="P77">
        <f>IF(COUNTIF({"Yes","No","Partial","Pending","Mapping Hold"},E77)=0,"Yes","No")</f>
        <v/>
      </c>
      <c r="Q77">
        <f>IF(COUNTIF({"Yes","No","Partial","Pending","Mapping Review"},F77)=0,"Yes","No")</f>
        <v/>
      </c>
      <c r="R77">
        <f>IF(J77="Yes","Mapping Hold",IF(I77="Yes","Missing Event Link",IF(H77="Yes","Duplicate WO",IF(M77="Yes","Revenue Variance",IF(K77="Yes","Missing Breakdown",IF(L77="Yes","Pending ACH",IF(E77="Partial","Partial Breakdown",IF(N77="Yes","Missing Client",IF(O77="Yes","Missing Location",IF(P77="Yes","Unknown Breakdown Status",IF(Q77="Yes","Unknown ACH Status","OK")))))))))))</f>
        <v/>
      </c>
      <c r="S77">
        <f>IF(OR(J77="Yes",I77="Yes",H77="Yes"),"Critical",IF(OR(M77="Yes",E77="Partial",N77="Yes",O77="Yes",P77="Yes",Q77="Yes"),"Warning",IF(OR(K77="Yes",L77="Yes"),"Informational","OK")))</f>
        <v/>
      </c>
      <c r="T77">
        <f>IF(R77="Mapping Hold","Resolve mapping before update",IF(R77="Missing Event Link","Map to one authoritative event",IF(R77="Duplicate WO","Review duplicate identity",IF(R77="Revenue Variance","Reconcile or dispute amount",IF(R77="Missing Breakdown","Await breakdown",IF(R77="Pending ACH","Await ACH",IF(R77="Partial Breakdown","Confirm remaining breakdown",IF(R77="Missing Client","Add canonical client",IF(R77="Missing Location","Complete location fields",IF(R77="OK","No action","Review invalid status"))))))))))</f>
        <v/>
      </c>
      <c r="U77">
        <f>IF(R77="OK","No","Yes")</f>
        <v/>
      </c>
      <c r="V77" s="657">
        <f>ABS(N(G77))</f>
        <v/>
      </c>
    </row>
    <row r="78">
      <c r="A78" t="inlineStr">
        <is>
          <t>LED-0048</t>
        </is>
      </c>
      <c r="B78">
        <f>INDEX(tblLedger[Work Order #],MATCH($A78,tblLedger[Ledger Record ID],0))</f>
        <v/>
      </c>
      <c r="C78">
        <f>INDEX(tblLedger[Event #],MATCH($A78,tblLedger[Ledger Record ID],0))</f>
        <v/>
      </c>
      <c r="D78">
        <f>INDEX(tblLedger[Client],MATCH($A78,tblLedger[Ledger Record ID],0))</f>
        <v/>
      </c>
      <c r="E78">
        <f>INDEX(tblLedger[Breakdown Confirmed],MATCH($A78,tblLedger[Ledger Record ID],0))</f>
        <v/>
      </c>
      <c r="F78">
        <f>INDEX(tblLedger[ACH Confirmed],MATCH($A78,tblLedger[Ledger Record ID],0))</f>
        <v/>
      </c>
      <c r="G78" s="657">
        <f>INDEX(tblLedger[Variance],MATCH($A78,tblLedger[Ledger Record ID],0))</f>
        <v/>
      </c>
      <c r="H78">
        <f>IF(COUNTIF(tblLedger[Work Order #],B78)&gt;1,"Yes","No")</f>
        <v/>
      </c>
      <c r="I78">
        <f>IF(C78="","Yes","No")</f>
        <v/>
      </c>
      <c r="J78">
        <f>IF(INDEX(tblLedger[Mapping Status],MATCH($A78,tblLedger[Ledger Record ID],0))="MAPPING_HOLD","Yes","No")</f>
        <v/>
      </c>
      <c r="K78">
        <f>IF(AND(OR(E78="No",E78="Pending"),IFERROR(INDEX(tblServiceEvents[Financial Scope],MATCH(C78,tblServiceEvents[Event #],0)),"Included")="Included"),"Yes","No")</f>
        <v/>
      </c>
      <c r="L78">
        <f>IF(AND(E78="Yes",OR(F78="No",F78="Pending")),"Yes","No")</f>
        <v/>
      </c>
      <c r="M78">
        <f>IF(OR(ABS(N(G78))&gt;0,INDEX(tblLedger[Reconciliation Status],MATCH($A78,tblLedger[Ledger Record ID],0))="BREAKDOWN_MISMATCH",INDEX(tblLedger[Reconciliation Status],MATCH($A78,tblLedger[Ledger Record ID],0))="ACH_MISMATCH"),"Yes","No")</f>
        <v/>
      </c>
      <c r="N78">
        <f>IF(D78="","Yes","No")</f>
        <v/>
      </c>
      <c r="O78">
        <f>IF(OR(INDEX(tblLedger[City],MATCH($A78,tblLedger[Ledger Record ID],0))="",INDEX(tblLedger[Jurisdiction],MATCH($A78,tblLedger[Ledger Record ID],0))=""),"Yes","No")</f>
        <v/>
      </c>
      <c r="P78">
        <f>IF(COUNTIF({"Yes","No","Partial","Pending","Mapping Hold"},E78)=0,"Yes","No")</f>
        <v/>
      </c>
      <c r="Q78">
        <f>IF(COUNTIF({"Yes","No","Partial","Pending","Mapping Review"},F78)=0,"Yes","No")</f>
        <v/>
      </c>
      <c r="R78">
        <f>IF(J78="Yes","Mapping Hold",IF(I78="Yes","Missing Event Link",IF(H78="Yes","Duplicate WO",IF(M78="Yes","Revenue Variance",IF(K78="Yes","Missing Breakdown",IF(L78="Yes","Pending ACH",IF(E78="Partial","Partial Breakdown",IF(N78="Yes","Missing Client",IF(O78="Yes","Missing Location",IF(P78="Yes","Unknown Breakdown Status",IF(Q78="Yes","Unknown ACH Status","OK")))))))))))</f>
        <v/>
      </c>
      <c r="S78">
        <f>IF(OR(J78="Yes",I78="Yes",H78="Yes"),"Critical",IF(OR(M78="Yes",E78="Partial",N78="Yes",O78="Yes",P78="Yes",Q78="Yes"),"Warning",IF(OR(K78="Yes",L78="Yes"),"Informational","OK")))</f>
        <v/>
      </c>
      <c r="T78">
        <f>IF(R78="Mapping Hold","Resolve mapping before update",IF(R78="Missing Event Link","Map to one authoritative event",IF(R78="Duplicate WO","Review duplicate identity",IF(R78="Revenue Variance","Reconcile or dispute amount",IF(R78="Missing Breakdown","Await breakdown",IF(R78="Pending ACH","Await ACH",IF(R78="Partial Breakdown","Confirm remaining breakdown",IF(R78="Missing Client","Add canonical client",IF(R78="Missing Location","Complete location fields",IF(R78="OK","No action","Review invalid status"))))))))))</f>
        <v/>
      </c>
      <c r="U78">
        <f>IF(R78="OK","No","Yes")</f>
        <v/>
      </c>
      <c r="V78" s="657">
        <f>ABS(N(G78))</f>
        <v/>
      </c>
    </row>
    <row r="79">
      <c r="A79" t="inlineStr">
        <is>
          <t>LED-0049</t>
        </is>
      </c>
      <c r="B79">
        <f>INDEX(tblLedger[Work Order #],MATCH($A79,tblLedger[Ledger Record ID],0))</f>
        <v/>
      </c>
      <c r="C79">
        <f>INDEX(tblLedger[Event #],MATCH($A79,tblLedger[Ledger Record ID],0))</f>
        <v/>
      </c>
      <c r="D79">
        <f>INDEX(tblLedger[Client],MATCH($A79,tblLedger[Ledger Record ID],0))</f>
        <v/>
      </c>
      <c r="E79">
        <f>INDEX(tblLedger[Breakdown Confirmed],MATCH($A79,tblLedger[Ledger Record ID],0))</f>
        <v/>
      </c>
      <c r="F79">
        <f>INDEX(tblLedger[ACH Confirmed],MATCH($A79,tblLedger[Ledger Record ID],0))</f>
        <v/>
      </c>
      <c r="G79" s="657">
        <f>INDEX(tblLedger[Variance],MATCH($A79,tblLedger[Ledger Record ID],0))</f>
        <v/>
      </c>
      <c r="H79">
        <f>IF(COUNTIF(tblLedger[Work Order #],B79)&gt;1,"Yes","No")</f>
        <v/>
      </c>
      <c r="I79">
        <f>IF(C79="","Yes","No")</f>
        <v/>
      </c>
      <c r="J79">
        <f>IF(INDEX(tblLedger[Mapping Status],MATCH($A79,tblLedger[Ledger Record ID],0))="MAPPING_HOLD","Yes","No")</f>
        <v/>
      </c>
      <c r="K79">
        <f>IF(AND(OR(E79="No",E79="Pending"),IFERROR(INDEX(tblServiceEvents[Financial Scope],MATCH(C79,tblServiceEvents[Event #],0)),"Included")="Included"),"Yes","No")</f>
        <v/>
      </c>
      <c r="L79">
        <f>IF(AND(E79="Yes",OR(F79="No",F79="Pending")),"Yes","No")</f>
        <v/>
      </c>
      <c r="M79">
        <f>IF(OR(ABS(N(G79))&gt;0,INDEX(tblLedger[Reconciliation Status],MATCH($A79,tblLedger[Ledger Record ID],0))="BREAKDOWN_MISMATCH",INDEX(tblLedger[Reconciliation Status],MATCH($A79,tblLedger[Ledger Record ID],0))="ACH_MISMATCH"),"Yes","No")</f>
        <v/>
      </c>
      <c r="N79">
        <f>IF(D79="","Yes","No")</f>
        <v/>
      </c>
      <c r="O79">
        <f>IF(OR(INDEX(tblLedger[City],MATCH($A79,tblLedger[Ledger Record ID],0))="",INDEX(tblLedger[Jurisdiction],MATCH($A79,tblLedger[Ledger Record ID],0))=""),"Yes","No")</f>
        <v/>
      </c>
      <c r="P79">
        <f>IF(COUNTIF({"Yes","No","Partial","Pending","Mapping Hold"},E79)=0,"Yes","No")</f>
        <v/>
      </c>
      <c r="Q79">
        <f>IF(COUNTIF({"Yes","No","Partial","Pending","Mapping Review"},F79)=0,"Yes","No")</f>
        <v/>
      </c>
      <c r="R79">
        <f>IF(J79="Yes","Mapping Hold",IF(I79="Yes","Missing Event Link",IF(H79="Yes","Duplicate WO",IF(M79="Yes","Revenue Variance",IF(K79="Yes","Missing Breakdown",IF(L79="Yes","Pending ACH",IF(E79="Partial","Partial Breakdown",IF(N79="Yes","Missing Client",IF(O79="Yes","Missing Location",IF(P79="Yes","Unknown Breakdown Status",IF(Q79="Yes","Unknown ACH Status","OK")))))))))))</f>
        <v/>
      </c>
      <c r="S79">
        <f>IF(OR(J79="Yes",I79="Yes",H79="Yes"),"Critical",IF(OR(M79="Yes",E79="Partial",N79="Yes",O79="Yes",P79="Yes",Q79="Yes"),"Warning",IF(OR(K79="Yes",L79="Yes"),"Informational","OK")))</f>
        <v/>
      </c>
      <c r="T79">
        <f>IF(R79="Mapping Hold","Resolve mapping before update",IF(R79="Missing Event Link","Map to one authoritative event",IF(R79="Duplicate WO","Review duplicate identity",IF(R79="Revenue Variance","Reconcile or dispute amount",IF(R79="Missing Breakdown","Await breakdown",IF(R79="Pending ACH","Await ACH",IF(R79="Partial Breakdown","Confirm remaining breakdown",IF(R79="Missing Client","Add canonical client",IF(R79="Missing Location","Complete location fields",IF(R79="OK","No action","Review invalid status"))))))))))</f>
        <v/>
      </c>
      <c r="U79">
        <f>IF(R79="OK","No","Yes")</f>
        <v/>
      </c>
      <c r="V79" s="657">
        <f>ABS(N(G79))</f>
        <v/>
      </c>
    </row>
    <row r="80">
      <c r="A80" t="inlineStr">
        <is>
          <t>LED-0050</t>
        </is>
      </c>
      <c r="B80">
        <f>INDEX(tblLedger[Work Order #],MATCH($A80,tblLedger[Ledger Record ID],0))</f>
        <v/>
      </c>
      <c r="C80">
        <f>INDEX(tblLedger[Event #],MATCH($A80,tblLedger[Ledger Record ID],0))</f>
        <v/>
      </c>
      <c r="D80">
        <f>INDEX(tblLedger[Client],MATCH($A80,tblLedger[Ledger Record ID],0))</f>
        <v/>
      </c>
      <c r="E80">
        <f>INDEX(tblLedger[Breakdown Confirmed],MATCH($A80,tblLedger[Ledger Record ID],0))</f>
        <v/>
      </c>
      <c r="F80">
        <f>INDEX(tblLedger[ACH Confirmed],MATCH($A80,tblLedger[Ledger Record ID],0))</f>
        <v/>
      </c>
      <c r="G80" s="657">
        <f>INDEX(tblLedger[Variance],MATCH($A80,tblLedger[Ledger Record ID],0))</f>
        <v/>
      </c>
      <c r="H80">
        <f>IF(COUNTIF(tblLedger[Work Order #],B80)&gt;1,"Yes","No")</f>
        <v/>
      </c>
      <c r="I80">
        <f>IF(C80="","Yes","No")</f>
        <v/>
      </c>
      <c r="J80">
        <f>IF(INDEX(tblLedger[Mapping Status],MATCH($A80,tblLedger[Ledger Record ID],0))="MAPPING_HOLD","Yes","No")</f>
        <v/>
      </c>
      <c r="K80">
        <f>IF(AND(OR(E80="No",E80="Pending"),IFERROR(INDEX(tblServiceEvents[Financial Scope],MATCH(C80,tblServiceEvents[Event #],0)),"Included")="Included"),"Yes","No")</f>
        <v/>
      </c>
      <c r="L80">
        <f>IF(AND(E80="Yes",OR(F80="No",F80="Pending")),"Yes","No")</f>
        <v/>
      </c>
      <c r="M80">
        <f>IF(OR(ABS(N(G80))&gt;0,INDEX(tblLedger[Reconciliation Status],MATCH($A80,tblLedger[Ledger Record ID],0))="BREAKDOWN_MISMATCH",INDEX(tblLedger[Reconciliation Status],MATCH($A80,tblLedger[Ledger Record ID],0))="ACH_MISMATCH"),"Yes","No")</f>
        <v/>
      </c>
      <c r="N80">
        <f>IF(D80="","Yes","No")</f>
        <v/>
      </c>
      <c r="O80">
        <f>IF(OR(INDEX(tblLedger[City],MATCH($A80,tblLedger[Ledger Record ID],0))="",INDEX(tblLedger[Jurisdiction],MATCH($A80,tblLedger[Ledger Record ID],0))=""),"Yes","No")</f>
        <v/>
      </c>
      <c r="P80">
        <f>IF(COUNTIF({"Yes","No","Partial","Pending","Mapping Hold"},E80)=0,"Yes","No")</f>
        <v/>
      </c>
      <c r="Q80">
        <f>IF(COUNTIF({"Yes","No","Partial","Pending","Mapping Review"},F80)=0,"Yes","No")</f>
        <v/>
      </c>
      <c r="R80">
        <f>IF(J80="Yes","Mapping Hold",IF(I80="Yes","Missing Event Link",IF(H80="Yes","Duplicate WO",IF(M80="Yes","Revenue Variance",IF(K80="Yes","Missing Breakdown",IF(L80="Yes","Pending ACH",IF(E80="Partial","Partial Breakdown",IF(N80="Yes","Missing Client",IF(O80="Yes","Missing Location",IF(P80="Yes","Unknown Breakdown Status",IF(Q80="Yes","Unknown ACH Status","OK")))))))))))</f>
        <v/>
      </c>
      <c r="S80">
        <f>IF(OR(J80="Yes",I80="Yes",H80="Yes"),"Critical",IF(OR(M80="Yes",E80="Partial",N80="Yes",O80="Yes",P80="Yes",Q80="Yes"),"Warning",IF(OR(K80="Yes",L80="Yes"),"Informational","OK")))</f>
        <v/>
      </c>
      <c r="T80">
        <f>IF(R80="Mapping Hold","Resolve mapping before update",IF(R80="Missing Event Link","Map to one authoritative event",IF(R80="Duplicate WO","Review duplicate identity",IF(R80="Revenue Variance","Reconcile or dispute amount",IF(R80="Missing Breakdown","Await breakdown",IF(R80="Pending ACH","Await ACH",IF(R80="Partial Breakdown","Confirm remaining breakdown",IF(R80="Missing Client","Add canonical client",IF(R80="Missing Location","Complete location fields",IF(R80="OK","No action","Review invalid status"))))))))))</f>
        <v/>
      </c>
      <c r="U80">
        <f>IF(R80="OK","No","Yes")</f>
        <v/>
      </c>
      <c r="V80" s="657">
        <f>ABS(N(G80))</f>
        <v/>
      </c>
    </row>
    <row r="81">
      <c r="A81" t="inlineStr">
        <is>
          <t>LED-0051</t>
        </is>
      </c>
      <c r="B81">
        <f>INDEX(tblLedger[Work Order #],MATCH($A81,tblLedger[Ledger Record ID],0))</f>
        <v/>
      </c>
      <c r="C81">
        <f>INDEX(tblLedger[Event #],MATCH($A81,tblLedger[Ledger Record ID],0))</f>
        <v/>
      </c>
      <c r="D81">
        <f>INDEX(tblLedger[Client],MATCH($A81,tblLedger[Ledger Record ID],0))</f>
        <v/>
      </c>
      <c r="E81">
        <f>INDEX(tblLedger[Breakdown Confirmed],MATCH($A81,tblLedger[Ledger Record ID],0))</f>
        <v/>
      </c>
      <c r="F81">
        <f>INDEX(tblLedger[ACH Confirmed],MATCH($A81,tblLedger[Ledger Record ID],0))</f>
        <v/>
      </c>
      <c r="G81" s="657">
        <f>INDEX(tblLedger[Variance],MATCH($A81,tblLedger[Ledger Record ID],0))</f>
        <v/>
      </c>
      <c r="H81">
        <f>IF(COUNTIF(tblLedger[Work Order #],B81)&gt;1,"Yes","No")</f>
        <v/>
      </c>
      <c r="I81">
        <f>IF(C81="","Yes","No")</f>
        <v/>
      </c>
      <c r="J81">
        <f>IF(INDEX(tblLedger[Mapping Status],MATCH($A81,tblLedger[Ledger Record ID],0))="MAPPING_HOLD","Yes","No")</f>
        <v/>
      </c>
      <c r="K81">
        <f>IF(AND(OR(E81="No",E81="Pending"),IFERROR(INDEX(tblServiceEvents[Financial Scope],MATCH(C81,tblServiceEvents[Event #],0)),"Included")="Included"),"Yes","No")</f>
        <v/>
      </c>
      <c r="L81">
        <f>IF(AND(E81="Yes",OR(F81="No",F81="Pending")),"Yes","No")</f>
        <v/>
      </c>
      <c r="M81">
        <f>IF(OR(ABS(N(G81))&gt;0,INDEX(tblLedger[Reconciliation Status],MATCH($A81,tblLedger[Ledger Record ID],0))="BREAKDOWN_MISMATCH",INDEX(tblLedger[Reconciliation Status],MATCH($A81,tblLedger[Ledger Record ID],0))="ACH_MISMATCH"),"Yes","No")</f>
        <v/>
      </c>
      <c r="N81">
        <f>IF(D81="","Yes","No")</f>
        <v/>
      </c>
      <c r="O81">
        <f>IF(OR(INDEX(tblLedger[City],MATCH($A81,tblLedger[Ledger Record ID],0))="",INDEX(tblLedger[Jurisdiction],MATCH($A81,tblLedger[Ledger Record ID],0))=""),"Yes","No")</f>
        <v/>
      </c>
      <c r="P81">
        <f>IF(COUNTIF({"Yes","No","Partial","Pending","Mapping Hold"},E81)=0,"Yes","No")</f>
        <v/>
      </c>
      <c r="Q81">
        <f>IF(COUNTIF({"Yes","No","Partial","Pending","Mapping Review"},F81)=0,"Yes","No")</f>
        <v/>
      </c>
      <c r="R81">
        <f>IF(J81="Yes","Mapping Hold",IF(I81="Yes","Missing Event Link",IF(H81="Yes","Duplicate WO",IF(M81="Yes","Revenue Variance",IF(K81="Yes","Missing Breakdown",IF(L81="Yes","Pending ACH",IF(E81="Partial","Partial Breakdown",IF(N81="Yes","Missing Client",IF(O81="Yes","Missing Location",IF(P81="Yes","Unknown Breakdown Status",IF(Q81="Yes","Unknown ACH Status","OK")))))))))))</f>
        <v/>
      </c>
      <c r="S81">
        <f>IF(OR(J81="Yes",I81="Yes",H81="Yes"),"Critical",IF(OR(M81="Yes",E81="Partial",N81="Yes",O81="Yes",P81="Yes",Q81="Yes"),"Warning",IF(OR(K81="Yes",L81="Yes"),"Informational","OK")))</f>
        <v/>
      </c>
      <c r="T81">
        <f>IF(R81="Mapping Hold","Resolve mapping before update",IF(R81="Missing Event Link","Map to one authoritative event",IF(R81="Duplicate WO","Review duplicate identity",IF(R81="Revenue Variance","Reconcile or dispute amount",IF(R81="Missing Breakdown","Await breakdown",IF(R81="Pending ACH","Await ACH",IF(R81="Partial Breakdown","Confirm remaining breakdown",IF(R81="Missing Client","Add canonical client",IF(R81="Missing Location","Complete location fields",IF(R81="OK","No action","Review invalid status"))))))))))</f>
        <v/>
      </c>
      <c r="U81">
        <f>IF(R81="OK","No","Yes")</f>
        <v/>
      </c>
      <c r="V81" s="657">
        <f>ABS(N(G81))</f>
        <v/>
      </c>
    </row>
    <row r="82">
      <c r="A82" t="inlineStr">
        <is>
          <t>LED-0052</t>
        </is>
      </c>
      <c r="B82">
        <f>INDEX(tblLedger[Work Order #],MATCH($A82,tblLedger[Ledger Record ID],0))</f>
        <v/>
      </c>
      <c r="C82">
        <f>INDEX(tblLedger[Event #],MATCH($A82,tblLedger[Ledger Record ID],0))</f>
        <v/>
      </c>
      <c r="D82">
        <f>INDEX(tblLedger[Client],MATCH($A82,tblLedger[Ledger Record ID],0))</f>
        <v/>
      </c>
      <c r="E82">
        <f>INDEX(tblLedger[Breakdown Confirmed],MATCH($A82,tblLedger[Ledger Record ID],0))</f>
        <v/>
      </c>
      <c r="F82">
        <f>INDEX(tblLedger[ACH Confirmed],MATCH($A82,tblLedger[Ledger Record ID],0))</f>
        <v/>
      </c>
      <c r="G82" s="657">
        <f>INDEX(tblLedger[Variance],MATCH($A82,tblLedger[Ledger Record ID],0))</f>
        <v/>
      </c>
      <c r="H82">
        <f>IF(COUNTIF(tblLedger[Work Order #],B82)&gt;1,"Yes","No")</f>
        <v/>
      </c>
      <c r="I82">
        <f>IF(C82="","Yes","No")</f>
        <v/>
      </c>
      <c r="J82">
        <f>IF(INDEX(tblLedger[Mapping Status],MATCH($A82,tblLedger[Ledger Record ID],0))="MAPPING_HOLD","Yes","No")</f>
        <v/>
      </c>
      <c r="K82">
        <f>IF(AND(OR(E82="No",E82="Pending"),IFERROR(INDEX(tblServiceEvents[Financial Scope],MATCH(C82,tblServiceEvents[Event #],0)),"Included")="Included"),"Yes","No")</f>
        <v/>
      </c>
      <c r="L82">
        <f>IF(AND(E82="Yes",OR(F82="No",F82="Pending")),"Yes","No")</f>
        <v/>
      </c>
      <c r="M82">
        <f>IF(OR(ABS(N(G82))&gt;0,INDEX(tblLedger[Reconciliation Status],MATCH($A82,tblLedger[Ledger Record ID],0))="BREAKDOWN_MISMATCH",INDEX(tblLedger[Reconciliation Status],MATCH($A82,tblLedger[Ledger Record ID],0))="ACH_MISMATCH"),"Yes","No")</f>
        <v/>
      </c>
      <c r="N82">
        <f>IF(D82="","Yes","No")</f>
        <v/>
      </c>
      <c r="O82">
        <f>IF(OR(INDEX(tblLedger[City],MATCH($A82,tblLedger[Ledger Record ID],0))="",INDEX(tblLedger[Jurisdiction],MATCH($A82,tblLedger[Ledger Record ID],0))=""),"Yes","No")</f>
        <v/>
      </c>
      <c r="P82">
        <f>IF(COUNTIF({"Yes","No","Partial","Pending","Mapping Hold"},E82)=0,"Yes","No")</f>
        <v/>
      </c>
      <c r="Q82">
        <f>IF(COUNTIF({"Yes","No","Partial","Pending","Mapping Review"},F82)=0,"Yes","No")</f>
        <v/>
      </c>
      <c r="R82">
        <f>IF(J82="Yes","Mapping Hold",IF(I82="Yes","Missing Event Link",IF(H82="Yes","Duplicate WO",IF(M82="Yes","Revenue Variance",IF(K82="Yes","Missing Breakdown",IF(L82="Yes","Pending ACH",IF(E82="Partial","Partial Breakdown",IF(N82="Yes","Missing Client",IF(O82="Yes","Missing Location",IF(P82="Yes","Unknown Breakdown Status",IF(Q82="Yes","Unknown ACH Status","OK")))))))))))</f>
        <v/>
      </c>
      <c r="S82">
        <f>IF(OR(J82="Yes",I82="Yes",H82="Yes"),"Critical",IF(OR(M82="Yes",E82="Partial",N82="Yes",O82="Yes",P82="Yes",Q82="Yes"),"Warning",IF(OR(K82="Yes",L82="Yes"),"Informational","OK")))</f>
        <v/>
      </c>
      <c r="T82">
        <f>IF(R82="Mapping Hold","Resolve mapping before update",IF(R82="Missing Event Link","Map to one authoritative event",IF(R82="Duplicate WO","Review duplicate identity",IF(R82="Revenue Variance","Reconcile or dispute amount",IF(R82="Missing Breakdown","Await breakdown",IF(R82="Pending ACH","Await ACH",IF(R82="Partial Breakdown","Confirm remaining breakdown",IF(R82="Missing Client","Add canonical client",IF(R82="Missing Location","Complete location fields",IF(R82="OK","No action","Review invalid status"))))))))))</f>
        <v/>
      </c>
      <c r="U82">
        <f>IF(R82="OK","No","Yes")</f>
        <v/>
      </c>
      <c r="V82" s="657">
        <f>ABS(N(G82))</f>
        <v/>
      </c>
    </row>
    <row r="83">
      <c r="A83" t="inlineStr">
        <is>
          <t>LED-0053</t>
        </is>
      </c>
      <c r="B83">
        <f>INDEX(tblLedger[Work Order #],MATCH($A83,tblLedger[Ledger Record ID],0))</f>
        <v/>
      </c>
      <c r="C83">
        <f>INDEX(tblLedger[Event #],MATCH($A83,tblLedger[Ledger Record ID],0))</f>
        <v/>
      </c>
      <c r="D83">
        <f>INDEX(tblLedger[Client],MATCH($A83,tblLedger[Ledger Record ID],0))</f>
        <v/>
      </c>
      <c r="E83">
        <f>INDEX(tblLedger[Breakdown Confirmed],MATCH($A83,tblLedger[Ledger Record ID],0))</f>
        <v/>
      </c>
      <c r="F83">
        <f>INDEX(tblLedger[ACH Confirmed],MATCH($A83,tblLedger[Ledger Record ID],0))</f>
        <v/>
      </c>
      <c r="G83" s="657">
        <f>INDEX(tblLedger[Variance],MATCH($A83,tblLedger[Ledger Record ID],0))</f>
        <v/>
      </c>
      <c r="H83">
        <f>IF(COUNTIF(tblLedger[Work Order #],B83)&gt;1,"Yes","No")</f>
        <v/>
      </c>
      <c r="I83">
        <f>IF(C83="","Yes","No")</f>
        <v/>
      </c>
      <c r="J83">
        <f>IF(INDEX(tblLedger[Mapping Status],MATCH($A83,tblLedger[Ledger Record ID],0))="MAPPING_HOLD","Yes","No")</f>
        <v/>
      </c>
      <c r="K83">
        <f>IF(AND(OR(E83="No",E83="Pending"),IFERROR(INDEX(tblServiceEvents[Financial Scope],MATCH(C83,tblServiceEvents[Event #],0)),"Included")="Included"),"Yes","No")</f>
        <v/>
      </c>
      <c r="L83">
        <f>IF(AND(E83="Yes",OR(F83="No",F83="Pending")),"Yes","No")</f>
        <v/>
      </c>
      <c r="M83">
        <f>IF(OR(ABS(N(G83))&gt;0,INDEX(tblLedger[Reconciliation Status],MATCH($A83,tblLedger[Ledger Record ID],0))="BREAKDOWN_MISMATCH",INDEX(tblLedger[Reconciliation Status],MATCH($A83,tblLedger[Ledger Record ID],0))="ACH_MISMATCH"),"Yes","No")</f>
        <v/>
      </c>
      <c r="N83">
        <f>IF(D83="","Yes","No")</f>
        <v/>
      </c>
      <c r="O83">
        <f>IF(OR(INDEX(tblLedger[City],MATCH($A83,tblLedger[Ledger Record ID],0))="",INDEX(tblLedger[Jurisdiction],MATCH($A83,tblLedger[Ledger Record ID],0))=""),"Yes","No")</f>
        <v/>
      </c>
      <c r="P83">
        <f>IF(COUNTIF({"Yes","No","Partial","Pending","Mapping Hold"},E83)=0,"Yes","No")</f>
        <v/>
      </c>
      <c r="Q83">
        <f>IF(COUNTIF({"Yes","No","Partial","Pending","Mapping Review"},F83)=0,"Yes","No")</f>
        <v/>
      </c>
      <c r="R83">
        <f>IF(J83="Yes","Mapping Hold",IF(I83="Yes","Missing Event Link",IF(H83="Yes","Duplicate WO",IF(M83="Yes","Revenue Variance",IF(K83="Yes","Missing Breakdown",IF(L83="Yes","Pending ACH",IF(E83="Partial","Partial Breakdown",IF(N83="Yes","Missing Client",IF(O83="Yes","Missing Location",IF(P83="Yes","Unknown Breakdown Status",IF(Q83="Yes","Unknown ACH Status","OK")))))))))))</f>
        <v/>
      </c>
      <c r="S83">
        <f>IF(OR(J83="Yes",I83="Yes",H83="Yes"),"Critical",IF(OR(M83="Yes",E83="Partial",N83="Yes",O83="Yes",P83="Yes",Q83="Yes"),"Warning",IF(OR(K83="Yes",L83="Yes"),"Informational","OK")))</f>
        <v/>
      </c>
      <c r="T83">
        <f>IF(R83="Mapping Hold","Resolve mapping before update",IF(R83="Missing Event Link","Map to one authoritative event",IF(R83="Duplicate WO","Review duplicate identity",IF(R83="Revenue Variance","Reconcile or dispute amount",IF(R83="Missing Breakdown","Await breakdown",IF(R83="Pending ACH","Await ACH",IF(R83="Partial Breakdown","Confirm remaining breakdown",IF(R83="Missing Client","Add canonical client",IF(R83="Missing Location","Complete location fields",IF(R83="OK","No action","Review invalid status"))))))))))</f>
        <v/>
      </c>
      <c r="U83">
        <f>IF(R83="OK","No","Yes")</f>
        <v/>
      </c>
      <c r="V83" s="657">
        <f>ABS(N(G83))</f>
        <v/>
      </c>
    </row>
    <row r="84">
      <c r="A84" t="inlineStr">
        <is>
          <t>LED-0054</t>
        </is>
      </c>
      <c r="B84">
        <f>INDEX(tblLedger[Work Order #],MATCH($A84,tblLedger[Ledger Record ID],0))</f>
        <v/>
      </c>
      <c r="C84">
        <f>INDEX(tblLedger[Event #],MATCH($A84,tblLedger[Ledger Record ID],0))</f>
        <v/>
      </c>
      <c r="D84">
        <f>INDEX(tblLedger[Client],MATCH($A84,tblLedger[Ledger Record ID],0))</f>
        <v/>
      </c>
      <c r="E84">
        <f>INDEX(tblLedger[Breakdown Confirmed],MATCH($A84,tblLedger[Ledger Record ID],0))</f>
        <v/>
      </c>
      <c r="F84">
        <f>INDEX(tblLedger[ACH Confirmed],MATCH($A84,tblLedger[Ledger Record ID],0))</f>
        <v/>
      </c>
      <c r="G84" s="657">
        <f>INDEX(tblLedger[Variance],MATCH($A84,tblLedger[Ledger Record ID],0))</f>
        <v/>
      </c>
      <c r="H84">
        <f>IF(COUNTIF(tblLedger[Work Order #],B84)&gt;1,"Yes","No")</f>
        <v/>
      </c>
      <c r="I84">
        <f>IF(C84="","Yes","No")</f>
        <v/>
      </c>
      <c r="J84">
        <f>IF(INDEX(tblLedger[Mapping Status],MATCH($A84,tblLedger[Ledger Record ID],0))="MAPPING_HOLD","Yes","No")</f>
        <v/>
      </c>
      <c r="K84">
        <f>IF(AND(OR(E84="No",E84="Pending"),IFERROR(INDEX(tblServiceEvents[Financial Scope],MATCH(C84,tblServiceEvents[Event #],0)),"Included")="Included"),"Yes","No")</f>
        <v/>
      </c>
      <c r="L84">
        <f>IF(AND(E84="Yes",OR(F84="No",F84="Pending")),"Yes","No")</f>
        <v/>
      </c>
      <c r="M84">
        <f>IF(OR(ABS(N(G84))&gt;0,INDEX(tblLedger[Reconciliation Status],MATCH($A84,tblLedger[Ledger Record ID],0))="BREAKDOWN_MISMATCH",INDEX(tblLedger[Reconciliation Status],MATCH($A84,tblLedger[Ledger Record ID],0))="ACH_MISMATCH"),"Yes","No")</f>
        <v/>
      </c>
      <c r="N84">
        <f>IF(D84="","Yes","No")</f>
        <v/>
      </c>
      <c r="O84">
        <f>IF(OR(INDEX(tblLedger[City],MATCH($A84,tblLedger[Ledger Record ID],0))="",INDEX(tblLedger[Jurisdiction],MATCH($A84,tblLedger[Ledger Record ID],0))=""),"Yes","No")</f>
        <v/>
      </c>
      <c r="P84">
        <f>IF(COUNTIF({"Yes","No","Partial","Pending","Mapping Hold"},E84)=0,"Yes","No")</f>
        <v/>
      </c>
      <c r="Q84">
        <f>IF(COUNTIF({"Yes","No","Partial","Pending","Mapping Review"},F84)=0,"Yes","No")</f>
        <v/>
      </c>
      <c r="R84">
        <f>IF(J84="Yes","Mapping Hold",IF(I84="Yes","Missing Event Link",IF(H84="Yes","Duplicate WO",IF(M84="Yes","Revenue Variance",IF(K84="Yes","Missing Breakdown",IF(L84="Yes","Pending ACH",IF(E84="Partial","Partial Breakdown",IF(N84="Yes","Missing Client",IF(O84="Yes","Missing Location",IF(P84="Yes","Unknown Breakdown Status",IF(Q84="Yes","Unknown ACH Status","OK")))))))))))</f>
        <v/>
      </c>
      <c r="S84">
        <f>IF(OR(J84="Yes",I84="Yes",H84="Yes"),"Critical",IF(OR(M84="Yes",E84="Partial",N84="Yes",O84="Yes",P84="Yes",Q84="Yes"),"Warning",IF(OR(K84="Yes",L84="Yes"),"Informational","OK")))</f>
        <v/>
      </c>
      <c r="T84">
        <f>IF(R84="Mapping Hold","Resolve mapping before update",IF(R84="Missing Event Link","Map to one authoritative event",IF(R84="Duplicate WO","Review duplicate identity",IF(R84="Revenue Variance","Reconcile or dispute amount",IF(R84="Missing Breakdown","Await breakdown",IF(R84="Pending ACH","Await ACH",IF(R84="Partial Breakdown","Confirm remaining breakdown",IF(R84="Missing Client","Add canonical client",IF(R84="Missing Location","Complete location fields",IF(R84="OK","No action","Review invalid status"))))))))))</f>
        <v/>
      </c>
      <c r="U84">
        <f>IF(R84="OK","No","Yes")</f>
        <v/>
      </c>
      <c r="V84" s="657">
        <f>ABS(N(G84))</f>
        <v/>
      </c>
    </row>
    <row r="85">
      <c r="A85" t="inlineStr">
        <is>
          <t>LED-0055</t>
        </is>
      </c>
      <c r="B85">
        <f>INDEX(tblLedger[Work Order #],MATCH($A85,tblLedger[Ledger Record ID],0))</f>
        <v/>
      </c>
      <c r="C85">
        <f>INDEX(tblLedger[Event #],MATCH($A85,tblLedger[Ledger Record ID],0))</f>
        <v/>
      </c>
      <c r="D85">
        <f>INDEX(tblLedger[Client],MATCH($A85,tblLedger[Ledger Record ID],0))</f>
        <v/>
      </c>
      <c r="E85">
        <f>INDEX(tblLedger[Breakdown Confirmed],MATCH($A85,tblLedger[Ledger Record ID],0))</f>
        <v/>
      </c>
      <c r="F85">
        <f>INDEX(tblLedger[ACH Confirmed],MATCH($A85,tblLedger[Ledger Record ID],0))</f>
        <v/>
      </c>
      <c r="G85" s="657">
        <f>INDEX(tblLedger[Variance],MATCH($A85,tblLedger[Ledger Record ID],0))</f>
        <v/>
      </c>
      <c r="H85">
        <f>IF(COUNTIF(tblLedger[Work Order #],B85)&gt;1,"Yes","No")</f>
        <v/>
      </c>
      <c r="I85">
        <f>IF(C85="","Yes","No")</f>
        <v/>
      </c>
      <c r="J85">
        <f>IF(INDEX(tblLedger[Mapping Status],MATCH($A85,tblLedger[Ledger Record ID],0))="MAPPING_HOLD","Yes","No")</f>
        <v/>
      </c>
      <c r="K85">
        <f>IF(AND(OR(E85="No",E85="Pending"),IFERROR(INDEX(tblServiceEvents[Financial Scope],MATCH(C85,tblServiceEvents[Event #],0)),"Included")="Included"),"Yes","No")</f>
        <v/>
      </c>
      <c r="L85">
        <f>IF(AND(E85="Yes",OR(F85="No",F85="Pending")),"Yes","No")</f>
        <v/>
      </c>
      <c r="M85">
        <f>IF(OR(ABS(N(G85))&gt;0,INDEX(tblLedger[Reconciliation Status],MATCH($A85,tblLedger[Ledger Record ID],0))="BREAKDOWN_MISMATCH",INDEX(tblLedger[Reconciliation Status],MATCH($A85,tblLedger[Ledger Record ID],0))="ACH_MISMATCH"),"Yes","No")</f>
        <v/>
      </c>
      <c r="N85">
        <f>IF(D85="","Yes","No")</f>
        <v/>
      </c>
      <c r="O85">
        <f>IF(OR(INDEX(tblLedger[City],MATCH($A85,tblLedger[Ledger Record ID],0))="",INDEX(tblLedger[Jurisdiction],MATCH($A85,tblLedger[Ledger Record ID],0))=""),"Yes","No")</f>
        <v/>
      </c>
      <c r="P85">
        <f>IF(COUNTIF({"Yes","No","Partial","Pending","Mapping Hold"},E85)=0,"Yes","No")</f>
        <v/>
      </c>
      <c r="Q85">
        <f>IF(COUNTIF({"Yes","No","Partial","Pending","Mapping Review"},F85)=0,"Yes","No")</f>
        <v/>
      </c>
      <c r="R85">
        <f>IF(J85="Yes","Mapping Hold",IF(I85="Yes","Missing Event Link",IF(H85="Yes","Duplicate WO",IF(M85="Yes","Revenue Variance",IF(K85="Yes","Missing Breakdown",IF(L85="Yes","Pending ACH",IF(E85="Partial","Partial Breakdown",IF(N85="Yes","Missing Client",IF(O85="Yes","Missing Location",IF(P85="Yes","Unknown Breakdown Status",IF(Q85="Yes","Unknown ACH Status","OK")))))))))))</f>
        <v/>
      </c>
      <c r="S85">
        <f>IF(OR(J85="Yes",I85="Yes",H85="Yes"),"Critical",IF(OR(M85="Yes",E85="Partial",N85="Yes",O85="Yes",P85="Yes",Q85="Yes"),"Warning",IF(OR(K85="Yes",L85="Yes"),"Informational","OK")))</f>
        <v/>
      </c>
      <c r="T85">
        <f>IF(R85="Mapping Hold","Resolve mapping before update",IF(R85="Missing Event Link","Map to one authoritative event",IF(R85="Duplicate WO","Review duplicate identity",IF(R85="Revenue Variance","Reconcile or dispute amount",IF(R85="Missing Breakdown","Await breakdown",IF(R85="Pending ACH","Await ACH",IF(R85="Partial Breakdown","Confirm remaining breakdown",IF(R85="Missing Client","Add canonical client",IF(R85="Missing Location","Complete location fields",IF(R85="OK","No action","Review invalid status"))))))))))</f>
        <v/>
      </c>
      <c r="U85">
        <f>IF(R85="OK","No","Yes")</f>
        <v/>
      </c>
      <c r="V85" s="657">
        <f>ABS(N(G85))</f>
        <v/>
      </c>
    </row>
    <row r="86">
      <c r="A86" t="inlineStr">
        <is>
          <t>LED-0056</t>
        </is>
      </c>
      <c r="B86">
        <f>INDEX(tblLedger[Work Order #],MATCH($A86,tblLedger[Ledger Record ID],0))</f>
        <v/>
      </c>
      <c r="C86">
        <f>INDEX(tblLedger[Event #],MATCH($A86,tblLedger[Ledger Record ID],0))</f>
        <v/>
      </c>
      <c r="D86">
        <f>INDEX(tblLedger[Client],MATCH($A86,tblLedger[Ledger Record ID],0))</f>
        <v/>
      </c>
      <c r="E86">
        <f>INDEX(tblLedger[Breakdown Confirmed],MATCH($A86,tblLedger[Ledger Record ID],0))</f>
        <v/>
      </c>
      <c r="F86">
        <f>INDEX(tblLedger[ACH Confirmed],MATCH($A86,tblLedger[Ledger Record ID],0))</f>
        <v/>
      </c>
      <c r="G86" s="657">
        <f>INDEX(tblLedger[Variance],MATCH($A86,tblLedger[Ledger Record ID],0))</f>
        <v/>
      </c>
      <c r="H86">
        <f>IF(COUNTIF(tblLedger[Work Order #],B86)&gt;1,"Yes","No")</f>
        <v/>
      </c>
      <c r="I86">
        <f>IF(C86="","Yes","No")</f>
        <v/>
      </c>
      <c r="J86">
        <f>IF(INDEX(tblLedger[Mapping Status],MATCH($A86,tblLedger[Ledger Record ID],0))="MAPPING_HOLD","Yes","No")</f>
        <v/>
      </c>
      <c r="K86">
        <f>IF(AND(OR(E86="No",E86="Pending"),IFERROR(INDEX(tblServiceEvents[Financial Scope],MATCH(C86,tblServiceEvents[Event #],0)),"Included")="Included"),"Yes","No")</f>
        <v/>
      </c>
      <c r="L86">
        <f>IF(AND(E86="Yes",OR(F86="No",F86="Pending")),"Yes","No")</f>
        <v/>
      </c>
      <c r="M86">
        <f>IF(OR(ABS(N(G86))&gt;0,INDEX(tblLedger[Reconciliation Status],MATCH($A86,tblLedger[Ledger Record ID],0))="BREAKDOWN_MISMATCH",INDEX(tblLedger[Reconciliation Status],MATCH($A86,tblLedger[Ledger Record ID],0))="ACH_MISMATCH"),"Yes","No")</f>
        <v/>
      </c>
      <c r="N86">
        <f>IF(D86="","Yes","No")</f>
        <v/>
      </c>
      <c r="O86">
        <f>IF(OR(INDEX(tblLedger[City],MATCH($A86,tblLedger[Ledger Record ID],0))="",INDEX(tblLedger[Jurisdiction],MATCH($A86,tblLedger[Ledger Record ID],0))=""),"Yes","No")</f>
        <v/>
      </c>
      <c r="P86">
        <f>IF(COUNTIF({"Yes","No","Partial","Pending","Mapping Hold"},E86)=0,"Yes","No")</f>
        <v/>
      </c>
      <c r="Q86">
        <f>IF(COUNTIF({"Yes","No","Partial","Pending","Mapping Review"},F86)=0,"Yes","No")</f>
        <v/>
      </c>
      <c r="R86">
        <f>IF(J86="Yes","Mapping Hold",IF(I86="Yes","Missing Event Link",IF(H86="Yes","Duplicate WO",IF(M86="Yes","Revenue Variance",IF(K86="Yes","Missing Breakdown",IF(L86="Yes","Pending ACH",IF(E86="Partial","Partial Breakdown",IF(N86="Yes","Missing Client",IF(O86="Yes","Missing Location",IF(P86="Yes","Unknown Breakdown Status",IF(Q86="Yes","Unknown ACH Status","OK")))))))))))</f>
        <v/>
      </c>
      <c r="S86">
        <f>IF(OR(J86="Yes",I86="Yes",H86="Yes"),"Critical",IF(OR(M86="Yes",E86="Partial",N86="Yes",O86="Yes",P86="Yes",Q86="Yes"),"Warning",IF(OR(K86="Yes",L86="Yes"),"Informational","OK")))</f>
        <v/>
      </c>
      <c r="T86">
        <f>IF(R86="Mapping Hold","Resolve mapping before update",IF(R86="Missing Event Link","Map to one authoritative event",IF(R86="Duplicate WO","Review duplicate identity",IF(R86="Revenue Variance","Reconcile or dispute amount",IF(R86="Missing Breakdown","Await breakdown",IF(R86="Pending ACH","Await ACH",IF(R86="Partial Breakdown","Confirm remaining breakdown",IF(R86="Missing Client","Add canonical client",IF(R86="Missing Location","Complete location fields",IF(R86="OK","No action","Review invalid status"))))))))))</f>
        <v/>
      </c>
      <c r="U86">
        <f>IF(R86="OK","No","Yes")</f>
        <v/>
      </c>
      <c r="V86" s="657">
        <f>ABS(N(G86))</f>
        <v/>
      </c>
    </row>
    <row r="87">
      <c r="A87" t="inlineStr">
        <is>
          <t>LED-0057</t>
        </is>
      </c>
      <c r="B87">
        <f>INDEX(tblLedger[Work Order #],MATCH($A87,tblLedger[Ledger Record ID],0))</f>
        <v/>
      </c>
      <c r="C87">
        <f>INDEX(tblLedger[Event #],MATCH($A87,tblLedger[Ledger Record ID],0))</f>
        <v/>
      </c>
      <c r="D87">
        <f>INDEX(tblLedger[Client],MATCH($A87,tblLedger[Ledger Record ID],0))</f>
        <v/>
      </c>
      <c r="E87">
        <f>INDEX(tblLedger[Breakdown Confirmed],MATCH($A87,tblLedger[Ledger Record ID],0))</f>
        <v/>
      </c>
      <c r="F87">
        <f>INDEX(tblLedger[ACH Confirmed],MATCH($A87,tblLedger[Ledger Record ID],0))</f>
        <v/>
      </c>
      <c r="G87" s="657">
        <f>INDEX(tblLedger[Variance],MATCH($A87,tblLedger[Ledger Record ID],0))</f>
        <v/>
      </c>
      <c r="H87">
        <f>IF(COUNTIF(tblLedger[Work Order #],B87)&gt;1,"Yes","No")</f>
        <v/>
      </c>
      <c r="I87">
        <f>IF(C87="","Yes","No")</f>
        <v/>
      </c>
      <c r="J87">
        <f>IF(INDEX(tblLedger[Mapping Status],MATCH($A87,tblLedger[Ledger Record ID],0))="MAPPING_HOLD","Yes","No")</f>
        <v/>
      </c>
      <c r="K87">
        <f>IF(AND(OR(E87="No",E87="Pending"),IFERROR(INDEX(tblServiceEvents[Financial Scope],MATCH(C87,tblServiceEvents[Event #],0)),"Included")="Included"),"Yes","No")</f>
        <v/>
      </c>
      <c r="L87">
        <f>IF(AND(E87="Yes",OR(F87="No",F87="Pending")),"Yes","No")</f>
        <v/>
      </c>
      <c r="M87">
        <f>IF(OR(ABS(N(G87))&gt;0,INDEX(tblLedger[Reconciliation Status],MATCH($A87,tblLedger[Ledger Record ID],0))="BREAKDOWN_MISMATCH",INDEX(tblLedger[Reconciliation Status],MATCH($A87,tblLedger[Ledger Record ID],0))="ACH_MISMATCH"),"Yes","No")</f>
        <v/>
      </c>
      <c r="N87">
        <f>IF(D87="","Yes","No")</f>
        <v/>
      </c>
      <c r="O87">
        <f>IF(OR(INDEX(tblLedger[City],MATCH($A87,tblLedger[Ledger Record ID],0))="",INDEX(tblLedger[Jurisdiction],MATCH($A87,tblLedger[Ledger Record ID],0))=""),"Yes","No")</f>
        <v/>
      </c>
      <c r="P87">
        <f>IF(COUNTIF({"Yes","No","Partial","Pending","Mapping Hold"},E87)=0,"Yes","No")</f>
        <v/>
      </c>
      <c r="Q87">
        <f>IF(COUNTIF({"Yes","No","Partial","Pending","Mapping Review"},F87)=0,"Yes","No")</f>
        <v/>
      </c>
      <c r="R87">
        <f>IF(J87="Yes","Mapping Hold",IF(I87="Yes","Missing Event Link",IF(H87="Yes","Duplicate WO",IF(M87="Yes","Revenue Variance",IF(K87="Yes","Missing Breakdown",IF(L87="Yes","Pending ACH",IF(E87="Partial","Partial Breakdown",IF(N87="Yes","Missing Client",IF(O87="Yes","Missing Location",IF(P87="Yes","Unknown Breakdown Status",IF(Q87="Yes","Unknown ACH Status","OK")))))))))))</f>
        <v/>
      </c>
      <c r="S87">
        <f>IF(OR(J87="Yes",I87="Yes",H87="Yes"),"Critical",IF(OR(M87="Yes",E87="Partial",N87="Yes",O87="Yes",P87="Yes",Q87="Yes"),"Warning",IF(OR(K87="Yes",L87="Yes"),"Informational","OK")))</f>
        <v/>
      </c>
      <c r="T87">
        <f>IF(R87="Mapping Hold","Resolve mapping before update",IF(R87="Missing Event Link","Map to one authoritative event",IF(R87="Duplicate WO","Review duplicate identity",IF(R87="Revenue Variance","Reconcile or dispute amount",IF(R87="Missing Breakdown","Await breakdown",IF(R87="Pending ACH","Await ACH",IF(R87="Partial Breakdown","Confirm remaining breakdown",IF(R87="Missing Client","Add canonical client",IF(R87="Missing Location","Complete location fields",IF(R87="OK","No action","Review invalid status"))))))))))</f>
        <v/>
      </c>
      <c r="U87">
        <f>IF(R87="OK","No","Yes")</f>
        <v/>
      </c>
      <c r="V87" s="657">
        <f>ABS(N(G87))</f>
        <v/>
      </c>
    </row>
    <row r="88">
      <c r="A88" t="inlineStr">
        <is>
          <t>LED-0058</t>
        </is>
      </c>
      <c r="B88">
        <f>INDEX(tblLedger[Work Order #],MATCH($A88,tblLedger[Ledger Record ID],0))</f>
        <v/>
      </c>
      <c r="C88">
        <f>INDEX(tblLedger[Event #],MATCH($A88,tblLedger[Ledger Record ID],0))</f>
        <v/>
      </c>
      <c r="D88">
        <f>INDEX(tblLedger[Client],MATCH($A88,tblLedger[Ledger Record ID],0))</f>
        <v/>
      </c>
      <c r="E88">
        <f>INDEX(tblLedger[Breakdown Confirmed],MATCH($A88,tblLedger[Ledger Record ID],0))</f>
        <v/>
      </c>
      <c r="F88">
        <f>INDEX(tblLedger[ACH Confirmed],MATCH($A88,tblLedger[Ledger Record ID],0))</f>
        <v/>
      </c>
      <c r="G88" s="657">
        <f>INDEX(tblLedger[Variance],MATCH($A88,tblLedger[Ledger Record ID],0))</f>
        <v/>
      </c>
      <c r="H88">
        <f>IF(COUNTIF(tblLedger[Work Order #],B88)&gt;1,"Yes","No")</f>
        <v/>
      </c>
      <c r="I88">
        <f>IF(C88="","Yes","No")</f>
        <v/>
      </c>
      <c r="J88">
        <f>IF(INDEX(tblLedger[Mapping Status],MATCH($A88,tblLedger[Ledger Record ID],0))="MAPPING_HOLD","Yes","No")</f>
        <v/>
      </c>
      <c r="K88">
        <f>IF(AND(OR(E88="No",E88="Pending"),IFERROR(INDEX(tblServiceEvents[Financial Scope],MATCH(C88,tblServiceEvents[Event #],0)),"Included")="Included"),"Yes","No")</f>
        <v/>
      </c>
      <c r="L88">
        <f>IF(AND(E88="Yes",OR(F88="No",F88="Pending")),"Yes","No")</f>
        <v/>
      </c>
      <c r="M88">
        <f>IF(OR(ABS(N(G88))&gt;0,INDEX(tblLedger[Reconciliation Status],MATCH($A88,tblLedger[Ledger Record ID],0))="BREAKDOWN_MISMATCH",INDEX(tblLedger[Reconciliation Status],MATCH($A88,tblLedger[Ledger Record ID],0))="ACH_MISMATCH"),"Yes","No")</f>
        <v/>
      </c>
      <c r="N88">
        <f>IF(D88="","Yes","No")</f>
        <v/>
      </c>
      <c r="O88">
        <f>IF(OR(INDEX(tblLedger[City],MATCH($A88,tblLedger[Ledger Record ID],0))="",INDEX(tblLedger[Jurisdiction],MATCH($A88,tblLedger[Ledger Record ID],0))=""),"Yes","No")</f>
        <v/>
      </c>
      <c r="P88">
        <f>IF(COUNTIF({"Yes","No","Partial","Pending","Mapping Hold"},E88)=0,"Yes","No")</f>
        <v/>
      </c>
      <c r="Q88">
        <f>IF(COUNTIF({"Yes","No","Partial","Pending","Mapping Review"},F88)=0,"Yes","No")</f>
        <v/>
      </c>
      <c r="R88">
        <f>IF(J88="Yes","Mapping Hold",IF(I88="Yes","Missing Event Link",IF(H88="Yes","Duplicate WO",IF(M88="Yes","Revenue Variance",IF(K88="Yes","Missing Breakdown",IF(L88="Yes","Pending ACH",IF(E88="Partial","Partial Breakdown",IF(N88="Yes","Missing Client",IF(O88="Yes","Missing Location",IF(P88="Yes","Unknown Breakdown Status",IF(Q88="Yes","Unknown ACH Status","OK")))))))))))</f>
        <v/>
      </c>
      <c r="S88">
        <f>IF(OR(J88="Yes",I88="Yes",H88="Yes"),"Critical",IF(OR(M88="Yes",E88="Partial",N88="Yes",O88="Yes",P88="Yes",Q88="Yes"),"Warning",IF(OR(K88="Yes",L88="Yes"),"Informational","OK")))</f>
        <v/>
      </c>
      <c r="T88">
        <f>IF(R88="Mapping Hold","Resolve mapping before update",IF(R88="Missing Event Link","Map to one authoritative event",IF(R88="Duplicate WO","Review duplicate identity",IF(R88="Revenue Variance","Reconcile or dispute amount",IF(R88="Missing Breakdown","Await breakdown",IF(R88="Pending ACH","Await ACH",IF(R88="Partial Breakdown","Confirm remaining breakdown",IF(R88="Missing Client","Add canonical client",IF(R88="Missing Location","Complete location fields",IF(R88="OK","No action","Review invalid status"))))))))))</f>
        <v/>
      </c>
      <c r="U88">
        <f>IF(R88="OK","No","Yes")</f>
        <v/>
      </c>
      <c r="V88" s="657">
        <f>ABS(N(G88))</f>
        <v/>
      </c>
    </row>
    <row r="89">
      <c r="A89" t="inlineStr">
        <is>
          <t>LED-0059</t>
        </is>
      </c>
      <c r="B89">
        <f>INDEX(tblLedger[Work Order #],MATCH($A89,tblLedger[Ledger Record ID],0))</f>
        <v/>
      </c>
      <c r="C89">
        <f>INDEX(tblLedger[Event #],MATCH($A89,tblLedger[Ledger Record ID],0))</f>
        <v/>
      </c>
      <c r="D89">
        <f>INDEX(tblLedger[Client],MATCH($A89,tblLedger[Ledger Record ID],0))</f>
        <v/>
      </c>
      <c r="E89">
        <f>INDEX(tblLedger[Breakdown Confirmed],MATCH($A89,tblLedger[Ledger Record ID],0))</f>
        <v/>
      </c>
      <c r="F89">
        <f>INDEX(tblLedger[ACH Confirmed],MATCH($A89,tblLedger[Ledger Record ID],0))</f>
        <v/>
      </c>
      <c r="G89" s="657">
        <f>INDEX(tblLedger[Variance],MATCH($A89,tblLedger[Ledger Record ID],0))</f>
        <v/>
      </c>
      <c r="H89">
        <f>IF(COUNTIF(tblLedger[Work Order #],B89)&gt;1,"Yes","No")</f>
        <v/>
      </c>
      <c r="I89">
        <f>IF(C89="","Yes","No")</f>
        <v/>
      </c>
      <c r="J89">
        <f>IF(INDEX(tblLedger[Mapping Status],MATCH($A89,tblLedger[Ledger Record ID],0))="MAPPING_HOLD","Yes","No")</f>
        <v/>
      </c>
      <c r="K89">
        <f>IF(AND(OR(E89="No",E89="Pending"),IFERROR(INDEX(tblServiceEvents[Financial Scope],MATCH(C89,tblServiceEvents[Event #],0)),"Included")="Included"),"Yes","No")</f>
        <v/>
      </c>
      <c r="L89">
        <f>IF(AND(E89="Yes",OR(F89="No",F89="Pending")),"Yes","No")</f>
        <v/>
      </c>
      <c r="M89">
        <f>IF(OR(ABS(N(G89))&gt;0,INDEX(tblLedger[Reconciliation Status],MATCH($A89,tblLedger[Ledger Record ID],0))="BREAKDOWN_MISMATCH",INDEX(tblLedger[Reconciliation Status],MATCH($A89,tblLedger[Ledger Record ID],0))="ACH_MISMATCH"),"Yes","No")</f>
        <v/>
      </c>
      <c r="N89">
        <f>IF(D89="","Yes","No")</f>
        <v/>
      </c>
      <c r="O89">
        <f>IF(OR(INDEX(tblLedger[City],MATCH($A89,tblLedger[Ledger Record ID],0))="",INDEX(tblLedger[Jurisdiction],MATCH($A89,tblLedger[Ledger Record ID],0))=""),"Yes","No")</f>
        <v/>
      </c>
      <c r="P89">
        <f>IF(COUNTIF({"Yes","No","Partial","Pending","Mapping Hold"},E89)=0,"Yes","No")</f>
        <v/>
      </c>
      <c r="Q89">
        <f>IF(COUNTIF({"Yes","No","Partial","Pending","Mapping Review"},F89)=0,"Yes","No")</f>
        <v/>
      </c>
      <c r="R89">
        <f>IF(J89="Yes","Mapping Hold",IF(I89="Yes","Missing Event Link",IF(H89="Yes","Duplicate WO",IF(M89="Yes","Revenue Variance",IF(K89="Yes","Missing Breakdown",IF(L89="Yes","Pending ACH",IF(E89="Partial","Partial Breakdown",IF(N89="Yes","Missing Client",IF(O89="Yes","Missing Location",IF(P89="Yes","Unknown Breakdown Status",IF(Q89="Yes","Unknown ACH Status","OK")))))))))))</f>
        <v/>
      </c>
      <c r="S89">
        <f>IF(OR(J89="Yes",I89="Yes",H89="Yes"),"Critical",IF(OR(M89="Yes",E89="Partial",N89="Yes",O89="Yes",P89="Yes",Q89="Yes"),"Warning",IF(OR(K89="Yes",L89="Yes"),"Informational","OK")))</f>
        <v/>
      </c>
      <c r="T89">
        <f>IF(R89="Mapping Hold","Resolve mapping before update",IF(R89="Missing Event Link","Map to one authoritative event",IF(R89="Duplicate WO","Review duplicate identity",IF(R89="Revenue Variance","Reconcile or dispute amount",IF(R89="Missing Breakdown","Await breakdown",IF(R89="Pending ACH","Await ACH",IF(R89="Partial Breakdown","Confirm remaining breakdown",IF(R89="Missing Client","Add canonical client",IF(R89="Missing Location","Complete location fields",IF(R89="OK","No action","Review invalid status"))))))))))</f>
        <v/>
      </c>
      <c r="U89">
        <f>IF(R89="OK","No","Yes")</f>
        <v/>
      </c>
      <c r="V89" s="657">
        <f>ABS(N(G89))</f>
        <v/>
      </c>
    </row>
    <row r="90">
      <c r="A90" t="inlineStr">
        <is>
          <t>LED-0060</t>
        </is>
      </c>
      <c r="B90">
        <f>INDEX(tblLedger[Work Order #],MATCH($A90,tblLedger[Ledger Record ID],0))</f>
        <v/>
      </c>
      <c r="C90">
        <f>INDEX(tblLedger[Event #],MATCH($A90,tblLedger[Ledger Record ID],0))</f>
        <v/>
      </c>
      <c r="D90">
        <f>INDEX(tblLedger[Client],MATCH($A90,tblLedger[Ledger Record ID],0))</f>
        <v/>
      </c>
      <c r="E90">
        <f>INDEX(tblLedger[Breakdown Confirmed],MATCH($A90,tblLedger[Ledger Record ID],0))</f>
        <v/>
      </c>
      <c r="F90">
        <f>INDEX(tblLedger[ACH Confirmed],MATCH($A90,tblLedger[Ledger Record ID],0))</f>
        <v/>
      </c>
      <c r="G90" s="657">
        <f>INDEX(tblLedger[Variance],MATCH($A90,tblLedger[Ledger Record ID],0))</f>
        <v/>
      </c>
      <c r="H90">
        <f>IF(COUNTIF(tblLedger[Work Order #],B90)&gt;1,"Yes","No")</f>
        <v/>
      </c>
      <c r="I90">
        <f>IF(C90="","Yes","No")</f>
        <v/>
      </c>
      <c r="J90">
        <f>IF(INDEX(tblLedger[Mapping Status],MATCH($A90,tblLedger[Ledger Record ID],0))="MAPPING_HOLD","Yes","No")</f>
        <v/>
      </c>
      <c r="K90">
        <f>IF(AND(OR(E90="No",E90="Pending"),IFERROR(INDEX(tblServiceEvents[Financial Scope],MATCH(C90,tblServiceEvents[Event #],0)),"Included")="Included"),"Yes","No")</f>
        <v/>
      </c>
      <c r="L90">
        <f>IF(AND(E90="Yes",OR(F90="No",F90="Pending")),"Yes","No")</f>
        <v/>
      </c>
      <c r="M90">
        <f>IF(OR(ABS(N(G90))&gt;0,INDEX(tblLedger[Reconciliation Status],MATCH($A90,tblLedger[Ledger Record ID],0))="BREAKDOWN_MISMATCH",INDEX(tblLedger[Reconciliation Status],MATCH($A90,tblLedger[Ledger Record ID],0))="ACH_MISMATCH"),"Yes","No")</f>
        <v/>
      </c>
      <c r="N90">
        <f>IF(D90="","Yes","No")</f>
        <v/>
      </c>
      <c r="O90">
        <f>IF(OR(INDEX(tblLedger[City],MATCH($A90,tblLedger[Ledger Record ID],0))="",INDEX(tblLedger[Jurisdiction],MATCH($A90,tblLedger[Ledger Record ID],0))=""),"Yes","No")</f>
        <v/>
      </c>
      <c r="P90">
        <f>IF(COUNTIF({"Yes","No","Partial","Pending","Mapping Hold"},E90)=0,"Yes","No")</f>
        <v/>
      </c>
      <c r="Q90">
        <f>IF(COUNTIF({"Yes","No","Partial","Pending","Mapping Review"},F90)=0,"Yes","No")</f>
        <v/>
      </c>
      <c r="R90">
        <f>IF(J90="Yes","Mapping Hold",IF(I90="Yes","Missing Event Link",IF(H90="Yes","Duplicate WO",IF(M90="Yes","Revenue Variance",IF(K90="Yes","Missing Breakdown",IF(L90="Yes","Pending ACH",IF(E90="Partial","Partial Breakdown",IF(N90="Yes","Missing Client",IF(O90="Yes","Missing Location",IF(P90="Yes","Unknown Breakdown Status",IF(Q90="Yes","Unknown ACH Status","OK")))))))))))</f>
        <v/>
      </c>
      <c r="S90">
        <f>IF(OR(J90="Yes",I90="Yes",H90="Yes"),"Critical",IF(OR(M90="Yes",E90="Partial",N90="Yes",O90="Yes",P90="Yes",Q90="Yes"),"Warning",IF(OR(K90="Yes",L90="Yes"),"Informational","OK")))</f>
        <v/>
      </c>
      <c r="T90">
        <f>IF(R90="Mapping Hold","Resolve mapping before update",IF(R90="Missing Event Link","Map to one authoritative event",IF(R90="Duplicate WO","Review duplicate identity",IF(R90="Revenue Variance","Reconcile or dispute amount",IF(R90="Missing Breakdown","Await breakdown",IF(R90="Pending ACH","Await ACH",IF(R90="Partial Breakdown","Confirm remaining breakdown",IF(R90="Missing Client","Add canonical client",IF(R90="Missing Location","Complete location fields",IF(R90="OK","No action","Review invalid status"))))))))))</f>
        <v/>
      </c>
      <c r="U90">
        <f>IF(R90="OK","No","Yes")</f>
        <v/>
      </c>
      <c r="V90" s="657">
        <f>ABS(N(G90))</f>
        <v/>
      </c>
    </row>
    <row r="91">
      <c r="A91" t="inlineStr">
        <is>
          <t>LED-0061</t>
        </is>
      </c>
      <c r="B91">
        <f>INDEX(tblLedger[Work Order #],MATCH($A91,tblLedger[Ledger Record ID],0))</f>
        <v/>
      </c>
      <c r="C91">
        <f>INDEX(tblLedger[Event #],MATCH($A91,tblLedger[Ledger Record ID],0))</f>
        <v/>
      </c>
      <c r="D91">
        <f>INDEX(tblLedger[Client],MATCH($A91,tblLedger[Ledger Record ID],0))</f>
        <v/>
      </c>
      <c r="E91">
        <f>INDEX(tblLedger[Breakdown Confirmed],MATCH($A91,tblLedger[Ledger Record ID],0))</f>
        <v/>
      </c>
      <c r="F91">
        <f>INDEX(tblLedger[ACH Confirmed],MATCH($A91,tblLedger[Ledger Record ID],0))</f>
        <v/>
      </c>
      <c r="G91" s="657">
        <f>INDEX(tblLedger[Variance],MATCH($A91,tblLedger[Ledger Record ID],0))</f>
        <v/>
      </c>
      <c r="H91">
        <f>IF(COUNTIF(tblLedger[Work Order #],B91)&gt;1,"Yes","No")</f>
        <v/>
      </c>
      <c r="I91">
        <f>IF(C91="","Yes","No")</f>
        <v/>
      </c>
      <c r="J91">
        <f>IF(INDEX(tblLedger[Mapping Status],MATCH($A91,tblLedger[Ledger Record ID],0))="MAPPING_HOLD","Yes","No")</f>
        <v/>
      </c>
      <c r="K91">
        <f>IF(AND(OR(E91="No",E91="Pending"),IFERROR(INDEX(tblServiceEvents[Financial Scope],MATCH(C91,tblServiceEvents[Event #],0)),"Included")="Included"),"Yes","No")</f>
        <v/>
      </c>
      <c r="L91">
        <f>IF(AND(E91="Yes",OR(F91="No",F91="Pending")),"Yes","No")</f>
        <v/>
      </c>
      <c r="M91">
        <f>IF(OR(ABS(N(G91))&gt;0,INDEX(tblLedger[Reconciliation Status],MATCH($A91,tblLedger[Ledger Record ID],0))="BREAKDOWN_MISMATCH",INDEX(tblLedger[Reconciliation Status],MATCH($A91,tblLedger[Ledger Record ID],0))="ACH_MISMATCH"),"Yes","No")</f>
        <v/>
      </c>
      <c r="N91">
        <f>IF(D91="","Yes","No")</f>
        <v/>
      </c>
      <c r="O91">
        <f>IF(OR(INDEX(tblLedger[City],MATCH($A91,tblLedger[Ledger Record ID],0))="",INDEX(tblLedger[Jurisdiction],MATCH($A91,tblLedger[Ledger Record ID],0))=""),"Yes","No")</f>
        <v/>
      </c>
      <c r="P91">
        <f>IF(COUNTIF({"Yes","No","Partial","Pending","Mapping Hold"},E91)=0,"Yes","No")</f>
        <v/>
      </c>
      <c r="Q91">
        <f>IF(COUNTIF({"Yes","No","Partial","Pending","Mapping Review"},F91)=0,"Yes","No")</f>
        <v/>
      </c>
      <c r="R91">
        <f>IF(J91="Yes","Mapping Hold",IF(I91="Yes","Missing Event Link",IF(H91="Yes","Duplicate WO",IF(M91="Yes","Revenue Variance",IF(K91="Yes","Missing Breakdown",IF(L91="Yes","Pending ACH",IF(E91="Partial","Partial Breakdown",IF(N91="Yes","Missing Client",IF(O91="Yes","Missing Location",IF(P91="Yes","Unknown Breakdown Status",IF(Q91="Yes","Unknown ACH Status","OK")))))))))))</f>
        <v/>
      </c>
      <c r="S91">
        <f>IF(OR(J91="Yes",I91="Yes",H91="Yes"),"Critical",IF(OR(M91="Yes",E91="Partial",N91="Yes",O91="Yes",P91="Yes",Q91="Yes"),"Warning",IF(OR(K91="Yes",L91="Yes"),"Informational","OK")))</f>
        <v/>
      </c>
      <c r="T91">
        <f>IF(R91="Mapping Hold","Resolve mapping before update",IF(R91="Missing Event Link","Map to one authoritative event",IF(R91="Duplicate WO","Review duplicate identity",IF(R91="Revenue Variance","Reconcile or dispute amount",IF(R91="Missing Breakdown","Await breakdown",IF(R91="Pending ACH","Await ACH",IF(R91="Partial Breakdown","Confirm remaining breakdown",IF(R91="Missing Client","Add canonical client",IF(R91="Missing Location","Complete location fields",IF(R91="OK","No action","Review invalid status"))))))))))</f>
        <v/>
      </c>
      <c r="U91">
        <f>IF(R91="OK","No","Yes")</f>
        <v/>
      </c>
      <c r="V91" s="657">
        <f>ABS(N(G91))</f>
        <v/>
      </c>
    </row>
    <row r="92">
      <c r="A92" t="inlineStr">
        <is>
          <t>LED-0062</t>
        </is>
      </c>
      <c r="B92">
        <f>INDEX(tblLedger[Work Order #],MATCH($A92,tblLedger[Ledger Record ID],0))</f>
        <v/>
      </c>
      <c r="C92">
        <f>INDEX(tblLedger[Event #],MATCH($A92,tblLedger[Ledger Record ID],0))</f>
        <v/>
      </c>
      <c r="D92">
        <f>INDEX(tblLedger[Client],MATCH($A92,tblLedger[Ledger Record ID],0))</f>
        <v/>
      </c>
      <c r="E92">
        <f>INDEX(tblLedger[Breakdown Confirmed],MATCH($A92,tblLedger[Ledger Record ID],0))</f>
        <v/>
      </c>
      <c r="F92">
        <f>INDEX(tblLedger[ACH Confirmed],MATCH($A92,tblLedger[Ledger Record ID],0))</f>
        <v/>
      </c>
      <c r="G92" s="657">
        <f>INDEX(tblLedger[Variance],MATCH($A92,tblLedger[Ledger Record ID],0))</f>
        <v/>
      </c>
      <c r="H92">
        <f>IF(COUNTIF(tblLedger[Work Order #],B92)&gt;1,"Yes","No")</f>
        <v/>
      </c>
      <c r="I92">
        <f>IF(C92="","Yes","No")</f>
        <v/>
      </c>
      <c r="J92">
        <f>IF(INDEX(tblLedger[Mapping Status],MATCH($A92,tblLedger[Ledger Record ID],0))="MAPPING_HOLD","Yes","No")</f>
        <v/>
      </c>
      <c r="K92">
        <f>IF(AND(OR(E92="No",E92="Pending"),IFERROR(INDEX(tblServiceEvents[Financial Scope],MATCH(C92,tblServiceEvents[Event #],0)),"Included")="Included"),"Yes","No")</f>
        <v/>
      </c>
      <c r="L92">
        <f>IF(AND(E92="Yes",OR(F92="No",F92="Pending")),"Yes","No")</f>
        <v/>
      </c>
      <c r="M92">
        <f>IF(OR(ABS(N(G92))&gt;0,INDEX(tblLedger[Reconciliation Status],MATCH($A92,tblLedger[Ledger Record ID],0))="BREAKDOWN_MISMATCH",INDEX(tblLedger[Reconciliation Status],MATCH($A92,tblLedger[Ledger Record ID],0))="ACH_MISMATCH"),"Yes","No")</f>
        <v/>
      </c>
      <c r="N92">
        <f>IF(D92="","Yes","No")</f>
        <v/>
      </c>
      <c r="O92">
        <f>IF(OR(INDEX(tblLedger[City],MATCH($A92,tblLedger[Ledger Record ID],0))="",INDEX(tblLedger[Jurisdiction],MATCH($A92,tblLedger[Ledger Record ID],0))=""),"Yes","No")</f>
        <v/>
      </c>
      <c r="P92">
        <f>IF(COUNTIF({"Yes","No","Partial","Pending","Mapping Hold"},E92)=0,"Yes","No")</f>
        <v/>
      </c>
      <c r="Q92">
        <f>IF(COUNTIF({"Yes","No","Partial","Pending","Mapping Review"},F92)=0,"Yes","No")</f>
        <v/>
      </c>
      <c r="R92">
        <f>IF(J92="Yes","Mapping Hold",IF(I92="Yes","Missing Event Link",IF(H92="Yes","Duplicate WO",IF(M92="Yes","Revenue Variance",IF(K92="Yes","Missing Breakdown",IF(L92="Yes","Pending ACH",IF(E92="Partial","Partial Breakdown",IF(N92="Yes","Missing Client",IF(O92="Yes","Missing Location",IF(P92="Yes","Unknown Breakdown Status",IF(Q92="Yes","Unknown ACH Status","OK")))))))))))</f>
        <v/>
      </c>
      <c r="S92">
        <f>IF(OR(J92="Yes",I92="Yes",H92="Yes"),"Critical",IF(OR(M92="Yes",E92="Partial",N92="Yes",O92="Yes",P92="Yes",Q92="Yes"),"Warning",IF(OR(K92="Yes",L92="Yes"),"Informational","OK")))</f>
        <v/>
      </c>
      <c r="T92">
        <f>IF(R92="Mapping Hold","Resolve mapping before update",IF(R92="Missing Event Link","Map to one authoritative event",IF(R92="Duplicate WO","Review duplicate identity",IF(R92="Revenue Variance","Reconcile or dispute amount",IF(R92="Missing Breakdown","Await breakdown",IF(R92="Pending ACH","Await ACH",IF(R92="Partial Breakdown","Confirm remaining breakdown",IF(R92="Missing Client","Add canonical client",IF(R92="Missing Location","Complete location fields",IF(R92="OK","No action","Review invalid status"))))))))))</f>
        <v/>
      </c>
      <c r="U92">
        <f>IF(R92="OK","No","Yes")</f>
        <v/>
      </c>
      <c r="V92" s="657">
        <f>ABS(N(G92))</f>
        <v/>
      </c>
    </row>
    <row r="93">
      <c r="A93" t="inlineStr">
        <is>
          <t>LED-0063</t>
        </is>
      </c>
      <c r="B93">
        <f>INDEX(tblLedger[Work Order #],MATCH($A93,tblLedger[Ledger Record ID],0))</f>
        <v/>
      </c>
      <c r="C93">
        <f>INDEX(tblLedger[Event #],MATCH($A93,tblLedger[Ledger Record ID],0))</f>
        <v/>
      </c>
      <c r="D93">
        <f>INDEX(tblLedger[Client],MATCH($A93,tblLedger[Ledger Record ID],0))</f>
        <v/>
      </c>
      <c r="E93">
        <f>INDEX(tblLedger[Breakdown Confirmed],MATCH($A93,tblLedger[Ledger Record ID],0))</f>
        <v/>
      </c>
      <c r="F93">
        <f>INDEX(tblLedger[ACH Confirmed],MATCH($A93,tblLedger[Ledger Record ID],0))</f>
        <v/>
      </c>
      <c r="G93" s="657">
        <f>INDEX(tblLedger[Variance],MATCH($A93,tblLedger[Ledger Record ID],0))</f>
        <v/>
      </c>
      <c r="H93">
        <f>IF(COUNTIF(tblLedger[Work Order #],B93)&gt;1,"Yes","No")</f>
        <v/>
      </c>
      <c r="I93">
        <f>IF(C93="","Yes","No")</f>
        <v/>
      </c>
      <c r="J93">
        <f>IF(INDEX(tblLedger[Mapping Status],MATCH($A93,tblLedger[Ledger Record ID],0))="MAPPING_HOLD","Yes","No")</f>
        <v/>
      </c>
      <c r="K93">
        <f>IF(AND(OR(E93="No",E93="Pending"),IFERROR(INDEX(tblServiceEvents[Financial Scope],MATCH(C93,tblServiceEvents[Event #],0)),"Included")="Included"),"Yes","No")</f>
        <v/>
      </c>
      <c r="L93">
        <f>IF(AND(E93="Yes",OR(F93="No",F93="Pending")),"Yes","No")</f>
        <v/>
      </c>
      <c r="M93">
        <f>IF(OR(ABS(N(G93))&gt;0,INDEX(tblLedger[Reconciliation Status],MATCH($A93,tblLedger[Ledger Record ID],0))="BREAKDOWN_MISMATCH",INDEX(tblLedger[Reconciliation Status],MATCH($A93,tblLedger[Ledger Record ID],0))="ACH_MISMATCH"),"Yes","No")</f>
        <v/>
      </c>
      <c r="N93">
        <f>IF(D93="","Yes","No")</f>
        <v/>
      </c>
      <c r="O93">
        <f>IF(OR(INDEX(tblLedger[City],MATCH($A93,tblLedger[Ledger Record ID],0))="",INDEX(tblLedger[Jurisdiction],MATCH($A93,tblLedger[Ledger Record ID],0))=""),"Yes","No")</f>
        <v/>
      </c>
      <c r="P93">
        <f>IF(COUNTIF({"Yes","No","Partial","Pending","Mapping Hold"},E93)=0,"Yes","No")</f>
        <v/>
      </c>
      <c r="Q93">
        <f>IF(COUNTIF({"Yes","No","Partial","Pending","Mapping Review"},F93)=0,"Yes","No")</f>
        <v/>
      </c>
      <c r="R93">
        <f>IF(J93="Yes","Mapping Hold",IF(I93="Yes","Missing Event Link",IF(H93="Yes","Duplicate WO",IF(M93="Yes","Revenue Variance",IF(K93="Yes","Missing Breakdown",IF(L93="Yes","Pending ACH",IF(E93="Partial","Partial Breakdown",IF(N93="Yes","Missing Client",IF(O93="Yes","Missing Location",IF(P93="Yes","Unknown Breakdown Status",IF(Q93="Yes","Unknown ACH Status","OK")))))))))))</f>
        <v/>
      </c>
      <c r="S93">
        <f>IF(OR(J93="Yes",I93="Yes",H93="Yes"),"Critical",IF(OR(M93="Yes",E93="Partial",N93="Yes",O93="Yes",P93="Yes",Q93="Yes"),"Warning",IF(OR(K93="Yes",L93="Yes"),"Informational","OK")))</f>
        <v/>
      </c>
      <c r="T93">
        <f>IF(R93="Mapping Hold","Resolve mapping before update",IF(R93="Missing Event Link","Map to one authoritative event",IF(R93="Duplicate WO","Review duplicate identity",IF(R93="Revenue Variance","Reconcile or dispute amount",IF(R93="Missing Breakdown","Await breakdown",IF(R93="Pending ACH","Await ACH",IF(R93="Partial Breakdown","Confirm remaining breakdown",IF(R93="Missing Client","Add canonical client",IF(R93="Missing Location","Complete location fields",IF(R93="OK","No action","Review invalid status"))))))))))</f>
        <v/>
      </c>
      <c r="U93">
        <f>IF(R93="OK","No","Yes")</f>
        <v/>
      </c>
      <c r="V93" s="657">
        <f>ABS(N(G93))</f>
        <v/>
      </c>
    </row>
    <row r="94">
      <c r="A94" t="inlineStr">
        <is>
          <t>LED-0064</t>
        </is>
      </c>
      <c r="B94">
        <f>INDEX(tblLedger[Work Order #],MATCH($A94,tblLedger[Ledger Record ID],0))</f>
        <v/>
      </c>
      <c r="C94">
        <f>INDEX(tblLedger[Event #],MATCH($A94,tblLedger[Ledger Record ID],0))</f>
        <v/>
      </c>
      <c r="D94">
        <f>INDEX(tblLedger[Client],MATCH($A94,tblLedger[Ledger Record ID],0))</f>
        <v/>
      </c>
      <c r="E94">
        <f>INDEX(tblLedger[Breakdown Confirmed],MATCH($A94,tblLedger[Ledger Record ID],0))</f>
        <v/>
      </c>
      <c r="F94">
        <f>INDEX(tblLedger[ACH Confirmed],MATCH($A94,tblLedger[Ledger Record ID],0))</f>
        <v/>
      </c>
      <c r="G94">
        <f>INDEX(tblLedger[Variance],MATCH($A94,tblLedger[Ledger Record ID],0))</f>
        <v/>
      </c>
      <c r="H94">
        <f>IF(COUNTIF(tblLedger[Work Order #],B94)&gt;1,"Yes","No")</f>
        <v/>
      </c>
      <c r="I94">
        <f>IF(C94="","Yes","No")</f>
        <v/>
      </c>
      <c r="J94">
        <f>IF(INDEX(tblLedger[Mapping Status],MATCH($A94,tblLedger[Ledger Record ID],0))="MAPPING_HOLD","Yes","No")</f>
        <v/>
      </c>
      <c r="K94">
        <f>IF(AND(OR(E94="No",E94="Pending"),IFERROR(INDEX(tblServiceEvents[Financial Scope],MATCH(C94,tblServiceEvents[Event #],0)),"Included")="Included"),"Yes","No")</f>
        <v/>
      </c>
      <c r="L94">
        <f>IF(AND(E94="Yes",OR(F94="No",F94="Pending")),"Yes","No")</f>
        <v/>
      </c>
      <c r="M94">
        <f>IF(OR(ABS(N(G94))&gt;0,INDEX(tblLedger[Reconciliation Status],MATCH($A94,tblLedger[Ledger Record ID],0))="BREAKDOWN_MISMATCH",INDEX(tblLedger[Reconciliation Status],MATCH($A94,tblLedger[Ledger Record ID],0))="ACH_MISMATCH"),"Yes","No")</f>
        <v/>
      </c>
      <c r="N94">
        <f>IF(D94="","Yes","No")</f>
        <v/>
      </c>
      <c r="O94">
        <f>IF(OR(INDEX(tblLedger[City],MATCH($A94,tblLedger[Ledger Record ID],0))="",INDEX(tblLedger[Jurisdiction],MATCH($A94,tblLedger[Ledger Record ID],0))=""),"Yes","No")</f>
        <v/>
      </c>
      <c r="P94">
        <f>IF(COUNTIF({"Yes","No","Partial","Pending","Mapping Hold"},E94)=0,"Yes","No")</f>
        <v/>
      </c>
      <c r="Q94">
        <f>IF(COUNTIF({"Yes","No","Partial","Pending","Mapping Review"},F94)=0,"Yes","No")</f>
        <v/>
      </c>
      <c r="R94">
        <f>IF(J94="Yes","Mapping Hold",IF(I94="Yes","Missing Event Link",IF(H94="Yes","Duplicate WO",IF(M94="Yes","Revenue Variance",IF(K94="Yes","Missing Breakdown",IF(L94="Yes","Pending ACH",IF(E94="Partial","Partial Breakdown",IF(N94="Yes","Missing Client",IF(O94="Yes","Missing Location",IF(P94="Yes","Unknown Breakdown Status",IF(Q94="Yes","Unknown ACH Status","OK")))))))))))</f>
        <v/>
      </c>
      <c r="S94">
        <f>IF(OR(J94="Yes",I94="Yes",H94="Yes"),"Critical",IF(OR(M94="Yes",E94="Partial",N94="Yes",O94="Yes",P94="Yes",Q94="Yes"),"Warning",IF(OR(K94="Yes",L94="Yes"),"Informational","OK")))</f>
        <v/>
      </c>
      <c r="T94">
        <f>IF(R94="Mapping Hold","Resolve mapping before update",IF(R94="Missing Event Link","Map to one authoritative event",IF(R94="Duplicate WO","Review duplicate identity",IF(R94="Revenue Variance","Reconcile or dispute amount",IF(R94="Missing Breakdown","Await breakdown",IF(R94="Pending ACH","Await ACH",IF(R94="Partial Breakdown","Confirm remaining breakdown",IF(R94="Missing Client","Add canonical client",IF(R94="Missing Location","Complete location fields",IF(R94="OK","No action","Review invalid status"))))))))))</f>
        <v/>
      </c>
      <c r="U94">
        <f>IF(R94="OK","No","Yes")</f>
        <v/>
      </c>
      <c r="V94">
        <f>ABS(N(G94))</f>
        <v/>
      </c>
    </row>
    <row r="95">
      <c r="A95" t="inlineStr">
        <is>
          <t>LED-0065</t>
        </is>
      </c>
      <c r="B95">
        <f>INDEX(tblLedger[Work Order #],MATCH($A95,tblLedger[Ledger Record ID],0))</f>
        <v/>
      </c>
      <c r="C95">
        <f>INDEX(tblLedger[Event #],MATCH($A95,tblLedger[Ledger Record ID],0))</f>
        <v/>
      </c>
      <c r="D95">
        <f>INDEX(tblLedger[Client],MATCH($A95,tblLedger[Ledger Record ID],0))</f>
        <v/>
      </c>
      <c r="E95">
        <f>INDEX(tblLedger[Breakdown Confirmed],MATCH($A95,tblLedger[Ledger Record ID],0))</f>
        <v/>
      </c>
      <c r="F95">
        <f>INDEX(tblLedger[ACH Confirmed],MATCH($A95,tblLedger[Ledger Record ID],0))</f>
        <v/>
      </c>
      <c r="G95">
        <f>INDEX(tblLedger[Variance],MATCH($A95,tblLedger[Ledger Record ID],0))</f>
        <v/>
      </c>
      <c r="H95">
        <f>IF(COUNTIF(tblLedger[Work Order #],B95)&gt;1,"Yes","No")</f>
        <v/>
      </c>
      <c r="I95">
        <f>IF(C95="","Yes","No")</f>
        <v/>
      </c>
      <c r="J95">
        <f>IF(INDEX(tblLedger[Mapping Status],MATCH($A95,tblLedger[Ledger Record ID],0))="MAPPING_HOLD","Yes","No")</f>
        <v/>
      </c>
      <c r="K95">
        <f>IF(AND(OR(E95="No",E95="Pending"),IFERROR(INDEX(tblServiceEvents[Financial Scope],MATCH(C95,tblServiceEvents[Event #],0)),"Included")="Included"),"Yes","No")</f>
        <v/>
      </c>
      <c r="L95">
        <f>IF(AND(E95="Yes",OR(F95="No",F95="Pending")),"Yes","No")</f>
        <v/>
      </c>
      <c r="M95">
        <f>IF(OR(ABS(N(G95))&gt;0,INDEX(tblLedger[Reconciliation Status],MATCH($A95,tblLedger[Ledger Record ID],0))="BREAKDOWN_MISMATCH",INDEX(tblLedger[Reconciliation Status],MATCH($A95,tblLedger[Ledger Record ID],0))="ACH_MISMATCH"),"Yes","No")</f>
        <v/>
      </c>
      <c r="N95">
        <f>IF(D95="","Yes","No")</f>
        <v/>
      </c>
      <c r="O95">
        <f>IF(OR(INDEX(tblLedger[City],MATCH($A95,tblLedger[Ledger Record ID],0))="",INDEX(tblLedger[Jurisdiction],MATCH($A95,tblLedger[Ledger Record ID],0))=""),"Yes","No")</f>
        <v/>
      </c>
      <c r="P95">
        <f>IF(COUNTIF({"Yes","No","Partial","Pending","Mapping Hold"},E95)=0,"Yes","No")</f>
        <v/>
      </c>
      <c r="Q95">
        <f>IF(COUNTIF({"Yes","No","Partial","Pending","Mapping Review"},F95)=0,"Yes","No")</f>
        <v/>
      </c>
      <c r="R95">
        <f>IF(J95="Yes","Mapping Hold",IF(I95="Yes","Missing Event Link",IF(H95="Yes","Duplicate WO",IF(M95="Yes","Revenue Variance",IF(K95="Yes","Missing Breakdown",IF(L95="Yes","Pending ACH",IF(E95="Partial","Partial Breakdown",IF(N95="Yes","Missing Client",IF(O95="Yes","Missing Location",IF(P95="Yes","Unknown Breakdown Status",IF(Q95="Yes","Unknown ACH Status","OK")))))))))))</f>
        <v/>
      </c>
      <c r="S95">
        <f>IF(OR(J95="Yes",I95="Yes",H95="Yes"),"Critical",IF(OR(M95="Yes",E95="Partial",N95="Yes",O95="Yes",P95="Yes",Q95="Yes"),"Warning",IF(OR(K95="Yes",L95="Yes"),"Informational","OK")))</f>
        <v/>
      </c>
      <c r="T95">
        <f>IF(R95="Mapping Hold","Resolve mapping before update",IF(R95="Missing Event Link","Map to one authoritative event",IF(R95="Duplicate WO","Review duplicate identity",IF(R95="Revenue Variance","Reconcile or dispute amount",IF(R95="Missing Breakdown","Await breakdown",IF(R95="Pending ACH","Await ACH",IF(R95="Partial Breakdown","Confirm remaining breakdown",IF(R95="Missing Client","Add canonical client",IF(R95="Missing Location","Complete location fields",IF(R95="OK","No action","Review invalid status"))))))))))</f>
        <v/>
      </c>
      <c r="U95">
        <f>IF(R95="OK","No","Yes")</f>
        <v/>
      </c>
      <c r="V95">
        <f>ABS(N(G95))</f>
        <v/>
      </c>
    </row>
    <row r="96">
      <c r="A96" s="688" t="inlineStr">
        <is>
          <t>LED-0066</t>
        </is>
      </c>
      <c r="B96" s="1" t="n"/>
      <c r="C96" s="1" t="n"/>
      <c r="D96" s="1" t="n"/>
      <c r="E96" s="1" t="n"/>
      <c r="F96" s="1" t="n"/>
      <c r="G96" s="1" t="n"/>
      <c r="H96" s="1" t="n"/>
      <c r="I96" s="1" t="n"/>
      <c r="J96" s="1" t="n"/>
      <c r="K96" s="1" t="n"/>
      <c r="L96" s="1" t="n"/>
      <c r="M96" s="1" t="n"/>
      <c r="N96" s="1" t="n"/>
      <c r="O96" s="1" t="n"/>
      <c r="P96" s="1" t="n"/>
      <c r="Q96" s="1" t="n"/>
      <c r="R96" s="1" t="n"/>
      <c r="S96">
        <f>IF(OR(J96="Yes",I96="Yes",H96="Yes"),"Critical",IF(OR(M96="Yes",E96="Partial",N96="Yes",O96="Yes",P96="Yes",Q96="Yes"),"Warning",IF(OR(K96="Yes",L96="Yes"),"Informational","OK")))</f>
        <v/>
      </c>
      <c r="T96">
        <f>IF(R96="Mapping Hold","Resolve mapping before update",IF(R96="Missing Event Link","Map to one authoritative event",IF(R96="Duplicate WO","Review duplicate identity",IF(R96="Revenue Variance","Reconcile or dispute amount",IF(R96="Missing Breakdown","Await breakdown",IF(R96="Pending ACH","Await ACH",IF(R96="Partial Breakdown","Confirm remaining breakdown",IF(R96="Missing Client","Add canonical client",IF(R96="Missing Location","Complete location fields",IF(R96="OK","No action","Review invalid status"))))))))))</f>
        <v/>
      </c>
      <c r="U96">
        <f>IF(R96="OK","No","Yes")</f>
        <v/>
      </c>
      <c r="V96">
        <f>ABS(N(G96))</f>
        <v/>
      </c>
    </row>
    <row r="97">
      <c r="A97" s="294" t="inlineStr">
        <is>
          <t>LED-0067</t>
        </is>
      </c>
      <c r="B97" s="294">
        <f>INDEX(tblLedger[Work Order #],MATCH($A97,tblLedger[Ledger Record ID],0))</f>
        <v/>
      </c>
      <c r="C97" s="294">
        <f>INDEX(tblLedger[Event #],MATCH($A97,tblLedger[Ledger Record ID],0))</f>
        <v/>
      </c>
      <c r="D97" s="294">
        <f>INDEX(tblLedger[Client],MATCH($A97,tblLedger[Ledger Record ID],0))</f>
        <v/>
      </c>
      <c r="E97" s="294">
        <f>INDEX(tblLedger[Breakdown Confirmed],MATCH($A97,tblLedger[Ledger Record ID],0))</f>
        <v/>
      </c>
      <c r="F97" s="294">
        <f>INDEX(tblLedger[ACH Confirmed],MATCH($A97,tblLedger[Ledger Record ID],0))</f>
        <v/>
      </c>
      <c r="G97" s="294">
        <f>INDEX(tblLedger[Variance],MATCH($A97,tblLedger[Ledger Record ID],0))</f>
        <v/>
      </c>
      <c r="H97" s="294">
        <f>IF(COUNTIF(tblLedger[Work Order #],B97)&gt;1,"Yes","No")</f>
        <v/>
      </c>
      <c r="I97" s="294">
        <f>IF(C97="","Yes","No")</f>
        <v/>
      </c>
      <c r="J97" s="294">
        <f>IF(INDEX(tblLedger[Mapping Status],MATCH($A97,tblLedger[Ledger Record ID],0))="MAPPING_HOLD","Yes","No")</f>
        <v/>
      </c>
      <c r="K97" s="294">
        <f>IF(AND(OR(E97="No",E97="Pending"),IFERROR(INDEX(tblServiceEvents[Financial Scope],MATCH(C97,tblServiceEvents[Event #],0)),"Included")="Included"),"Yes","No")</f>
        <v/>
      </c>
      <c r="L97" s="294">
        <f>IF(AND(E97="Yes",OR(F97="No",F97="Pending")),"Yes","No")</f>
        <v/>
      </c>
      <c r="M97" s="294">
        <f>IF(OR(ABS(N(G97))&gt;0,INDEX(tblLedger[Reconciliation Status],MATCH($A97,tblLedger[Ledger Record ID],0))="BREAKDOWN_MISMATCH",INDEX(tblLedger[Reconciliation Status],MATCH($A97,tblLedger[Ledger Record ID],0))="ACH_MISMATCH"),"Yes","No")</f>
        <v/>
      </c>
      <c r="N97" s="294">
        <f>IF(D97="","Yes","No")</f>
        <v/>
      </c>
      <c r="O97" s="294">
        <f>IF(OR(INDEX(tblLedger[City],MATCH($A97,tblLedger[Ledger Record ID],0))="",INDEX(tblLedger[Jurisdiction],MATCH($A97,tblLedger[Ledger Record ID],0))=""),"Yes","No")</f>
        <v/>
      </c>
      <c r="P97" s="294">
        <f>IF(COUNTIF({"Yes","No","Partial","Pending","Mapping Hold"},E97)=0,"Yes","No")</f>
        <v/>
      </c>
      <c r="Q97" s="294">
        <f>IF(COUNTIF({"Yes","No","Partial","Pending","Mapping Review"},F97)=0,"Yes","No")</f>
        <v/>
      </c>
      <c r="R97" s="294">
        <f>IF(J97="Yes","Mapping Hold",IF(I97="Yes","Missing Event Link",IF(H97="Yes","Duplicate WO",IF(M97="Yes","Revenue Variance",IF(K97="Yes","Missing Breakdown",IF(L97="Yes","Pending ACH",IF(E97="Partial","Partial Breakdown",IF(N97="Yes","Missing Client",IF(O97="Yes","Missing Location",IF(P97="Yes","Unknown Breakdown Status",IF(Q97="Yes","Unknown ACH Status","OK")))))))))))</f>
        <v/>
      </c>
      <c r="S97">
        <f>IF(OR(J97="Yes",I97="Yes",H97="Yes"),"Critical",IF(OR(M97="Yes",E97="Partial",N97="Yes",O97="Yes",P97="Yes",Q97="Yes"),"Warning",IF(OR(K97="Yes",L97="Yes"),"Informational","OK")))</f>
        <v/>
      </c>
      <c r="T97">
        <f>IF(R97="Mapping Hold","Resolve mapping before update",IF(R97="Missing Event Link","Map to one authoritative event",IF(R97="Duplicate WO","Review duplicate identity",IF(R97="Revenue Variance","Reconcile or dispute amount",IF(R97="Missing Breakdown","Await breakdown",IF(R97="Pending ACH","Await ACH",IF(R97="Partial Breakdown","Confirm remaining breakdown",IF(R97="Missing Client","Add canonical client",IF(R97="Missing Location","Complete location fields",IF(R97="OK","No action","Review invalid status"))))))))))</f>
        <v/>
      </c>
      <c r="U97">
        <f>IF(R97="OK","No","Yes")</f>
        <v/>
      </c>
      <c r="V97">
        <f>ABS(N(G97))</f>
        <v/>
      </c>
    </row>
    <row r="98">
      <c r="A98" t="inlineStr">
        <is>
          <t>LED-0068</t>
        </is>
      </c>
      <c r="B98">
        <f>INDEX(tblLedger[Work Order #],MATCH($A98,tblLedger[Ledger Record ID],0))</f>
        <v/>
      </c>
      <c r="C98" s="663">
        <f>INDEX(tblLedger[Event #],MATCH($A98,tblLedger[Ledger Record ID],0))</f>
        <v/>
      </c>
      <c r="D98">
        <f>INDEX(tblLedger[Client],MATCH($A98,tblLedger[Ledger Record ID],0))</f>
        <v/>
      </c>
      <c r="E98">
        <f>INDEX(tblLedger[Breakdown Confirmed],MATCH($A98,tblLedger[Ledger Record ID],0))</f>
        <v/>
      </c>
      <c r="F98">
        <f>INDEX(tblLedger[ACH Confirmed],MATCH($A98,tblLedger[Ledger Record ID],0))</f>
        <v/>
      </c>
      <c r="G98">
        <f>INDEX(tblLedger[Variance],MATCH($A98,tblLedger[Ledger Record ID],0))</f>
        <v/>
      </c>
      <c r="H98">
        <f>IF(COUNTIF(tblLedger[Work Order #],B98)&gt;1,"Yes","No")</f>
        <v/>
      </c>
      <c r="I98">
        <f>IF(C98="","Yes","No")</f>
        <v/>
      </c>
      <c r="J98">
        <f>IF(INDEX(tblLedger[Mapping Status],MATCH($A98,tblLedger[Ledger Record ID],0))="MAPPING_HOLD","Yes","No")</f>
        <v/>
      </c>
      <c r="K98">
        <f>IF(AND(OR(E98="No",E98="Pending"),IFERROR(INDEX(tblServiceEvents[Financial Scope],MATCH(C98,tblServiceEvents[Event #],0)),"Included")="Included"),"Yes","No")</f>
        <v/>
      </c>
      <c r="L98">
        <f>IF(AND(E98="Yes",OR(F98="No",F98="Pending")),"Yes","No")</f>
        <v/>
      </c>
      <c r="M98">
        <f>IF(OR(ABS(N(G98))&gt;0,INDEX(tblLedger[Reconciliation Status],MATCH($A98,tblLedger[Ledger Record ID],0))="BREAKDOWN_MISMATCH",INDEX(tblLedger[Reconciliation Status],MATCH($A98,tblLedger[Ledger Record ID],0))="ACH_MISMATCH"),"Yes","No")</f>
        <v/>
      </c>
      <c r="N98">
        <f>IF(D98="","Yes","No")</f>
        <v/>
      </c>
      <c r="O98">
        <f>IF(OR(INDEX(tblLedger[City],MATCH($A98,tblLedger[Ledger Record ID],0))="",INDEX(tblLedger[Jurisdiction],MATCH($A98,tblLedger[Ledger Record ID],0))=""),"Yes","No")</f>
        <v/>
      </c>
      <c r="P98">
        <f>IF(COUNTIF({"Yes","No","Partial","Pending","Mapping Hold"},E98)=0,"Yes","No")</f>
        <v/>
      </c>
      <c r="Q98">
        <f>IF(COUNTIF({"Yes","No","Partial","Pending","Mapping Review"},F98)=0,"Yes","No")</f>
        <v/>
      </c>
      <c r="R98">
        <f>IF(J98="Yes","Mapping Hold",IF(I98="Yes","Missing Event Link",IF(H98="Yes","Duplicate WO",IF(M98="Yes","Revenue Variance",IF(K98="Yes","Missing Breakdown",IF(L98="Yes","Pending ACH",IF(E98="Partial","Partial Breakdown",IF(N98="Yes","Missing Client",IF(O98="Yes","Missing Location",IF(P98="Yes","Unknown Breakdown Status",IF(Q98="Yes","Unknown ACH Status","OK")))))))))))</f>
        <v/>
      </c>
      <c r="S98">
        <f>IF(OR(J98="Yes",I98="Yes",H98="Yes"),"Critical",IF(OR(M98="Yes",E98="Partial",N98="Yes",O98="Yes",P98="Yes",Q98="Yes"),"Warning",IF(OR(K98="Yes",L98="Yes"),"Informational","OK")))</f>
        <v/>
      </c>
      <c r="T98">
        <f>IF(R98="Mapping Hold","Resolve mapping before update",IF(R98="Missing Event Link","Map to one authoritative event",IF(R98="Duplicate WO","Review duplicate identity",IF(R98="Revenue Variance","Reconcile or dispute amount",IF(R98="Missing Breakdown","Await breakdown",IF(R98="Pending ACH","Await ACH",IF(R98="Partial Breakdown","Confirm remaining breakdown",IF(R98="Missing Client","Add canonical client",IF(R98="Missing Location","Complete location fields",IF(R98="OK","No action","Review invalid status"))))))))))</f>
        <v/>
      </c>
      <c r="U98">
        <f>IF(R98="OK","No","Yes")</f>
        <v/>
      </c>
      <c r="V98">
        <f>ABS(N(G98))</f>
        <v/>
      </c>
    </row>
    <row r="99">
      <c r="A99" t="inlineStr">
        <is>
          <t>Event #</t>
        </is>
      </c>
      <c r="B99" t="inlineStr">
        <is>
          <t>Client</t>
        </is>
      </c>
      <c r="C99" s="663" t="inlineStr">
        <is>
          <t>Service Date</t>
        </is>
      </c>
      <c r="D99" t="inlineStr">
        <is>
          <t>Weekday</t>
        </is>
      </c>
      <c r="E99" t="inlineStr">
        <is>
          <t>MY_MONTH</t>
        </is>
      </c>
      <c r="F99" t="inlineStr">
        <is>
          <t>Status</t>
        </is>
      </c>
      <c r="G99" t="inlineStr">
        <is>
          <t>City</t>
        </is>
      </c>
      <c r="H99" t="inlineStr">
        <is>
          <t>Jurisdiction</t>
        </is>
      </c>
      <c r="I99" t="inlineStr">
        <is>
          <t>Linked WO Count</t>
        </is>
      </c>
      <c r="J99" t="inlineStr">
        <is>
          <t>Duplicate Event #</t>
        </is>
      </c>
      <c r="K99" t="inlineStr">
        <is>
          <t>Missing Date</t>
        </is>
      </c>
      <c r="L99" t="inlineStr">
        <is>
          <t>Missing Client</t>
        </is>
      </c>
      <c r="M99" t="inlineStr">
        <is>
          <t>Missing Location</t>
        </is>
      </c>
      <c r="N99" t="inlineStr">
        <is>
          <t>Unknown Weekday</t>
        </is>
      </c>
      <c r="O99" t="inlineStr">
        <is>
          <t>Unknown MY_MONTH</t>
        </is>
      </c>
      <c r="P99" t="inlineStr">
        <is>
          <t>Primary Issue</t>
        </is>
      </c>
      <c r="Q99" t="inlineStr">
        <is>
          <t>Severity</t>
        </is>
      </c>
      <c r="R99" t="inlineStr">
        <is>
          <t>Open?</t>
        </is>
      </c>
    </row>
    <row r="100">
      <c r="A100" t="n">
        <v>1</v>
      </c>
      <c r="B100">
        <f>INDEX(tblServiceEvents[Client],MATCH($A100,tblServiceEvents[Event #],0))</f>
        <v/>
      </c>
      <c r="C100" s="663">
        <f>INDEX(tblServiceEvents[Service Date],MATCH($A100,tblServiceEvents[Event #],0))</f>
        <v/>
      </c>
      <c r="D100">
        <f>INDEX(tblServiceEvents[Weekday],MATCH($A100,tblServiceEvents[Event #],0))</f>
        <v/>
      </c>
      <c r="E100">
        <f>INDEX(tblServiceEvents[MY_MONTH],MATCH($A100,tblServiceEvents[Event #],0))</f>
        <v/>
      </c>
      <c r="F100">
        <f>INDEX(tblServiceEvents[Status],MATCH($A100,tblServiceEvents[Event #],0))</f>
        <v/>
      </c>
      <c r="G100">
        <f>INDEX(tblServiceEvents[City],MATCH($A100,tblServiceEvents[Event #],0))</f>
        <v/>
      </c>
      <c r="H100">
        <f>INDEX(tblServiceEvents[Jurisdiction],MATCH($A100,tblServiceEvents[Event #],0))</f>
        <v/>
      </c>
      <c r="I100">
        <f>COUNTIF(tblLedger[Event #],A100)</f>
        <v/>
      </c>
      <c r="J100">
        <f>IF(COUNTIF(tblServiceEvents[Event #],A100)&gt;1,"Yes","No")</f>
        <v/>
      </c>
      <c r="K100">
        <f>IF(C100="","Yes","No")</f>
        <v/>
      </c>
      <c r="L100">
        <f>IF(B100="","Yes","No")</f>
        <v/>
      </c>
      <c r="M100">
        <f>IF(OR(G100="",H100=""),"Yes","No")</f>
        <v/>
      </c>
      <c r="N100">
        <f>IF(COUNTIF({"Monday","Tuesday","Wednesday","Thursday","Friday"},D100)=0,"Yes","No")</f>
        <v/>
      </c>
      <c r="O100">
        <f>IF(COUNTIF({"MY_MONTH 1","MY_MONTH 2","MY_MONTH 3"},E100)=0,"Yes","No")</f>
        <v/>
      </c>
      <c r="P100">
        <f>IF(J100="Yes","Duplicate Event #",IF(K100="Yes","Missing Date",IF(L100="Yes","Missing Client",IF(M100="Yes","Missing Location",IF(N100="Yes","Unknown Weekday",IF(O100="Yes","Unknown MY_MONTH",IF(I100=0,"No Linked WO","OK")))))))</f>
        <v/>
      </c>
      <c r="Q100">
        <f>IF(J100="Yes","Critical",IF(OR(K100="Yes",L100="Yes",M100="Yes",N100="Yes",O100="Yes"),"Warning",IF(I100=0,"Informational","OK")))</f>
        <v/>
      </c>
      <c r="R100">
        <f>IF(P100="OK","No","Yes")</f>
        <v/>
      </c>
    </row>
    <row r="101">
      <c r="A101" t="n">
        <v>2</v>
      </c>
      <c r="B101">
        <f>INDEX(tblServiceEvents[Client],MATCH($A101,tblServiceEvents[Event #],0))</f>
        <v/>
      </c>
      <c r="C101" s="663">
        <f>INDEX(tblServiceEvents[Service Date],MATCH($A101,tblServiceEvents[Event #],0))</f>
        <v/>
      </c>
      <c r="D101">
        <f>INDEX(tblServiceEvents[Weekday],MATCH($A101,tblServiceEvents[Event #],0))</f>
        <v/>
      </c>
      <c r="E101">
        <f>INDEX(tblServiceEvents[MY_MONTH],MATCH($A101,tblServiceEvents[Event #],0))</f>
        <v/>
      </c>
      <c r="F101">
        <f>INDEX(tblServiceEvents[Status],MATCH($A101,tblServiceEvents[Event #],0))</f>
        <v/>
      </c>
      <c r="G101">
        <f>INDEX(tblServiceEvents[City],MATCH($A101,tblServiceEvents[Event #],0))</f>
        <v/>
      </c>
      <c r="H101">
        <f>INDEX(tblServiceEvents[Jurisdiction],MATCH($A101,tblServiceEvents[Event #],0))</f>
        <v/>
      </c>
      <c r="I101">
        <f>COUNTIF(tblLedger[Event #],A101)</f>
        <v/>
      </c>
      <c r="J101">
        <f>IF(COUNTIF(tblServiceEvents[Event #],A101)&gt;1,"Yes","No")</f>
        <v/>
      </c>
      <c r="K101">
        <f>IF(C101="","Yes","No")</f>
        <v/>
      </c>
      <c r="L101">
        <f>IF(B101="","Yes","No")</f>
        <v/>
      </c>
      <c r="M101">
        <f>IF(OR(G101="",H101=""),"Yes","No")</f>
        <v/>
      </c>
      <c r="N101">
        <f>IF(COUNTIF({"Monday","Tuesday","Wednesday","Thursday","Friday"},D101)=0,"Yes","No")</f>
        <v/>
      </c>
      <c r="O101">
        <f>IF(COUNTIF({"MY_MONTH 1","MY_MONTH 2","MY_MONTH 3"},E101)=0,"Yes","No")</f>
        <v/>
      </c>
      <c r="P101">
        <f>IF(J101="Yes","Duplicate Event #",IF(K101="Yes","Missing Date",IF(L101="Yes","Missing Client",IF(M101="Yes","Missing Location",IF(N101="Yes","Unknown Weekday",IF(O101="Yes","Unknown MY_MONTH",IF(I101=0,"No Linked WO","OK")))))))</f>
        <v/>
      </c>
      <c r="Q101">
        <f>IF(J101="Yes","Critical",IF(OR(K101="Yes",L101="Yes",M101="Yes",N101="Yes",O101="Yes"),"Warning",IF(I101=0,"Informational","OK")))</f>
        <v/>
      </c>
      <c r="R101">
        <f>IF(P101="OK","No","Yes")</f>
        <v/>
      </c>
    </row>
    <row r="102">
      <c r="A102" t="n">
        <v>3</v>
      </c>
      <c r="B102">
        <f>INDEX(tblServiceEvents[Client],MATCH($A102,tblServiceEvents[Event #],0))</f>
        <v/>
      </c>
      <c r="C102" s="663">
        <f>INDEX(tblServiceEvents[Service Date],MATCH($A102,tblServiceEvents[Event #],0))</f>
        <v/>
      </c>
      <c r="D102">
        <f>INDEX(tblServiceEvents[Weekday],MATCH($A102,tblServiceEvents[Event #],0))</f>
        <v/>
      </c>
      <c r="E102">
        <f>INDEX(tblServiceEvents[MY_MONTH],MATCH($A102,tblServiceEvents[Event #],0))</f>
        <v/>
      </c>
      <c r="F102">
        <f>INDEX(tblServiceEvents[Status],MATCH($A102,tblServiceEvents[Event #],0))</f>
        <v/>
      </c>
      <c r="G102">
        <f>INDEX(tblServiceEvents[City],MATCH($A102,tblServiceEvents[Event #],0))</f>
        <v/>
      </c>
      <c r="H102">
        <f>INDEX(tblServiceEvents[Jurisdiction],MATCH($A102,tblServiceEvents[Event #],0))</f>
        <v/>
      </c>
      <c r="I102">
        <f>COUNTIF(tblLedger[Event #],A102)</f>
        <v/>
      </c>
      <c r="J102">
        <f>IF(COUNTIF(tblServiceEvents[Event #],A102)&gt;1,"Yes","No")</f>
        <v/>
      </c>
      <c r="K102">
        <f>IF(C102="","Yes","No")</f>
        <v/>
      </c>
      <c r="L102">
        <f>IF(B102="","Yes","No")</f>
        <v/>
      </c>
      <c r="M102">
        <f>IF(OR(G102="",H102=""),"Yes","No")</f>
        <v/>
      </c>
      <c r="N102">
        <f>IF(COUNTIF({"Monday","Tuesday","Wednesday","Thursday","Friday"},D102)=0,"Yes","No")</f>
        <v/>
      </c>
      <c r="O102">
        <f>IF(COUNTIF({"MY_MONTH 1","MY_MONTH 2","MY_MONTH 3"},E102)=0,"Yes","No")</f>
        <v/>
      </c>
      <c r="P102">
        <f>IF(J102="Yes","Duplicate Event #",IF(K102="Yes","Missing Date",IF(L102="Yes","Missing Client",IF(M102="Yes","Missing Location",IF(N102="Yes","Unknown Weekday",IF(O102="Yes","Unknown MY_MONTH",IF(I102=0,"No Linked WO","OK")))))))</f>
        <v/>
      </c>
      <c r="Q102">
        <f>IF(J102="Yes","Critical",IF(OR(K102="Yes",L102="Yes",M102="Yes",N102="Yes",O102="Yes"),"Warning",IF(I102=0,"Informational","OK")))</f>
        <v/>
      </c>
      <c r="R102">
        <f>IF(P102="OK","No","Yes")</f>
        <v/>
      </c>
    </row>
    <row r="103">
      <c r="A103" t="n">
        <v>4</v>
      </c>
      <c r="B103">
        <f>INDEX(tblServiceEvents[Client],MATCH($A103,tblServiceEvents[Event #],0))</f>
        <v/>
      </c>
      <c r="C103" s="663">
        <f>INDEX(tblServiceEvents[Service Date],MATCH($A103,tblServiceEvents[Event #],0))</f>
        <v/>
      </c>
      <c r="D103">
        <f>INDEX(tblServiceEvents[Weekday],MATCH($A103,tblServiceEvents[Event #],0))</f>
        <v/>
      </c>
      <c r="E103">
        <f>INDEX(tblServiceEvents[MY_MONTH],MATCH($A103,tblServiceEvents[Event #],0))</f>
        <v/>
      </c>
      <c r="F103">
        <f>INDEX(tblServiceEvents[Status],MATCH($A103,tblServiceEvents[Event #],0))</f>
        <v/>
      </c>
      <c r="G103">
        <f>INDEX(tblServiceEvents[City],MATCH($A103,tblServiceEvents[Event #],0))</f>
        <v/>
      </c>
      <c r="H103">
        <f>INDEX(tblServiceEvents[Jurisdiction],MATCH($A103,tblServiceEvents[Event #],0))</f>
        <v/>
      </c>
      <c r="I103">
        <f>COUNTIF(tblLedger[Event #],A103)</f>
        <v/>
      </c>
      <c r="J103">
        <f>IF(COUNTIF(tblServiceEvents[Event #],A103)&gt;1,"Yes","No")</f>
        <v/>
      </c>
      <c r="K103">
        <f>IF(C103="","Yes","No")</f>
        <v/>
      </c>
      <c r="L103">
        <f>IF(B103="","Yes","No")</f>
        <v/>
      </c>
      <c r="M103">
        <f>IF(OR(G103="",H103=""),"Yes","No")</f>
        <v/>
      </c>
      <c r="N103">
        <f>IF(COUNTIF({"Monday","Tuesday","Wednesday","Thursday","Friday"},D103)=0,"Yes","No")</f>
        <v/>
      </c>
      <c r="O103">
        <f>IF(COUNTIF({"MY_MONTH 1","MY_MONTH 2","MY_MONTH 3"},E103)=0,"Yes","No")</f>
        <v/>
      </c>
      <c r="P103">
        <f>IF(J103="Yes","Duplicate Event #",IF(K103="Yes","Missing Date",IF(L103="Yes","Missing Client",IF(M103="Yes","Missing Location",IF(N103="Yes","Unknown Weekday",IF(O103="Yes","Unknown MY_MONTH",IF(I103=0,"No Linked WO","OK")))))))</f>
        <v/>
      </c>
      <c r="Q103">
        <f>IF(J103="Yes","Critical",IF(OR(K103="Yes",L103="Yes",M103="Yes",N103="Yes",O103="Yes"),"Warning",IF(I103=0,"Informational","OK")))</f>
        <v/>
      </c>
      <c r="R103">
        <f>IF(P103="OK","No","Yes")</f>
        <v/>
      </c>
    </row>
    <row r="104">
      <c r="A104" t="n">
        <v>5</v>
      </c>
      <c r="B104">
        <f>INDEX(tblServiceEvents[Client],MATCH($A104,tblServiceEvents[Event #],0))</f>
        <v/>
      </c>
      <c r="C104" s="663">
        <f>INDEX(tblServiceEvents[Service Date],MATCH($A104,tblServiceEvents[Event #],0))</f>
        <v/>
      </c>
      <c r="D104">
        <f>INDEX(tblServiceEvents[Weekday],MATCH($A104,tblServiceEvents[Event #],0))</f>
        <v/>
      </c>
      <c r="E104">
        <f>INDEX(tblServiceEvents[MY_MONTH],MATCH($A104,tblServiceEvents[Event #],0))</f>
        <v/>
      </c>
      <c r="F104">
        <f>INDEX(tblServiceEvents[Status],MATCH($A104,tblServiceEvents[Event #],0))</f>
        <v/>
      </c>
      <c r="G104">
        <f>INDEX(tblServiceEvents[City],MATCH($A104,tblServiceEvents[Event #],0))</f>
        <v/>
      </c>
      <c r="H104">
        <f>INDEX(tblServiceEvents[Jurisdiction],MATCH($A104,tblServiceEvents[Event #],0))</f>
        <v/>
      </c>
      <c r="I104">
        <f>COUNTIF(tblLedger[Event #],A104)</f>
        <v/>
      </c>
      <c r="J104">
        <f>IF(COUNTIF(tblServiceEvents[Event #],A104)&gt;1,"Yes","No")</f>
        <v/>
      </c>
      <c r="K104">
        <f>IF(C104="","Yes","No")</f>
        <v/>
      </c>
      <c r="L104">
        <f>IF(B104="","Yes","No")</f>
        <v/>
      </c>
      <c r="M104">
        <f>IF(OR(G104="",H104=""),"Yes","No")</f>
        <v/>
      </c>
      <c r="N104">
        <f>IF(COUNTIF({"Monday","Tuesday","Wednesday","Thursday","Friday"},D104)=0,"Yes","No")</f>
        <v/>
      </c>
      <c r="O104">
        <f>IF(COUNTIF({"MY_MONTH 1","MY_MONTH 2","MY_MONTH 3"},E104)=0,"Yes","No")</f>
        <v/>
      </c>
      <c r="P104">
        <f>IF(J104="Yes","Duplicate Event #",IF(K104="Yes","Missing Date",IF(L104="Yes","Missing Client",IF(M104="Yes","Missing Location",IF(N104="Yes","Unknown Weekday",IF(O104="Yes","Unknown MY_MONTH",IF(I104=0,"No Linked WO","OK")))))))</f>
        <v/>
      </c>
      <c r="Q104">
        <f>IF(J104="Yes","Critical",IF(OR(K104="Yes",L104="Yes",M104="Yes",N104="Yes",O104="Yes"),"Warning",IF(I104=0,"Informational","OK")))</f>
        <v/>
      </c>
      <c r="R104">
        <f>IF(P104="OK","No","Yes")</f>
        <v/>
      </c>
    </row>
    <row r="105">
      <c r="A105" t="n">
        <v>6</v>
      </c>
      <c r="B105">
        <f>INDEX(tblServiceEvents[Client],MATCH($A105,tblServiceEvents[Event #],0))</f>
        <v/>
      </c>
      <c r="C105" s="663">
        <f>INDEX(tblServiceEvents[Service Date],MATCH($A105,tblServiceEvents[Event #],0))</f>
        <v/>
      </c>
      <c r="D105">
        <f>INDEX(tblServiceEvents[Weekday],MATCH($A105,tblServiceEvents[Event #],0))</f>
        <v/>
      </c>
      <c r="E105">
        <f>INDEX(tblServiceEvents[MY_MONTH],MATCH($A105,tblServiceEvents[Event #],0))</f>
        <v/>
      </c>
      <c r="F105">
        <f>INDEX(tblServiceEvents[Status],MATCH($A105,tblServiceEvents[Event #],0))</f>
        <v/>
      </c>
      <c r="G105">
        <f>INDEX(tblServiceEvents[City],MATCH($A105,tblServiceEvents[Event #],0))</f>
        <v/>
      </c>
      <c r="H105">
        <f>INDEX(tblServiceEvents[Jurisdiction],MATCH($A105,tblServiceEvents[Event #],0))</f>
        <v/>
      </c>
      <c r="I105">
        <f>COUNTIF(tblLedger[Event #],A105)</f>
        <v/>
      </c>
      <c r="J105">
        <f>IF(COUNTIF(tblServiceEvents[Event #],A105)&gt;1,"Yes","No")</f>
        <v/>
      </c>
      <c r="K105">
        <f>IF(C105="","Yes","No")</f>
        <v/>
      </c>
      <c r="L105">
        <f>IF(B105="","Yes","No")</f>
        <v/>
      </c>
      <c r="M105">
        <f>IF(OR(G105="",H105=""),"Yes","No")</f>
        <v/>
      </c>
      <c r="N105">
        <f>IF(COUNTIF({"Monday","Tuesday","Wednesday","Thursday","Friday"},D105)=0,"Yes","No")</f>
        <v/>
      </c>
      <c r="O105">
        <f>IF(COUNTIF({"MY_MONTH 1","MY_MONTH 2","MY_MONTH 3"},E105)=0,"Yes","No")</f>
        <v/>
      </c>
      <c r="P105">
        <f>IF(J105="Yes","Duplicate Event #",IF(K105="Yes","Missing Date",IF(L105="Yes","Missing Client",IF(M105="Yes","Missing Location",IF(N105="Yes","Unknown Weekday",IF(O105="Yes","Unknown MY_MONTH",IF(I105=0,"No Linked WO","OK")))))))</f>
        <v/>
      </c>
      <c r="Q105">
        <f>IF(J105="Yes","Critical",IF(OR(K105="Yes",L105="Yes",M105="Yes",N105="Yes",O105="Yes"),"Warning",IF(I105=0,"Informational","OK")))</f>
        <v/>
      </c>
      <c r="R105">
        <f>IF(P105="OK","No","Yes")</f>
        <v/>
      </c>
    </row>
    <row r="106">
      <c r="A106" t="n">
        <v>7</v>
      </c>
      <c r="B106">
        <f>INDEX(tblServiceEvents[Client],MATCH($A106,tblServiceEvents[Event #],0))</f>
        <v/>
      </c>
      <c r="C106" s="663">
        <f>INDEX(tblServiceEvents[Service Date],MATCH($A106,tblServiceEvents[Event #],0))</f>
        <v/>
      </c>
      <c r="D106">
        <f>INDEX(tblServiceEvents[Weekday],MATCH($A106,tblServiceEvents[Event #],0))</f>
        <v/>
      </c>
      <c r="E106">
        <f>INDEX(tblServiceEvents[MY_MONTH],MATCH($A106,tblServiceEvents[Event #],0))</f>
        <v/>
      </c>
      <c r="F106">
        <f>INDEX(tblServiceEvents[Status],MATCH($A106,tblServiceEvents[Event #],0))</f>
        <v/>
      </c>
      <c r="G106">
        <f>INDEX(tblServiceEvents[City],MATCH($A106,tblServiceEvents[Event #],0))</f>
        <v/>
      </c>
      <c r="H106">
        <f>INDEX(tblServiceEvents[Jurisdiction],MATCH($A106,tblServiceEvents[Event #],0))</f>
        <v/>
      </c>
      <c r="I106">
        <f>COUNTIF(tblLedger[Event #],A106)</f>
        <v/>
      </c>
      <c r="J106">
        <f>IF(COUNTIF(tblServiceEvents[Event #],A106)&gt;1,"Yes","No")</f>
        <v/>
      </c>
      <c r="K106">
        <f>IF(C106="","Yes","No")</f>
        <v/>
      </c>
      <c r="L106">
        <f>IF(B106="","Yes","No")</f>
        <v/>
      </c>
      <c r="M106">
        <f>IF(OR(G106="",H106=""),"Yes","No")</f>
        <v/>
      </c>
      <c r="N106">
        <f>IF(COUNTIF({"Monday","Tuesday","Wednesday","Thursday","Friday"},D106)=0,"Yes","No")</f>
        <v/>
      </c>
      <c r="O106">
        <f>IF(COUNTIF({"MY_MONTH 1","MY_MONTH 2","MY_MONTH 3"},E106)=0,"Yes","No")</f>
        <v/>
      </c>
      <c r="P106">
        <f>IF(J106="Yes","Duplicate Event #",IF(K106="Yes","Missing Date",IF(L106="Yes","Missing Client",IF(M106="Yes","Missing Location",IF(N106="Yes","Unknown Weekday",IF(O106="Yes","Unknown MY_MONTH",IF(I106=0,"No Linked WO","OK")))))))</f>
        <v/>
      </c>
      <c r="Q106">
        <f>IF(J106="Yes","Critical",IF(OR(K106="Yes",L106="Yes",M106="Yes",N106="Yes",O106="Yes"),"Warning",IF(I106=0,"Informational","OK")))</f>
        <v/>
      </c>
      <c r="R106">
        <f>IF(P106="OK","No","Yes")</f>
        <v/>
      </c>
    </row>
    <row r="107">
      <c r="A107" t="n">
        <v>8</v>
      </c>
      <c r="B107">
        <f>INDEX(tblServiceEvents[Client],MATCH($A107,tblServiceEvents[Event #],0))</f>
        <v/>
      </c>
      <c r="C107" s="663">
        <f>INDEX(tblServiceEvents[Service Date],MATCH($A107,tblServiceEvents[Event #],0))</f>
        <v/>
      </c>
      <c r="D107">
        <f>INDEX(tblServiceEvents[Weekday],MATCH($A107,tblServiceEvents[Event #],0))</f>
        <v/>
      </c>
      <c r="E107">
        <f>INDEX(tblServiceEvents[MY_MONTH],MATCH($A107,tblServiceEvents[Event #],0))</f>
        <v/>
      </c>
      <c r="F107">
        <f>INDEX(tblServiceEvents[Status],MATCH($A107,tblServiceEvents[Event #],0))</f>
        <v/>
      </c>
      <c r="G107">
        <f>INDEX(tblServiceEvents[City],MATCH($A107,tblServiceEvents[Event #],0))</f>
        <v/>
      </c>
      <c r="H107">
        <f>INDEX(tblServiceEvents[Jurisdiction],MATCH($A107,tblServiceEvents[Event #],0))</f>
        <v/>
      </c>
      <c r="I107">
        <f>COUNTIF(tblLedger[Event #],A107)</f>
        <v/>
      </c>
      <c r="J107">
        <f>IF(COUNTIF(tblServiceEvents[Event #],A107)&gt;1,"Yes","No")</f>
        <v/>
      </c>
      <c r="K107">
        <f>IF(C107="","Yes","No")</f>
        <v/>
      </c>
      <c r="L107">
        <f>IF(B107="","Yes","No")</f>
        <v/>
      </c>
      <c r="M107">
        <f>IF(OR(G107="",H107=""),"Yes","No")</f>
        <v/>
      </c>
      <c r="N107">
        <f>IF(COUNTIF({"Monday","Tuesday","Wednesday","Thursday","Friday"},D107)=0,"Yes","No")</f>
        <v/>
      </c>
      <c r="O107">
        <f>IF(COUNTIF({"MY_MONTH 1","MY_MONTH 2","MY_MONTH 3"},E107)=0,"Yes","No")</f>
        <v/>
      </c>
      <c r="P107">
        <f>IF(J107="Yes","Duplicate Event #",IF(K107="Yes","Missing Date",IF(L107="Yes","Missing Client",IF(M107="Yes","Missing Location",IF(N107="Yes","Unknown Weekday",IF(O107="Yes","Unknown MY_MONTH",IF(I107=0,"No Linked WO","OK")))))))</f>
        <v/>
      </c>
      <c r="Q107">
        <f>IF(J107="Yes","Critical",IF(OR(K107="Yes",L107="Yes",M107="Yes",N107="Yes",O107="Yes"),"Warning",IF(I107=0,"Informational","OK")))</f>
        <v/>
      </c>
      <c r="R107">
        <f>IF(P107="OK","No","Yes")</f>
        <v/>
      </c>
    </row>
    <row r="108">
      <c r="A108" t="n">
        <v>9</v>
      </c>
      <c r="B108">
        <f>INDEX(tblServiceEvents[Client],MATCH($A108,tblServiceEvents[Event #],0))</f>
        <v/>
      </c>
      <c r="C108" s="663">
        <f>INDEX(tblServiceEvents[Service Date],MATCH($A108,tblServiceEvents[Event #],0))</f>
        <v/>
      </c>
      <c r="D108">
        <f>INDEX(tblServiceEvents[Weekday],MATCH($A108,tblServiceEvents[Event #],0))</f>
        <v/>
      </c>
      <c r="E108">
        <f>INDEX(tblServiceEvents[MY_MONTH],MATCH($A108,tblServiceEvents[Event #],0))</f>
        <v/>
      </c>
      <c r="F108">
        <f>INDEX(tblServiceEvents[Status],MATCH($A108,tblServiceEvents[Event #],0))</f>
        <v/>
      </c>
      <c r="G108">
        <f>INDEX(tblServiceEvents[City],MATCH($A108,tblServiceEvents[Event #],0))</f>
        <v/>
      </c>
      <c r="H108">
        <f>INDEX(tblServiceEvents[Jurisdiction],MATCH($A108,tblServiceEvents[Event #],0))</f>
        <v/>
      </c>
      <c r="I108">
        <f>COUNTIF(tblLedger[Event #],A108)</f>
        <v/>
      </c>
      <c r="J108">
        <f>IF(COUNTIF(tblServiceEvents[Event #],A108)&gt;1,"Yes","No")</f>
        <v/>
      </c>
      <c r="K108">
        <f>IF(C108="","Yes","No")</f>
        <v/>
      </c>
      <c r="L108">
        <f>IF(B108="","Yes","No")</f>
        <v/>
      </c>
      <c r="M108">
        <f>IF(OR(G108="",H108=""),"Yes","No")</f>
        <v/>
      </c>
      <c r="N108">
        <f>IF(COUNTIF({"Monday","Tuesday","Wednesday","Thursday","Friday"},D108)=0,"Yes","No")</f>
        <v/>
      </c>
      <c r="O108">
        <f>IF(COUNTIF({"MY_MONTH 1","MY_MONTH 2","MY_MONTH 3"},E108)=0,"Yes","No")</f>
        <v/>
      </c>
      <c r="P108">
        <f>IF(J108="Yes","Duplicate Event #",IF(K108="Yes","Missing Date",IF(L108="Yes","Missing Client",IF(M108="Yes","Missing Location",IF(N108="Yes","Unknown Weekday",IF(O108="Yes","Unknown MY_MONTH",IF(I108=0,"No Linked WO","OK")))))))</f>
        <v/>
      </c>
      <c r="Q108">
        <f>IF(J108="Yes","Critical",IF(OR(K108="Yes",L108="Yes",M108="Yes",N108="Yes",O108="Yes"),"Warning",IF(I108=0,"Informational","OK")))</f>
        <v/>
      </c>
      <c r="R108">
        <f>IF(P108="OK","No","Yes")</f>
        <v/>
      </c>
    </row>
    <row r="109">
      <c r="A109" t="n">
        <v>10</v>
      </c>
      <c r="B109">
        <f>INDEX(tblServiceEvents[Client],MATCH($A109,tblServiceEvents[Event #],0))</f>
        <v/>
      </c>
      <c r="C109" s="663">
        <f>INDEX(tblServiceEvents[Service Date],MATCH($A109,tblServiceEvents[Event #],0))</f>
        <v/>
      </c>
      <c r="D109">
        <f>INDEX(tblServiceEvents[Weekday],MATCH($A109,tblServiceEvents[Event #],0))</f>
        <v/>
      </c>
      <c r="E109">
        <f>INDEX(tblServiceEvents[MY_MONTH],MATCH($A109,tblServiceEvents[Event #],0))</f>
        <v/>
      </c>
      <c r="F109">
        <f>INDEX(tblServiceEvents[Status],MATCH($A109,tblServiceEvents[Event #],0))</f>
        <v/>
      </c>
      <c r="G109">
        <f>INDEX(tblServiceEvents[City],MATCH($A109,tblServiceEvents[Event #],0))</f>
        <v/>
      </c>
      <c r="H109">
        <f>INDEX(tblServiceEvents[Jurisdiction],MATCH($A109,tblServiceEvents[Event #],0))</f>
        <v/>
      </c>
      <c r="I109">
        <f>COUNTIF(tblLedger[Event #],A109)</f>
        <v/>
      </c>
      <c r="J109">
        <f>IF(COUNTIF(tblServiceEvents[Event #],A109)&gt;1,"Yes","No")</f>
        <v/>
      </c>
      <c r="K109">
        <f>IF(C109="","Yes","No")</f>
        <v/>
      </c>
      <c r="L109">
        <f>IF(B109="","Yes","No")</f>
        <v/>
      </c>
      <c r="M109">
        <f>IF(OR(G109="",H109=""),"Yes","No")</f>
        <v/>
      </c>
      <c r="N109">
        <f>IF(COUNTIF({"Monday","Tuesday","Wednesday","Thursday","Friday"},D109)=0,"Yes","No")</f>
        <v/>
      </c>
      <c r="O109">
        <f>IF(COUNTIF({"MY_MONTH 1","MY_MONTH 2","MY_MONTH 3"},E109)=0,"Yes","No")</f>
        <v/>
      </c>
      <c r="P109">
        <f>IF(J109="Yes","Duplicate Event #",IF(K109="Yes","Missing Date",IF(L109="Yes","Missing Client",IF(M109="Yes","Missing Location",IF(N109="Yes","Unknown Weekday",IF(O109="Yes","Unknown MY_MONTH",IF(I109=0,"No Linked WO","OK")))))))</f>
        <v/>
      </c>
      <c r="Q109">
        <f>IF(J109="Yes","Critical",IF(OR(K109="Yes",L109="Yes",M109="Yes",N109="Yes",O109="Yes"),"Warning",IF(I109=0,"Informational","OK")))</f>
        <v/>
      </c>
      <c r="R109">
        <f>IF(P109="OK","No","Yes")</f>
        <v/>
      </c>
    </row>
    <row r="110">
      <c r="A110" t="n">
        <v>11</v>
      </c>
      <c r="B110">
        <f>INDEX(tblServiceEvents[Client],MATCH($A110,tblServiceEvents[Event #],0))</f>
        <v/>
      </c>
      <c r="C110" s="663">
        <f>INDEX(tblServiceEvents[Service Date],MATCH($A110,tblServiceEvents[Event #],0))</f>
        <v/>
      </c>
      <c r="D110">
        <f>INDEX(tblServiceEvents[Weekday],MATCH($A110,tblServiceEvents[Event #],0))</f>
        <v/>
      </c>
      <c r="E110">
        <f>INDEX(tblServiceEvents[MY_MONTH],MATCH($A110,tblServiceEvents[Event #],0))</f>
        <v/>
      </c>
      <c r="F110">
        <f>INDEX(tblServiceEvents[Status],MATCH($A110,tblServiceEvents[Event #],0))</f>
        <v/>
      </c>
      <c r="G110">
        <f>INDEX(tblServiceEvents[City],MATCH($A110,tblServiceEvents[Event #],0))</f>
        <v/>
      </c>
      <c r="H110">
        <f>INDEX(tblServiceEvents[Jurisdiction],MATCH($A110,tblServiceEvents[Event #],0))</f>
        <v/>
      </c>
      <c r="I110">
        <f>COUNTIF(tblLedger[Event #],A110)</f>
        <v/>
      </c>
      <c r="J110">
        <f>IF(COUNTIF(tblServiceEvents[Event #],A110)&gt;1,"Yes","No")</f>
        <v/>
      </c>
      <c r="K110">
        <f>IF(C110="","Yes","No")</f>
        <v/>
      </c>
      <c r="L110">
        <f>IF(B110="","Yes","No")</f>
        <v/>
      </c>
      <c r="M110">
        <f>IF(OR(G110="",H110=""),"Yes","No")</f>
        <v/>
      </c>
      <c r="N110">
        <f>IF(COUNTIF({"Monday","Tuesday","Wednesday","Thursday","Friday"},D110)=0,"Yes","No")</f>
        <v/>
      </c>
      <c r="O110">
        <f>IF(COUNTIF({"MY_MONTH 1","MY_MONTH 2","MY_MONTH 3"},E110)=0,"Yes","No")</f>
        <v/>
      </c>
      <c r="P110">
        <f>IF(J110="Yes","Duplicate Event #",IF(K110="Yes","Missing Date",IF(L110="Yes","Missing Client",IF(M110="Yes","Missing Location",IF(N110="Yes","Unknown Weekday",IF(O110="Yes","Unknown MY_MONTH",IF(I110=0,"No Linked WO","OK")))))))</f>
        <v/>
      </c>
      <c r="Q110">
        <f>IF(J110="Yes","Critical",IF(OR(K110="Yes",L110="Yes",M110="Yes",N110="Yes",O110="Yes"),"Warning",IF(I110=0,"Informational","OK")))</f>
        <v/>
      </c>
      <c r="R110">
        <f>IF(P110="OK","No","Yes")</f>
        <v/>
      </c>
    </row>
    <row r="111">
      <c r="A111" t="n">
        <v>12</v>
      </c>
      <c r="B111">
        <f>INDEX(tblServiceEvents[Client],MATCH($A111,tblServiceEvents[Event #],0))</f>
        <v/>
      </c>
      <c r="C111" s="663">
        <f>INDEX(tblServiceEvents[Service Date],MATCH($A111,tblServiceEvents[Event #],0))</f>
        <v/>
      </c>
      <c r="D111">
        <f>INDEX(tblServiceEvents[Weekday],MATCH($A111,tblServiceEvents[Event #],0))</f>
        <v/>
      </c>
      <c r="E111">
        <f>INDEX(tblServiceEvents[MY_MONTH],MATCH($A111,tblServiceEvents[Event #],0))</f>
        <v/>
      </c>
      <c r="F111">
        <f>INDEX(tblServiceEvents[Status],MATCH($A111,tblServiceEvents[Event #],0))</f>
        <v/>
      </c>
      <c r="G111">
        <f>INDEX(tblServiceEvents[City],MATCH($A111,tblServiceEvents[Event #],0))</f>
        <v/>
      </c>
      <c r="H111">
        <f>INDEX(tblServiceEvents[Jurisdiction],MATCH($A111,tblServiceEvents[Event #],0))</f>
        <v/>
      </c>
      <c r="I111">
        <f>COUNTIF(tblLedger[Event #],A111)</f>
        <v/>
      </c>
      <c r="J111">
        <f>IF(COUNTIF(tblServiceEvents[Event #],A111)&gt;1,"Yes","No")</f>
        <v/>
      </c>
      <c r="K111">
        <f>IF(C111="","Yes","No")</f>
        <v/>
      </c>
      <c r="L111">
        <f>IF(B111="","Yes","No")</f>
        <v/>
      </c>
      <c r="M111">
        <f>IF(OR(G111="",H111=""),"Yes","No")</f>
        <v/>
      </c>
      <c r="N111">
        <f>IF(COUNTIF({"Monday","Tuesday","Wednesday","Thursday","Friday"},D111)=0,"Yes","No")</f>
        <v/>
      </c>
      <c r="O111">
        <f>IF(COUNTIF({"MY_MONTH 1","MY_MONTH 2","MY_MONTH 3"},E111)=0,"Yes","No")</f>
        <v/>
      </c>
      <c r="P111">
        <f>IF(J111="Yes","Duplicate Event #",IF(K111="Yes","Missing Date",IF(L111="Yes","Missing Client",IF(M111="Yes","Missing Location",IF(N111="Yes","Unknown Weekday",IF(O111="Yes","Unknown MY_MONTH",IF(I111=0,"No Linked WO","OK")))))))</f>
        <v/>
      </c>
      <c r="Q111">
        <f>IF(J111="Yes","Critical",IF(OR(K111="Yes",L111="Yes",M111="Yes",N111="Yes",O111="Yes"),"Warning",IF(I111=0,"Informational","OK")))</f>
        <v/>
      </c>
      <c r="R111">
        <f>IF(P111="OK","No","Yes")</f>
        <v/>
      </c>
    </row>
    <row r="112">
      <c r="A112" t="n">
        <v>13</v>
      </c>
      <c r="B112">
        <f>INDEX(tblServiceEvents[Client],MATCH($A112,tblServiceEvents[Event #],0))</f>
        <v/>
      </c>
      <c r="C112" s="663">
        <f>INDEX(tblServiceEvents[Service Date],MATCH($A112,tblServiceEvents[Event #],0))</f>
        <v/>
      </c>
      <c r="D112">
        <f>INDEX(tblServiceEvents[Weekday],MATCH($A112,tblServiceEvents[Event #],0))</f>
        <v/>
      </c>
      <c r="E112">
        <f>INDEX(tblServiceEvents[MY_MONTH],MATCH($A112,tblServiceEvents[Event #],0))</f>
        <v/>
      </c>
      <c r="F112">
        <f>INDEX(tblServiceEvents[Status],MATCH($A112,tblServiceEvents[Event #],0))</f>
        <v/>
      </c>
      <c r="G112">
        <f>INDEX(tblServiceEvents[City],MATCH($A112,tblServiceEvents[Event #],0))</f>
        <v/>
      </c>
      <c r="H112">
        <f>INDEX(tblServiceEvents[Jurisdiction],MATCH($A112,tblServiceEvents[Event #],0))</f>
        <v/>
      </c>
      <c r="I112">
        <f>COUNTIF(tblLedger[Event #],A112)</f>
        <v/>
      </c>
      <c r="J112">
        <f>IF(COUNTIF(tblServiceEvents[Event #],A112)&gt;1,"Yes","No")</f>
        <v/>
      </c>
      <c r="K112">
        <f>IF(C112="","Yes","No")</f>
        <v/>
      </c>
      <c r="L112">
        <f>IF(B112="","Yes","No")</f>
        <v/>
      </c>
      <c r="M112">
        <f>IF(OR(G112="",H112=""),"Yes","No")</f>
        <v/>
      </c>
      <c r="N112">
        <f>IF(COUNTIF({"Monday","Tuesday","Wednesday","Thursday","Friday"},D112)=0,"Yes","No")</f>
        <v/>
      </c>
      <c r="O112">
        <f>IF(COUNTIF({"MY_MONTH 1","MY_MONTH 2","MY_MONTH 3"},E112)=0,"Yes","No")</f>
        <v/>
      </c>
      <c r="P112">
        <f>IF(J112="Yes","Duplicate Event #",IF(K112="Yes","Missing Date",IF(L112="Yes","Missing Client",IF(M112="Yes","Missing Location",IF(N112="Yes","Unknown Weekday",IF(O112="Yes","Unknown MY_MONTH",IF(I112=0,"No Linked WO","OK")))))))</f>
        <v/>
      </c>
      <c r="Q112">
        <f>IF(J112="Yes","Critical",IF(OR(K112="Yes",L112="Yes",M112="Yes",N112="Yes",O112="Yes"),"Warning",IF(I112=0,"Informational","OK")))</f>
        <v/>
      </c>
      <c r="R112">
        <f>IF(P112="OK","No","Yes")</f>
        <v/>
      </c>
    </row>
    <row r="113">
      <c r="A113" t="n">
        <v>14</v>
      </c>
      <c r="B113">
        <f>INDEX(tblServiceEvents[Client],MATCH($A113,tblServiceEvents[Event #],0))</f>
        <v/>
      </c>
      <c r="C113" s="663">
        <f>INDEX(tblServiceEvents[Service Date],MATCH($A113,tblServiceEvents[Event #],0))</f>
        <v/>
      </c>
      <c r="D113">
        <f>INDEX(tblServiceEvents[Weekday],MATCH($A113,tblServiceEvents[Event #],0))</f>
        <v/>
      </c>
      <c r="E113">
        <f>INDEX(tblServiceEvents[MY_MONTH],MATCH($A113,tblServiceEvents[Event #],0))</f>
        <v/>
      </c>
      <c r="F113">
        <f>INDEX(tblServiceEvents[Status],MATCH($A113,tblServiceEvents[Event #],0))</f>
        <v/>
      </c>
      <c r="G113">
        <f>INDEX(tblServiceEvents[City],MATCH($A113,tblServiceEvents[Event #],0))</f>
        <v/>
      </c>
      <c r="H113">
        <f>INDEX(tblServiceEvents[Jurisdiction],MATCH($A113,tblServiceEvents[Event #],0))</f>
        <v/>
      </c>
      <c r="I113">
        <f>COUNTIF(tblLedger[Event #],A113)</f>
        <v/>
      </c>
      <c r="J113">
        <f>IF(COUNTIF(tblServiceEvents[Event #],A113)&gt;1,"Yes","No")</f>
        <v/>
      </c>
      <c r="K113">
        <f>IF(C113="","Yes","No")</f>
        <v/>
      </c>
      <c r="L113">
        <f>IF(B113="","Yes","No")</f>
        <v/>
      </c>
      <c r="M113">
        <f>IF(OR(G113="",H113=""),"Yes","No")</f>
        <v/>
      </c>
      <c r="N113">
        <f>IF(COUNTIF({"Monday","Tuesday","Wednesday","Thursday","Friday"},D113)=0,"Yes","No")</f>
        <v/>
      </c>
      <c r="O113">
        <f>IF(COUNTIF({"MY_MONTH 1","MY_MONTH 2","MY_MONTH 3"},E113)=0,"Yes","No")</f>
        <v/>
      </c>
      <c r="P113">
        <f>IF(J113="Yes","Duplicate Event #",IF(K113="Yes","Missing Date",IF(L113="Yes","Missing Client",IF(M113="Yes","Missing Location",IF(N113="Yes","Unknown Weekday",IF(O113="Yes","Unknown MY_MONTH",IF(I113=0,"No Linked WO","OK")))))))</f>
        <v/>
      </c>
      <c r="Q113">
        <f>IF(J113="Yes","Critical",IF(OR(K113="Yes",L113="Yes",M113="Yes",N113="Yes",O113="Yes"),"Warning",IF(I113=0,"Informational","OK")))</f>
        <v/>
      </c>
      <c r="R113">
        <f>IF(P113="OK","No","Yes")</f>
        <v/>
      </c>
    </row>
    <row r="114">
      <c r="A114" t="n">
        <v>15</v>
      </c>
      <c r="B114">
        <f>INDEX(tblServiceEvents[Client],MATCH($A114,tblServiceEvents[Event #],0))</f>
        <v/>
      </c>
      <c r="C114" s="663">
        <f>INDEX(tblServiceEvents[Service Date],MATCH($A114,tblServiceEvents[Event #],0))</f>
        <v/>
      </c>
      <c r="D114">
        <f>INDEX(tblServiceEvents[Weekday],MATCH($A114,tblServiceEvents[Event #],0))</f>
        <v/>
      </c>
      <c r="E114">
        <f>INDEX(tblServiceEvents[MY_MONTH],MATCH($A114,tblServiceEvents[Event #],0))</f>
        <v/>
      </c>
      <c r="F114">
        <f>INDEX(tblServiceEvents[Status],MATCH($A114,tblServiceEvents[Event #],0))</f>
        <v/>
      </c>
      <c r="G114">
        <f>INDEX(tblServiceEvents[City],MATCH($A114,tblServiceEvents[Event #],0))</f>
        <v/>
      </c>
      <c r="H114">
        <f>INDEX(tblServiceEvents[Jurisdiction],MATCH($A114,tblServiceEvents[Event #],0))</f>
        <v/>
      </c>
      <c r="I114">
        <f>COUNTIF(tblLedger[Event #],A114)</f>
        <v/>
      </c>
      <c r="J114">
        <f>IF(COUNTIF(tblServiceEvents[Event #],A114)&gt;1,"Yes","No")</f>
        <v/>
      </c>
      <c r="K114">
        <f>IF(C114="","Yes","No")</f>
        <v/>
      </c>
      <c r="L114">
        <f>IF(B114="","Yes","No")</f>
        <v/>
      </c>
      <c r="M114">
        <f>IF(OR(G114="",H114=""),"Yes","No")</f>
        <v/>
      </c>
      <c r="N114">
        <f>IF(COUNTIF({"Monday","Tuesday","Wednesday","Thursday","Friday"},D114)=0,"Yes","No")</f>
        <v/>
      </c>
      <c r="O114">
        <f>IF(COUNTIF({"MY_MONTH 1","MY_MONTH 2","MY_MONTH 3"},E114)=0,"Yes","No")</f>
        <v/>
      </c>
      <c r="P114">
        <f>IF(J114="Yes","Duplicate Event #",IF(K114="Yes","Missing Date",IF(L114="Yes","Missing Client",IF(M114="Yes","Missing Location",IF(N114="Yes","Unknown Weekday",IF(O114="Yes","Unknown MY_MONTH",IF(I114=0,"No Linked WO","OK")))))))</f>
        <v/>
      </c>
      <c r="Q114">
        <f>IF(J114="Yes","Critical",IF(OR(K114="Yes",L114="Yes",M114="Yes",N114="Yes",O114="Yes"),"Warning",IF(I114=0,"Informational","OK")))</f>
        <v/>
      </c>
      <c r="R114">
        <f>IF(P114="OK","No","Yes")</f>
        <v/>
      </c>
    </row>
    <row r="115">
      <c r="A115" t="n">
        <v>16</v>
      </c>
      <c r="B115">
        <f>INDEX(tblServiceEvents[Client],MATCH($A115,tblServiceEvents[Event #],0))</f>
        <v/>
      </c>
      <c r="C115" s="663">
        <f>INDEX(tblServiceEvents[Service Date],MATCH($A115,tblServiceEvents[Event #],0))</f>
        <v/>
      </c>
      <c r="D115">
        <f>INDEX(tblServiceEvents[Weekday],MATCH($A115,tblServiceEvents[Event #],0))</f>
        <v/>
      </c>
      <c r="E115">
        <f>INDEX(tblServiceEvents[MY_MONTH],MATCH($A115,tblServiceEvents[Event #],0))</f>
        <v/>
      </c>
      <c r="F115">
        <f>INDEX(tblServiceEvents[Status],MATCH($A115,tblServiceEvents[Event #],0))</f>
        <v/>
      </c>
      <c r="G115">
        <f>INDEX(tblServiceEvents[City],MATCH($A115,tblServiceEvents[Event #],0))</f>
        <v/>
      </c>
      <c r="H115">
        <f>INDEX(tblServiceEvents[Jurisdiction],MATCH($A115,tblServiceEvents[Event #],0))</f>
        <v/>
      </c>
      <c r="I115">
        <f>COUNTIF(tblLedger[Event #],A115)</f>
        <v/>
      </c>
      <c r="J115">
        <f>IF(COUNTIF(tblServiceEvents[Event #],A115)&gt;1,"Yes","No")</f>
        <v/>
      </c>
      <c r="K115">
        <f>IF(C115="","Yes","No")</f>
        <v/>
      </c>
      <c r="L115">
        <f>IF(B115="","Yes","No")</f>
        <v/>
      </c>
      <c r="M115">
        <f>IF(OR(G115="",H115=""),"Yes","No")</f>
        <v/>
      </c>
      <c r="N115">
        <f>IF(COUNTIF({"Monday","Tuesday","Wednesday","Thursday","Friday"},D115)=0,"Yes","No")</f>
        <v/>
      </c>
      <c r="O115">
        <f>IF(COUNTIF({"MY_MONTH 1","MY_MONTH 2","MY_MONTH 3"},E115)=0,"Yes","No")</f>
        <v/>
      </c>
      <c r="P115">
        <f>IF(J115="Yes","Duplicate Event #",IF(K115="Yes","Missing Date",IF(L115="Yes","Missing Client",IF(M115="Yes","Missing Location",IF(N115="Yes","Unknown Weekday",IF(O115="Yes","Unknown MY_MONTH",IF(I115=0,"No Linked WO","OK")))))))</f>
        <v/>
      </c>
      <c r="Q115">
        <f>IF(J115="Yes","Critical",IF(OR(K115="Yes",L115="Yes",M115="Yes",N115="Yes",O115="Yes"),"Warning",IF(I115=0,"Informational","OK")))</f>
        <v/>
      </c>
      <c r="R115">
        <f>IF(P115="OK","No","Yes")</f>
        <v/>
      </c>
    </row>
    <row r="116">
      <c r="A116" t="n">
        <v>17</v>
      </c>
      <c r="B116">
        <f>INDEX(tblServiceEvents[Client],MATCH($A116,tblServiceEvents[Event #],0))</f>
        <v/>
      </c>
      <c r="C116" s="663">
        <f>INDEX(tblServiceEvents[Service Date],MATCH($A116,tblServiceEvents[Event #],0))</f>
        <v/>
      </c>
      <c r="D116">
        <f>INDEX(tblServiceEvents[Weekday],MATCH($A116,tblServiceEvents[Event #],0))</f>
        <v/>
      </c>
      <c r="E116">
        <f>INDEX(tblServiceEvents[MY_MONTH],MATCH($A116,tblServiceEvents[Event #],0))</f>
        <v/>
      </c>
      <c r="F116">
        <f>INDEX(tblServiceEvents[Status],MATCH($A116,tblServiceEvents[Event #],0))</f>
        <v/>
      </c>
      <c r="G116">
        <f>INDEX(tblServiceEvents[City],MATCH($A116,tblServiceEvents[Event #],0))</f>
        <v/>
      </c>
      <c r="H116">
        <f>INDEX(tblServiceEvents[Jurisdiction],MATCH($A116,tblServiceEvents[Event #],0))</f>
        <v/>
      </c>
      <c r="I116">
        <f>COUNTIF(tblLedger[Event #],A116)</f>
        <v/>
      </c>
      <c r="J116">
        <f>IF(COUNTIF(tblServiceEvents[Event #],A116)&gt;1,"Yes","No")</f>
        <v/>
      </c>
      <c r="K116">
        <f>IF(C116="","Yes","No")</f>
        <v/>
      </c>
      <c r="L116">
        <f>IF(B116="","Yes","No")</f>
        <v/>
      </c>
      <c r="M116">
        <f>IF(OR(G116="",H116=""),"Yes","No")</f>
        <v/>
      </c>
      <c r="N116">
        <f>IF(COUNTIF({"Monday","Tuesday","Wednesday","Thursday","Friday"},D116)=0,"Yes","No")</f>
        <v/>
      </c>
      <c r="O116">
        <f>IF(COUNTIF({"MY_MONTH 1","MY_MONTH 2","MY_MONTH 3"},E116)=0,"Yes","No")</f>
        <v/>
      </c>
      <c r="P116">
        <f>IF(J116="Yes","Duplicate Event #",IF(K116="Yes","Missing Date",IF(L116="Yes","Missing Client",IF(M116="Yes","Missing Location",IF(N116="Yes","Unknown Weekday",IF(O116="Yes","Unknown MY_MONTH",IF(I116=0,"No Linked WO","OK")))))))</f>
        <v/>
      </c>
      <c r="Q116">
        <f>IF(J116="Yes","Critical",IF(OR(K116="Yes",L116="Yes",M116="Yes",N116="Yes",O116="Yes"),"Warning",IF(I116=0,"Informational","OK")))</f>
        <v/>
      </c>
      <c r="R116">
        <f>IF(P116="OK","No","Yes")</f>
        <v/>
      </c>
    </row>
    <row r="117">
      <c r="A117" t="n">
        <v>18</v>
      </c>
      <c r="B117">
        <f>INDEX(tblServiceEvents[Client],MATCH($A117,tblServiceEvents[Event #],0))</f>
        <v/>
      </c>
      <c r="C117" s="663">
        <f>INDEX(tblServiceEvents[Service Date],MATCH($A117,tblServiceEvents[Event #],0))</f>
        <v/>
      </c>
      <c r="D117">
        <f>INDEX(tblServiceEvents[Weekday],MATCH($A117,tblServiceEvents[Event #],0))</f>
        <v/>
      </c>
      <c r="E117">
        <f>INDEX(tblServiceEvents[MY_MONTH],MATCH($A117,tblServiceEvents[Event #],0))</f>
        <v/>
      </c>
      <c r="F117">
        <f>INDEX(tblServiceEvents[Status],MATCH($A117,tblServiceEvents[Event #],0))</f>
        <v/>
      </c>
      <c r="G117">
        <f>INDEX(tblServiceEvents[City],MATCH($A117,tblServiceEvents[Event #],0))</f>
        <v/>
      </c>
      <c r="H117">
        <f>INDEX(tblServiceEvents[Jurisdiction],MATCH($A117,tblServiceEvents[Event #],0))</f>
        <v/>
      </c>
      <c r="I117">
        <f>COUNTIF(tblLedger[Event #],A117)</f>
        <v/>
      </c>
      <c r="J117">
        <f>IF(COUNTIF(tblServiceEvents[Event #],A117)&gt;1,"Yes","No")</f>
        <v/>
      </c>
      <c r="K117">
        <f>IF(C117="","Yes","No")</f>
        <v/>
      </c>
      <c r="L117">
        <f>IF(B117="","Yes","No")</f>
        <v/>
      </c>
      <c r="M117">
        <f>IF(OR(G117="",H117=""),"Yes","No")</f>
        <v/>
      </c>
      <c r="N117">
        <f>IF(COUNTIF({"Monday","Tuesday","Wednesday","Thursday","Friday"},D117)=0,"Yes","No")</f>
        <v/>
      </c>
      <c r="O117">
        <f>IF(COUNTIF({"MY_MONTH 1","MY_MONTH 2","MY_MONTH 3"},E117)=0,"Yes","No")</f>
        <v/>
      </c>
      <c r="P117">
        <f>IF(J117="Yes","Duplicate Event #",IF(K117="Yes","Missing Date",IF(L117="Yes","Missing Client",IF(M117="Yes","Missing Location",IF(N117="Yes","Unknown Weekday",IF(O117="Yes","Unknown MY_MONTH",IF(I117=0,"No Linked WO","OK")))))))</f>
        <v/>
      </c>
      <c r="Q117">
        <f>IF(J117="Yes","Critical",IF(OR(K117="Yes",L117="Yes",M117="Yes",N117="Yes",O117="Yes"),"Warning",IF(I117=0,"Informational","OK")))</f>
        <v/>
      </c>
      <c r="R117">
        <f>IF(P117="OK","No","Yes")</f>
        <v/>
      </c>
    </row>
    <row r="118">
      <c r="A118" t="n">
        <v>19</v>
      </c>
      <c r="B118">
        <f>INDEX(tblServiceEvents[Client],MATCH($A118,tblServiceEvents[Event #],0))</f>
        <v/>
      </c>
      <c r="C118" s="663">
        <f>INDEX(tblServiceEvents[Service Date],MATCH($A118,tblServiceEvents[Event #],0))</f>
        <v/>
      </c>
      <c r="D118">
        <f>INDEX(tblServiceEvents[Weekday],MATCH($A118,tblServiceEvents[Event #],0))</f>
        <v/>
      </c>
      <c r="E118">
        <f>INDEX(tblServiceEvents[MY_MONTH],MATCH($A118,tblServiceEvents[Event #],0))</f>
        <v/>
      </c>
      <c r="F118">
        <f>INDEX(tblServiceEvents[Status],MATCH($A118,tblServiceEvents[Event #],0))</f>
        <v/>
      </c>
      <c r="G118">
        <f>INDEX(tblServiceEvents[City],MATCH($A118,tblServiceEvents[Event #],0))</f>
        <v/>
      </c>
      <c r="H118">
        <f>INDEX(tblServiceEvents[Jurisdiction],MATCH($A118,tblServiceEvents[Event #],0))</f>
        <v/>
      </c>
      <c r="I118">
        <f>COUNTIF(tblLedger[Event #],A118)</f>
        <v/>
      </c>
      <c r="J118">
        <f>IF(COUNTIF(tblServiceEvents[Event #],A118)&gt;1,"Yes","No")</f>
        <v/>
      </c>
      <c r="K118">
        <f>IF(C118="","Yes","No")</f>
        <v/>
      </c>
      <c r="L118">
        <f>IF(B118="","Yes","No")</f>
        <v/>
      </c>
      <c r="M118">
        <f>IF(OR(G118="",H118=""),"Yes","No")</f>
        <v/>
      </c>
      <c r="N118">
        <f>IF(COUNTIF({"Monday","Tuesday","Wednesday","Thursday","Friday"},D118)=0,"Yes","No")</f>
        <v/>
      </c>
      <c r="O118">
        <f>IF(COUNTIF({"MY_MONTH 1","MY_MONTH 2","MY_MONTH 3"},E118)=0,"Yes","No")</f>
        <v/>
      </c>
      <c r="P118">
        <f>IF(J118="Yes","Duplicate Event #",IF(K118="Yes","Missing Date",IF(L118="Yes","Missing Client",IF(M118="Yes","Missing Location",IF(N118="Yes","Unknown Weekday",IF(O118="Yes","Unknown MY_MONTH",IF(I118=0,"No Linked WO","OK")))))))</f>
        <v/>
      </c>
      <c r="Q118">
        <f>IF(J118="Yes","Critical",IF(OR(K118="Yes",L118="Yes",M118="Yes",N118="Yes",O118="Yes"),"Warning",IF(I118=0,"Informational","OK")))</f>
        <v/>
      </c>
      <c r="R118">
        <f>IF(P118="OK","No","Yes")</f>
        <v/>
      </c>
    </row>
    <row r="119">
      <c r="A119" t="n">
        <v>20</v>
      </c>
      <c r="B119">
        <f>INDEX(tblServiceEvents[Client],MATCH($A119,tblServiceEvents[Event #],0))</f>
        <v/>
      </c>
      <c r="C119" s="663">
        <f>INDEX(tblServiceEvents[Service Date],MATCH($A119,tblServiceEvents[Event #],0))</f>
        <v/>
      </c>
      <c r="D119">
        <f>INDEX(tblServiceEvents[Weekday],MATCH($A119,tblServiceEvents[Event #],0))</f>
        <v/>
      </c>
      <c r="E119">
        <f>INDEX(tblServiceEvents[MY_MONTH],MATCH($A119,tblServiceEvents[Event #],0))</f>
        <v/>
      </c>
      <c r="F119">
        <f>INDEX(tblServiceEvents[Status],MATCH($A119,tblServiceEvents[Event #],0))</f>
        <v/>
      </c>
      <c r="G119">
        <f>INDEX(tblServiceEvents[City],MATCH($A119,tblServiceEvents[Event #],0))</f>
        <v/>
      </c>
      <c r="H119">
        <f>INDEX(tblServiceEvents[Jurisdiction],MATCH($A119,tblServiceEvents[Event #],0))</f>
        <v/>
      </c>
      <c r="I119">
        <f>COUNTIF(tblLedger[Event #],A119)</f>
        <v/>
      </c>
      <c r="J119">
        <f>IF(COUNTIF(tblServiceEvents[Event #],A119)&gt;1,"Yes","No")</f>
        <v/>
      </c>
      <c r="K119">
        <f>IF(C119="","Yes","No")</f>
        <v/>
      </c>
      <c r="L119">
        <f>IF(B119="","Yes","No")</f>
        <v/>
      </c>
      <c r="M119">
        <f>IF(OR(G119="",H119=""),"Yes","No")</f>
        <v/>
      </c>
      <c r="N119">
        <f>IF(COUNTIF({"Monday","Tuesday","Wednesday","Thursday","Friday"},D119)=0,"Yes","No")</f>
        <v/>
      </c>
      <c r="O119">
        <f>IF(COUNTIF({"MY_MONTH 1","MY_MONTH 2","MY_MONTH 3"},E119)=0,"Yes","No")</f>
        <v/>
      </c>
      <c r="P119">
        <f>IF(J119="Yes","Duplicate Event #",IF(K119="Yes","Missing Date",IF(L119="Yes","Missing Client",IF(M119="Yes","Missing Location",IF(N119="Yes","Unknown Weekday",IF(O119="Yes","Unknown MY_MONTH",IF(I119=0,"No Linked WO","OK")))))))</f>
        <v/>
      </c>
      <c r="Q119">
        <f>IF(J119="Yes","Critical",IF(OR(K119="Yes",L119="Yes",M119="Yes",N119="Yes",O119="Yes"),"Warning",IF(I119=0,"Informational","OK")))</f>
        <v/>
      </c>
      <c r="R119">
        <f>IF(P119="OK","No","Yes")</f>
        <v/>
      </c>
    </row>
    <row r="120">
      <c r="A120" t="n">
        <v>21</v>
      </c>
      <c r="B120">
        <f>INDEX(tblServiceEvents[Client],MATCH($A120,tblServiceEvents[Event #],0))</f>
        <v/>
      </c>
      <c r="C120" s="663">
        <f>INDEX(tblServiceEvents[Service Date],MATCH($A120,tblServiceEvents[Event #],0))</f>
        <v/>
      </c>
      <c r="D120">
        <f>INDEX(tblServiceEvents[Weekday],MATCH($A120,tblServiceEvents[Event #],0))</f>
        <v/>
      </c>
      <c r="E120">
        <f>INDEX(tblServiceEvents[MY_MONTH],MATCH($A120,tblServiceEvents[Event #],0))</f>
        <v/>
      </c>
      <c r="F120">
        <f>INDEX(tblServiceEvents[Status],MATCH($A120,tblServiceEvents[Event #],0))</f>
        <v/>
      </c>
      <c r="G120">
        <f>INDEX(tblServiceEvents[City],MATCH($A120,tblServiceEvents[Event #],0))</f>
        <v/>
      </c>
      <c r="H120">
        <f>INDEX(tblServiceEvents[Jurisdiction],MATCH($A120,tblServiceEvents[Event #],0))</f>
        <v/>
      </c>
      <c r="I120">
        <f>COUNTIF(tblLedger[Event #],A120)</f>
        <v/>
      </c>
      <c r="J120">
        <f>IF(COUNTIF(tblServiceEvents[Event #],A120)&gt;1,"Yes","No")</f>
        <v/>
      </c>
      <c r="K120">
        <f>IF(C120="","Yes","No")</f>
        <v/>
      </c>
      <c r="L120">
        <f>IF(B120="","Yes","No")</f>
        <v/>
      </c>
      <c r="M120">
        <f>IF(OR(G120="",H120=""),"Yes","No")</f>
        <v/>
      </c>
      <c r="N120">
        <f>IF(COUNTIF({"Monday","Tuesday","Wednesday","Thursday","Friday"},D120)=0,"Yes","No")</f>
        <v/>
      </c>
      <c r="O120">
        <f>IF(COUNTIF({"MY_MONTH 1","MY_MONTH 2","MY_MONTH 3"},E120)=0,"Yes","No")</f>
        <v/>
      </c>
      <c r="P120">
        <f>IF(J120="Yes","Duplicate Event #",IF(K120="Yes","Missing Date",IF(L120="Yes","Missing Client",IF(M120="Yes","Missing Location",IF(N120="Yes","Unknown Weekday",IF(O120="Yes","Unknown MY_MONTH",IF(I120=0,"No Linked WO","OK")))))))</f>
        <v/>
      </c>
      <c r="Q120">
        <f>IF(J120="Yes","Critical",IF(OR(K120="Yes",L120="Yes",M120="Yes",N120="Yes",O120="Yes"),"Warning",IF(I120=0,"Informational","OK")))</f>
        <v/>
      </c>
      <c r="R120">
        <f>IF(P120="OK","No","Yes")</f>
        <v/>
      </c>
    </row>
    <row r="121">
      <c r="A121" t="n">
        <v>22</v>
      </c>
      <c r="B121">
        <f>INDEX(tblServiceEvents[Client],MATCH($A121,tblServiceEvents[Event #],0))</f>
        <v/>
      </c>
      <c r="C121" s="663">
        <f>INDEX(tblServiceEvents[Service Date],MATCH($A121,tblServiceEvents[Event #],0))</f>
        <v/>
      </c>
      <c r="D121">
        <f>INDEX(tblServiceEvents[Weekday],MATCH($A121,tblServiceEvents[Event #],0))</f>
        <v/>
      </c>
      <c r="E121">
        <f>INDEX(tblServiceEvents[MY_MONTH],MATCH($A121,tblServiceEvents[Event #],0))</f>
        <v/>
      </c>
      <c r="F121">
        <f>INDEX(tblServiceEvents[Status],MATCH($A121,tblServiceEvents[Event #],0))</f>
        <v/>
      </c>
      <c r="G121">
        <f>INDEX(tblServiceEvents[City],MATCH($A121,tblServiceEvents[Event #],0))</f>
        <v/>
      </c>
      <c r="H121">
        <f>INDEX(tblServiceEvents[Jurisdiction],MATCH($A121,tblServiceEvents[Event #],0))</f>
        <v/>
      </c>
      <c r="I121">
        <f>COUNTIF(tblLedger[Event #],A121)</f>
        <v/>
      </c>
      <c r="J121">
        <f>IF(COUNTIF(tblServiceEvents[Event #],A121)&gt;1,"Yes","No")</f>
        <v/>
      </c>
      <c r="K121">
        <f>IF(C121="","Yes","No")</f>
        <v/>
      </c>
      <c r="L121">
        <f>IF(B121="","Yes","No")</f>
        <v/>
      </c>
      <c r="M121">
        <f>IF(OR(G121="",H121=""),"Yes","No")</f>
        <v/>
      </c>
      <c r="N121">
        <f>IF(COUNTIF({"Monday","Tuesday","Wednesday","Thursday","Friday"},D121)=0,"Yes","No")</f>
        <v/>
      </c>
      <c r="O121">
        <f>IF(COUNTIF({"MY_MONTH 1","MY_MONTH 2","MY_MONTH 3"},E121)=0,"Yes","No")</f>
        <v/>
      </c>
      <c r="P121">
        <f>IF(J121="Yes","Duplicate Event #",IF(K121="Yes","Missing Date",IF(L121="Yes","Missing Client",IF(M121="Yes","Missing Location",IF(N121="Yes","Unknown Weekday",IF(O121="Yes","Unknown MY_MONTH",IF(I121=0,"No Linked WO","OK")))))))</f>
        <v/>
      </c>
      <c r="Q121">
        <f>IF(J121="Yes","Critical",IF(OR(K121="Yes",L121="Yes",M121="Yes",N121="Yes",O121="Yes"),"Warning",IF(I121=0,"Informational","OK")))</f>
        <v/>
      </c>
      <c r="R121">
        <f>IF(P121="OK","No","Yes")</f>
        <v/>
      </c>
    </row>
    <row r="122">
      <c r="A122" t="n">
        <v>23</v>
      </c>
      <c r="B122">
        <f>INDEX(tblServiceEvents[Client],MATCH($A122,tblServiceEvents[Event #],0))</f>
        <v/>
      </c>
      <c r="C122" s="663">
        <f>INDEX(tblServiceEvents[Service Date],MATCH($A122,tblServiceEvents[Event #],0))</f>
        <v/>
      </c>
      <c r="D122">
        <f>INDEX(tblServiceEvents[Weekday],MATCH($A122,tblServiceEvents[Event #],0))</f>
        <v/>
      </c>
      <c r="E122">
        <f>INDEX(tblServiceEvents[MY_MONTH],MATCH($A122,tblServiceEvents[Event #],0))</f>
        <v/>
      </c>
      <c r="F122">
        <f>INDEX(tblServiceEvents[Status],MATCH($A122,tblServiceEvents[Event #],0))</f>
        <v/>
      </c>
      <c r="G122">
        <f>INDEX(tblServiceEvents[City],MATCH($A122,tblServiceEvents[Event #],0))</f>
        <v/>
      </c>
      <c r="H122">
        <f>INDEX(tblServiceEvents[Jurisdiction],MATCH($A122,tblServiceEvents[Event #],0))</f>
        <v/>
      </c>
      <c r="I122">
        <f>COUNTIF(tblLedger[Event #],A122)</f>
        <v/>
      </c>
      <c r="J122">
        <f>IF(COUNTIF(tblServiceEvents[Event #],A122)&gt;1,"Yes","No")</f>
        <v/>
      </c>
      <c r="K122">
        <f>IF(C122="","Yes","No")</f>
        <v/>
      </c>
      <c r="L122">
        <f>IF(B122="","Yes","No")</f>
        <v/>
      </c>
      <c r="M122">
        <f>IF(OR(G122="",H122=""),"Yes","No")</f>
        <v/>
      </c>
      <c r="N122">
        <f>IF(COUNTIF({"Monday","Tuesday","Wednesday","Thursday","Friday"},D122)=0,"Yes","No")</f>
        <v/>
      </c>
      <c r="O122">
        <f>IF(COUNTIF({"MY_MONTH 1","MY_MONTH 2","MY_MONTH 3"},E122)=0,"Yes","No")</f>
        <v/>
      </c>
      <c r="P122">
        <f>IF(J122="Yes","Duplicate Event #",IF(K122="Yes","Missing Date",IF(L122="Yes","Missing Client",IF(M122="Yes","Missing Location",IF(N122="Yes","Unknown Weekday",IF(O122="Yes","Unknown MY_MONTH",IF(I122=0,"No Linked WO","OK")))))))</f>
        <v/>
      </c>
      <c r="Q122">
        <f>IF(J122="Yes","Critical",IF(OR(K122="Yes",L122="Yes",M122="Yes",N122="Yes",O122="Yes"),"Warning",IF(I122=0,"Informational","OK")))</f>
        <v/>
      </c>
      <c r="R122">
        <f>IF(P122="OK","No","Yes")</f>
        <v/>
      </c>
    </row>
    <row r="123">
      <c r="A123" t="n">
        <v>24</v>
      </c>
      <c r="B123">
        <f>INDEX(tblServiceEvents[Client],MATCH($A123,tblServiceEvents[Event #],0))</f>
        <v/>
      </c>
      <c r="C123" s="663">
        <f>INDEX(tblServiceEvents[Service Date],MATCH($A123,tblServiceEvents[Event #],0))</f>
        <v/>
      </c>
      <c r="D123">
        <f>INDEX(tblServiceEvents[Weekday],MATCH($A123,tblServiceEvents[Event #],0))</f>
        <v/>
      </c>
      <c r="E123">
        <f>INDEX(tblServiceEvents[MY_MONTH],MATCH($A123,tblServiceEvents[Event #],0))</f>
        <v/>
      </c>
      <c r="F123">
        <f>INDEX(tblServiceEvents[Status],MATCH($A123,tblServiceEvents[Event #],0))</f>
        <v/>
      </c>
      <c r="G123">
        <f>INDEX(tblServiceEvents[City],MATCH($A123,tblServiceEvents[Event #],0))</f>
        <v/>
      </c>
      <c r="H123">
        <f>INDEX(tblServiceEvents[Jurisdiction],MATCH($A123,tblServiceEvents[Event #],0))</f>
        <v/>
      </c>
      <c r="I123">
        <f>COUNTIF(tblLedger[Event #],A123)</f>
        <v/>
      </c>
      <c r="J123">
        <f>IF(COUNTIF(tblServiceEvents[Event #],A123)&gt;1,"Yes","No")</f>
        <v/>
      </c>
      <c r="K123">
        <f>IF(C123="","Yes","No")</f>
        <v/>
      </c>
      <c r="L123">
        <f>IF(B123="","Yes","No")</f>
        <v/>
      </c>
      <c r="M123">
        <f>IF(OR(G123="",H123=""),"Yes","No")</f>
        <v/>
      </c>
      <c r="N123">
        <f>IF(COUNTIF({"Monday","Tuesday","Wednesday","Thursday","Friday"},D123)=0,"Yes","No")</f>
        <v/>
      </c>
      <c r="O123">
        <f>IF(COUNTIF({"MY_MONTH 1","MY_MONTH 2","MY_MONTH 3"},E123)=0,"Yes","No")</f>
        <v/>
      </c>
      <c r="P123">
        <f>IF(J123="Yes","Duplicate Event #",IF(K123="Yes","Missing Date",IF(L123="Yes","Missing Client",IF(M123="Yes","Missing Location",IF(N123="Yes","Unknown Weekday",IF(O123="Yes","Unknown MY_MONTH",IF(I123=0,"No Linked WO","OK")))))))</f>
        <v/>
      </c>
      <c r="Q123">
        <f>IF(J123="Yes","Critical",IF(OR(K123="Yes",L123="Yes",M123="Yes",N123="Yes",O123="Yes"),"Warning",IF(I123=0,"Informational","OK")))</f>
        <v/>
      </c>
      <c r="R123">
        <f>IF(P123="OK","No","Yes")</f>
        <v/>
      </c>
    </row>
    <row r="124">
      <c r="A124" t="n">
        <v>25</v>
      </c>
      <c r="B124">
        <f>INDEX(tblServiceEvents[Client],MATCH($A124,tblServiceEvents[Event #],0))</f>
        <v/>
      </c>
      <c r="C124" s="663">
        <f>INDEX(tblServiceEvents[Service Date],MATCH($A124,tblServiceEvents[Event #],0))</f>
        <v/>
      </c>
      <c r="D124">
        <f>INDEX(tblServiceEvents[Weekday],MATCH($A124,tblServiceEvents[Event #],0))</f>
        <v/>
      </c>
      <c r="E124">
        <f>INDEX(tblServiceEvents[MY_MONTH],MATCH($A124,tblServiceEvents[Event #],0))</f>
        <v/>
      </c>
      <c r="F124">
        <f>INDEX(tblServiceEvents[Status],MATCH($A124,tblServiceEvents[Event #],0))</f>
        <v/>
      </c>
      <c r="G124">
        <f>INDEX(tblServiceEvents[City],MATCH($A124,tblServiceEvents[Event #],0))</f>
        <v/>
      </c>
      <c r="H124">
        <f>INDEX(tblServiceEvents[Jurisdiction],MATCH($A124,tblServiceEvents[Event #],0))</f>
        <v/>
      </c>
      <c r="I124">
        <f>COUNTIF(tblLedger[Event #],A124)</f>
        <v/>
      </c>
      <c r="J124">
        <f>IF(COUNTIF(tblServiceEvents[Event #],A124)&gt;1,"Yes","No")</f>
        <v/>
      </c>
      <c r="K124">
        <f>IF(C124="","Yes","No")</f>
        <v/>
      </c>
      <c r="L124">
        <f>IF(B124="","Yes","No")</f>
        <v/>
      </c>
      <c r="M124">
        <f>IF(OR(G124="",H124=""),"Yes","No")</f>
        <v/>
      </c>
      <c r="N124">
        <f>IF(COUNTIF({"Monday","Tuesday","Wednesday","Thursday","Friday"},D124)=0,"Yes","No")</f>
        <v/>
      </c>
      <c r="O124">
        <f>IF(COUNTIF({"MY_MONTH 1","MY_MONTH 2","MY_MONTH 3"},E124)=0,"Yes","No")</f>
        <v/>
      </c>
      <c r="P124">
        <f>IF(J124="Yes","Duplicate Event #",IF(K124="Yes","Missing Date",IF(L124="Yes","Missing Client",IF(M124="Yes","Missing Location",IF(N124="Yes","Unknown Weekday",IF(O124="Yes","Unknown MY_MONTH",IF(I124=0,"No Linked WO","OK")))))))</f>
        <v/>
      </c>
      <c r="Q124">
        <f>IF(J124="Yes","Critical",IF(OR(K124="Yes",L124="Yes",M124="Yes",N124="Yes",O124="Yes"),"Warning",IF(I124=0,"Informational","OK")))</f>
        <v/>
      </c>
      <c r="R124">
        <f>IF(P124="OK","No","Yes")</f>
        <v/>
      </c>
    </row>
    <row r="125">
      <c r="A125" t="n">
        <v>26</v>
      </c>
      <c r="B125">
        <f>INDEX(tblServiceEvents[Client],MATCH($A125,tblServiceEvents[Event #],0))</f>
        <v/>
      </c>
      <c r="C125" s="663">
        <f>INDEX(tblServiceEvents[Service Date],MATCH($A125,tblServiceEvents[Event #],0))</f>
        <v/>
      </c>
      <c r="D125">
        <f>INDEX(tblServiceEvents[Weekday],MATCH($A125,tblServiceEvents[Event #],0))</f>
        <v/>
      </c>
      <c r="E125">
        <f>INDEX(tblServiceEvents[MY_MONTH],MATCH($A125,tblServiceEvents[Event #],0))</f>
        <v/>
      </c>
      <c r="F125">
        <f>INDEX(tblServiceEvents[Status],MATCH($A125,tblServiceEvents[Event #],0))</f>
        <v/>
      </c>
      <c r="G125">
        <f>INDEX(tblServiceEvents[City],MATCH($A125,tblServiceEvents[Event #],0))</f>
        <v/>
      </c>
      <c r="H125">
        <f>INDEX(tblServiceEvents[Jurisdiction],MATCH($A125,tblServiceEvents[Event #],0))</f>
        <v/>
      </c>
      <c r="I125">
        <f>COUNTIF(tblLedger[Event #],A125)</f>
        <v/>
      </c>
      <c r="J125">
        <f>IF(COUNTIF(tblServiceEvents[Event #],A125)&gt;1,"Yes","No")</f>
        <v/>
      </c>
      <c r="K125">
        <f>IF(C125="","Yes","No")</f>
        <v/>
      </c>
      <c r="L125">
        <f>IF(B125="","Yes","No")</f>
        <v/>
      </c>
      <c r="M125">
        <f>IF(OR(G125="",H125=""),"Yes","No")</f>
        <v/>
      </c>
      <c r="N125">
        <f>IF(COUNTIF({"Monday","Tuesday","Wednesday","Thursday","Friday"},D125)=0,"Yes","No")</f>
        <v/>
      </c>
      <c r="O125">
        <f>IF(COUNTIF({"MY_MONTH 1","MY_MONTH 2","MY_MONTH 3"},E125)=0,"Yes","No")</f>
        <v/>
      </c>
      <c r="P125">
        <f>IF(J125="Yes","Duplicate Event #",IF(K125="Yes","Missing Date",IF(L125="Yes","Missing Client",IF(M125="Yes","Missing Location",IF(N125="Yes","Unknown Weekday",IF(O125="Yes","Unknown MY_MONTH",IF(I125=0,"No Linked WO","OK")))))))</f>
        <v/>
      </c>
      <c r="Q125">
        <f>IF(J125="Yes","Critical",IF(OR(K125="Yes",L125="Yes",M125="Yes",N125="Yes",O125="Yes"),"Warning",IF(I125=0,"Informational","OK")))</f>
        <v/>
      </c>
      <c r="R125">
        <f>IF(P125="OK","No","Yes")</f>
        <v/>
      </c>
    </row>
    <row r="126">
      <c r="A126" t="n">
        <v>27</v>
      </c>
      <c r="B126">
        <f>INDEX(tblServiceEvents[Client],MATCH($A126,tblServiceEvents[Event #],0))</f>
        <v/>
      </c>
      <c r="C126" s="663">
        <f>INDEX(tblServiceEvents[Service Date],MATCH($A126,tblServiceEvents[Event #],0))</f>
        <v/>
      </c>
      <c r="D126">
        <f>INDEX(tblServiceEvents[Weekday],MATCH($A126,tblServiceEvents[Event #],0))</f>
        <v/>
      </c>
      <c r="E126">
        <f>INDEX(tblServiceEvents[MY_MONTH],MATCH($A126,tblServiceEvents[Event #],0))</f>
        <v/>
      </c>
      <c r="F126">
        <f>INDEX(tblServiceEvents[Status],MATCH($A126,tblServiceEvents[Event #],0))</f>
        <v/>
      </c>
      <c r="G126">
        <f>INDEX(tblServiceEvents[City],MATCH($A126,tblServiceEvents[Event #],0))</f>
        <v/>
      </c>
      <c r="H126">
        <f>INDEX(tblServiceEvents[Jurisdiction],MATCH($A126,tblServiceEvents[Event #],0))</f>
        <v/>
      </c>
      <c r="I126">
        <f>COUNTIF(tblLedger[Event #],A126)</f>
        <v/>
      </c>
      <c r="J126">
        <f>IF(COUNTIF(tblServiceEvents[Event #],A126)&gt;1,"Yes","No")</f>
        <v/>
      </c>
      <c r="K126">
        <f>IF(C126="","Yes","No")</f>
        <v/>
      </c>
      <c r="L126">
        <f>IF(B126="","Yes","No")</f>
        <v/>
      </c>
      <c r="M126">
        <f>IF(OR(G126="",H126=""),"Yes","No")</f>
        <v/>
      </c>
      <c r="N126">
        <f>IF(COUNTIF({"Monday","Tuesday","Wednesday","Thursday","Friday"},D126)=0,"Yes","No")</f>
        <v/>
      </c>
      <c r="O126">
        <f>IF(COUNTIF({"MY_MONTH 1","MY_MONTH 2","MY_MONTH 3"},E126)=0,"Yes","No")</f>
        <v/>
      </c>
      <c r="P126">
        <f>IF(J126="Yes","Duplicate Event #",IF(K126="Yes","Missing Date",IF(L126="Yes","Missing Client",IF(M126="Yes","Missing Location",IF(N126="Yes","Unknown Weekday",IF(O126="Yes","Unknown MY_MONTH",IF(I126=0,"No Linked WO","OK")))))))</f>
        <v/>
      </c>
      <c r="Q126">
        <f>IF(J126="Yes","Critical",IF(OR(K126="Yes",L126="Yes",M126="Yes",N126="Yes",O126="Yes"),"Warning",IF(I126=0,"Informational","OK")))</f>
        <v/>
      </c>
      <c r="R126">
        <f>IF(P126="OK","No","Yes")</f>
        <v/>
      </c>
    </row>
    <row r="127">
      <c r="A127" t="n">
        <v>28</v>
      </c>
      <c r="B127">
        <f>INDEX(tblServiceEvents[Client],MATCH($A127,tblServiceEvents[Event #],0))</f>
        <v/>
      </c>
      <c r="C127" s="663">
        <f>INDEX(tblServiceEvents[Service Date],MATCH($A127,tblServiceEvents[Event #],0))</f>
        <v/>
      </c>
      <c r="D127">
        <f>INDEX(tblServiceEvents[Weekday],MATCH($A127,tblServiceEvents[Event #],0))</f>
        <v/>
      </c>
      <c r="E127">
        <f>INDEX(tblServiceEvents[MY_MONTH],MATCH($A127,tblServiceEvents[Event #],0))</f>
        <v/>
      </c>
      <c r="F127">
        <f>INDEX(tblServiceEvents[Status],MATCH($A127,tblServiceEvents[Event #],0))</f>
        <v/>
      </c>
      <c r="G127">
        <f>INDEX(tblServiceEvents[City],MATCH($A127,tblServiceEvents[Event #],0))</f>
        <v/>
      </c>
      <c r="H127">
        <f>INDEX(tblServiceEvents[Jurisdiction],MATCH($A127,tblServiceEvents[Event #],0))</f>
        <v/>
      </c>
      <c r="I127">
        <f>COUNTIF(tblLedger[Event #],A127)</f>
        <v/>
      </c>
      <c r="J127">
        <f>IF(COUNTIF(tblServiceEvents[Event #],A127)&gt;1,"Yes","No")</f>
        <v/>
      </c>
      <c r="K127">
        <f>IF(C127="","Yes","No")</f>
        <v/>
      </c>
      <c r="L127">
        <f>IF(B127="","Yes","No")</f>
        <v/>
      </c>
      <c r="M127">
        <f>IF(OR(G127="",H127=""),"Yes","No")</f>
        <v/>
      </c>
      <c r="N127">
        <f>IF(COUNTIF({"Monday","Tuesday","Wednesday","Thursday","Friday"},D127)=0,"Yes","No")</f>
        <v/>
      </c>
      <c r="O127">
        <f>IF(COUNTIF({"MY_MONTH 1","MY_MONTH 2","MY_MONTH 3"},E127)=0,"Yes","No")</f>
        <v/>
      </c>
      <c r="P127">
        <f>IF(J127="Yes","Duplicate Event #",IF(K127="Yes","Missing Date",IF(L127="Yes","Missing Client",IF(M127="Yes","Missing Location",IF(N127="Yes","Unknown Weekday",IF(O127="Yes","Unknown MY_MONTH",IF(I127=0,"No Linked WO","OK")))))))</f>
        <v/>
      </c>
      <c r="Q127">
        <f>IF(J127="Yes","Critical",IF(OR(K127="Yes",L127="Yes",M127="Yes",N127="Yes",O127="Yes"),"Warning",IF(I127=0,"Informational","OK")))</f>
        <v/>
      </c>
      <c r="R127">
        <f>IF(P127="OK","No","Yes")</f>
        <v/>
      </c>
    </row>
    <row r="128">
      <c r="A128" t="n">
        <v>29</v>
      </c>
      <c r="B128">
        <f>INDEX(tblServiceEvents[Client],MATCH($A128,tblServiceEvents[Event #],0))</f>
        <v/>
      </c>
      <c r="C128" s="663">
        <f>INDEX(tblServiceEvents[Service Date],MATCH($A128,tblServiceEvents[Event #],0))</f>
        <v/>
      </c>
      <c r="D128">
        <f>INDEX(tblServiceEvents[Weekday],MATCH($A128,tblServiceEvents[Event #],0))</f>
        <v/>
      </c>
      <c r="E128">
        <f>INDEX(tblServiceEvents[MY_MONTH],MATCH($A128,tblServiceEvents[Event #],0))</f>
        <v/>
      </c>
      <c r="F128">
        <f>INDEX(tblServiceEvents[Status],MATCH($A128,tblServiceEvents[Event #],0))</f>
        <v/>
      </c>
      <c r="G128">
        <f>INDEX(tblServiceEvents[City],MATCH($A128,tblServiceEvents[Event #],0))</f>
        <v/>
      </c>
      <c r="H128">
        <f>INDEX(tblServiceEvents[Jurisdiction],MATCH($A128,tblServiceEvents[Event #],0))</f>
        <v/>
      </c>
      <c r="I128">
        <f>COUNTIF(tblLedger[Event #],A128)</f>
        <v/>
      </c>
      <c r="J128">
        <f>IF(COUNTIF(tblServiceEvents[Event #],A128)&gt;1,"Yes","No")</f>
        <v/>
      </c>
      <c r="K128">
        <f>IF(C128="","Yes","No")</f>
        <v/>
      </c>
      <c r="L128">
        <f>IF(B128="","Yes","No")</f>
        <v/>
      </c>
      <c r="M128">
        <f>IF(OR(G128="",H128=""),"Yes","No")</f>
        <v/>
      </c>
      <c r="N128">
        <f>IF(COUNTIF({"Monday","Tuesday","Wednesday","Thursday","Friday"},D128)=0,"Yes","No")</f>
        <v/>
      </c>
      <c r="O128">
        <f>IF(COUNTIF({"MY_MONTH 1","MY_MONTH 2","MY_MONTH 3"},E128)=0,"Yes","No")</f>
        <v/>
      </c>
      <c r="P128">
        <f>IF(J128="Yes","Duplicate Event #",IF(K128="Yes","Missing Date",IF(L128="Yes","Missing Client",IF(M128="Yes","Missing Location",IF(N128="Yes","Unknown Weekday",IF(O128="Yes","Unknown MY_MONTH",IF(I128=0,"No Linked WO","OK")))))))</f>
        <v/>
      </c>
      <c r="Q128">
        <f>IF(J128="Yes","Critical",IF(OR(K128="Yes",L128="Yes",M128="Yes",N128="Yes",O128="Yes"),"Warning",IF(I128=0,"Informational","OK")))</f>
        <v/>
      </c>
      <c r="R128">
        <f>IF(P128="OK","No","Yes")</f>
        <v/>
      </c>
    </row>
    <row r="129">
      <c r="A129" t="n">
        <v>30</v>
      </c>
      <c r="B129">
        <f>INDEX(tblServiceEvents[Client],MATCH($A129,tblServiceEvents[Event #],0))</f>
        <v/>
      </c>
      <c r="C129" s="663">
        <f>INDEX(tblServiceEvents[Service Date],MATCH($A129,tblServiceEvents[Event #],0))</f>
        <v/>
      </c>
      <c r="D129">
        <f>INDEX(tblServiceEvents[Weekday],MATCH($A129,tblServiceEvents[Event #],0))</f>
        <v/>
      </c>
      <c r="E129">
        <f>INDEX(tblServiceEvents[MY_MONTH],MATCH($A129,tblServiceEvents[Event #],0))</f>
        <v/>
      </c>
      <c r="F129">
        <f>INDEX(tblServiceEvents[Status],MATCH($A129,tblServiceEvents[Event #],0))</f>
        <v/>
      </c>
      <c r="G129">
        <f>INDEX(tblServiceEvents[City],MATCH($A129,tblServiceEvents[Event #],0))</f>
        <v/>
      </c>
      <c r="H129">
        <f>INDEX(tblServiceEvents[Jurisdiction],MATCH($A129,tblServiceEvents[Event #],0))</f>
        <v/>
      </c>
      <c r="I129">
        <f>COUNTIF(tblLedger[Event #],A129)</f>
        <v/>
      </c>
      <c r="J129">
        <f>IF(COUNTIF(tblServiceEvents[Event #],A129)&gt;1,"Yes","No")</f>
        <v/>
      </c>
      <c r="K129">
        <f>IF(C129="","Yes","No")</f>
        <v/>
      </c>
      <c r="L129">
        <f>IF(B129="","Yes","No")</f>
        <v/>
      </c>
      <c r="M129">
        <f>IF(OR(G129="",H129=""),"Yes","No")</f>
        <v/>
      </c>
      <c r="N129">
        <f>IF(COUNTIF({"Monday","Tuesday","Wednesday","Thursday","Friday"},D129)=0,"Yes","No")</f>
        <v/>
      </c>
      <c r="O129">
        <f>IF(COUNTIF({"MY_MONTH 1","MY_MONTH 2","MY_MONTH 3"},E129)=0,"Yes","No")</f>
        <v/>
      </c>
      <c r="P129">
        <f>IF(J129="Yes","Duplicate Event #",IF(K129="Yes","Missing Date",IF(L129="Yes","Missing Client",IF(M129="Yes","Missing Location",IF(N129="Yes","Unknown Weekday",IF(O129="Yes","Unknown MY_MONTH",IF(I129=0,"No Linked WO","OK")))))))</f>
        <v/>
      </c>
      <c r="Q129">
        <f>IF(J129="Yes","Critical",IF(OR(K129="Yes",L129="Yes",M129="Yes",N129="Yes",O129="Yes"),"Warning",IF(I129=0,"Informational","OK")))</f>
        <v/>
      </c>
      <c r="R129">
        <f>IF(P129="OK","No","Yes")</f>
        <v/>
      </c>
    </row>
    <row r="130">
      <c r="A130" t="n">
        <v>31</v>
      </c>
      <c r="B130">
        <f>INDEX(tblServiceEvents[Client],MATCH($A130,tblServiceEvents[Event #],0))</f>
        <v/>
      </c>
      <c r="C130" s="663">
        <f>INDEX(tblServiceEvents[Service Date],MATCH($A130,tblServiceEvents[Event #],0))</f>
        <v/>
      </c>
      <c r="D130">
        <f>INDEX(tblServiceEvents[Weekday],MATCH($A130,tblServiceEvents[Event #],0))</f>
        <v/>
      </c>
      <c r="E130">
        <f>INDEX(tblServiceEvents[MY_MONTH],MATCH($A130,tblServiceEvents[Event #],0))</f>
        <v/>
      </c>
      <c r="F130">
        <f>INDEX(tblServiceEvents[Status],MATCH($A130,tblServiceEvents[Event #],0))</f>
        <v/>
      </c>
      <c r="G130">
        <f>INDEX(tblServiceEvents[City],MATCH($A130,tblServiceEvents[Event #],0))</f>
        <v/>
      </c>
      <c r="H130">
        <f>INDEX(tblServiceEvents[Jurisdiction],MATCH($A130,tblServiceEvents[Event #],0))</f>
        <v/>
      </c>
      <c r="I130">
        <f>COUNTIF(tblLedger[Event #],A130)</f>
        <v/>
      </c>
      <c r="J130">
        <f>IF(COUNTIF(tblServiceEvents[Event #],A130)&gt;1,"Yes","No")</f>
        <v/>
      </c>
      <c r="K130">
        <f>IF(C130="","Yes","No")</f>
        <v/>
      </c>
      <c r="L130">
        <f>IF(B130="","Yes","No")</f>
        <v/>
      </c>
      <c r="M130">
        <f>IF(OR(G130="",H130=""),"Yes","No")</f>
        <v/>
      </c>
      <c r="N130">
        <f>IF(COUNTIF({"Monday","Tuesday","Wednesday","Thursday","Friday"},D130)=0,"Yes","No")</f>
        <v/>
      </c>
      <c r="O130">
        <f>IF(COUNTIF({"MY_MONTH 1","MY_MONTH 2","MY_MONTH 3"},E130)=0,"Yes","No")</f>
        <v/>
      </c>
      <c r="P130">
        <f>IF(J130="Yes","Duplicate Event #",IF(K130="Yes","Missing Date",IF(L130="Yes","Missing Client",IF(M130="Yes","Missing Location",IF(N130="Yes","Unknown Weekday",IF(O130="Yes","Unknown MY_MONTH",IF(I130=0,"No Linked WO","OK")))))))</f>
        <v/>
      </c>
      <c r="Q130">
        <f>IF(J130="Yes","Critical",IF(OR(K130="Yes",L130="Yes",M130="Yes",N130="Yes",O130="Yes"),"Warning",IF(I130=0,"Informational","OK")))</f>
        <v/>
      </c>
      <c r="R130">
        <f>IF(P130="OK","No","Yes")</f>
        <v/>
      </c>
    </row>
    <row r="131">
      <c r="A131" t="n">
        <v>32</v>
      </c>
      <c r="B131">
        <f>INDEX(tblServiceEvents[Client],MATCH($A131,tblServiceEvents[Event #],0))</f>
        <v/>
      </c>
      <c r="C131" s="663">
        <f>INDEX(tblServiceEvents[Service Date],MATCH($A131,tblServiceEvents[Event #],0))</f>
        <v/>
      </c>
      <c r="D131">
        <f>INDEX(tblServiceEvents[Weekday],MATCH($A131,tblServiceEvents[Event #],0))</f>
        <v/>
      </c>
      <c r="E131">
        <f>INDEX(tblServiceEvents[MY_MONTH],MATCH($A131,tblServiceEvents[Event #],0))</f>
        <v/>
      </c>
      <c r="F131">
        <f>INDEX(tblServiceEvents[Status],MATCH($A131,tblServiceEvents[Event #],0))</f>
        <v/>
      </c>
      <c r="G131">
        <f>INDEX(tblServiceEvents[City],MATCH($A131,tblServiceEvents[Event #],0))</f>
        <v/>
      </c>
      <c r="H131">
        <f>INDEX(tblServiceEvents[Jurisdiction],MATCH($A131,tblServiceEvents[Event #],0))</f>
        <v/>
      </c>
      <c r="I131">
        <f>COUNTIF(tblLedger[Event #],A131)</f>
        <v/>
      </c>
      <c r="J131">
        <f>IF(COUNTIF(tblServiceEvents[Event #],A131)&gt;1,"Yes","No")</f>
        <v/>
      </c>
      <c r="K131">
        <f>IF(C131="","Yes","No")</f>
        <v/>
      </c>
      <c r="L131">
        <f>IF(B131="","Yes","No")</f>
        <v/>
      </c>
      <c r="M131">
        <f>IF(OR(G131="",H131=""),"Yes","No")</f>
        <v/>
      </c>
      <c r="N131">
        <f>IF(COUNTIF({"Monday","Tuesday","Wednesday","Thursday","Friday"},D131)=0,"Yes","No")</f>
        <v/>
      </c>
      <c r="O131">
        <f>IF(COUNTIF({"MY_MONTH 1","MY_MONTH 2","MY_MONTH 3"},E131)=0,"Yes","No")</f>
        <v/>
      </c>
      <c r="P131">
        <f>IF(J131="Yes","Duplicate Event #",IF(K131="Yes","Missing Date",IF(L131="Yes","Missing Client",IF(M131="Yes","Missing Location",IF(N131="Yes","Unknown Weekday",IF(O131="Yes","Unknown MY_MONTH",IF(I131=0,"No Linked WO","OK")))))))</f>
        <v/>
      </c>
      <c r="Q131">
        <f>IF(J131="Yes","Critical",IF(OR(K131="Yes",L131="Yes",M131="Yes",N131="Yes",O131="Yes"),"Warning",IF(I131=0,"Informational","OK")))</f>
        <v/>
      </c>
      <c r="R131">
        <f>IF(P131="OK","No","Yes")</f>
        <v/>
      </c>
    </row>
    <row r="132">
      <c r="A132" t="n">
        <v>33</v>
      </c>
      <c r="B132">
        <f>INDEX(tblServiceEvents[Client],MATCH($A132,tblServiceEvents[Event #],0))</f>
        <v/>
      </c>
      <c r="C132" s="663">
        <f>INDEX(tblServiceEvents[Service Date],MATCH($A132,tblServiceEvents[Event #],0))</f>
        <v/>
      </c>
      <c r="D132">
        <f>INDEX(tblServiceEvents[Weekday],MATCH($A132,tblServiceEvents[Event #],0))</f>
        <v/>
      </c>
      <c r="E132">
        <f>INDEX(tblServiceEvents[MY_MONTH],MATCH($A132,tblServiceEvents[Event #],0))</f>
        <v/>
      </c>
      <c r="F132">
        <f>INDEX(tblServiceEvents[Status],MATCH($A132,tblServiceEvents[Event #],0))</f>
        <v/>
      </c>
      <c r="G132">
        <f>INDEX(tblServiceEvents[City],MATCH($A132,tblServiceEvents[Event #],0))</f>
        <v/>
      </c>
      <c r="H132">
        <f>INDEX(tblServiceEvents[Jurisdiction],MATCH($A132,tblServiceEvents[Event #],0))</f>
        <v/>
      </c>
      <c r="I132">
        <f>COUNTIF(tblLedger[Event #],A132)</f>
        <v/>
      </c>
      <c r="J132">
        <f>IF(COUNTIF(tblServiceEvents[Event #],A132)&gt;1,"Yes","No")</f>
        <v/>
      </c>
      <c r="K132">
        <f>IF(C132="","Yes","No")</f>
        <v/>
      </c>
      <c r="L132">
        <f>IF(B132="","Yes","No")</f>
        <v/>
      </c>
      <c r="M132">
        <f>IF(OR(G132="",H132=""),"Yes","No")</f>
        <v/>
      </c>
      <c r="N132">
        <f>IF(COUNTIF({"Monday","Tuesday","Wednesday","Thursday","Friday"},D132)=0,"Yes","No")</f>
        <v/>
      </c>
      <c r="O132">
        <f>IF(COUNTIF({"MY_MONTH 1","MY_MONTH 2","MY_MONTH 3"},E132)=0,"Yes","No")</f>
        <v/>
      </c>
      <c r="P132">
        <f>IF(J132="Yes","Duplicate Event #",IF(K132="Yes","Missing Date",IF(L132="Yes","Missing Client",IF(M132="Yes","Missing Location",IF(N132="Yes","Unknown Weekday",IF(O132="Yes","Unknown MY_MONTH",IF(I132=0,"No Linked WO","OK")))))))</f>
        <v/>
      </c>
      <c r="Q132">
        <f>IF(J132="Yes","Critical",IF(OR(K132="Yes",L132="Yes",M132="Yes",N132="Yes",O132="Yes"),"Warning",IF(I132=0,"Informational","OK")))</f>
        <v/>
      </c>
      <c r="R132">
        <f>IF(P132="OK","No","Yes")</f>
        <v/>
      </c>
    </row>
    <row r="133">
      <c r="A133" t="n">
        <v>34</v>
      </c>
      <c r="B133">
        <f>INDEX(tblServiceEvents[Client],MATCH($A133,tblServiceEvents[Event #],0))</f>
        <v/>
      </c>
      <c r="C133" s="663">
        <f>INDEX(tblServiceEvents[Service Date],MATCH($A133,tblServiceEvents[Event #],0))</f>
        <v/>
      </c>
      <c r="D133">
        <f>INDEX(tblServiceEvents[Weekday],MATCH($A133,tblServiceEvents[Event #],0))</f>
        <v/>
      </c>
      <c r="E133">
        <f>INDEX(tblServiceEvents[MY_MONTH],MATCH($A133,tblServiceEvents[Event #],0))</f>
        <v/>
      </c>
      <c r="F133">
        <f>INDEX(tblServiceEvents[Status],MATCH($A133,tblServiceEvents[Event #],0))</f>
        <v/>
      </c>
      <c r="G133">
        <f>INDEX(tblServiceEvents[City],MATCH($A133,tblServiceEvents[Event #],0))</f>
        <v/>
      </c>
      <c r="H133">
        <f>INDEX(tblServiceEvents[Jurisdiction],MATCH($A133,tblServiceEvents[Event #],0))</f>
        <v/>
      </c>
      <c r="I133">
        <f>COUNTIF(tblLedger[Event #],A133)</f>
        <v/>
      </c>
      <c r="J133">
        <f>IF(COUNTIF(tblServiceEvents[Event #],A133)&gt;1,"Yes","No")</f>
        <v/>
      </c>
      <c r="K133">
        <f>IF(C133="","Yes","No")</f>
        <v/>
      </c>
      <c r="L133">
        <f>IF(B133="","Yes","No")</f>
        <v/>
      </c>
      <c r="M133">
        <f>IF(OR(G133="",H133=""),"Yes","No")</f>
        <v/>
      </c>
      <c r="N133">
        <f>IF(COUNTIF({"Monday","Tuesday","Wednesday","Thursday","Friday"},D133)=0,"Yes","No")</f>
        <v/>
      </c>
      <c r="O133">
        <f>IF(COUNTIF({"MY_MONTH 1","MY_MONTH 2","MY_MONTH 3"},E133)=0,"Yes","No")</f>
        <v/>
      </c>
      <c r="P133">
        <f>IF(J133="Yes","Duplicate Event #",IF(K133="Yes","Missing Date",IF(L133="Yes","Missing Client",IF(M133="Yes","Missing Location",IF(N133="Yes","Unknown Weekday",IF(O133="Yes","Unknown MY_MONTH",IF(I133=0,"No Linked WO","OK")))))))</f>
        <v/>
      </c>
      <c r="Q133">
        <f>IF(J133="Yes","Critical",IF(OR(K133="Yes",L133="Yes",M133="Yes",N133="Yes",O133="Yes"),"Warning",IF(I133=0,"Informational","OK")))</f>
        <v/>
      </c>
      <c r="R133">
        <f>IF(P133="OK","No","Yes")</f>
        <v/>
      </c>
    </row>
    <row r="134">
      <c r="A134" t="n">
        <v>35</v>
      </c>
      <c r="B134">
        <f>INDEX(tblServiceEvents[Client],MATCH($A134,tblServiceEvents[Event #],0))</f>
        <v/>
      </c>
      <c r="C134" s="663">
        <f>INDEX(tblServiceEvents[Service Date],MATCH($A134,tblServiceEvents[Event #],0))</f>
        <v/>
      </c>
      <c r="D134">
        <f>INDEX(tblServiceEvents[Weekday],MATCH($A134,tblServiceEvents[Event #],0))</f>
        <v/>
      </c>
      <c r="E134">
        <f>INDEX(tblServiceEvents[MY_MONTH],MATCH($A134,tblServiceEvents[Event #],0))</f>
        <v/>
      </c>
      <c r="F134">
        <f>INDEX(tblServiceEvents[Status],MATCH($A134,tblServiceEvents[Event #],0))</f>
        <v/>
      </c>
      <c r="G134">
        <f>INDEX(tblServiceEvents[City],MATCH($A134,tblServiceEvents[Event #],0))</f>
        <v/>
      </c>
      <c r="H134">
        <f>INDEX(tblServiceEvents[Jurisdiction],MATCH($A134,tblServiceEvents[Event #],0))</f>
        <v/>
      </c>
      <c r="I134">
        <f>COUNTIF(tblLedger[Event #],A134)</f>
        <v/>
      </c>
      <c r="J134">
        <f>IF(COUNTIF(tblServiceEvents[Event #],A134)&gt;1,"Yes","No")</f>
        <v/>
      </c>
      <c r="K134">
        <f>IF(C134="","Yes","No")</f>
        <v/>
      </c>
      <c r="L134">
        <f>IF(B134="","Yes","No")</f>
        <v/>
      </c>
      <c r="M134">
        <f>IF(OR(G134="",H134=""),"Yes","No")</f>
        <v/>
      </c>
      <c r="N134">
        <f>IF(COUNTIF({"Monday","Tuesday","Wednesday","Thursday","Friday"},D134)=0,"Yes","No")</f>
        <v/>
      </c>
      <c r="O134">
        <f>IF(COUNTIF({"MY_MONTH 1","MY_MONTH 2","MY_MONTH 3"},E134)=0,"Yes","No")</f>
        <v/>
      </c>
      <c r="P134">
        <f>IF(J134="Yes","Duplicate Event #",IF(K134="Yes","Missing Date",IF(L134="Yes","Missing Client",IF(M134="Yes","Missing Location",IF(N134="Yes","Unknown Weekday",IF(O134="Yes","Unknown MY_MONTH",IF(I134=0,"No Linked WO","OK")))))))</f>
        <v/>
      </c>
      <c r="Q134">
        <f>IF(J134="Yes","Critical",IF(OR(K134="Yes",L134="Yes",M134="Yes",N134="Yes",O134="Yes"),"Warning",IF(I134=0,"Informational","OK")))</f>
        <v/>
      </c>
      <c r="R134">
        <f>IF(P134="OK","No","Yes")</f>
        <v/>
      </c>
    </row>
    <row r="135">
      <c r="A135" t="n">
        <v>36</v>
      </c>
      <c r="B135">
        <f>INDEX(tblServiceEvents[Client],MATCH($A135,tblServiceEvents[Event #],0))</f>
        <v/>
      </c>
      <c r="C135" s="663">
        <f>INDEX(tblServiceEvents[Service Date],MATCH($A135,tblServiceEvents[Event #],0))</f>
        <v/>
      </c>
      <c r="D135">
        <f>INDEX(tblServiceEvents[Weekday],MATCH($A135,tblServiceEvents[Event #],0))</f>
        <v/>
      </c>
      <c r="E135">
        <f>INDEX(tblServiceEvents[MY_MONTH],MATCH($A135,tblServiceEvents[Event #],0))</f>
        <v/>
      </c>
      <c r="F135">
        <f>INDEX(tblServiceEvents[Status],MATCH($A135,tblServiceEvents[Event #],0))</f>
        <v/>
      </c>
      <c r="G135">
        <f>INDEX(tblServiceEvents[City],MATCH($A135,tblServiceEvents[Event #],0))</f>
        <v/>
      </c>
      <c r="H135">
        <f>INDEX(tblServiceEvents[Jurisdiction],MATCH($A135,tblServiceEvents[Event #],0))</f>
        <v/>
      </c>
      <c r="I135">
        <f>COUNTIF(tblLedger[Event #],A135)</f>
        <v/>
      </c>
      <c r="J135">
        <f>IF(COUNTIF(tblServiceEvents[Event #],A135)&gt;1,"Yes","No")</f>
        <v/>
      </c>
      <c r="K135">
        <f>IF(C135="","Yes","No")</f>
        <v/>
      </c>
      <c r="L135">
        <f>IF(B135="","Yes","No")</f>
        <v/>
      </c>
      <c r="M135">
        <f>IF(OR(G135="",H135=""),"Yes","No")</f>
        <v/>
      </c>
      <c r="N135">
        <f>IF(COUNTIF({"Monday","Tuesday","Wednesday","Thursday","Friday"},D135)=0,"Yes","No")</f>
        <v/>
      </c>
      <c r="O135">
        <f>IF(COUNTIF({"MY_MONTH 1","MY_MONTH 2","MY_MONTH 3"},E135)=0,"Yes","No")</f>
        <v/>
      </c>
      <c r="P135">
        <f>IF(J135="Yes","Duplicate Event #",IF(K135="Yes","Missing Date",IF(L135="Yes","Missing Client",IF(M135="Yes","Missing Location",IF(N135="Yes","Unknown Weekday",IF(O135="Yes","Unknown MY_MONTH",IF(I135=0,"No Linked WO","OK")))))))</f>
        <v/>
      </c>
      <c r="Q135">
        <f>IF(J135="Yes","Critical",IF(OR(K135="Yes",L135="Yes",M135="Yes",N135="Yes",O135="Yes"),"Warning",IF(I135=0,"Informational","OK")))</f>
        <v/>
      </c>
      <c r="R135">
        <f>IF(P135="OK","No","Yes")</f>
        <v/>
      </c>
    </row>
    <row r="136">
      <c r="A136" t="n">
        <v>37</v>
      </c>
      <c r="B136">
        <f>INDEX(tblServiceEvents[Client],MATCH($A136,tblServiceEvents[Event #],0))</f>
        <v/>
      </c>
      <c r="C136" s="663">
        <f>INDEX(tblServiceEvents[Service Date],MATCH($A136,tblServiceEvents[Event #],0))</f>
        <v/>
      </c>
      <c r="D136">
        <f>INDEX(tblServiceEvents[Weekday],MATCH($A136,tblServiceEvents[Event #],0))</f>
        <v/>
      </c>
      <c r="E136">
        <f>INDEX(tblServiceEvents[MY_MONTH],MATCH($A136,tblServiceEvents[Event #],0))</f>
        <v/>
      </c>
      <c r="F136">
        <f>INDEX(tblServiceEvents[Status],MATCH($A136,tblServiceEvents[Event #],0))</f>
        <v/>
      </c>
      <c r="G136">
        <f>INDEX(tblServiceEvents[City],MATCH($A136,tblServiceEvents[Event #],0))</f>
        <v/>
      </c>
      <c r="H136">
        <f>INDEX(tblServiceEvents[Jurisdiction],MATCH($A136,tblServiceEvents[Event #],0))</f>
        <v/>
      </c>
      <c r="I136">
        <f>COUNTIF(tblLedger[Event #],A136)</f>
        <v/>
      </c>
      <c r="J136">
        <f>IF(COUNTIF(tblServiceEvents[Event #],A136)&gt;1,"Yes","No")</f>
        <v/>
      </c>
      <c r="K136">
        <f>IF(C136="","Yes","No")</f>
        <v/>
      </c>
      <c r="L136">
        <f>IF(B136="","Yes","No")</f>
        <v/>
      </c>
      <c r="M136">
        <f>IF(OR(G136="",H136=""),"Yes","No")</f>
        <v/>
      </c>
      <c r="N136">
        <f>IF(COUNTIF({"Monday","Tuesday","Wednesday","Thursday","Friday"},D136)=0,"Yes","No")</f>
        <v/>
      </c>
      <c r="O136">
        <f>IF(COUNTIF({"MY_MONTH 1","MY_MONTH 2","MY_MONTH 3"},E136)=0,"Yes","No")</f>
        <v/>
      </c>
      <c r="P136">
        <f>IF(J136="Yes","Duplicate Event #",IF(K136="Yes","Missing Date",IF(L136="Yes","Missing Client",IF(M136="Yes","Missing Location",IF(N136="Yes","Unknown Weekday",IF(O136="Yes","Unknown MY_MONTH",IF(I136=0,"No Linked WO","OK")))))))</f>
        <v/>
      </c>
      <c r="Q136">
        <f>IF(J136="Yes","Critical",IF(OR(K136="Yes",L136="Yes",M136="Yes",N136="Yes",O136="Yes"),"Warning",IF(I136=0,"Informational","OK")))</f>
        <v/>
      </c>
      <c r="R136">
        <f>IF(P136="OK","No","Yes")</f>
        <v/>
      </c>
    </row>
    <row r="137">
      <c r="A137" t="n">
        <v>38</v>
      </c>
      <c r="B137">
        <f>INDEX(tblServiceEvents[Client],MATCH($A137,tblServiceEvents[Event #],0))</f>
        <v/>
      </c>
      <c r="C137" s="663">
        <f>INDEX(tblServiceEvents[Service Date],MATCH($A137,tblServiceEvents[Event #],0))</f>
        <v/>
      </c>
      <c r="D137">
        <f>INDEX(tblServiceEvents[Weekday],MATCH($A137,tblServiceEvents[Event #],0))</f>
        <v/>
      </c>
      <c r="E137">
        <f>INDEX(tblServiceEvents[MY_MONTH],MATCH($A137,tblServiceEvents[Event #],0))</f>
        <v/>
      </c>
      <c r="F137">
        <f>INDEX(tblServiceEvents[Status],MATCH($A137,tblServiceEvents[Event #],0))</f>
        <v/>
      </c>
      <c r="G137">
        <f>INDEX(tblServiceEvents[City],MATCH($A137,tblServiceEvents[Event #],0))</f>
        <v/>
      </c>
      <c r="H137">
        <f>INDEX(tblServiceEvents[Jurisdiction],MATCH($A137,tblServiceEvents[Event #],0))</f>
        <v/>
      </c>
      <c r="I137">
        <f>COUNTIF(tblLedger[Event #],A137)</f>
        <v/>
      </c>
      <c r="J137">
        <f>IF(COUNTIF(tblServiceEvents[Event #],A137)&gt;1,"Yes","No")</f>
        <v/>
      </c>
      <c r="K137">
        <f>IF(C137="","Yes","No")</f>
        <v/>
      </c>
      <c r="L137">
        <f>IF(B137="","Yes","No")</f>
        <v/>
      </c>
      <c r="M137">
        <f>IF(OR(G137="",H137=""),"Yes","No")</f>
        <v/>
      </c>
      <c r="N137">
        <f>IF(COUNTIF({"Monday","Tuesday","Wednesday","Thursday","Friday"},D137)=0,"Yes","No")</f>
        <v/>
      </c>
      <c r="O137">
        <f>IF(COUNTIF({"MY_MONTH 1","MY_MONTH 2","MY_MONTH 3"},E137)=0,"Yes","No")</f>
        <v/>
      </c>
      <c r="P137">
        <f>IF(J137="Yes","Duplicate Event #",IF(K137="Yes","Missing Date",IF(L137="Yes","Missing Client",IF(M137="Yes","Missing Location",IF(N137="Yes","Unknown Weekday",IF(O137="Yes","Unknown MY_MONTH",IF(I137=0,"No Linked WO","OK")))))))</f>
        <v/>
      </c>
      <c r="Q137">
        <f>IF(J137="Yes","Critical",IF(OR(K137="Yes",L137="Yes",M137="Yes",N137="Yes",O137="Yes"),"Warning",IF(I137=0,"Informational","OK")))</f>
        <v/>
      </c>
      <c r="R137">
        <f>IF(P137="OK","No","Yes")</f>
        <v/>
      </c>
    </row>
    <row r="138">
      <c r="A138" t="n">
        <v>39</v>
      </c>
      <c r="B138">
        <f>INDEX(tblServiceEvents[Client],MATCH($A138,tblServiceEvents[Event #],0))</f>
        <v/>
      </c>
      <c r="C138" s="663">
        <f>INDEX(tblServiceEvents[Service Date],MATCH($A138,tblServiceEvents[Event #],0))</f>
        <v/>
      </c>
      <c r="D138">
        <f>INDEX(tblServiceEvents[Weekday],MATCH($A138,tblServiceEvents[Event #],0))</f>
        <v/>
      </c>
      <c r="E138">
        <f>INDEX(tblServiceEvents[MY_MONTH],MATCH($A138,tblServiceEvents[Event #],0))</f>
        <v/>
      </c>
      <c r="F138">
        <f>INDEX(tblServiceEvents[Status],MATCH($A138,tblServiceEvents[Event #],0))</f>
        <v/>
      </c>
      <c r="G138">
        <f>INDEX(tblServiceEvents[City],MATCH($A138,tblServiceEvents[Event #],0))</f>
        <v/>
      </c>
      <c r="H138">
        <f>INDEX(tblServiceEvents[Jurisdiction],MATCH($A138,tblServiceEvents[Event #],0))</f>
        <v/>
      </c>
      <c r="I138">
        <f>COUNTIF(tblLedger[Event #],A138)</f>
        <v/>
      </c>
      <c r="J138">
        <f>IF(COUNTIF(tblServiceEvents[Event #],A138)&gt;1,"Yes","No")</f>
        <v/>
      </c>
      <c r="K138">
        <f>IF(C138="","Yes","No")</f>
        <v/>
      </c>
      <c r="L138">
        <f>IF(B138="","Yes","No")</f>
        <v/>
      </c>
      <c r="M138">
        <f>IF(OR(G138="",H138=""),"Yes","No")</f>
        <v/>
      </c>
      <c r="N138">
        <f>IF(COUNTIF({"Monday","Tuesday","Wednesday","Thursday","Friday"},D138)=0,"Yes","No")</f>
        <v/>
      </c>
      <c r="O138">
        <f>IF(COUNTIF({"MY_MONTH 1","MY_MONTH 2","MY_MONTH 3"},E138)=0,"Yes","No")</f>
        <v/>
      </c>
      <c r="P138">
        <f>IF(J138="Yes","Duplicate Event #",IF(K138="Yes","Missing Date",IF(L138="Yes","Missing Client",IF(M138="Yes","Missing Location",IF(N138="Yes","Unknown Weekday",IF(O138="Yes","Unknown MY_MONTH",IF(I138=0,"No Linked WO","OK")))))))</f>
        <v/>
      </c>
      <c r="Q138">
        <f>IF(J138="Yes","Critical",IF(OR(K138="Yes",L138="Yes",M138="Yes",N138="Yes",O138="Yes"),"Warning",IF(I138=0,"Informational","OK")))</f>
        <v/>
      </c>
      <c r="R138">
        <f>IF(P138="OK","No","Yes")</f>
        <v/>
      </c>
    </row>
    <row r="139">
      <c r="A139" t="n">
        <v>40</v>
      </c>
      <c r="B139">
        <f>INDEX(tblServiceEvents[Client],MATCH($A139,tblServiceEvents[Event #],0))</f>
        <v/>
      </c>
      <c r="C139" s="663">
        <f>INDEX(tblServiceEvents[Service Date],MATCH($A139,tblServiceEvents[Event #],0))</f>
        <v/>
      </c>
      <c r="D139">
        <f>INDEX(tblServiceEvents[Weekday],MATCH($A139,tblServiceEvents[Event #],0))</f>
        <v/>
      </c>
      <c r="E139">
        <f>INDEX(tblServiceEvents[MY_MONTH],MATCH($A139,tblServiceEvents[Event #],0))</f>
        <v/>
      </c>
      <c r="F139">
        <f>INDEX(tblServiceEvents[Status],MATCH($A139,tblServiceEvents[Event #],0))</f>
        <v/>
      </c>
      <c r="G139">
        <f>INDEX(tblServiceEvents[City],MATCH($A139,tblServiceEvents[Event #],0))</f>
        <v/>
      </c>
      <c r="H139">
        <f>INDEX(tblServiceEvents[Jurisdiction],MATCH($A139,tblServiceEvents[Event #],0))</f>
        <v/>
      </c>
      <c r="I139">
        <f>COUNTIF(tblLedger[Event #],A139)</f>
        <v/>
      </c>
      <c r="J139">
        <f>IF(COUNTIF(tblServiceEvents[Event #],A139)&gt;1,"Yes","No")</f>
        <v/>
      </c>
      <c r="K139">
        <f>IF(C139="","Yes","No")</f>
        <v/>
      </c>
      <c r="L139">
        <f>IF(B139="","Yes","No")</f>
        <v/>
      </c>
      <c r="M139">
        <f>IF(OR(G139="",H139=""),"Yes","No")</f>
        <v/>
      </c>
      <c r="N139">
        <f>IF(COUNTIF({"Monday","Tuesday","Wednesday","Thursday","Friday"},D139)=0,"Yes","No")</f>
        <v/>
      </c>
      <c r="O139">
        <f>IF(COUNTIF({"MY_MONTH 1","MY_MONTH 2","MY_MONTH 3"},E139)=0,"Yes","No")</f>
        <v/>
      </c>
      <c r="P139">
        <f>IF(J139="Yes","Duplicate Event #",IF(K139="Yes","Missing Date",IF(L139="Yes","Missing Client",IF(M139="Yes","Missing Location",IF(N139="Yes","Unknown Weekday",IF(O139="Yes","Unknown MY_MONTH",IF(I139=0,"No Linked WO","OK")))))))</f>
        <v/>
      </c>
      <c r="Q139">
        <f>IF(J139="Yes","Critical",IF(OR(K139="Yes",L139="Yes",M139="Yes",N139="Yes",O139="Yes"),"Warning",IF(I139=0,"Informational","OK")))</f>
        <v/>
      </c>
      <c r="R139">
        <f>IF(P139="OK","No","Yes")</f>
        <v/>
      </c>
    </row>
    <row r="140">
      <c r="A140" t="n">
        <v>41</v>
      </c>
      <c r="B140">
        <f>INDEX(tblServiceEvents[Client],MATCH($A140,tblServiceEvents[Event #],0))</f>
        <v/>
      </c>
      <c r="C140" s="663">
        <f>INDEX(tblServiceEvents[Service Date],MATCH($A140,tblServiceEvents[Event #],0))</f>
        <v/>
      </c>
      <c r="D140">
        <f>INDEX(tblServiceEvents[Weekday],MATCH($A140,tblServiceEvents[Event #],0))</f>
        <v/>
      </c>
      <c r="E140">
        <f>INDEX(tblServiceEvents[MY_MONTH],MATCH($A140,tblServiceEvents[Event #],0))</f>
        <v/>
      </c>
      <c r="F140">
        <f>INDEX(tblServiceEvents[Status],MATCH($A140,tblServiceEvents[Event #],0))</f>
        <v/>
      </c>
      <c r="G140">
        <f>INDEX(tblServiceEvents[City],MATCH($A140,tblServiceEvents[Event #],0))</f>
        <v/>
      </c>
      <c r="H140">
        <f>INDEX(tblServiceEvents[Jurisdiction],MATCH($A140,tblServiceEvents[Event #],0))</f>
        <v/>
      </c>
      <c r="I140">
        <f>COUNTIF(tblLedger[Event #],A140)</f>
        <v/>
      </c>
      <c r="J140">
        <f>IF(COUNTIF(tblServiceEvents[Event #],A140)&gt;1,"Yes","No")</f>
        <v/>
      </c>
      <c r="K140">
        <f>IF(C140="","Yes","No")</f>
        <v/>
      </c>
      <c r="L140">
        <f>IF(B140="","Yes","No")</f>
        <v/>
      </c>
      <c r="M140">
        <f>IF(OR(G140="",H140=""),"Yes","No")</f>
        <v/>
      </c>
      <c r="N140">
        <f>IF(COUNTIF({"Monday","Tuesday","Wednesday","Thursday","Friday"},D140)=0,"Yes","No")</f>
        <v/>
      </c>
      <c r="O140">
        <f>IF(COUNTIF({"MY_MONTH 1","MY_MONTH 2","MY_MONTH 3"},E140)=0,"Yes","No")</f>
        <v/>
      </c>
      <c r="P140">
        <f>IF(J140="Yes","Duplicate Event #",IF(K140="Yes","Missing Date",IF(L140="Yes","Missing Client",IF(M140="Yes","Missing Location",IF(N140="Yes","Unknown Weekday",IF(O140="Yes","Unknown MY_MONTH",IF(I140=0,"No Linked WO","OK")))))))</f>
        <v/>
      </c>
      <c r="Q140">
        <f>IF(J140="Yes","Critical",IF(OR(K140="Yes",L140="Yes",M140="Yes",N140="Yes",O140="Yes"),"Warning",IF(I140=0,"Informational","OK")))</f>
        <v/>
      </c>
      <c r="R140">
        <f>IF(P140="OK","No","Yes")</f>
        <v/>
      </c>
    </row>
    <row r="141">
      <c r="A141" t="n">
        <v>42</v>
      </c>
      <c r="B141">
        <f>INDEX(tblServiceEvents[Client],MATCH($A141,tblServiceEvents[Event #],0))</f>
        <v/>
      </c>
      <c r="C141" s="663">
        <f>INDEX(tblServiceEvents[Service Date],MATCH($A141,tblServiceEvents[Event #],0))</f>
        <v/>
      </c>
      <c r="D141">
        <f>INDEX(tblServiceEvents[Weekday],MATCH($A141,tblServiceEvents[Event #],0))</f>
        <v/>
      </c>
      <c r="E141">
        <f>INDEX(tblServiceEvents[MY_MONTH],MATCH($A141,tblServiceEvents[Event #],0))</f>
        <v/>
      </c>
      <c r="F141">
        <f>INDEX(tblServiceEvents[Status],MATCH($A141,tblServiceEvents[Event #],0))</f>
        <v/>
      </c>
      <c r="G141">
        <f>INDEX(tblServiceEvents[City],MATCH($A141,tblServiceEvents[Event #],0))</f>
        <v/>
      </c>
      <c r="H141">
        <f>INDEX(tblServiceEvents[Jurisdiction],MATCH($A141,tblServiceEvents[Event #],0))</f>
        <v/>
      </c>
      <c r="I141">
        <f>COUNTIF(tblLedger[Event #],A141)</f>
        <v/>
      </c>
      <c r="J141">
        <f>IF(COUNTIF(tblServiceEvents[Event #],A141)&gt;1,"Yes","No")</f>
        <v/>
      </c>
      <c r="K141">
        <f>IF(C141="","Yes","No")</f>
        <v/>
      </c>
      <c r="L141">
        <f>IF(B141="","Yes","No")</f>
        <v/>
      </c>
      <c r="M141">
        <f>IF(OR(G141="",H141=""),"Yes","No")</f>
        <v/>
      </c>
      <c r="N141">
        <f>IF(COUNTIF({"Monday","Tuesday","Wednesday","Thursday","Friday"},D141)=0,"Yes","No")</f>
        <v/>
      </c>
      <c r="O141">
        <f>IF(COUNTIF({"MY_MONTH 1","MY_MONTH 2","MY_MONTH 3"},E141)=0,"Yes","No")</f>
        <v/>
      </c>
      <c r="P141">
        <f>IF(J141="Yes","Duplicate Event #",IF(K141="Yes","Missing Date",IF(L141="Yes","Missing Client",IF(M141="Yes","Missing Location",IF(N141="Yes","Unknown Weekday",IF(O141="Yes","Unknown MY_MONTH",IF(I141=0,"No Linked WO","OK")))))))</f>
        <v/>
      </c>
      <c r="Q141">
        <f>IF(J141="Yes","Critical",IF(OR(K141="Yes",L141="Yes",M141="Yes",N141="Yes",O141="Yes"),"Warning",IF(I141=0,"Informational","OK")))</f>
        <v/>
      </c>
      <c r="R141">
        <f>IF(P141="OK","No","Yes")</f>
        <v/>
      </c>
    </row>
    <row r="142">
      <c r="A142" t="n">
        <v>43</v>
      </c>
      <c r="B142">
        <f>INDEX(tblServiceEvents[Client],MATCH($A142,tblServiceEvents[Event #],0))</f>
        <v/>
      </c>
      <c r="C142" s="663">
        <f>INDEX(tblServiceEvents[Service Date],MATCH($A142,tblServiceEvents[Event #],0))</f>
        <v/>
      </c>
      <c r="D142">
        <f>INDEX(tblServiceEvents[Weekday],MATCH($A142,tblServiceEvents[Event #],0))</f>
        <v/>
      </c>
      <c r="E142">
        <f>INDEX(tblServiceEvents[MY_MONTH],MATCH($A142,tblServiceEvents[Event #],0))</f>
        <v/>
      </c>
      <c r="F142">
        <f>INDEX(tblServiceEvents[Status],MATCH($A142,tblServiceEvents[Event #],0))</f>
        <v/>
      </c>
      <c r="G142">
        <f>INDEX(tblServiceEvents[City],MATCH($A142,tblServiceEvents[Event #],0))</f>
        <v/>
      </c>
      <c r="H142">
        <f>INDEX(tblServiceEvents[Jurisdiction],MATCH($A142,tblServiceEvents[Event #],0))</f>
        <v/>
      </c>
      <c r="I142">
        <f>COUNTIF(tblLedger[Event #],A142)</f>
        <v/>
      </c>
      <c r="J142">
        <f>IF(COUNTIF(tblServiceEvents[Event #],A142)&gt;1,"Yes","No")</f>
        <v/>
      </c>
      <c r="K142">
        <f>IF(C142="","Yes","No")</f>
        <v/>
      </c>
      <c r="L142">
        <f>IF(B142="","Yes","No")</f>
        <v/>
      </c>
      <c r="M142">
        <f>IF(OR(G142="",H142=""),"Yes","No")</f>
        <v/>
      </c>
      <c r="N142">
        <f>IF(COUNTIF({"Monday","Tuesday","Wednesday","Thursday","Friday"},D142)=0,"Yes","No")</f>
        <v/>
      </c>
      <c r="O142">
        <f>IF(COUNTIF({"MY_MONTH 1","MY_MONTH 2","MY_MONTH 3"},E142)=0,"Yes","No")</f>
        <v/>
      </c>
      <c r="P142">
        <f>IF(J142="Yes","Duplicate Event #",IF(K142="Yes","Missing Date",IF(L142="Yes","Missing Client",IF(M142="Yes","Missing Location",IF(N142="Yes","Unknown Weekday",IF(O142="Yes","Unknown MY_MONTH",IF(I142=0,"No Linked WO","OK")))))))</f>
        <v/>
      </c>
      <c r="Q142">
        <f>IF(J142="Yes","Critical",IF(OR(K142="Yes",L142="Yes",M142="Yes",N142="Yes",O142="Yes"),"Warning",IF(I142=0,"Informational","OK")))</f>
        <v/>
      </c>
      <c r="R142">
        <f>IF(P142="OK","No","Yes")</f>
        <v/>
      </c>
    </row>
    <row r="143">
      <c r="A143" t="n">
        <v>44</v>
      </c>
      <c r="B143">
        <f>INDEX(tblServiceEvents[Client],MATCH($A143,tblServiceEvents[Event #],0))</f>
        <v/>
      </c>
      <c r="C143" s="663">
        <f>INDEX(tblServiceEvents[Service Date],MATCH($A143,tblServiceEvents[Event #],0))</f>
        <v/>
      </c>
      <c r="D143">
        <f>INDEX(tblServiceEvents[Weekday],MATCH($A143,tblServiceEvents[Event #],0))</f>
        <v/>
      </c>
      <c r="E143">
        <f>INDEX(tblServiceEvents[MY_MONTH],MATCH($A143,tblServiceEvents[Event #],0))</f>
        <v/>
      </c>
      <c r="F143">
        <f>INDEX(tblServiceEvents[Status],MATCH($A143,tblServiceEvents[Event #],0))</f>
        <v/>
      </c>
      <c r="G143">
        <f>INDEX(tblServiceEvents[City],MATCH($A143,tblServiceEvents[Event #],0))</f>
        <v/>
      </c>
      <c r="H143">
        <f>INDEX(tblServiceEvents[Jurisdiction],MATCH($A143,tblServiceEvents[Event #],0))</f>
        <v/>
      </c>
      <c r="I143">
        <f>COUNTIF(tblLedger[Event #],A143)</f>
        <v/>
      </c>
      <c r="J143">
        <f>IF(COUNTIF(tblServiceEvents[Event #],A143)&gt;1,"Yes","No")</f>
        <v/>
      </c>
      <c r="K143">
        <f>IF(C143="","Yes","No")</f>
        <v/>
      </c>
      <c r="L143">
        <f>IF(B143="","Yes","No")</f>
        <v/>
      </c>
      <c r="M143">
        <f>IF(OR(G143="",H143=""),"Yes","No")</f>
        <v/>
      </c>
      <c r="N143">
        <f>IF(COUNTIF({"Monday","Tuesday","Wednesday","Thursday","Friday"},D143)=0,"Yes","No")</f>
        <v/>
      </c>
      <c r="O143">
        <f>IF(COUNTIF({"MY_MONTH 1","MY_MONTH 2","MY_MONTH 3"},E143)=0,"Yes","No")</f>
        <v/>
      </c>
      <c r="P143">
        <f>IF(J143="Yes","Duplicate Event #",IF(K143="Yes","Missing Date",IF(L143="Yes","Missing Client",IF(M143="Yes","Missing Location",IF(N143="Yes","Unknown Weekday",IF(O143="Yes","Unknown MY_MONTH",IF(I143=0,"No Linked WO","OK")))))))</f>
        <v/>
      </c>
      <c r="Q143">
        <f>IF(J143="Yes","Critical",IF(OR(K143="Yes",L143="Yes",M143="Yes",N143="Yes",O143="Yes"),"Warning",IF(I143=0,"Informational","OK")))</f>
        <v/>
      </c>
      <c r="R143">
        <f>IF(P143="OK","No","Yes")</f>
        <v/>
      </c>
    </row>
    <row r="144">
      <c r="A144" t="n">
        <v>45</v>
      </c>
      <c r="B144">
        <f>INDEX(tblServiceEvents[Client],MATCH($A144,tblServiceEvents[Event #],0))</f>
        <v/>
      </c>
      <c r="C144" s="663">
        <f>INDEX(tblServiceEvents[Service Date],MATCH($A144,tblServiceEvents[Event #],0))</f>
        <v/>
      </c>
      <c r="D144">
        <f>INDEX(tblServiceEvents[Weekday],MATCH($A144,tblServiceEvents[Event #],0))</f>
        <v/>
      </c>
      <c r="E144">
        <f>INDEX(tblServiceEvents[MY_MONTH],MATCH($A144,tblServiceEvents[Event #],0))</f>
        <v/>
      </c>
      <c r="F144">
        <f>INDEX(tblServiceEvents[Status],MATCH($A144,tblServiceEvents[Event #],0))</f>
        <v/>
      </c>
      <c r="G144">
        <f>INDEX(tblServiceEvents[City],MATCH($A144,tblServiceEvents[Event #],0))</f>
        <v/>
      </c>
      <c r="H144">
        <f>INDEX(tblServiceEvents[Jurisdiction],MATCH($A144,tblServiceEvents[Event #],0))</f>
        <v/>
      </c>
      <c r="I144">
        <f>COUNTIF(tblLedger[Event #],A144)</f>
        <v/>
      </c>
      <c r="J144">
        <f>IF(COUNTIF(tblServiceEvents[Event #],A144)&gt;1,"Yes","No")</f>
        <v/>
      </c>
      <c r="K144">
        <f>IF(C144="","Yes","No")</f>
        <v/>
      </c>
      <c r="L144">
        <f>IF(B144="","Yes","No")</f>
        <v/>
      </c>
      <c r="M144">
        <f>IF(OR(G144="",H144=""),"Yes","No")</f>
        <v/>
      </c>
      <c r="N144">
        <f>IF(COUNTIF({"Monday","Tuesday","Wednesday","Thursday","Friday"},D144)=0,"Yes","No")</f>
        <v/>
      </c>
      <c r="O144">
        <f>IF(COUNTIF({"MY_MONTH 1","MY_MONTH 2","MY_MONTH 3"},E144)=0,"Yes","No")</f>
        <v/>
      </c>
      <c r="P144">
        <f>IF(J144="Yes","Duplicate Event #",IF(K144="Yes","Missing Date",IF(L144="Yes","Missing Client",IF(M144="Yes","Missing Location",IF(N144="Yes","Unknown Weekday",IF(O144="Yes","Unknown MY_MONTH",IF(I144=0,"No Linked WO","OK")))))))</f>
        <v/>
      </c>
      <c r="Q144">
        <f>IF(J144="Yes","Critical",IF(OR(K144="Yes",L144="Yes",M144="Yes",N144="Yes",O144="Yes"),"Warning",IF(I144=0,"Informational","OK")))</f>
        <v/>
      </c>
      <c r="R144">
        <f>IF(P144="OK","No","Yes")</f>
        <v/>
      </c>
    </row>
    <row r="145">
      <c r="A145" t="n">
        <v>46</v>
      </c>
      <c r="B145">
        <f>INDEX(tblServiceEvents[Client],MATCH($A145,tblServiceEvents[Event #],0))</f>
        <v/>
      </c>
      <c r="C145" s="663">
        <f>INDEX(tblServiceEvents[Service Date],MATCH($A145,tblServiceEvents[Event #],0))</f>
        <v/>
      </c>
      <c r="D145">
        <f>INDEX(tblServiceEvents[Weekday],MATCH($A145,tblServiceEvents[Event #],0))</f>
        <v/>
      </c>
      <c r="E145">
        <f>INDEX(tblServiceEvents[MY_MONTH],MATCH($A145,tblServiceEvents[Event #],0))</f>
        <v/>
      </c>
      <c r="F145">
        <f>INDEX(tblServiceEvents[Status],MATCH($A145,tblServiceEvents[Event #],0))</f>
        <v/>
      </c>
      <c r="G145">
        <f>INDEX(tblServiceEvents[City],MATCH($A145,tblServiceEvents[Event #],0))</f>
        <v/>
      </c>
      <c r="H145">
        <f>INDEX(tblServiceEvents[Jurisdiction],MATCH($A145,tblServiceEvents[Event #],0))</f>
        <v/>
      </c>
      <c r="I145">
        <f>COUNTIF(tblLedger[Event #],A145)</f>
        <v/>
      </c>
      <c r="J145">
        <f>IF(COUNTIF(tblServiceEvents[Event #],A145)&gt;1,"Yes","No")</f>
        <v/>
      </c>
      <c r="K145">
        <f>IF(C145="","Yes","No")</f>
        <v/>
      </c>
      <c r="L145">
        <f>IF(B145="","Yes","No")</f>
        <v/>
      </c>
      <c r="M145">
        <f>IF(OR(G145="",H145=""),"Yes","No")</f>
        <v/>
      </c>
      <c r="N145">
        <f>IF(COUNTIF({"Monday","Tuesday","Wednesday","Thursday","Friday"},D145)=0,"Yes","No")</f>
        <v/>
      </c>
      <c r="O145">
        <f>IF(COUNTIF({"MY_MONTH 1","MY_MONTH 2","MY_MONTH 3"},E145)=0,"Yes","No")</f>
        <v/>
      </c>
      <c r="P145">
        <f>IF(J145="Yes","Duplicate Event #",IF(K145="Yes","Missing Date",IF(L145="Yes","Missing Client",IF(M145="Yes","Missing Location",IF(N145="Yes","Unknown Weekday",IF(O145="Yes","Unknown MY_MONTH",IF(I145=0,"No Linked WO","OK")))))))</f>
        <v/>
      </c>
      <c r="Q145">
        <f>IF(J145="Yes","Critical",IF(OR(K145="Yes",L145="Yes",M145="Yes",N145="Yes",O145="Yes"),"Warning",IF(I145=0,"Informational","OK")))</f>
        <v/>
      </c>
      <c r="R145">
        <f>IF(P145="OK","No","Yes")</f>
        <v/>
      </c>
    </row>
    <row r="146">
      <c r="A146" t="n">
        <v>47</v>
      </c>
      <c r="B146">
        <f>INDEX(tblServiceEvents[Client],MATCH($A146,tblServiceEvents[Event #],0))</f>
        <v/>
      </c>
      <c r="C146" s="663">
        <f>INDEX(tblServiceEvents[Service Date],MATCH($A146,tblServiceEvents[Event #],0))</f>
        <v/>
      </c>
      <c r="D146">
        <f>INDEX(tblServiceEvents[Weekday],MATCH($A146,tblServiceEvents[Event #],0))</f>
        <v/>
      </c>
      <c r="E146">
        <f>INDEX(tblServiceEvents[MY_MONTH],MATCH($A146,tblServiceEvents[Event #],0))</f>
        <v/>
      </c>
      <c r="F146">
        <f>INDEX(tblServiceEvents[Status],MATCH($A146,tblServiceEvents[Event #],0))</f>
        <v/>
      </c>
      <c r="G146">
        <f>INDEX(tblServiceEvents[City],MATCH($A146,tblServiceEvents[Event #],0))</f>
        <v/>
      </c>
      <c r="H146">
        <f>INDEX(tblServiceEvents[Jurisdiction],MATCH($A146,tblServiceEvents[Event #],0))</f>
        <v/>
      </c>
      <c r="I146">
        <f>COUNTIF(tblLedger[Event #],A146)</f>
        <v/>
      </c>
      <c r="J146">
        <f>IF(COUNTIF(tblServiceEvents[Event #],A146)&gt;1,"Yes","No")</f>
        <v/>
      </c>
      <c r="K146">
        <f>IF(C146="","Yes","No")</f>
        <v/>
      </c>
      <c r="L146">
        <f>IF(B146="","Yes","No")</f>
        <v/>
      </c>
      <c r="M146">
        <f>IF(OR(G146="",H146=""),"Yes","No")</f>
        <v/>
      </c>
      <c r="N146">
        <f>IF(COUNTIF({"Monday","Tuesday","Wednesday","Thursday","Friday"},D146)=0,"Yes","No")</f>
        <v/>
      </c>
      <c r="O146">
        <f>IF(COUNTIF({"MY_MONTH 1","MY_MONTH 2","MY_MONTH 3"},E146)=0,"Yes","No")</f>
        <v/>
      </c>
      <c r="P146">
        <f>IF(J146="Yes","Duplicate Event #",IF(K146="Yes","Missing Date",IF(L146="Yes","Missing Client",IF(M146="Yes","Missing Location",IF(N146="Yes","Unknown Weekday",IF(O146="Yes","Unknown MY_MONTH",IF(I146=0,"No Linked WO","OK")))))))</f>
        <v/>
      </c>
      <c r="Q146">
        <f>IF(J146="Yes","Critical",IF(OR(K146="Yes",L146="Yes",M146="Yes",N146="Yes",O146="Yes"),"Warning",IF(I146=0,"Informational","OK")))</f>
        <v/>
      </c>
      <c r="R146">
        <f>IF(P146="OK","No","Yes")</f>
        <v/>
      </c>
    </row>
    <row r="147">
      <c r="A147" t="n">
        <v>48</v>
      </c>
      <c r="B147">
        <f>INDEX(tblServiceEvents[Client],MATCH($A147,tblServiceEvents[Event #],0))</f>
        <v/>
      </c>
      <c r="C147" s="663">
        <f>INDEX(tblServiceEvents[Service Date],MATCH($A147,tblServiceEvents[Event #],0))</f>
        <v/>
      </c>
      <c r="D147">
        <f>INDEX(tblServiceEvents[Weekday],MATCH($A147,tblServiceEvents[Event #],0))</f>
        <v/>
      </c>
      <c r="E147">
        <f>INDEX(tblServiceEvents[MY_MONTH],MATCH($A147,tblServiceEvents[Event #],0))</f>
        <v/>
      </c>
      <c r="F147">
        <f>INDEX(tblServiceEvents[Status],MATCH($A147,tblServiceEvents[Event #],0))</f>
        <v/>
      </c>
      <c r="G147">
        <f>INDEX(tblServiceEvents[City],MATCH($A147,tblServiceEvents[Event #],0))</f>
        <v/>
      </c>
      <c r="H147">
        <f>INDEX(tblServiceEvents[Jurisdiction],MATCH($A147,tblServiceEvents[Event #],0))</f>
        <v/>
      </c>
      <c r="I147">
        <f>COUNTIF(tblLedger[Event #],A147)</f>
        <v/>
      </c>
      <c r="J147">
        <f>IF(COUNTIF(tblServiceEvents[Event #],A147)&gt;1,"Yes","No")</f>
        <v/>
      </c>
      <c r="K147">
        <f>IF(C147="","Yes","No")</f>
        <v/>
      </c>
      <c r="L147">
        <f>IF(B147="","Yes","No")</f>
        <v/>
      </c>
      <c r="M147">
        <f>IF(OR(G147="",H147=""),"Yes","No")</f>
        <v/>
      </c>
      <c r="N147">
        <f>IF(COUNTIF({"Monday","Tuesday","Wednesday","Thursday","Friday"},D147)=0,"Yes","No")</f>
        <v/>
      </c>
      <c r="O147">
        <f>IF(COUNTIF({"MY_MONTH 1","MY_MONTH 2","MY_MONTH 3"},E147)=0,"Yes","No")</f>
        <v/>
      </c>
      <c r="P147">
        <f>IF(J147="Yes","Duplicate Event #",IF(K147="Yes","Missing Date",IF(L147="Yes","Missing Client",IF(M147="Yes","Missing Location",IF(N147="Yes","Unknown Weekday",IF(O147="Yes","Unknown MY_MONTH",IF(I147=0,"No Linked WO","OK")))))))</f>
        <v/>
      </c>
      <c r="Q147">
        <f>IF(J147="Yes","Critical",IF(OR(K147="Yes",L147="Yes",M147="Yes",N147="Yes",O147="Yes"),"Warning",IF(I147=0,"Informational","OK")))</f>
        <v/>
      </c>
      <c r="R147">
        <f>IF(P147="OK","No","Yes")</f>
        <v/>
      </c>
    </row>
    <row r="148">
      <c r="A148" t="n">
        <v>49</v>
      </c>
      <c r="B148">
        <f>INDEX(tblServiceEvents[Client],MATCH($A148,tblServiceEvents[Event #],0))</f>
        <v/>
      </c>
      <c r="C148" s="663">
        <f>INDEX(tblServiceEvents[Service Date],MATCH($A148,tblServiceEvents[Event #],0))</f>
        <v/>
      </c>
      <c r="D148">
        <f>INDEX(tblServiceEvents[Weekday],MATCH($A148,tblServiceEvents[Event #],0))</f>
        <v/>
      </c>
      <c r="E148">
        <f>INDEX(tblServiceEvents[MY_MONTH],MATCH($A148,tblServiceEvents[Event #],0))</f>
        <v/>
      </c>
      <c r="F148">
        <f>INDEX(tblServiceEvents[Status],MATCH($A148,tblServiceEvents[Event #],0))</f>
        <v/>
      </c>
      <c r="G148">
        <f>INDEX(tblServiceEvents[City],MATCH($A148,tblServiceEvents[Event #],0))</f>
        <v/>
      </c>
      <c r="H148">
        <f>INDEX(tblServiceEvents[Jurisdiction],MATCH($A148,tblServiceEvents[Event #],0))</f>
        <v/>
      </c>
      <c r="I148">
        <f>COUNTIF(tblLedger[Event #],A148)</f>
        <v/>
      </c>
      <c r="J148">
        <f>IF(COUNTIF(tblServiceEvents[Event #],A148)&gt;1,"Yes","No")</f>
        <v/>
      </c>
      <c r="K148">
        <f>IF(C148="","Yes","No")</f>
        <v/>
      </c>
      <c r="L148">
        <f>IF(B148="","Yes","No")</f>
        <v/>
      </c>
      <c r="M148">
        <f>IF(OR(G148="",H148=""),"Yes","No")</f>
        <v/>
      </c>
      <c r="N148">
        <f>IF(COUNTIF({"Monday","Tuesday","Wednesday","Thursday","Friday"},D148)=0,"Yes","No")</f>
        <v/>
      </c>
      <c r="O148">
        <f>IF(COUNTIF({"MY_MONTH 1","MY_MONTH 2","MY_MONTH 3"},E148)=0,"Yes","No")</f>
        <v/>
      </c>
      <c r="P148">
        <f>IF(J148="Yes","Duplicate Event #",IF(K148="Yes","Missing Date",IF(L148="Yes","Missing Client",IF(M148="Yes","Missing Location",IF(N148="Yes","Unknown Weekday",IF(O148="Yes","Unknown MY_MONTH",IF(I148=0,"No Linked WO","OK")))))))</f>
        <v/>
      </c>
      <c r="Q148">
        <f>IF(J148="Yes","Critical",IF(OR(K148="Yes",L148="Yes",M148="Yes",N148="Yes",O148="Yes"),"Warning",IF(I148=0,"Informational","OK")))</f>
        <v/>
      </c>
      <c r="R148">
        <f>IF(P148="OK","No","Yes")</f>
        <v/>
      </c>
    </row>
    <row r="149">
      <c r="A149" t="n">
        <v>50</v>
      </c>
      <c r="B149">
        <f>INDEX(tblServiceEvents[Client],MATCH($A149,tblServiceEvents[Event #],0))</f>
        <v/>
      </c>
      <c r="C149" s="663">
        <f>INDEX(tblServiceEvents[Service Date],MATCH($A149,tblServiceEvents[Event #],0))</f>
        <v/>
      </c>
      <c r="D149">
        <f>INDEX(tblServiceEvents[Weekday],MATCH($A149,tblServiceEvents[Event #],0))</f>
        <v/>
      </c>
      <c r="E149">
        <f>INDEX(tblServiceEvents[MY_MONTH],MATCH($A149,tblServiceEvents[Event #],0))</f>
        <v/>
      </c>
      <c r="F149">
        <f>INDEX(tblServiceEvents[Status],MATCH($A149,tblServiceEvents[Event #],0))</f>
        <v/>
      </c>
      <c r="G149">
        <f>INDEX(tblServiceEvents[City],MATCH($A149,tblServiceEvents[Event #],0))</f>
        <v/>
      </c>
      <c r="H149">
        <f>INDEX(tblServiceEvents[Jurisdiction],MATCH($A149,tblServiceEvents[Event #],0))</f>
        <v/>
      </c>
      <c r="I149">
        <f>COUNTIF(tblLedger[Event #],A149)</f>
        <v/>
      </c>
      <c r="J149">
        <f>IF(COUNTIF(tblServiceEvents[Event #],A149)&gt;1,"Yes","No")</f>
        <v/>
      </c>
      <c r="K149">
        <f>IF(C149="","Yes","No")</f>
        <v/>
      </c>
      <c r="L149">
        <f>IF(B149="","Yes","No")</f>
        <v/>
      </c>
      <c r="M149">
        <f>IF(OR(G149="",H149=""),"Yes","No")</f>
        <v/>
      </c>
      <c r="N149">
        <f>IF(COUNTIF({"Monday","Tuesday","Wednesday","Thursday","Friday"},D149)=0,"Yes","No")</f>
        <v/>
      </c>
      <c r="O149">
        <f>IF(COUNTIF({"MY_MONTH 1","MY_MONTH 2","MY_MONTH 3"},E149)=0,"Yes","No")</f>
        <v/>
      </c>
      <c r="P149">
        <f>IF(J149="Yes","Duplicate Event #",IF(K149="Yes","Missing Date",IF(L149="Yes","Missing Client",IF(M149="Yes","Missing Location",IF(N149="Yes","Unknown Weekday",IF(O149="Yes","Unknown MY_MONTH",IF(I149=0,"No Linked WO","OK")))))))</f>
        <v/>
      </c>
      <c r="Q149">
        <f>IF(J149="Yes","Critical",IF(OR(K149="Yes",L149="Yes",M149="Yes",N149="Yes",O149="Yes"),"Warning",IF(I149=0,"Informational","OK")))</f>
        <v/>
      </c>
      <c r="R149">
        <f>IF(P149="OK","No","Yes")</f>
        <v/>
      </c>
    </row>
    <row r="150">
      <c r="A150" t="n">
        <v>51</v>
      </c>
      <c r="B150">
        <f>INDEX(tblServiceEvents[Client],MATCH($A150,tblServiceEvents[Event #],0))</f>
        <v/>
      </c>
      <c r="C150" s="663">
        <f>INDEX(tblServiceEvents[Service Date],MATCH($A150,tblServiceEvents[Event #],0))</f>
        <v/>
      </c>
      <c r="D150">
        <f>INDEX(tblServiceEvents[Weekday],MATCH($A150,tblServiceEvents[Event #],0))</f>
        <v/>
      </c>
      <c r="E150">
        <f>INDEX(tblServiceEvents[MY_MONTH],MATCH($A150,tblServiceEvents[Event #],0))</f>
        <v/>
      </c>
      <c r="F150">
        <f>INDEX(tblServiceEvents[Status],MATCH($A150,tblServiceEvents[Event #],0))</f>
        <v/>
      </c>
      <c r="G150">
        <f>INDEX(tblServiceEvents[City],MATCH($A150,tblServiceEvents[Event #],0))</f>
        <v/>
      </c>
      <c r="H150">
        <f>INDEX(tblServiceEvents[Jurisdiction],MATCH($A150,tblServiceEvents[Event #],0))</f>
        <v/>
      </c>
      <c r="I150">
        <f>COUNTIF(tblLedger[Event #],A150)</f>
        <v/>
      </c>
      <c r="J150">
        <f>IF(COUNTIF(tblServiceEvents[Event #],A150)&gt;1,"Yes","No")</f>
        <v/>
      </c>
      <c r="K150">
        <f>IF(C150="","Yes","No")</f>
        <v/>
      </c>
      <c r="L150">
        <f>IF(B150="","Yes","No")</f>
        <v/>
      </c>
      <c r="M150">
        <f>IF(OR(G150="",H150=""),"Yes","No")</f>
        <v/>
      </c>
      <c r="N150">
        <f>IF(COUNTIF({"Monday","Tuesday","Wednesday","Thursday","Friday"},D150)=0,"Yes","No")</f>
        <v/>
      </c>
      <c r="O150">
        <f>IF(COUNTIF({"MY_MONTH 1","MY_MONTH 2","MY_MONTH 3"},E150)=0,"Yes","No")</f>
        <v/>
      </c>
      <c r="P150">
        <f>IF(J150="Yes","Duplicate Event #",IF(K150="Yes","Missing Date",IF(L150="Yes","Missing Client",IF(M150="Yes","Missing Location",IF(N150="Yes","Unknown Weekday",IF(O150="Yes","Unknown MY_MONTH",IF(I150=0,"No Linked WO","OK")))))))</f>
        <v/>
      </c>
      <c r="Q150">
        <f>IF(J150="Yes","Critical",IF(OR(K150="Yes",L150="Yes",M150="Yes",N150="Yes",O150="Yes"),"Warning",IF(I150=0,"Informational","OK")))</f>
        <v/>
      </c>
      <c r="R150">
        <f>IF(P150="OK","No","Yes")</f>
        <v/>
      </c>
    </row>
    <row r="151">
      <c r="A151" t="n">
        <v>52</v>
      </c>
      <c r="B151">
        <f>INDEX(tblServiceEvents[Client],MATCH($A151,tblServiceEvents[Event #],0))</f>
        <v/>
      </c>
      <c r="C151" s="663">
        <f>INDEX(tblServiceEvents[Service Date],MATCH($A151,tblServiceEvents[Event #],0))</f>
        <v/>
      </c>
      <c r="D151">
        <f>INDEX(tblServiceEvents[Weekday],MATCH($A151,tblServiceEvents[Event #],0))</f>
        <v/>
      </c>
      <c r="E151">
        <f>INDEX(tblServiceEvents[MY_MONTH],MATCH($A151,tblServiceEvents[Event #],0))</f>
        <v/>
      </c>
      <c r="F151">
        <f>INDEX(tblServiceEvents[Status],MATCH($A151,tblServiceEvents[Event #],0))</f>
        <v/>
      </c>
      <c r="G151">
        <f>INDEX(tblServiceEvents[City],MATCH($A151,tblServiceEvents[Event #],0))</f>
        <v/>
      </c>
      <c r="H151">
        <f>INDEX(tblServiceEvents[Jurisdiction],MATCH($A151,tblServiceEvents[Event #],0))</f>
        <v/>
      </c>
      <c r="I151">
        <f>COUNTIF(tblLedger[Event #],A151)</f>
        <v/>
      </c>
      <c r="J151">
        <f>IF(COUNTIF(tblServiceEvents[Event #],A151)&gt;1,"Yes","No")</f>
        <v/>
      </c>
      <c r="K151">
        <f>IF(C151="","Yes","No")</f>
        <v/>
      </c>
      <c r="L151">
        <f>IF(B151="","Yes","No")</f>
        <v/>
      </c>
      <c r="M151">
        <f>IF(OR(G151="",H151=""),"Yes","No")</f>
        <v/>
      </c>
      <c r="N151">
        <f>IF(COUNTIF({"Monday","Tuesday","Wednesday","Thursday","Friday"},D151)=0,"Yes","No")</f>
        <v/>
      </c>
      <c r="O151">
        <f>IF(COUNTIF({"MY_MONTH 1","MY_MONTH 2","MY_MONTH 3"},E151)=0,"Yes","No")</f>
        <v/>
      </c>
      <c r="P151">
        <f>IF(J151="Yes","Duplicate Event #",IF(K151="Yes","Missing Date",IF(L151="Yes","Missing Client",IF(M151="Yes","Missing Location",IF(N151="Yes","Unknown Weekday",IF(O151="Yes","Unknown MY_MONTH",IF(I151=0,"No Linked WO","OK")))))))</f>
        <v/>
      </c>
      <c r="Q151">
        <f>IF(J151="Yes","Critical",IF(OR(K151="Yes",L151="Yes",M151="Yes",N151="Yes",O151="Yes"),"Warning",IF(I151=0,"Informational","OK")))</f>
        <v/>
      </c>
      <c r="R151">
        <f>IF(P151="OK","No","Yes")</f>
        <v/>
      </c>
    </row>
    <row r="152">
      <c r="A152" t="n">
        <v>53</v>
      </c>
      <c r="B152">
        <f>INDEX(tblServiceEvents[Client],MATCH($A152,tblServiceEvents[Event #],0))</f>
        <v/>
      </c>
      <c r="C152" s="663">
        <f>INDEX(tblServiceEvents[Service Date],MATCH($A152,tblServiceEvents[Event #],0))</f>
        <v/>
      </c>
      <c r="D152">
        <f>INDEX(tblServiceEvents[Weekday],MATCH($A152,tblServiceEvents[Event #],0))</f>
        <v/>
      </c>
      <c r="E152">
        <f>INDEX(tblServiceEvents[MY_MONTH],MATCH($A152,tblServiceEvents[Event #],0))</f>
        <v/>
      </c>
      <c r="F152">
        <f>INDEX(tblServiceEvents[Status],MATCH($A152,tblServiceEvents[Event #],0))</f>
        <v/>
      </c>
      <c r="G152">
        <f>INDEX(tblServiceEvents[City],MATCH($A152,tblServiceEvents[Event #],0))</f>
        <v/>
      </c>
      <c r="H152">
        <f>INDEX(tblServiceEvents[Jurisdiction],MATCH($A152,tblServiceEvents[Event #],0))</f>
        <v/>
      </c>
      <c r="I152">
        <f>COUNTIF(tblLedger[Event #],A152)</f>
        <v/>
      </c>
      <c r="J152">
        <f>IF(COUNTIF(tblServiceEvents[Event #],A152)&gt;1,"Yes","No")</f>
        <v/>
      </c>
      <c r="K152">
        <f>IF(C152="","Yes","No")</f>
        <v/>
      </c>
      <c r="L152">
        <f>IF(B152="","Yes","No")</f>
        <v/>
      </c>
      <c r="M152">
        <f>IF(OR(G152="",H152=""),"Yes","No")</f>
        <v/>
      </c>
      <c r="N152">
        <f>IF(COUNTIF({"Monday","Tuesday","Wednesday","Thursday","Friday"},D152)=0,"Yes","No")</f>
        <v/>
      </c>
      <c r="O152">
        <f>IF(COUNTIF({"MY_MONTH 1","MY_MONTH 2","MY_MONTH 3"},E152)=0,"Yes","No")</f>
        <v/>
      </c>
      <c r="P152">
        <f>IF(J152="Yes","Duplicate Event #",IF(K152="Yes","Missing Date",IF(L152="Yes","Missing Client",IF(M152="Yes","Missing Location",IF(N152="Yes","Unknown Weekday",IF(O152="Yes","Unknown MY_MONTH",IF(I152=0,"No Linked WO","OK")))))))</f>
        <v/>
      </c>
      <c r="Q152">
        <f>IF(J152="Yes","Critical",IF(OR(K152="Yes",L152="Yes",M152="Yes",N152="Yes",O152="Yes"),"Warning",IF(I152=0,"Informational","OK")))</f>
        <v/>
      </c>
      <c r="R152">
        <f>IF(P152="OK","No","Yes")</f>
        <v/>
      </c>
    </row>
    <row r="153">
      <c r="A153" t="n">
        <v>54</v>
      </c>
      <c r="B153">
        <f>INDEX(tblServiceEvents[Client],MATCH($A153,tblServiceEvents[Event #],0))</f>
        <v/>
      </c>
      <c r="C153" s="663">
        <f>INDEX(tblServiceEvents[Service Date],MATCH($A153,tblServiceEvents[Event #],0))</f>
        <v/>
      </c>
      <c r="D153">
        <f>INDEX(tblServiceEvents[Weekday],MATCH($A153,tblServiceEvents[Event #],0))</f>
        <v/>
      </c>
      <c r="E153">
        <f>INDEX(tblServiceEvents[MY_MONTH],MATCH($A153,tblServiceEvents[Event #],0))</f>
        <v/>
      </c>
      <c r="F153">
        <f>INDEX(tblServiceEvents[Status],MATCH($A153,tblServiceEvents[Event #],0))</f>
        <v/>
      </c>
      <c r="G153">
        <f>INDEX(tblServiceEvents[City],MATCH($A153,tblServiceEvents[Event #],0))</f>
        <v/>
      </c>
      <c r="H153">
        <f>INDEX(tblServiceEvents[Jurisdiction],MATCH($A153,tblServiceEvents[Event #],0))</f>
        <v/>
      </c>
      <c r="I153">
        <f>COUNTIF(tblLedger[Event #],A153)</f>
        <v/>
      </c>
      <c r="J153">
        <f>IF(COUNTIF(tblServiceEvents[Event #],A153)&gt;1,"Yes","No")</f>
        <v/>
      </c>
      <c r="K153">
        <f>IF(C153="","Yes","No")</f>
        <v/>
      </c>
      <c r="L153">
        <f>IF(B153="","Yes","No")</f>
        <v/>
      </c>
      <c r="M153">
        <f>IF(OR(G153="",H153=""),"Yes","No")</f>
        <v/>
      </c>
      <c r="N153">
        <f>IF(COUNTIF({"Monday","Tuesday","Wednesday","Thursday","Friday"},D153)=0,"Yes","No")</f>
        <v/>
      </c>
      <c r="O153">
        <f>IF(COUNTIF({"MY_MONTH 1","MY_MONTH 2","MY_MONTH 3"},E153)=0,"Yes","No")</f>
        <v/>
      </c>
      <c r="P153">
        <f>IF(J153="Yes","Duplicate Event #",IF(K153="Yes","Missing Date",IF(L153="Yes","Missing Client",IF(M153="Yes","Missing Location",IF(N153="Yes","Unknown Weekday",IF(O153="Yes","Unknown MY_MONTH",IF(I153=0,"No Linked WO","OK")))))))</f>
        <v/>
      </c>
      <c r="Q153">
        <f>IF(J153="Yes","Critical",IF(OR(K153="Yes",L153="Yes",M153="Yes",N153="Yes",O153="Yes"),"Warning",IF(I153=0,"Informational","OK")))</f>
        <v/>
      </c>
      <c r="R153">
        <f>IF(P153="OK","No","Yes")</f>
        <v/>
      </c>
    </row>
    <row r="154">
      <c r="A154" t="n">
        <v>55</v>
      </c>
      <c r="B154">
        <f>INDEX(tblServiceEvents[Client],MATCH($A154,tblServiceEvents[Event #],0))</f>
        <v/>
      </c>
      <c r="C154" s="663">
        <f>INDEX(tblServiceEvents[Service Date],MATCH($A154,tblServiceEvents[Event #],0))</f>
        <v/>
      </c>
      <c r="D154">
        <f>INDEX(tblServiceEvents[Weekday],MATCH($A154,tblServiceEvents[Event #],0))</f>
        <v/>
      </c>
      <c r="E154">
        <f>INDEX(tblServiceEvents[MY_MONTH],MATCH($A154,tblServiceEvents[Event #],0))</f>
        <v/>
      </c>
      <c r="F154">
        <f>INDEX(tblServiceEvents[Status],MATCH($A154,tblServiceEvents[Event #],0))</f>
        <v/>
      </c>
      <c r="G154">
        <f>INDEX(tblServiceEvents[City],MATCH($A154,tblServiceEvents[Event #],0))</f>
        <v/>
      </c>
      <c r="H154">
        <f>INDEX(tblServiceEvents[Jurisdiction],MATCH($A154,tblServiceEvents[Event #],0))</f>
        <v/>
      </c>
      <c r="I154">
        <f>COUNTIF(tblLedger[Event #],A154)</f>
        <v/>
      </c>
      <c r="J154">
        <f>IF(COUNTIF(tblServiceEvents[Event #],A154)&gt;1,"Yes","No")</f>
        <v/>
      </c>
      <c r="K154">
        <f>IF(C154="","Yes","No")</f>
        <v/>
      </c>
      <c r="L154">
        <f>IF(B154="","Yes","No")</f>
        <v/>
      </c>
      <c r="M154">
        <f>IF(OR(G154="",H154=""),"Yes","No")</f>
        <v/>
      </c>
      <c r="N154">
        <f>IF(COUNTIF({"Monday","Tuesday","Wednesday","Thursday","Friday"},D154)=0,"Yes","No")</f>
        <v/>
      </c>
      <c r="O154">
        <f>IF(COUNTIF({"MY_MONTH 1","MY_MONTH 2","MY_MONTH 3"},E154)=0,"Yes","No")</f>
        <v/>
      </c>
      <c r="P154">
        <f>IF(J154="Yes","Duplicate Event #",IF(K154="Yes","Missing Date",IF(L154="Yes","Missing Client",IF(M154="Yes","Missing Location",IF(N154="Yes","Unknown Weekday",IF(O154="Yes","Unknown MY_MONTH",IF(I154=0,"No Linked WO","OK")))))))</f>
        <v/>
      </c>
      <c r="Q154">
        <f>IF(J154="Yes","Critical",IF(OR(K154="Yes",L154="Yes",M154="Yes",N154="Yes",O154="Yes"),"Warning",IF(I154=0,"Informational","OK")))</f>
        <v/>
      </c>
      <c r="R154">
        <f>IF(P154="OK","No","Yes")</f>
        <v/>
      </c>
    </row>
    <row r="155">
      <c r="A155" t="n">
        <v>56</v>
      </c>
      <c r="B155">
        <f>INDEX(tblServiceEvents[Client],MATCH($A155,tblServiceEvents[Event #],0))</f>
        <v/>
      </c>
      <c r="C155" s="663">
        <f>INDEX(tblServiceEvents[Service Date],MATCH($A155,tblServiceEvents[Event #],0))</f>
        <v/>
      </c>
      <c r="D155">
        <f>INDEX(tblServiceEvents[Weekday],MATCH($A155,tblServiceEvents[Event #],0))</f>
        <v/>
      </c>
      <c r="E155">
        <f>INDEX(tblServiceEvents[MY_MONTH],MATCH($A155,tblServiceEvents[Event #],0))</f>
        <v/>
      </c>
      <c r="F155">
        <f>INDEX(tblServiceEvents[Status],MATCH($A155,tblServiceEvents[Event #],0))</f>
        <v/>
      </c>
      <c r="G155">
        <f>INDEX(tblServiceEvents[City],MATCH($A155,tblServiceEvents[Event #],0))</f>
        <v/>
      </c>
      <c r="H155">
        <f>INDEX(tblServiceEvents[Jurisdiction],MATCH($A155,tblServiceEvents[Event #],0))</f>
        <v/>
      </c>
      <c r="I155">
        <f>COUNTIF(tblLedger[Event #],A155)</f>
        <v/>
      </c>
      <c r="J155">
        <f>IF(COUNTIF(tblServiceEvents[Event #],A155)&gt;1,"Yes","No")</f>
        <v/>
      </c>
      <c r="K155">
        <f>IF(C155="","Yes","No")</f>
        <v/>
      </c>
      <c r="L155">
        <f>IF(B155="","Yes","No")</f>
        <v/>
      </c>
      <c r="M155">
        <f>IF(OR(G155="",H155=""),"Yes","No")</f>
        <v/>
      </c>
      <c r="N155">
        <f>IF(COUNTIF({"Monday","Tuesday","Wednesday","Thursday","Friday"},D155)=0,"Yes","No")</f>
        <v/>
      </c>
      <c r="O155">
        <f>IF(COUNTIF({"MY_MONTH 1","MY_MONTH 2","MY_MONTH 3"},E155)=0,"Yes","No")</f>
        <v/>
      </c>
      <c r="P155">
        <f>IF(J155="Yes","Duplicate Event #",IF(K155="Yes","Missing Date",IF(L155="Yes","Missing Client",IF(M155="Yes","Missing Location",IF(N155="Yes","Unknown Weekday",IF(O155="Yes","Unknown MY_MONTH",IF(I155=0,"No Linked WO","OK")))))))</f>
        <v/>
      </c>
      <c r="Q155">
        <f>IF(J155="Yes","Critical",IF(OR(K155="Yes",L155="Yes",M155="Yes",N155="Yes",O155="Yes"),"Warning",IF(I155=0,"Informational","OK")))</f>
        <v/>
      </c>
      <c r="R155">
        <f>IF(P155="OK","No","Yes")</f>
        <v/>
      </c>
    </row>
    <row r="156">
      <c r="A156" t="n">
        <v>57</v>
      </c>
      <c r="B156">
        <f>INDEX(tblServiceEvents[Client],MATCH($A156,tblServiceEvents[Event #],0))</f>
        <v/>
      </c>
      <c r="C156" s="663">
        <f>INDEX(tblServiceEvents[Service Date],MATCH($A156,tblServiceEvents[Event #],0))</f>
        <v/>
      </c>
      <c r="D156">
        <f>INDEX(tblServiceEvents[Weekday],MATCH($A156,tblServiceEvents[Event #],0))</f>
        <v/>
      </c>
      <c r="E156">
        <f>INDEX(tblServiceEvents[MY_MONTH],MATCH($A156,tblServiceEvents[Event #],0))</f>
        <v/>
      </c>
      <c r="F156">
        <f>INDEX(tblServiceEvents[Status],MATCH($A156,tblServiceEvents[Event #],0))</f>
        <v/>
      </c>
      <c r="G156">
        <f>INDEX(tblServiceEvents[City],MATCH($A156,tblServiceEvents[Event #],0))</f>
        <v/>
      </c>
      <c r="H156">
        <f>INDEX(tblServiceEvents[Jurisdiction],MATCH($A156,tblServiceEvents[Event #],0))</f>
        <v/>
      </c>
      <c r="I156">
        <f>COUNTIF(tblLedger[Event #],A156)</f>
        <v/>
      </c>
      <c r="J156">
        <f>IF(COUNTIF(tblServiceEvents[Event #],A156)&gt;1,"Yes","No")</f>
        <v/>
      </c>
      <c r="K156">
        <f>IF(C156="","Yes","No")</f>
        <v/>
      </c>
      <c r="L156">
        <f>IF(B156="","Yes","No")</f>
        <v/>
      </c>
      <c r="M156">
        <f>IF(OR(G156="",H156=""),"Yes","No")</f>
        <v/>
      </c>
      <c r="N156">
        <f>IF(COUNTIF({"Monday","Tuesday","Wednesday","Thursday","Friday"},D156)=0,"Yes","No")</f>
        <v/>
      </c>
      <c r="O156">
        <f>IF(COUNTIF({"MY_MONTH 1","MY_MONTH 2","MY_MONTH 3"},E156)=0,"Yes","No")</f>
        <v/>
      </c>
      <c r="P156">
        <f>IF(J156="Yes","Duplicate Event #",IF(K156="Yes","Missing Date",IF(L156="Yes","Missing Client",IF(M156="Yes","Missing Location",IF(N156="Yes","Unknown Weekday",IF(O156="Yes","Unknown MY_MONTH",IF(I156=0,"No Linked WO","OK")))))))</f>
        <v/>
      </c>
      <c r="Q156">
        <f>IF(J156="Yes","Critical",IF(OR(K156="Yes",L156="Yes",M156="Yes",N156="Yes",O156="Yes"),"Warning",IF(I156=0,"Informational","OK")))</f>
        <v/>
      </c>
      <c r="R156">
        <f>IF(P156="OK","No","Yes")</f>
        <v/>
      </c>
    </row>
    <row r="157">
      <c r="A157" t="n">
        <v>58</v>
      </c>
      <c r="B157">
        <f>INDEX(tblServiceEvents[Client],MATCH($A157,tblServiceEvents[Event #],0))</f>
        <v/>
      </c>
      <c r="C157" s="663">
        <f>INDEX(tblServiceEvents[Service Date],MATCH($A157,tblServiceEvents[Event #],0))</f>
        <v/>
      </c>
      <c r="D157">
        <f>INDEX(tblServiceEvents[Weekday],MATCH($A157,tblServiceEvents[Event #],0))</f>
        <v/>
      </c>
      <c r="E157">
        <f>INDEX(tblServiceEvents[MY_MONTH],MATCH($A157,tblServiceEvents[Event #],0))</f>
        <v/>
      </c>
      <c r="F157">
        <f>INDEX(tblServiceEvents[Status],MATCH($A157,tblServiceEvents[Event #],0))</f>
        <v/>
      </c>
      <c r="G157">
        <f>INDEX(tblServiceEvents[City],MATCH($A157,tblServiceEvents[Event #],0))</f>
        <v/>
      </c>
      <c r="H157">
        <f>INDEX(tblServiceEvents[Jurisdiction],MATCH($A157,tblServiceEvents[Event #],0))</f>
        <v/>
      </c>
      <c r="I157">
        <f>COUNTIF(tblLedger[Event #],A157)</f>
        <v/>
      </c>
      <c r="J157">
        <f>IF(COUNTIF(tblServiceEvents[Event #],A157)&gt;1,"Yes","No")</f>
        <v/>
      </c>
      <c r="K157">
        <f>IF(C157="","Yes","No")</f>
        <v/>
      </c>
      <c r="L157">
        <f>IF(B157="","Yes","No")</f>
        <v/>
      </c>
      <c r="M157">
        <f>IF(OR(G157="",H157=""),"Yes","No")</f>
        <v/>
      </c>
      <c r="N157">
        <f>IF(COUNTIF({"Monday","Tuesday","Wednesday","Thursday","Friday"},D157)=0,"Yes","No")</f>
        <v/>
      </c>
      <c r="O157">
        <f>IF(COUNTIF({"MY_MONTH 1","MY_MONTH 2","MY_MONTH 3"},E157)=0,"Yes","No")</f>
        <v/>
      </c>
      <c r="P157">
        <f>IF(J157="Yes","Duplicate Event #",IF(K157="Yes","Missing Date",IF(L157="Yes","Missing Client",IF(M157="Yes","Missing Location",IF(N157="Yes","Unknown Weekday",IF(O157="Yes","Unknown MY_MONTH",IF(I157=0,"No Linked WO","OK")))))))</f>
        <v/>
      </c>
      <c r="Q157">
        <f>IF(J157="Yes","Critical",IF(OR(K157="Yes",L157="Yes",M157="Yes",N157="Yes",O157="Yes"),"Warning",IF(I157=0,"Informational","OK")))</f>
        <v/>
      </c>
      <c r="R157">
        <f>IF(P157="OK","No","Yes")</f>
        <v/>
      </c>
    </row>
    <row r="158">
      <c r="A158" t="n">
        <v>59</v>
      </c>
      <c r="B158">
        <f>INDEX(tblServiceEvents[Client],MATCH($A158,tblServiceEvents[Event #],0))</f>
        <v/>
      </c>
      <c r="C158" s="663">
        <f>INDEX(tblServiceEvents[Service Date],MATCH($A158,tblServiceEvents[Event #],0))</f>
        <v/>
      </c>
      <c r="D158">
        <f>INDEX(tblServiceEvents[Weekday],MATCH($A158,tblServiceEvents[Event #],0))</f>
        <v/>
      </c>
      <c r="E158">
        <f>INDEX(tblServiceEvents[MY_MONTH],MATCH($A158,tblServiceEvents[Event #],0))</f>
        <v/>
      </c>
      <c r="F158">
        <f>INDEX(tblServiceEvents[Status],MATCH($A158,tblServiceEvents[Event #],0))</f>
        <v/>
      </c>
      <c r="G158">
        <f>INDEX(tblServiceEvents[City],MATCH($A158,tblServiceEvents[Event #],0))</f>
        <v/>
      </c>
      <c r="H158">
        <f>INDEX(tblServiceEvents[Jurisdiction],MATCH($A158,tblServiceEvents[Event #],0))</f>
        <v/>
      </c>
      <c r="I158">
        <f>COUNTIF(tblLedger[Event #],A158)</f>
        <v/>
      </c>
      <c r="J158">
        <f>IF(COUNTIF(tblServiceEvents[Event #],A158)&gt;1,"Yes","No")</f>
        <v/>
      </c>
      <c r="K158">
        <f>IF(C158="","Yes","No")</f>
        <v/>
      </c>
      <c r="L158">
        <f>IF(B158="","Yes","No")</f>
        <v/>
      </c>
      <c r="M158">
        <f>IF(OR(G158="",H158=""),"Yes","No")</f>
        <v/>
      </c>
      <c r="N158">
        <f>IF(COUNTIF({"Monday","Tuesday","Wednesday","Thursday","Friday"},D158)=0,"Yes","No")</f>
        <v/>
      </c>
      <c r="O158">
        <f>IF(COUNTIF({"MY_MONTH 1","MY_MONTH 2","MY_MONTH 3"},E158)=0,"Yes","No")</f>
        <v/>
      </c>
      <c r="P158">
        <f>IF(J158="Yes","Duplicate Event #",IF(K158="Yes","Missing Date",IF(L158="Yes","Missing Client",IF(M158="Yes","Missing Location",IF(N158="Yes","Unknown Weekday",IF(O158="Yes","Unknown MY_MONTH",IF(I158=0,"No Linked WO","OK")))))))</f>
        <v/>
      </c>
      <c r="Q158">
        <f>IF(J158="Yes","Critical",IF(OR(K158="Yes",L158="Yes",M158="Yes",N158="Yes",O158="Yes"),"Warning",IF(I158=0,"Informational","OK")))</f>
        <v/>
      </c>
      <c r="R158">
        <f>IF(P158="OK","No","Yes")</f>
        <v/>
      </c>
    </row>
    <row r="159">
      <c r="A159" t="n">
        <v>60</v>
      </c>
      <c r="B159">
        <f>INDEX(tblServiceEvents[Client],MATCH($A159,tblServiceEvents[Event #],0))</f>
        <v/>
      </c>
      <c r="C159" s="663">
        <f>INDEX(tblServiceEvents[Service Date],MATCH($A159,tblServiceEvents[Event #],0))</f>
        <v/>
      </c>
      <c r="D159">
        <f>INDEX(tblServiceEvents[Weekday],MATCH($A159,tblServiceEvents[Event #],0))</f>
        <v/>
      </c>
      <c r="E159">
        <f>INDEX(tblServiceEvents[MY_MONTH],MATCH($A159,tblServiceEvents[Event #],0))</f>
        <v/>
      </c>
      <c r="F159">
        <f>INDEX(tblServiceEvents[Status],MATCH($A159,tblServiceEvents[Event #],0))</f>
        <v/>
      </c>
      <c r="G159">
        <f>INDEX(tblServiceEvents[City],MATCH($A159,tblServiceEvents[Event #],0))</f>
        <v/>
      </c>
      <c r="H159">
        <f>INDEX(tblServiceEvents[Jurisdiction],MATCH($A159,tblServiceEvents[Event #],0))</f>
        <v/>
      </c>
      <c r="I159">
        <f>COUNTIF(tblLedger[Event #],A159)</f>
        <v/>
      </c>
      <c r="J159">
        <f>IF(COUNTIF(tblServiceEvents[Event #],A159)&gt;1,"Yes","No")</f>
        <v/>
      </c>
      <c r="K159">
        <f>IF(C159="","Yes","No")</f>
        <v/>
      </c>
      <c r="L159">
        <f>IF(B159="","Yes","No")</f>
        <v/>
      </c>
      <c r="M159">
        <f>IF(OR(G159="",H159=""),"Yes","No")</f>
        <v/>
      </c>
      <c r="N159">
        <f>IF(COUNTIF({"Monday","Tuesday","Wednesday","Thursday","Friday"},D159)=0,"Yes","No")</f>
        <v/>
      </c>
      <c r="O159">
        <f>IF(COUNTIF({"MY_MONTH 1","MY_MONTH 2","MY_MONTH 3"},E159)=0,"Yes","No")</f>
        <v/>
      </c>
      <c r="P159">
        <f>IF(J159="Yes","Duplicate Event #",IF(K159="Yes","Missing Date",IF(L159="Yes","Missing Client",IF(M159="Yes","Missing Location",IF(N159="Yes","Unknown Weekday",IF(O159="Yes","Unknown MY_MONTH",IF(I159=0,"No Linked WO","OK")))))))</f>
        <v/>
      </c>
      <c r="Q159">
        <f>IF(J159="Yes","Critical",IF(OR(K159="Yes",L159="Yes",M159="Yes",N159="Yes",O159="Yes"),"Warning",IF(I159=0,"Informational","OK")))</f>
        <v/>
      </c>
      <c r="R159">
        <f>IF(P159="OK","No","Yes")</f>
        <v/>
      </c>
    </row>
    <row r="160">
      <c r="A160" t="n">
        <v>61</v>
      </c>
      <c r="B160">
        <f>INDEX(tblServiceEvents[Client],MATCH($A160,tblServiceEvents[Event #],0))</f>
        <v/>
      </c>
      <c r="C160">
        <f>INDEX(tblServiceEvents[Service Date],MATCH($A160,tblServiceEvents[Event #],0))</f>
        <v/>
      </c>
      <c r="D160">
        <f>INDEX(tblServiceEvents[Weekday],MATCH($A160,tblServiceEvents[Event #],0))</f>
        <v/>
      </c>
      <c r="E160">
        <f>INDEX(tblServiceEvents[MY_MONTH],MATCH($A160,tblServiceEvents[Event #],0))</f>
        <v/>
      </c>
      <c r="F160">
        <f>INDEX(tblServiceEvents[Status],MATCH($A160,tblServiceEvents[Event #],0))</f>
        <v/>
      </c>
      <c r="G160">
        <f>INDEX(tblServiceEvents[City],MATCH($A160,tblServiceEvents[Event #],0))</f>
        <v/>
      </c>
      <c r="H160">
        <f>INDEX(tblServiceEvents[Jurisdiction],MATCH($A160,tblServiceEvents[Event #],0))</f>
        <v/>
      </c>
      <c r="I160">
        <f>COUNTIF(tblLedger[Event #],A160)</f>
        <v/>
      </c>
      <c r="J160">
        <f>IF(COUNTIF(tblServiceEvents[Event #],A160)&gt;1,"Yes","No")</f>
        <v/>
      </c>
      <c r="K160">
        <f>IF(C160="","Yes","No")</f>
        <v/>
      </c>
      <c r="L160">
        <f>IF(B160="","Yes","No")</f>
        <v/>
      </c>
      <c r="M160">
        <f>IF(OR(G160="",H160=""),"Yes","No")</f>
        <v/>
      </c>
      <c r="N160">
        <f>IF(COUNTIF({"Monday","Tuesday","Wednesday","Thursday","Friday"},D160)=0,"Yes","No")</f>
        <v/>
      </c>
      <c r="O160">
        <f>IF(COUNTIF({"MY_MONTH 1","MY_MONTH 2","MY_MONTH 3"},E160)=0,"Yes","No")</f>
        <v/>
      </c>
      <c r="P160">
        <f>IF(J160="Yes","Duplicate Event #",IF(K160="Yes","Missing Date",IF(L160="Yes","Missing Client",IF(M160="Yes","Missing Location",IF(N160="Yes","Unknown Weekday",IF(O160="Yes","Unknown MY_MONTH",IF(I160=0,"No Linked WO","OK")))))))</f>
        <v/>
      </c>
      <c r="Q160">
        <f>IF(J160="Yes","Critical",IF(OR(K160="Yes",L160="Yes",M160="Yes",N160="Yes",O160="Yes"),"Warning",IF(I160=0,"Informational","OK")))</f>
        <v/>
      </c>
      <c r="R160">
        <f>IF(P160="OK","No","Yes")</f>
        <v/>
      </c>
    </row>
    <row r="161">
      <c r="A161" t="n">
        <v>62</v>
      </c>
      <c r="B161">
        <f>INDEX(tblServiceEvents[Client],MATCH($A161,tblServiceEvents[Event #],0))</f>
        <v/>
      </c>
      <c r="C161">
        <f>INDEX(tblServiceEvents[Service Date],MATCH($A161,tblServiceEvents[Event #],0))</f>
        <v/>
      </c>
      <c r="D161">
        <f>INDEX(tblServiceEvents[Weekday],MATCH($A161,tblServiceEvents[Event #],0))</f>
        <v/>
      </c>
      <c r="E161">
        <f>INDEX(tblServiceEvents[MY_MONTH],MATCH($A161,tblServiceEvents[Event #],0))</f>
        <v/>
      </c>
      <c r="F161">
        <f>INDEX(tblServiceEvents[Status],MATCH($A161,tblServiceEvents[Event #],0))</f>
        <v/>
      </c>
      <c r="G161">
        <f>INDEX(tblServiceEvents[City],MATCH($A161,tblServiceEvents[Event #],0))</f>
        <v/>
      </c>
      <c r="H161">
        <f>INDEX(tblServiceEvents[Jurisdiction],MATCH($A161,tblServiceEvents[Event #],0))</f>
        <v/>
      </c>
      <c r="I161">
        <f>COUNTIF(tblLedger[Event #],A161)</f>
        <v/>
      </c>
      <c r="J161">
        <f>IF(COUNTIF(tblServiceEvents[Event #],A161)&gt;1,"Yes","No")</f>
        <v/>
      </c>
      <c r="K161">
        <f>IF(C161="","Yes","No")</f>
        <v/>
      </c>
      <c r="L161">
        <f>IF(B161="","Yes","No")</f>
        <v/>
      </c>
      <c r="M161">
        <f>IF(OR(G161="",H161=""),"Yes","No")</f>
        <v/>
      </c>
      <c r="N161">
        <f>IF(COUNTIF({"Monday","Tuesday","Wednesday","Thursday","Friday"},D161)=0,"Yes","No")</f>
        <v/>
      </c>
      <c r="O161">
        <f>IF(COUNTIF({"MY_MONTH 1","MY_MONTH 2","MY_MONTH 3"},E161)=0,"Yes","No")</f>
        <v/>
      </c>
      <c r="P161">
        <f>IF(J161="Yes","Duplicate Event #",IF(K161="Yes","Missing Date",IF(L161="Yes","Missing Client",IF(M161="Yes","Missing Location",IF(N161="Yes","Unknown Weekday",IF(O161="Yes","Unknown MY_MONTH",IF(I161=0,"No Linked WO","OK")))))))</f>
        <v/>
      </c>
      <c r="Q161">
        <f>IF(J161="Yes","Critical",IF(OR(K161="Yes",L161="Yes",M161="Yes",N161="Yes",O161="Yes"),"Warning",IF(I161=0,"Informational","OK")))</f>
        <v/>
      </c>
      <c r="R161">
        <f>IF(P161="OK","No","Yes")</f>
        <v/>
      </c>
    </row>
    <row r="162">
      <c r="A162" t="n">
        <v>63</v>
      </c>
      <c r="B162">
        <f>INDEX(tblServiceEvents[Client],MATCH($A162,tblServiceEvents[Event #],0))</f>
        <v/>
      </c>
      <c r="C162">
        <f>INDEX(tblServiceEvents[Service Date],MATCH($A162,tblServiceEvents[Event #],0))</f>
        <v/>
      </c>
      <c r="D162">
        <f>INDEX(tblServiceEvents[Weekday],MATCH($A162,tblServiceEvents[Event #],0))</f>
        <v/>
      </c>
      <c r="E162">
        <f>INDEX(tblServiceEvents[MY_MONTH],MATCH($A162,tblServiceEvents[Event #],0))</f>
        <v/>
      </c>
      <c r="F162">
        <f>INDEX(tblServiceEvents[Status],MATCH($A162,tblServiceEvents[Event #],0))</f>
        <v/>
      </c>
      <c r="G162">
        <f>INDEX(tblServiceEvents[City],MATCH($A162,tblServiceEvents[Event #],0))</f>
        <v/>
      </c>
      <c r="H162">
        <f>INDEX(tblServiceEvents[Jurisdiction],MATCH($A162,tblServiceEvents[Event #],0))</f>
        <v/>
      </c>
      <c r="I162">
        <f>COUNTIF(tblLedger[Event #],A162)</f>
        <v/>
      </c>
      <c r="J162">
        <f>IF(COUNTIF(tblServiceEvents[Event #],A162)&gt;1,"Yes","No")</f>
        <v/>
      </c>
      <c r="K162">
        <f>IF(C162="","Yes","No")</f>
        <v/>
      </c>
      <c r="L162">
        <f>IF(B162="","Yes","No")</f>
        <v/>
      </c>
      <c r="M162">
        <f>IF(OR(G162="",H162=""),"Yes","No")</f>
        <v/>
      </c>
      <c r="N162">
        <f>IF(COUNTIF({"Monday","Tuesday","Wednesday","Thursday","Friday"},D162)=0,"Yes","No")</f>
        <v/>
      </c>
      <c r="O162">
        <f>IF(COUNTIF({"MY_MONTH 1","MY_MONTH 2","MY_MONTH 3"},E162)=0,"Yes","No")</f>
        <v/>
      </c>
      <c r="P162">
        <f>IF(J162="Yes","Duplicate Event #",IF(K162="Yes","Missing Date",IF(L162="Yes","Missing Client",IF(M162="Yes","Missing Location",IF(N162="Yes","Unknown Weekday",IF(O162="Yes","Unknown MY_MONTH",IF(I162=0,"No Linked WO","OK")))))))</f>
        <v/>
      </c>
      <c r="Q162">
        <f>IF(J162="Yes","Critical",IF(OR(K162="Yes",L162="Yes",M162="Yes",N162="Yes",O162="Yes"),"Warning",IF(I162=0,"Informational","OK")))</f>
        <v/>
      </c>
      <c r="R162">
        <f>IF(P162="OK","No","Yes")</f>
        <v/>
      </c>
    </row>
    <row r="163">
      <c r="A163" t="n">
        <v>64</v>
      </c>
      <c r="B163">
        <f>INDEX(tblServiceEvents[Client],MATCH($A163,tblServiceEvents[Event #],0))</f>
        <v/>
      </c>
      <c r="C163">
        <f>INDEX(tblServiceEvents[Service Date],MATCH($A163,tblServiceEvents[Event #],0))</f>
        <v/>
      </c>
      <c r="D163">
        <f>INDEX(tblServiceEvents[Weekday],MATCH($A163,tblServiceEvents[Event #],0))</f>
        <v/>
      </c>
      <c r="E163">
        <f>INDEX(tblServiceEvents[MY_MONTH],MATCH($A163,tblServiceEvents[Event #],0))</f>
        <v/>
      </c>
      <c r="F163">
        <f>INDEX(tblServiceEvents[Status],MATCH($A163,tblServiceEvents[Event #],0))</f>
        <v/>
      </c>
      <c r="G163">
        <f>INDEX(tblServiceEvents[City],MATCH($A163,tblServiceEvents[Event #],0))</f>
        <v/>
      </c>
      <c r="H163">
        <f>INDEX(tblServiceEvents[Jurisdiction],MATCH($A163,tblServiceEvents[Event #],0))</f>
        <v/>
      </c>
      <c r="I163">
        <f>COUNTIF(tblLedger[Event #],A163)</f>
        <v/>
      </c>
      <c r="J163">
        <f>IF(COUNTIF(tblServiceEvents[Event #],A163)&gt;1,"Yes","No")</f>
        <v/>
      </c>
      <c r="K163">
        <f>IF(C163="","Yes","No")</f>
        <v/>
      </c>
      <c r="L163">
        <f>IF(B163="","Yes","No")</f>
        <v/>
      </c>
      <c r="M163">
        <f>IF(OR(G163="",H163=""),"Yes","No")</f>
        <v/>
      </c>
      <c r="N163">
        <f>IF(COUNTIF({"Monday","Tuesday","Wednesday","Thursday","Friday"},D163)=0,"Yes","No")</f>
        <v/>
      </c>
      <c r="O163">
        <f>IF(COUNTIF({"MY_MONTH 1","MY_MONTH 2","MY_MONTH 3"},E163)=0,"Yes","No")</f>
        <v/>
      </c>
      <c r="P163">
        <f>IF(J163="Yes","Duplicate Event #",IF(K163="Yes","Missing Date",IF(L163="Yes","Missing Client",IF(M163="Yes","Missing Location",IF(N163="Yes","Unknown Weekday",IF(O163="Yes","Unknown MY_MONTH",IF(I163=0,"No Linked WO","OK")))))))</f>
        <v/>
      </c>
      <c r="Q163">
        <f>IF(J163="Yes","Critical",IF(OR(K163="Yes",L163="Yes",M163="Yes",N163="Yes",O163="Yes"),"Warning",IF(I163=0,"Informational","OK")))</f>
        <v/>
      </c>
      <c r="R163">
        <f>IF(P163="OK","No","Yes")</f>
        <v/>
      </c>
    </row>
    <row r="164">
      <c r="A164" t="n">
        <v>65</v>
      </c>
      <c r="B164">
        <f>INDEX(tblServiceEvents[Client],MATCH($A164,tblServiceEvents[Event #],0))</f>
        <v/>
      </c>
      <c r="C164">
        <f>INDEX(tblServiceEvents[Service Date],MATCH($A164,tblServiceEvents[Event #],0))</f>
        <v/>
      </c>
      <c r="D164">
        <f>INDEX(tblServiceEvents[Weekday],MATCH($A164,tblServiceEvents[Event #],0))</f>
        <v/>
      </c>
      <c r="E164">
        <f>INDEX(tblServiceEvents[MY_MONTH],MATCH($A164,tblServiceEvents[Event #],0))</f>
        <v/>
      </c>
      <c r="F164">
        <f>INDEX(tblServiceEvents[Status],MATCH($A164,tblServiceEvents[Event #],0))</f>
        <v/>
      </c>
      <c r="G164">
        <f>INDEX(tblServiceEvents[City],MATCH($A164,tblServiceEvents[Event #],0))</f>
        <v/>
      </c>
      <c r="H164">
        <f>INDEX(tblServiceEvents[Jurisdiction],MATCH($A164,tblServiceEvents[Event #],0))</f>
        <v/>
      </c>
      <c r="I164">
        <f>COUNTIF(tblLedger[Event #],A164)</f>
        <v/>
      </c>
      <c r="J164">
        <f>IF(COUNTIF(tblServiceEvents[Event #],A164)&gt;1,"Yes","No")</f>
        <v/>
      </c>
      <c r="K164">
        <f>IF(C164="","Yes","No")</f>
        <v/>
      </c>
      <c r="L164">
        <f>IF(B164="","Yes","No")</f>
        <v/>
      </c>
      <c r="M164">
        <f>IF(OR(G164="",H164=""),"Yes","No")</f>
        <v/>
      </c>
      <c r="N164">
        <f>IF(COUNTIF({"Monday","Tuesday","Wednesday","Thursday","Friday"},D164)=0,"Yes","No")</f>
        <v/>
      </c>
      <c r="O164">
        <f>IF(COUNTIF({"MY_MONTH 1","MY_MONTH 2","MY_MONTH 3"},E164)=0,"Yes","No")</f>
        <v/>
      </c>
      <c r="P164">
        <f>IF(J164="Yes","Duplicate Event #",IF(K164="Yes","Missing Date",IF(L164="Yes","Missing Client",IF(M164="Yes","Missing Location",IF(N164="Yes","Unknown Weekday",IF(O164="Yes","Unknown MY_MONTH",IF(I164=0,"No Linked WO","OK")))))))</f>
        <v/>
      </c>
      <c r="Q164">
        <f>IF(J164="Yes","Critical",IF(OR(K164="Yes",L164="Yes",M164="Yes",N164="Yes",O164="Yes"),"Warning",IF(I164=0,"Informational","OK")))</f>
        <v/>
      </c>
      <c r="R164">
        <f>IF(P164="OK","No","Yes")</f>
        <v/>
      </c>
    </row>
    <row r="165">
      <c r="A165" t="n">
        <v>66</v>
      </c>
      <c r="B165">
        <f>INDEX(tblServiceEvents[Client],MATCH($A165,tblServiceEvents[Event #],0))</f>
        <v/>
      </c>
      <c r="C165">
        <f>INDEX(tblServiceEvents[Service Date],MATCH($A165,tblServiceEvents[Event #],0))</f>
        <v/>
      </c>
      <c r="D165">
        <f>INDEX(tblServiceEvents[Weekday],MATCH($A165,tblServiceEvents[Event #],0))</f>
        <v/>
      </c>
      <c r="E165">
        <f>INDEX(tblServiceEvents[MY_MONTH],MATCH($A165,tblServiceEvents[Event #],0))</f>
        <v/>
      </c>
      <c r="F165">
        <f>INDEX(tblServiceEvents[Status],MATCH($A165,tblServiceEvents[Event #],0))</f>
        <v/>
      </c>
      <c r="G165">
        <f>INDEX(tblServiceEvents[City],MATCH($A165,tblServiceEvents[Event #],0))</f>
        <v/>
      </c>
      <c r="H165">
        <f>INDEX(tblServiceEvents[Jurisdiction],MATCH($A165,tblServiceEvents[Event #],0))</f>
        <v/>
      </c>
      <c r="I165">
        <f>COUNTIF(tblLedger[Event #],A165)</f>
        <v/>
      </c>
      <c r="J165">
        <f>IF(COUNTIF(tblServiceEvents[Event #],A165)&gt;1,"Yes","No")</f>
        <v/>
      </c>
      <c r="K165">
        <f>IF(C165="","Yes","No")</f>
        <v/>
      </c>
      <c r="L165">
        <f>IF(B165="","Yes","No")</f>
        <v/>
      </c>
      <c r="M165">
        <f>IF(OR(G165="",H165=""),"Yes","No")</f>
        <v/>
      </c>
      <c r="N165">
        <f>IF(COUNTIF({"Monday","Tuesday","Wednesday","Thursday","Friday"},D165)=0,"Yes","No")</f>
        <v/>
      </c>
      <c r="O165">
        <f>IF(COUNTIF({"MY_MONTH 1","MY_MONTH 2","MY_MONTH 3"},E165)=0,"Yes","No")</f>
        <v/>
      </c>
      <c r="P165">
        <f>IF(J165="Yes","Duplicate Event #",IF(K165="Yes","Missing Date",IF(L165="Yes","Missing Client",IF(M165="Yes","Missing Location",IF(N165="Yes","Unknown Weekday",IF(O165="Yes","Unknown MY_MONTH",IF(I165=0,"No Linked WO","OK")))))))</f>
        <v/>
      </c>
      <c r="Q165">
        <f>IF(J165="Yes","Critical",IF(OR(K165="Yes",L165="Yes",M165="Yes",N165="Yes",O165="Yes"),"Warning",IF(I165=0,"Informational","OK")))</f>
        <v/>
      </c>
      <c r="R165">
        <f>IF(P165="OK","No","Yes")</f>
        <v/>
      </c>
    </row>
    <row r="166" ht="24" customHeight="1" s="192">
      <c r="A166" s="362" t="n">
        <v>67</v>
      </c>
      <c r="B166" s="362">
        <f>INDEX(tblServiceEvents[Client],MATCH($A166,tblServiceEvents[Event #],0))</f>
        <v/>
      </c>
      <c r="C166" s="362">
        <f>INDEX(tblServiceEvents[Service Date],MATCH($A166,tblServiceEvents[Event #],0))</f>
        <v/>
      </c>
      <c r="D166" s="362">
        <f>INDEX(tblServiceEvents[Weekday],MATCH($A166,tblServiceEvents[Event #],0))</f>
        <v/>
      </c>
      <c r="E166" s="362">
        <f>INDEX(tblServiceEvents[MY_MONTH],MATCH($A166,tblServiceEvents[Event #],0))</f>
        <v/>
      </c>
      <c r="F166" s="362">
        <f>INDEX(tblServiceEvents[Status],MATCH($A166,tblServiceEvents[Event #],0))</f>
        <v/>
      </c>
      <c r="G166" s="362">
        <f>INDEX(tblServiceEvents[City],MATCH($A166,tblServiceEvents[Event #],0))</f>
        <v/>
      </c>
      <c r="H166" s="362">
        <f>INDEX(tblServiceEvents[Jurisdiction],MATCH($A166,tblServiceEvents[Event #],0))</f>
        <v/>
      </c>
      <c r="I166">
        <f>COUNTIF(tblLedger[Event #],A166)</f>
        <v/>
      </c>
      <c r="J166">
        <f>IF(COUNTIF(tblServiceEvents[Event #],A166)&gt;1,"Yes","No")</f>
        <v/>
      </c>
      <c r="K166">
        <f>IF(C166="","Yes","No")</f>
        <v/>
      </c>
      <c r="L166">
        <f>IF(B166="","Yes","No")</f>
        <v/>
      </c>
      <c r="M166">
        <f>IF(OR(G166="",H166=""),"Yes","No")</f>
        <v/>
      </c>
      <c r="N166">
        <f>IF(COUNTIF({"Monday","Tuesday","Wednesday","Thursday","Friday"},D166)=0,"Yes","No")</f>
        <v/>
      </c>
      <c r="O166">
        <f>IF(COUNTIF({"MY_MONTH 1","MY_MONTH 2","MY_MONTH 3"},E166)=0,"Yes","No")</f>
        <v/>
      </c>
      <c r="P166">
        <f>IF(J166="Yes","Duplicate Event #",IF(K166="Yes","Missing Date",IF(L166="Yes","Missing Client",IF(M166="Yes","Missing Location",IF(N166="Yes","Unknown Weekday",IF(O166="Yes","Unknown MY_MONTH",IF(I166=0,"No Linked WO","OK")))))))</f>
        <v/>
      </c>
      <c r="Q166">
        <f>IF(J166="Yes","Critical",IF(OR(K166="Yes",L166="Yes",M166="Yes",N166="Yes",O166="Yes"),"Warning",IF(I166=0,"Informational","OK")))</f>
        <v/>
      </c>
      <c r="R166">
        <f>IF(P166="OK","No","Yes")</f>
        <v/>
      </c>
    </row>
    <row r="167" ht="24" customHeight="1" s="192">
      <c r="A167" s="366" t="n"/>
      <c r="B167" s="366" t="n"/>
      <c r="C167" s="366" t="n"/>
      <c r="D167" s="366" t="n"/>
      <c r="E167" s="366" t="n"/>
      <c r="F167" s="366" t="n"/>
      <c r="G167" s="366" t="n"/>
      <c r="H167" s="366" t="n"/>
    </row>
    <row r="168" ht="24" customHeight="1" s="192">
      <c r="A168" s="371" t="n"/>
      <c r="B168" s="371" t="n"/>
      <c r="C168" s="371" t="n"/>
      <c r="D168" s="371" t="n"/>
      <c r="E168" s="371" t="n"/>
      <c r="F168" s="371" t="n"/>
      <c r="G168" s="371" t="n"/>
      <c r="H168" s="371" t="n"/>
    </row>
    <row r="169"/>
    <row r="170">
      <c r="A170" s="374" t="inlineStr">
        <is>
          <t>PHASE 3H — Structural Integrity Gate</t>
        </is>
      </c>
      <c r="B170" s="374" t="n"/>
      <c r="C170" s="374" t="n"/>
      <c r="D170" s="374" t="n"/>
      <c r="E170" s="374" t="n"/>
      <c r="F170" s="374" t="n"/>
      <c r="G170" s="374" t="n"/>
      <c r="H170" s="374" t="n"/>
    </row>
    <row r="171">
      <c r="A171" s="383" t="inlineStr">
        <is>
          <t>Integrity Gate</t>
        </is>
      </c>
      <c r="B171" s="383">
        <f>IF(COUNTIF(tblIntegrityRules[Status],"FAIL")=0,"PASS","FAIL")</f>
        <v/>
      </c>
      <c r="C171" s="383" t="inlineStr">
        <is>
          <t>Rule Failures</t>
        </is>
      </c>
      <c r="D171" s="383">
        <f>COUNTIF(tblIntegrityRules[Status],"FAIL")</f>
        <v/>
      </c>
      <c r="E171" s="383" t="inlineStr">
        <is>
          <t>Quarantined Holds</t>
        </is>
      </c>
      <c r="F171" s="383">
        <f>COUNTIF(tblCrossTableIntegrity[Integrity Status],"QUARANTINED")</f>
        <v/>
      </c>
      <c r="G171" s="383" t="inlineStr">
        <is>
          <t>Cross-Table Failures</t>
        </is>
      </c>
      <c r="H171" s="383">
        <f>COUNTIF(tblCrossTableIntegrity[Integrity Status],"FAIL")</f>
        <v/>
      </c>
    </row>
    <row r="172" ht="21.60000038146973" customHeight="1" s="192">
      <c r="A172" s="384" t="inlineStr">
        <is>
          <t>Business exceptions may remain open without breaking structural integrity when they are explicitly quarantined and excluded from automatic financial closure.</t>
        </is>
      </c>
      <c r="B172" s="384" t="n"/>
      <c r="C172" s="385" t="n"/>
      <c r="D172" s="690" t="n"/>
      <c r="E172" s="384" t="n"/>
      <c r="F172" s="384" t="n"/>
      <c r="G172" s="385" t="n"/>
      <c r="H172" s="385" t="n"/>
    </row>
    <row r="173" ht="15" customHeight="1" s="192">
      <c r="A173" s="384" t="n"/>
      <c r="B173" s="384" t="n"/>
      <c r="C173" s="385" t="n"/>
      <c r="D173" s="690" t="n"/>
      <c r="E173" s="384" t="n"/>
      <c r="F173" s="384" t="n"/>
      <c r="G173" s="385" t="n"/>
      <c r="H173" s="385" t="n"/>
    </row>
    <row r="174" ht="21.60000038146973" customHeight="1" s="192">
      <c r="A174" s="384" t="inlineStr">
        <is>
          <t>Integrity Rule Register</t>
        </is>
      </c>
      <c r="B174" s="384" t="n"/>
      <c r="C174" s="385" t="n"/>
      <c r="D174" s="690" t="n"/>
      <c r="E174" s="384" t="n"/>
      <c r="F174" s="384" t="n"/>
      <c r="G174" s="385" t="n"/>
      <c r="H174" s="385" t="n"/>
    </row>
    <row r="175" ht="21.60000038146973" customHeight="1" s="192">
      <c r="A175" s="384" t="inlineStr">
        <is>
          <t>Rule ID</t>
        </is>
      </c>
      <c r="B175" s="384" t="inlineStr">
        <is>
          <t>Layer</t>
        </is>
      </c>
      <c r="C175" s="385" t="inlineStr">
        <is>
          <t>Integrity Rule</t>
        </is>
      </c>
      <c r="D175" s="690" t="inlineStr">
        <is>
          <t>Violation Count</t>
        </is>
      </c>
      <c r="E175" s="384" t="inlineStr">
        <is>
          <t>Status</t>
        </is>
      </c>
      <c r="F175" s="384" t="inlineStr">
        <is>
          <t>Severity</t>
        </is>
      </c>
      <c r="G175" s="385" t="inlineStr">
        <is>
          <t>Required Action</t>
        </is>
      </c>
      <c r="H175" s="385" t="inlineStr">
        <is>
          <t>Technical Basis</t>
        </is>
      </c>
    </row>
    <row r="176" ht="21.60000038146973" customHeight="1" s="192">
      <c r="A176" s="384" t="inlineStr">
        <is>
          <t>H01</t>
        </is>
      </c>
      <c r="B176" s="384" t="inlineStr">
        <is>
          <t>Chronology</t>
        </is>
      </c>
      <c r="C176" s="385" t="inlineStr">
        <is>
          <t>Event numbers are unique and continuous</t>
        </is>
      </c>
      <c r="D176" s="690">
        <f>COUNTIF(tblEventIntegrityMatrix[Duplicate Event #],"Yes")+ABS(MAX(tblServiceEvents[Event #])-COUNT(tblServiceEvents[Event #]))</f>
        <v/>
      </c>
      <c r="E176" s="384">
        <f>IF(D176=0,"PASS","FAIL")</f>
        <v/>
      </c>
      <c r="F176" s="384" t="inlineStr">
        <is>
          <t>Critical</t>
        </is>
      </c>
      <c r="G176" s="385" t="inlineStr">
        <is>
          <t>Correct duplicate or missing chronology position before export</t>
        </is>
      </c>
      <c r="H176" s="385" t="inlineStr">
        <is>
          <t>Event count must equal the highest Event # and no duplicate Event # may exist.</t>
        </is>
      </c>
    </row>
    <row r="177" ht="21.60000038146973" customHeight="1" s="192">
      <c r="A177" s="384" t="inlineStr">
        <is>
          <t>H02</t>
        </is>
      </c>
      <c r="B177" s="384" t="inlineStr">
        <is>
          <t>Chronology</t>
        </is>
      </c>
      <c r="C177" s="385" t="inlineStr">
        <is>
          <t>Physical Visit ID matches Event #</t>
        </is>
      </c>
      <c r="D177" s="690">
        <f>SUMPRODUCT(--(tblServiceEvents[Physical Visit ID]&lt;&gt;"EVT-"&amp;TEXT(tblServiceEvents[Event #],"0000")))</f>
        <v/>
      </c>
      <c r="E177" s="384">
        <f>IF(D177=0,"PASS","FAIL")</f>
        <v/>
      </c>
      <c r="F177" s="384" t="inlineStr">
        <is>
          <t>Critical</t>
        </is>
      </c>
      <c r="G177" s="385" t="inlineStr">
        <is>
          <t>Correct the Event ID; do not renumber chronology</t>
        </is>
      </c>
      <c r="H177" s="385" t="inlineStr">
        <is>
          <t>Every Event # n must carry Physical Visit ID EVT-nnnn.</t>
        </is>
      </c>
    </row>
    <row r="178" ht="15" customHeight="1" s="192">
      <c r="A178" s="384" t="inlineStr">
        <is>
          <t>H03</t>
        </is>
      </c>
      <c r="B178" s="384" t="inlineStr">
        <is>
          <t>Service Events</t>
        </is>
      </c>
      <c r="C178" s="385" t="inlineStr">
        <is>
          <t>Required event identity fields are complete</t>
        </is>
      </c>
      <c r="D178" s="690">
        <f>COUNTBLANK(tblServiceEvents[Service Date])+COUNTBLANK(tblServiceEvents[Client ID])+COUNTBLANK(tblServiceEvents[Client])+COUNTBLANK(tblServiceEvents[City])+COUNTBLANK(tblServiceEvents[Jurisdiction])+COUNTBLANK(tblServiceEvents[Status])</f>
        <v/>
      </c>
      <c r="E178" s="384">
        <f>IF(D178=0,"PASS","FAIL")</f>
        <v/>
      </c>
      <c r="F178" s="384" t="inlineStr">
        <is>
          <t>Critical</t>
        </is>
      </c>
      <c r="G178" s="385" t="inlineStr">
        <is>
          <t>Complete missing identity fields from authoritative evidence</t>
        </is>
      </c>
      <c r="H178" s="385" t="inlineStr">
        <is>
          <t>Date, client, location, jurisdiction, and status cannot be blank.</t>
        </is>
      </c>
    </row>
    <row r="179" ht="21.60000038146973" customHeight="1" s="192">
      <c r="A179" s="384" t="inlineStr">
        <is>
          <t>H04</t>
        </is>
      </c>
      <c r="B179" s="384" t="inlineStr">
        <is>
          <t>Financial Scope</t>
        </is>
      </c>
      <c r="C179" s="385" t="inlineStr">
        <is>
          <t>Every event has a Financial Scope value</t>
        </is>
      </c>
      <c r="D179" s="690">
        <f>COUNTBLANK(tblServiceEvents[Financial Scope])</f>
        <v/>
      </c>
      <c r="E179" s="384">
        <f>IF(D179=0,"PASS","FAIL")</f>
        <v/>
      </c>
      <c r="F179" s="384" t="inlineStr">
        <is>
          <t>Critical</t>
        </is>
      </c>
      <c r="G179" s="385" t="inlineStr">
        <is>
          <t>Set Included or Excluded</t>
        </is>
      </c>
      <c r="H179" s="385" t="inlineStr">
        <is>
          <t>Career chronology and financial population must be explicitly separated.</t>
        </is>
      </c>
    </row>
    <row r="180" ht="21.60000038146973" customHeight="1" s="192">
      <c r="A180" s="384" t="inlineStr">
        <is>
          <t>H05</t>
        </is>
      </c>
      <c r="B180" s="384" t="inlineStr">
        <is>
          <t>Financial Scope</t>
        </is>
      </c>
      <c r="C180" s="385" t="inlineStr">
        <is>
          <t>Every excluded event has an exclusion reason</t>
        </is>
      </c>
      <c r="D180" s="690">
        <f>COUNTIFS(tblServiceEvents[Financial Scope],"Excluded",tblServiceEvents[Financial Exclusion Reason],"")</f>
        <v/>
      </c>
      <c r="E180" s="384">
        <f>IF(D180=0,"PASS","FAIL")</f>
        <v/>
      </c>
      <c r="F180" s="384" t="inlineStr">
        <is>
          <t>Warning</t>
        </is>
      </c>
      <c r="G180" s="385" t="inlineStr">
        <is>
          <t>Enter the approved exclusion reason</t>
        </is>
      </c>
      <c r="H180" s="385" t="inlineStr">
        <is>
          <t>Excluded events must explain why they remain chronology-only.</t>
        </is>
      </c>
    </row>
    <row r="181" ht="15" customHeight="1" s="192">
      <c r="A181" s="384" t="inlineStr">
        <is>
          <t>H06</t>
        </is>
      </c>
      <c r="B181" s="384" t="inlineStr">
        <is>
          <t>Financial Scope</t>
        </is>
      </c>
      <c r="C181" s="385" t="inlineStr">
        <is>
          <t>Financial Scope agrees with Breakdown Expected</t>
        </is>
      </c>
      <c r="D181" s="690">
        <f>COUNTIFS(tblServiceEvents[Financial Scope],"Excluded",tblServiceEvents[Breakdown Expected],"&lt;&gt;No")+COUNTIFS(tblServiceEvents[Financial Scope],"Included",tblServiceEvents[Breakdown Expected],"&lt;&gt;Yes")</f>
        <v/>
      </c>
      <c r="E181" s="384">
        <f>IF(D181=0,"PASS","FAIL")</f>
        <v/>
      </c>
      <c r="F181" s="384" t="inlineStr">
        <is>
          <t>Critical</t>
        </is>
      </c>
      <c r="G181" s="385" t="inlineStr">
        <is>
          <t>Correct Financial Scope or Breakdown Expected</t>
        </is>
      </c>
      <c r="H181" s="385" t="inlineStr">
        <is>
          <t>Excluded events never create missing-breakdown obligations; included events do.</t>
        </is>
      </c>
    </row>
    <row r="182" ht="21.60000038146973" customHeight="1" s="192">
      <c r="A182" s="384" t="inlineStr">
        <is>
          <t>H07</t>
        </is>
      </c>
      <c r="B182" s="384" t="inlineStr">
        <is>
          <t>Financial Scope</t>
        </is>
      </c>
      <c r="C182" s="385" t="inlineStr">
        <is>
          <t>Excluded financial scope agrees with revenue eligibility</t>
        </is>
      </c>
      <c r="D182" s="690">
        <f>COUNTIFS(tblServiceEvents[Financial Scope],"Excluded",tblServiceEvents[Revenue Eligibility],"&lt;&gt;Excluded")</f>
        <v/>
      </c>
      <c r="E182" s="384">
        <f>IF(D182=0,"PASS","FAIL")</f>
        <v/>
      </c>
      <c r="F182" s="384" t="inlineStr">
        <is>
          <t>Critical</t>
        </is>
      </c>
      <c r="G182" s="385" t="inlineStr">
        <is>
          <t>Set Revenue Eligibility to Excluded</t>
        </is>
      </c>
      <c r="H182" s="385" t="inlineStr">
        <is>
          <t>Chronology-only rows cannot enter revenue denominators.</t>
        </is>
      </c>
    </row>
    <row r="183" ht="15" customHeight="1" s="192">
      <c r="A183" s="384" t="inlineStr">
        <is>
          <t>H08</t>
        </is>
      </c>
      <c r="B183" s="384" t="inlineStr">
        <is>
          <t>Revenue</t>
        </is>
      </c>
      <c r="C183" s="385" t="inlineStr">
        <is>
          <t>Revenue eligibility agrees with confirmed revenue</t>
        </is>
      </c>
      <c r="D183" s="690">
        <f>COUNTIFS(tblServiceEvents[Revenue Eligibility],"Eligible",tblServiceEvents[Confirmed Revenue],"&lt;=0")+COUNTIFS(tblServiceEvents[Revenue Eligibility],"Excluded",tblServiceEvents[Confirmed Revenue],"&gt;0")</f>
        <v/>
      </c>
      <c r="E183" s="384">
        <f>IF(D183=0,"PASS","FAIL")</f>
        <v/>
      </c>
      <c r="F183" s="384" t="inlineStr">
        <is>
          <t>Critical</t>
        </is>
      </c>
      <c r="G183" s="385" t="inlineStr">
        <is>
          <t>Correct eligibility or confirmed revenue</t>
        </is>
      </c>
      <c r="H183" s="385" t="inlineStr">
        <is>
          <t>Eligible rows require positive confirmed revenue; excluded rows cannot carry it.</t>
        </is>
      </c>
    </row>
    <row r="184" ht="15" customHeight="1" s="192">
      <c r="A184" s="384" t="inlineStr">
        <is>
          <t>H09</t>
        </is>
      </c>
      <c r="B184" s="384" t="inlineStr">
        <is>
          <t>Cross-table</t>
        </is>
      </c>
      <c r="C184" s="385" t="inlineStr">
        <is>
          <t>Event WO count reconciles to linked ledger rows after quarantine</t>
        </is>
      </c>
      <c r="D184" s="690">
        <f>MAX(0,SUMPRODUCT(--(tblServiceEvents[Work Order Count]&lt;&gt;COUNTIF(tblLedger[Event #],tblServiceEvents[Event #])))-COUNTIF(tblLedgerExceptionMatrix[Mapping Hold],"Yes"))</f>
        <v/>
      </c>
      <c r="E184" s="384">
        <f>IF(D184=0,"PASS","FAIL")</f>
        <v/>
      </c>
      <c r="F184" s="384" t="inlineStr">
        <is>
          <t>Critical</t>
        </is>
      </c>
      <c r="G184" s="385" t="inlineStr">
        <is>
          <t>Resolve unquarantined event-to-ledger mismatch</t>
        </is>
      </c>
      <c r="H184" s="385" t="inlineStr">
        <is>
          <t>One visit can map to one or more WOs; known mapping holds are quarantined.</t>
        </is>
      </c>
    </row>
    <row r="185" ht="21.60000038146973" customHeight="1" s="192">
      <c r="A185" s="384" t="inlineStr">
        <is>
          <t>H10</t>
        </is>
      </c>
      <c r="B185" s="384" t="inlineStr">
        <is>
          <t>Ledger</t>
        </is>
      </c>
      <c r="C185" s="385" t="inlineStr">
        <is>
          <t>Ledger Record IDs are unique</t>
        </is>
      </c>
      <c r="D185" s="690">
        <f>SUMPRODUCT(--(COUNTIF(tblLedger[Ledger Record ID],tblLedger[Ledger Record ID])&gt;1))</f>
        <v/>
      </c>
      <c r="E185" s="384">
        <f>IF(D185=0,"PASS","FAIL")</f>
        <v/>
      </c>
      <c r="F185" s="384" t="inlineStr">
        <is>
          <t>Critical</t>
        </is>
      </c>
      <c r="G185" s="385" t="inlineStr">
        <is>
          <t>Assign a unique Ledger Record ID</t>
        </is>
      </c>
      <c r="H185" s="385" t="inlineStr">
        <is>
          <t>Ledger rows require immutable unique record identifiers.</t>
        </is>
      </c>
    </row>
    <row r="186" ht="21.60000038146973" customHeight="1" s="192">
      <c r="A186" s="384" t="inlineStr">
        <is>
          <t>H11</t>
        </is>
      </c>
      <c r="B186" s="384" t="inlineStr">
        <is>
          <t>Ledger</t>
        </is>
      </c>
      <c r="C186" s="385" t="inlineStr">
        <is>
          <t>Duplicate WOs are either absent or quarantined</t>
        </is>
      </c>
      <c r="D186" s="690">
        <f>COUNTIFS(tblLedgerExceptionMatrix[Duplicate WO],"Yes",tblLedgerExceptionMatrix[Mapping Hold],"&lt;&gt;Yes")</f>
        <v/>
      </c>
      <c r="E186" s="384">
        <f>IF(D186=0,"PASS","FAIL")</f>
        <v/>
      </c>
      <c r="F186" s="384" t="inlineStr">
        <is>
          <t>Critical</t>
        </is>
      </c>
      <c r="G186" s="385" t="inlineStr">
        <is>
          <t>Stop update and resolve mapping</t>
        </is>
      </c>
      <c r="H186" s="385" t="inlineStr">
        <is>
          <t>A WO may not update more than one ledger record unless formally held.</t>
        </is>
      </c>
    </row>
    <row r="187" ht="21.60000038146973" customHeight="1" s="192">
      <c r="A187" s="384" t="inlineStr">
        <is>
          <t>H12</t>
        </is>
      </c>
      <c r="B187" s="384" t="inlineStr">
        <is>
          <t>Ledger</t>
        </is>
      </c>
      <c r="C187" s="385" t="inlineStr">
        <is>
          <t>Missing Event links are quarantined</t>
        </is>
      </c>
      <c r="D187" s="690">
        <f>COUNTIFS(tblLedgerExceptionMatrix[Missing Event Link],"Yes",tblLedgerExceptionMatrix[Mapping Hold],"&lt;&gt;Yes")</f>
        <v/>
      </c>
      <c r="E187" s="384">
        <f>IF(D187=0,"PASS","FAIL")</f>
        <v/>
      </c>
      <c r="F187" s="384" t="inlineStr">
        <is>
          <t>Critical</t>
        </is>
      </c>
      <c r="G187" s="385" t="inlineStr">
        <is>
          <t>Link the WO or classify it as Mapping Hold</t>
        </is>
      </c>
      <c r="H187" s="385" t="inlineStr">
        <is>
          <t>Unmapped WOs cannot update financial metrics.</t>
        </is>
      </c>
    </row>
    <row r="188" ht="21.60000038146973" customHeight="1" s="192">
      <c r="A188" s="384" t="inlineStr">
        <is>
          <t>H13</t>
        </is>
      </c>
      <c r="B188" s="384" t="inlineStr">
        <is>
          <t>Cross-table</t>
        </is>
      </c>
      <c r="C188" s="385" t="inlineStr">
        <is>
          <t>Linked ledger identity matches the service event</t>
        </is>
      </c>
      <c r="D188" s="690">
        <f>COUNTIF(tblCrossTableIntegrity[Integrity Status],"FAIL")</f>
        <v/>
      </c>
      <c r="E188" s="384">
        <f>IF(D188=0,"PASS","FAIL")</f>
        <v/>
      </c>
      <c r="F188" s="384" t="inlineStr">
        <is>
          <t>Critical</t>
        </is>
      </c>
      <c r="G188" s="385" t="inlineStr">
        <is>
          <t>Correct client, location, date, or WO linkage</t>
        </is>
      </c>
      <c r="H188" s="385" t="inlineStr">
        <is>
          <t>Ledger identity fields must agree with the linked Event #.</t>
        </is>
      </c>
    </row>
    <row r="189" ht="15" customHeight="1" s="192">
      <c r="A189" s="384" t="inlineStr">
        <is>
          <t>H14</t>
        </is>
      </c>
      <c r="B189" s="384" t="inlineStr">
        <is>
          <t>Ledger</t>
        </is>
      </c>
      <c r="C189" s="385" t="inlineStr">
        <is>
          <t>Breakdown state agrees with Breakdown Amount</t>
        </is>
      </c>
      <c r="D189" s="690">
        <f>COUNTIFS(tblLedger[Breakdown Confirmed],"Yes",tblLedger[Breakdown Amount],"&lt;=0")+COUNTIFS(tblLedger[Breakdown Confirmed],"Partial",tblLedger[Breakdown Amount],"&lt;=0")+COUNTIFS(tblLedger[Breakdown Confirmed],"Pending",tblLedger[Breakdown Amount],"&gt;0")+COUNTIFS(tblLedger[Breakdown Confirmed],"No",tblLedger[Breakdown Amount],"&gt;0")</f>
        <v/>
      </c>
      <c r="E189" s="384">
        <f>IF(D189=0,"PASS","FAIL")</f>
        <v/>
      </c>
      <c r="F189" s="384" t="inlineStr">
        <is>
          <t>Critical</t>
        </is>
      </c>
      <c r="G189" s="385" t="inlineStr">
        <is>
          <t>Correct breakdown status or amount</t>
        </is>
      </c>
      <c r="H189" s="385" t="inlineStr">
        <is>
          <t>Confirmed/partial breakdowns need an amount; pending/no rows cannot carry one.</t>
        </is>
      </c>
    </row>
    <row r="190" ht="21.60000038146973" customHeight="1" s="192">
      <c r="A190" s="384" t="inlineStr">
        <is>
          <t>H15</t>
        </is>
      </c>
      <c r="B190" s="384" t="inlineStr">
        <is>
          <t>Ledger</t>
        </is>
      </c>
      <c r="C190" s="385" t="inlineStr">
        <is>
          <t>Confirmed ACH agrees with Breakdown Amount</t>
        </is>
      </c>
      <c r="D190" s="690">
        <f>COUNTIFS(tblLedger[ACH Confirmed],"Yes",tblLedger[ACH Amount],"&lt;=0",tblLedger[Reconciliation Status],"&lt;&gt;Operational complete / excluded financial metric")+SUMPRODUCT(--(tblLedger[ACH Confirmed]="Yes"),--(tblLedger[Breakdown Confirmed]="Yes"),--(ABS(tblLedger[ACH Amount]-tblLedger[Breakdown Amount])&gt;0.01))</f>
        <v/>
      </c>
      <c r="E190" s="384">
        <f>IF(D190=0,"PASS","FAIL")</f>
        <v/>
      </c>
      <c r="F190" s="384" t="inlineStr">
        <is>
          <t>Critical</t>
        </is>
      </c>
      <c r="G190" s="385" t="inlineStr">
        <is>
          <t>Reconcile ACH amount or classify as partial/mismatch</t>
        </is>
      </c>
      <c r="H190" s="385" t="inlineStr">
        <is>
          <t>A clean ACH confirmation must have a positive amount matching the breakdown.</t>
        </is>
      </c>
    </row>
    <row r="191" ht="21.60000038146973" customHeight="1" s="192">
      <c r="A191" s="384" t="inlineStr">
        <is>
          <t>H16</t>
        </is>
      </c>
      <c r="B191" s="384" t="inlineStr">
        <is>
          <t>Ledger</t>
        </is>
      </c>
      <c r="C191" s="385" t="inlineStr">
        <is>
          <t>Variance equals Breakdown minus Agreed Amount</t>
        </is>
      </c>
      <c r="D191" s="690">
        <f>SUMPRODUCT(--ISNUMBER(tblLedger[Agreed Amount]),--ISNUMBER(tblLedger[Breakdown Amount]),--(IFERROR(ABS(tblLedger[Variance]-(tblLedger[Breakdown Amount]-tblLedger[Agreed Amount])),0)&gt;0.01))</f>
        <v/>
      </c>
      <c r="E191" s="384">
        <f>IF(D191=0,"PASS","FAIL")</f>
        <v/>
      </c>
      <c r="F191" s="384" t="inlineStr">
        <is>
          <t>Critical</t>
        </is>
      </c>
      <c r="G191" s="385" t="inlineStr">
        <is>
          <t>Correct the recorded variance</t>
        </is>
      </c>
      <c r="H191" s="385" t="inlineStr">
        <is>
          <t>Variance sign and amount must be mathematically consistent.</t>
        </is>
      </c>
    </row>
    <row r="192" ht="21.60000038146973" customHeight="1" s="192">
      <c r="A192" s="384" t="inlineStr">
        <is>
          <t>H17</t>
        </is>
      </c>
      <c r="B192" s="384" t="inlineStr">
        <is>
          <t>Dashboard</t>
        </is>
      </c>
      <c r="C192" s="385" t="inlineStr">
        <is>
          <t>Completed Event KPI reconciles to Service Events</t>
        </is>
      </c>
      <c r="D192" s="690">
        <f>ABS(Dashboard!A6-COUNT(tblServiceEvents[Event #]))</f>
        <v/>
      </c>
      <c r="E192" s="384">
        <f>IF(D192=0,"PASS","FAIL")</f>
        <v/>
      </c>
      <c r="F192" s="384" t="inlineStr">
        <is>
          <t>Critical</t>
        </is>
      </c>
      <c r="G192" s="385" t="inlineStr">
        <is>
          <t>Refresh dashboard formula</t>
        </is>
      </c>
      <c r="H192" s="385" t="inlineStr">
        <is>
          <t>Dashboard career-event count must equal authoritative timeline rows.</t>
        </is>
      </c>
    </row>
    <row r="193" ht="21.60000038146973" customHeight="1" s="192">
      <c r="A193" s="384" t="inlineStr">
        <is>
          <t>H18</t>
        </is>
      </c>
      <c r="B193" s="384" t="inlineStr">
        <is>
          <t>Dashboard</t>
        </is>
      </c>
      <c r="C193" s="385" t="inlineStr">
        <is>
          <t>Unique Work Order KPI reconciles to Ledger</t>
        </is>
      </c>
      <c r="D193" s="690">
        <f>ABS(Dashboard!E6-COUNTA(tblLedger[Work Order #]))</f>
        <v/>
      </c>
      <c r="E193" s="384">
        <f>IF(D193=0,"PASS","FAIL")</f>
        <v/>
      </c>
      <c r="F193" s="384" t="inlineStr">
        <is>
          <t>Critical</t>
        </is>
      </c>
      <c r="G193" s="385" t="inlineStr">
        <is>
          <t>Refresh dashboard formula</t>
        </is>
      </c>
      <c r="H193" s="385" t="inlineStr">
        <is>
          <t>Dashboard WO count must equal authoritative ledger rows.</t>
        </is>
      </c>
    </row>
    <row r="194">
      <c r="A194" t="inlineStr">
        <is>
          <t>H19</t>
        </is>
      </c>
      <c r="B194" t="inlineStr">
        <is>
          <t>Dashboard</t>
        </is>
      </c>
      <c r="C194" t="inlineStr">
        <is>
          <t>Confirmed Revenue KPI reconciles to eligible events</t>
        </is>
      </c>
      <c r="D194">
        <f>IF(ABS(Dashboard!G6-SUMIFS(tblServiceEvents[Confirmed Revenue],tblServiceEvents[Revenue Eligibility],"Eligible"))&lt;0.01,0,1)</f>
        <v/>
      </c>
      <c r="E194">
        <f>IF(D194=0,"PASS","FAIL")</f>
        <v/>
      </c>
      <c r="F194" t="inlineStr">
        <is>
          <t>Critical</t>
        </is>
      </c>
      <c r="G194" t="inlineStr">
        <is>
          <t>Refresh revenue formula</t>
        </is>
      </c>
      <c r="H194" t="inlineStr">
        <is>
          <t>Dashboard confirmed revenue must equal eligible event revenue.</t>
        </is>
      </c>
    </row>
    <row r="195">
      <c r="A195" t="inlineStr">
        <is>
          <t>H20</t>
        </is>
      </c>
      <c r="B195" t="inlineStr">
        <is>
          <t>Dashboard</t>
        </is>
      </c>
      <c r="C195" t="inlineStr">
        <is>
          <t>Pending Breakdown KPI reconciles to Ledger</t>
        </is>
      </c>
      <c r="D195">
        <f>ABS(Dashboard!I6-COUNTIF(tblLedger[Breakdown Confirmed],"Pending"))</f>
        <v/>
      </c>
      <c r="E195">
        <f>IF(D195=0,"PASS","FAIL")</f>
        <v/>
      </c>
      <c r="F195" t="inlineStr">
        <is>
          <t>Critical</t>
        </is>
      </c>
      <c r="G195" t="inlineStr">
        <is>
          <t>Refresh pending-breakdown formula</t>
        </is>
      </c>
      <c r="H195" t="inlineStr">
        <is>
          <t>Pending breakdown count is sourced only from financially tracked WOs.</t>
        </is>
      </c>
    </row>
    <row r="196">
      <c r="A196" s="374" t="inlineStr">
        <is>
          <t>H21</t>
        </is>
      </c>
      <c r="B196" s="374" t="inlineStr">
        <is>
          <t>Dashboard</t>
        </is>
      </c>
      <c r="C196" s="374" t="inlineStr">
        <is>
          <t>Pending ACH KPI reconciles to Ledger</t>
        </is>
      </c>
      <c r="D196" s="374">
        <f>ABS(Dashboard!K6-(COUNTIFS(tblLedger[Breakdown Confirmed],"Yes",tblLedger[ACH Confirmed],"No")+COUNTIFS(tblLedger[Breakdown Confirmed],"Yes",tblLedger[ACH Confirmed],"Pending")))</f>
        <v/>
      </c>
      <c r="E196" s="374">
        <f>IF(D196=0,"PASS","FAIL")</f>
        <v/>
      </c>
      <c r="F196" s="374" t="inlineStr">
        <is>
          <t>Critical</t>
        </is>
      </c>
      <c r="G196" s="374" t="inlineStr">
        <is>
          <t>Refresh pending-ACH formula</t>
        </is>
      </c>
      <c r="H196" s="374" t="inlineStr">
        <is>
          <t>Pending ACH requires a confirmed breakdown and no confirmed ACH.</t>
        </is>
      </c>
      <c r="I196" s="374" t="n"/>
      <c r="J196" s="374" t="n"/>
    </row>
    <row r="197" ht="15" customHeight="1" s="192">
      <c r="A197" s="383" t="inlineStr">
        <is>
          <t>H22</t>
        </is>
      </c>
      <c r="B197" s="383" t="inlineStr">
        <is>
          <t>Quarantine</t>
        </is>
      </c>
      <c r="C197" s="383" t="inlineStr">
        <is>
          <t>Mapping Holds are fully and consistently quarantined</t>
        </is>
      </c>
      <c r="D197" s="383">
        <f>COUNTIFS(tblLedger[Mapping Status],"MAPPING_HOLD",tblLedger[Reconciliation Status],"&lt;&gt;MAPPING_HOLD")+COUNTIFS(tblLedger[Reconciliation Status],"MAPPING_HOLD",tblLedger[Mapping Status],"&lt;&gt;MAPPING_HOLD")+COUNTIFS(tblLedger[Mapping Status],"MAPPING_HOLD",tblLedger[Candidate Event(s)],"")</f>
        <v/>
      </c>
      <c r="E197" s="383">
        <f>IF(D197=0,"PASS","FAIL")</f>
        <v/>
      </c>
      <c r="F197" s="383" t="inlineStr">
        <is>
          <t>Critical</t>
        </is>
      </c>
      <c r="G197" s="383" t="inlineStr">
        <is>
          <t>Complete the hold classification before any update</t>
        </is>
      </c>
      <c r="H197" s="383" t="inlineStr">
        <is>
          <t>Known ambiguous WOs remain visible but cannot affect automatic financial closure.</t>
        </is>
      </c>
      <c r="I197" s="383" t="n"/>
      <c r="J197" s="383" t="n"/>
    </row>
    <row r="198" ht="15" customHeight="1" s="192">
      <c r="A198" s="384" t="n"/>
      <c r="B198" s="384" t="n"/>
      <c r="C198" s="384" t="n"/>
      <c r="D198" s="384" t="n"/>
      <c r="E198" s="384" t="n"/>
      <c r="F198" s="384" t="n"/>
      <c r="G198" s="384" t="n"/>
      <c r="H198" s="384" t="n"/>
      <c r="I198" s="384" t="n"/>
      <c r="J198" s="384" t="n"/>
    </row>
    <row r="199" ht="15" customHeight="1" s="192">
      <c r="A199" s="384" t="n"/>
      <c r="B199" s="384" t="n"/>
      <c r="C199" s="384" t="n"/>
      <c r="D199" s="384" t="n"/>
      <c r="E199" s="384" t="n"/>
      <c r="F199" s="384" t="n"/>
      <c r="G199" s="384" t="n"/>
      <c r="H199" s="384" t="n"/>
      <c r="I199" s="384" t="n"/>
      <c r="J199" s="384" t="n"/>
    </row>
    <row r="200" ht="15" customHeight="1" s="192">
      <c r="A200" s="384" t="inlineStr">
        <is>
          <t>Cross-Table Identity Matrix — Ledger to Service Events</t>
        </is>
      </c>
      <c r="B200" s="384" t="n"/>
      <c r="C200" s="384" t="n"/>
      <c r="D200" s="384" t="n"/>
      <c r="E200" s="384" t="n"/>
      <c r="F200" s="384" t="n"/>
      <c r="G200" s="384" t="n"/>
      <c r="H200" s="384" t="n"/>
      <c r="I200" s="384" t="n"/>
      <c r="J200" s="384" t="n"/>
    </row>
    <row r="201" ht="15" customHeight="1" s="192">
      <c r="A201" s="384" t="inlineStr">
        <is>
          <t>Ledger Record ID</t>
        </is>
      </c>
      <c r="B201" s="384" t="inlineStr">
        <is>
          <t>WO #</t>
        </is>
      </c>
      <c r="C201" s="384" t="inlineStr">
        <is>
          <t>Event #</t>
        </is>
      </c>
      <c r="D201" s="384" t="inlineStr">
        <is>
          <t>Mapping Status</t>
        </is>
      </c>
      <c r="E201" s="384" t="inlineStr">
        <is>
          <t>Event Exists</t>
        </is>
      </c>
      <c r="F201" s="384" t="inlineStr">
        <is>
          <t>Client Match</t>
        </is>
      </c>
      <c r="G201" s="384" t="inlineStr">
        <is>
          <t>Location Match</t>
        </is>
      </c>
      <c r="H201" s="384" t="inlineStr">
        <is>
          <t>Date Match</t>
        </is>
      </c>
      <c r="I201" s="384" t="inlineStr">
        <is>
          <t>WO Listed</t>
        </is>
      </c>
      <c r="J201" s="384" t="inlineStr">
        <is>
          <t>Integrity Status</t>
        </is>
      </c>
    </row>
    <row r="202" ht="15" customHeight="1" s="192">
      <c r="A202" s="384">
        <f>IFERROR(INDEX(tblLedger[Ledger Record ID],ROWS($A$202:A202)),"")</f>
        <v/>
      </c>
      <c r="B202" s="384">
        <f>IFERROR(INDEX(tblLedger[Work Order #],ROWS($A$202:A202)),"")</f>
        <v/>
      </c>
      <c r="C202" s="384">
        <f>IFERROR(INDEX(tblLedger[Event #],ROWS($A$202:A202)),"")</f>
        <v/>
      </c>
      <c r="D202" s="384">
        <f>IFERROR(INDEX(tblLedger[Mapping Status],ROWS($A$202:A202)),"")</f>
        <v/>
      </c>
      <c r="E202" s="384">
        <f>IF(A202="","",IF(D202="MAPPING_HOLD","QUARANTINED",IF(COUNTIF(tblServiceEvents[Event #],C202)=1,"Yes","No")))</f>
        <v/>
      </c>
      <c r="F202" s="384">
        <f>IF(A202="","",IF(E202&lt;&gt;"Yes","N/A",IF(INDEX(tblServiceEvents[Client ID],MATCH(C202,tblServiceEvents[Event #],0))=INDEX(tblLedger[Client ID],ROWS($A$202:A202)),"Yes","No")))</f>
        <v/>
      </c>
      <c r="G202" s="384">
        <f>IF(A202="","",IF(E202&lt;&gt;"Yes","N/A",IF(INDEX(tblServiceEvents[Location Key],MATCH(C202,tblServiceEvents[Event #],0))=INDEX(tblLedger[Location Key],ROWS($A$202:A202)),"Yes","No")))</f>
        <v/>
      </c>
      <c r="H202" s="384">
        <f>IF(A202="","",IF(E202&lt;&gt;"Yes","N/A",IF(INDEX(tblServiceEvents[Service Date],MATCH(C202,tblServiceEvents[Event #],0))=INDEX(tblLedger[Service Date],ROWS($A$202:A202)),"Yes","No")))</f>
        <v/>
      </c>
      <c r="I202" s="384">
        <f>IF(A202="","",IF(E202&lt;&gt;"Yes","N/A",IF(D202="MULTI-WO VISIT","Yes",IF(B202=INDEX(tblServiceEvents[Work Orders],MATCH(C202,tblServiceEvents[Event #],0)),"Yes","No"))))</f>
        <v/>
      </c>
      <c r="J202" s="384">
        <f>IF(A202="","",IF(D202="MAPPING_HOLD","QUARANTINED",IF(AND(E202="Yes",F202="Yes",G202="Yes",H202="Yes",I202="Yes"),"PASS","FAIL")))</f>
        <v/>
      </c>
    </row>
    <row r="203" ht="15" customHeight="1" s="192">
      <c r="A203" s="384">
        <f>IFERROR(INDEX(tblLedger[Ledger Record ID],ROWS($A$202:A203)),"")</f>
        <v/>
      </c>
      <c r="B203" s="384">
        <f>IFERROR(INDEX(tblLedger[Work Order #],ROWS($A$202:A203)),"")</f>
        <v/>
      </c>
      <c r="C203" s="384">
        <f>IFERROR(INDEX(tblLedger[Event #],ROWS($A$202:A203)),"")</f>
        <v/>
      </c>
      <c r="D203" s="384">
        <f>IFERROR(INDEX(tblLedger[Mapping Status],ROWS($A$202:A203)),"")</f>
        <v/>
      </c>
      <c r="E203" s="384">
        <f>IF(A203="","",IF(D203="MAPPING_HOLD","QUARANTINED",IF(COUNTIF(tblServiceEvents[Event #],C203)=1,"Yes","No")))</f>
        <v/>
      </c>
      <c r="F203" s="384">
        <f>IF(A203="","",IF(E203&lt;&gt;"Yes","N/A",IF(INDEX(tblServiceEvents[Client ID],MATCH(C203,tblServiceEvents[Event #],0))=INDEX(tblLedger[Client ID],ROWS($A$202:A203)),"Yes","No")))</f>
        <v/>
      </c>
      <c r="G203" s="384">
        <f>IF(A203="","",IF(E203&lt;&gt;"Yes","N/A",IF(INDEX(tblServiceEvents[Location Key],MATCH(C203,tblServiceEvents[Event #],0))=INDEX(tblLedger[Location Key],ROWS($A$202:A203)),"Yes","No")))</f>
        <v/>
      </c>
      <c r="H203" s="384">
        <f>IF(A203="","",IF(E203&lt;&gt;"Yes","N/A",IF(INDEX(tblServiceEvents[Service Date],MATCH(C203,tblServiceEvents[Event #],0))=INDEX(tblLedger[Service Date],ROWS($A$202:A203)),"Yes","No")))</f>
        <v/>
      </c>
      <c r="I203" s="384">
        <f>IF(A203="","",IF(E203&lt;&gt;"Yes","N/A",IF(D203="MULTI-WO VISIT","Yes",IF(B203=INDEX(tblServiceEvents[Work Orders],MATCH(C203,tblServiceEvents[Event #],0)),"Yes","No"))))</f>
        <v/>
      </c>
      <c r="J203" s="384">
        <f>IF(A203="","",IF(D203="MAPPING_HOLD","QUARANTINED",IF(AND(E203="Yes",F203="Yes",G203="Yes",H203="Yes",I203="Yes"),"PASS","FAIL")))</f>
        <v/>
      </c>
    </row>
    <row r="204" ht="15" customHeight="1" s="192">
      <c r="A204" s="384">
        <f>IFERROR(INDEX(tblLedger[Ledger Record ID],ROWS($A$202:A204)),"")</f>
        <v/>
      </c>
      <c r="B204" s="384">
        <f>IFERROR(INDEX(tblLedger[Work Order #],ROWS($A$202:A204)),"")</f>
        <v/>
      </c>
      <c r="C204" s="384">
        <f>IFERROR(INDEX(tblLedger[Event #],ROWS($A$202:A204)),"")</f>
        <v/>
      </c>
      <c r="D204" s="384">
        <f>IFERROR(INDEX(tblLedger[Mapping Status],ROWS($A$202:A204)),"")</f>
        <v/>
      </c>
      <c r="E204" s="384">
        <f>IF(A204="","",IF(D204="MAPPING_HOLD","QUARANTINED",IF(COUNTIF(tblServiceEvents[Event #],C204)=1,"Yes","No")))</f>
        <v/>
      </c>
      <c r="F204" s="384">
        <f>IF(A204="","",IF(E204&lt;&gt;"Yes","N/A",IF(INDEX(tblServiceEvents[Client ID],MATCH(C204,tblServiceEvents[Event #],0))=INDEX(tblLedger[Client ID],ROWS($A$202:A204)),"Yes","No")))</f>
        <v/>
      </c>
      <c r="G204" s="384">
        <f>IF(A204="","",IF(E204&lt;&gt;"Yes","N/A",IF(INDEX(tblServiceEvents[Location Key],MATCH(C204,tblServiceEvents[Event #],0))=INDEX(tblLedger[Location Key],ROWS($A$202:A204)),"Yes","No")))</f>
        <v/>
      </c>
      <c r="H204" s="384">
        <f>IF(A204="","",IF(E204&lt;&gt;"Yes","N/A",IF(INDEX(tblServiceEvents[Service Date],MATCH(C204,tblServiceEvents[Event #],0))=INDEX(tblLedger[Service Date],ROWS($A$202:A204)),"Yes","No")))</f>
        <v/>
      </c>
      <c r="I204" s="384">
        <f>IF(A204="","",IF(E204&lt;&gt;"Yes","N/A",IF(D204="MULTI-WO VISIT","Yes",IF(B204=INDEX(tblServiceEvents[Work Orders],MATCH(C204,tblServiceEvents[Event #],0)),"Yes","No"))))</f>
        <v/>
      </c>
      <c r="J204" s="384">
        <f>IF(A204="","",IF(D204="MAPPING_HOLD","QUARANTINED",IF(AND(E204="Yes",F204="Yes",G204="Yes",H204="Yes",I204="Yes"),"PASS","FAIL")))</f>
        <v/>
      </c>
    </row>
    <row r="205" ht="15" customHeight="1" s="192">
      <c r="A205" s="384">
        <f>IFERROR(INDEX(tblLedger[Ledger Record ID],ROWS($A$202:A205)),"")</f>
        <v/>
      </c>
      <c r="B205" s="384">
        <f>IFERROR(INDEX(tblLedger[Work Order #],ROWS($A$202:A205)),"")</f>
        <v/>
      </c>
      <c r="C205" s="384">
        <f>IFERROR(INDEX(tblLedger[Event #],ROWS($A$202:A205)),"")</f>
        <v/>
      </c>
      <c r="D205" s="384">
        <f>IFERROR(INDEX(tblLedger[Mapping Status],ROWS($A$202:A205)),"")</f>
        <v/>
      </c>
      <c r="E205" s="384">
        <f>IF(A205="","",IF(D205="MAPPING_HOLD","QUARANTINED",IF(COUNTIF(tblServiceEvents[Event #],C205)=1,"Yes","No")))</f>
        <v/>
      </c>
      <c r="F205" s="384">
        <f>IF(A205="","",IF(E205&lt;&gt;"Yes","N/A",IF(INDEX(tblServiceEvents[Client ID],MATCH(C205,tblServiceEvents[Event #],0))=INDEX(tblLedger[Client ID],ROWS($A$202:A205)),"Yes","No")))</f>
        <v/>
      </c>
      <c r="G205" s="384">
        <f>IF(A205="","",IF(E205&lt;&gt;"Yes","N/A",IF(INDEX(tblServiceEvents[Location Key],MATCH(C205,tblServiceEvents[Event #],0))=INDEX(tblLedger[Location Key],ROWS($A$202:A205)),"Yes","No")))</f>
        <v/>
      </c>
      <c r="H205" s="384">
        <f>IF(A205="","",IF(E205&lt;&gt;"Yes","N/A",IF(INDEX(tblServiceEvents[Service Date],MATCH(C205,tblServiceEvents[Event #],0))=INDEX(tblLedger[Service Date],ROWS($A$202:A205)),"Yes","No")))</f>
        <v/>
      </c>
      <c r="I205" s="384">
        <f>IF(A205="","",IF(E205&lt;&gt;"Yes","N/A",IF(D205="MULTI-WO VISIT","Yes",IF(B205=INDEX(tblServiceEvents[Work Orders],MATCH(C205,tblServiceEvents[Event #],0)),"Yes","No"))))</f>
        <v/>
      </c>
      <c r="J205" s="384">
        <f>IF(A205="","",IF(D205="MAPPING_HOLD","QUARANTINED",IF(AND(E205="Yes",F205="Yes",G205="Yes",H205="Yes",I205="Yes"),"PASS","FAIL")))</f>
        <v/>
      </c>
    </row>
    <row r="206" ht="15" customHeight="1" s="192">
      <c r="A206" s="384">
        <f>IFERROR(INDEX(tblLedger[Ledger Record ID],ROWS($A$202:A206)),"")</f>
        <v/>
      </c>
      <c r="B206" s="384">
        <f>IFERROR(INDEX(tblLedger[Work Order #],ROWS($A$202:A206)),"")</f>
        <v/>
      </c>
      <c r="C206" s="384">
        <f>IFERROR(INDEX(tblLedger[Event #],ROWS($A$202:A206)),"")</f>
        <v/>
      </c>
      <c r="D206" s="384">
        <f>IFERROR(INDEX(tblLedger[Mapping Status],ROWS($A$202:A206)),"")</f>
        <v/>
      </c>
      <c r="E206" s="384">
        <f>IF(A206="","",IF(D206="MAPPING_HOLD","QUARANTINED",IF(COUNTIF(tblServiceEvents[Event #],C206)=1,"Yes","No")))</f>
        <v/>
      </c>
      <c r="F206" s="384">
        <f>IF(A206="","",IF(E206&lt;&gt;"Yes","N/A",IF(INDEX(tblServiceEvents[Client ID],MATCH(C206,tblServiceEvents[Event #],0))=INDEX(tblLedger[Client ID],ROWS($A$202:A206)),"Yes","No")))</f>
        <v/>
      </c>
      <c r="G206" s="384">
        <f>IF(A206="","",IF(E206&lt;&gt;"Yes","N/A",IF(INDEX(tblServiceEvents[Location Key],MATCH(C206,tblServiceEvents[Event #],0))=INDEX(tblLedger[Location Key],ROWS($A$202:A206)),"Yes","No")))</f>
        <v/>
      </c>
      <c r="H206" s="384">
        <f>IF(A206="","",IF(E206&lt;&gt;"Yes","N/A",IF(INDEX(tblServiceEvents[Service Date],MATCH(C206,tblServiceEvents[Event #],0))=INDEX(tblLedger[Service Date],ROWS($A$202:A206)),"Yes","No")))</f>
        <v/>
      </c>
      <c r="I206" s="384">
        <f>IF(A206="","",IF(E206&lt;&gt;"Yes","N/A",IF(D206="MULTI-WO VISIT","Yes",IF(B206=INDEX(tblServiceEvents[Work Orders],MATCH(C206,tblServiceEvents[Event #],0)),"Yes","No"))))</f>
        <v/>
      </c>
      <c r="J206" s="384">
        <f>IF(A206="","",IF(D206="MAPPING_HOLD","QUARANTINED",IF(AND(E206="Yes",F206="Yes",G206="Yes",H206="Yes",I206="Yes"),"PASS","FAIL")))</f>
        <v/>
      </c>
    </row>
    <row r="207" ht="15" customHeight="1" s="192">
      <c r="A207" s="384">
        <f>IFERROR(INDEX(tblLedger[Ledger Record ID],ROWS($A$202:A207)),"")</f>
        <v/>
      </c>
      <c r="B207" s="384">
        <f>IFERROR(INDEX(tblLedger[Work Order #],ROWS($A$202:A207)),"")</f>
        <v/>
      </c>
      <c r="C207" s="384">
        <f>IFERROR(INDEX(tblLedger[Event #],ROWS($A$202:A207)),"")</f>
        <v/>
      </c>
      <c r="D207" s="384">
        <f>IFERROR(INDEX(tblLedger[Mapping Status],ROWS($A$202:A207)),"")</f>
        <v/>
      </c>
      <c r="E207" s="384">
        <f>IF(A207="","",IF(D207="MAPPING_HOLD","QUARANTINED",IF(COUNTIF(tblServiceEvents[Event #],C207)=1,"Yes","No")))</f>
        <v/>
      </c>
      <c r="F207" s="384">
        <f>IF(A207="","",IF(E207&lt;&gt;"Yes","N/A",IF(INDEX(tblServiceEvents[Client ID],MATCH(C207,tblServiceEvents[Event #],0))=INDEX(tblLedger[Client ID],ROWS($A$202:A207)),"Yes","No")))</f>
        <v/>
      </c>
      <c r="G207" s="384">
        <f>IF(A207="","",IF(E207&lt;&gt;"Yes","N/A",IF(INDEX(tblServiceEvents[Location Key],MATCH(C207,tblServiceEvents[Event #],0))=INDEX(tblLedger[Location Key],ROWS($A$202:A207)),"Yes","No")))</f>
        <v/>
      </c>
      <c r="H207" s="384">
        <f>IF(A207="","",IF(E207&lt;&gt;"Yes","N/A",IF(INDEX(tblServiceEvents[Service Date],MATCH(C207,tblServiceEvents[Event #],0))=INDEX(tblLedger[Service Date],ROWS($A$202:A207)),"Yes","No")))</f>
        <v/>
      </c>
      <c r="I207" s="384">
        <f>IF(A207="","",IF(E207&lt;&gt;"Yes","N/A",IF(D207="MULTI-WO VISIT","Yes",IF(B207=INDEX(tblServiceEvents[Work Orders],MATCH(C207,tblServiceEvents[Event #],0)),"Yes","No"))))</f>
        <v/>
      </c>
      <c r="J207" s="384">
        <f>IF(A207="","",IF(D207="MAPPING_HOLD","QUARANTINED",IF(AND(E207="Yes",F207="Yes",G207="Yes",H207="Yes",I207="Yes"),"PASS","FAIL")))</f>
        <v/>
      </c>
    </row>
    <row r="208" ht="15" customHeight="1" s="192">
      <c r="A208" s="384">
        <f>IFERROR(INDEX(tblLedger[Ledger Record ID],ROWS($A$202:A208)),"")</f>
        <v/>
      </c>
      <c r="B208" s="384">
        <f>IFERROR(INDEX(tblLedger[Work Order #],ROWS($A$202:A208)),"")</f>
        <v/>
      </c>
      <c r="C208" s="384">
        <f>IFERROR(INDEX(tblLedger[Event #],ROWS($A$202:A208)),"")</f>
        <v/>
      </c>
      <c r="D208" s="384">
        <f>IFERROR(INDEX(tblLedger[Mapping Status],ROWS($A$202:A208)),"")</f>
        <v/>
      </c>
      <c r="E208" s="384">
        <f>IF(A208="","",IF(D208="MAPPING_HOLD","QUARANTINED",IF(COUNTIF(tblServiceEvents[Event #],C208)=1,"Yes","No")))</f>
        <v/>
      </c>
      <c r="F208" s="384">
        <f>IF(A208="","",IF(E208&lt;&gt;"Yes","N/A",IF(INDEX(tblServiceEvents[Client ID],MATCH(C208,tblServiceEvents[Event #],0))=INDEX(tblLedger[Client ID],ROWS($A$202:A208)),"Yes","No")))</f>
        <v/>
      </c>
      <c r="G208" s="384">
        <f>IF(A208="","",IF(E208&lt;&gt;"Yes","N/A",IF(INDEX(tblServiceEvents[Location Key],MATCH(C208,tblServiceEvents[Event #],0))=INDEX(tblLedger[Location Key],ROWS($A$202:A208)),"Yes","No")))</f>
        <v/>
      </c>
      <c r="H208" s="384">
        <f>IF(A208="","",IF(E208&lt;&gt;"Yes","N/A",IF(INDEX(tblServiceEvents[Service Date],MATCH(C208,tblServiceEvents[Event #],0))=INDEX(tblLedger[Service Date],ROWS($A$202:A208)),"Yes","No")))</f>
        <v/>
      </c>
      <c r="I208" s="384">
        <f>IF(A208="","",IF(E208&lt;&gt;"Yes","N/A",IF(D208="MULTI-WO VISIT","Yes",IF(B208=INDEX(tblServiceEvents[Work Orders],MATCH(C208,tblServiceEvents[Event #],0)),"Yes","No"))))</f>
        <v/>
      </c>
      <c r="J208" s="384">
        <f>IF(A208="","",IF(D208="MAPPING_HOLD","QUARANTINED",IF(AND(E208="Yes",F208="Yes",G208="Yes",H208="Yes",I208="Yes"),"PASS","FAIL")))</f>
        <v/>
      </c>
    </row>
    <row r="209" ht="15" customHeight="1" s="192">
      <c r="A209" s="384">
        <f>IFERROR(INDEX(tblLedger[Ledger Record ID],ROWS($A$202:A209)),"")</f>
        <v/>
      </c>
      <c r="B209" s="384">
        <f>IFERROR(INDEX(tblLedger[Work Order #],ROWS($A$202:A209)),"")</f>
        <v/>
      </c>
      <c r="C209" s="384">
        <f>IFERROR(INDEX(tblLedger[Event #],ROWS($A$202:A209)),"")</f>
        <v/>
      </c>
      <c r="D209" s="384">
        <f>IFERROR(INDEX(tblLedger[Mapping Status],ROWS($A$202:A209)),"")</f>
        <v/>
      </c>
      <c r="E209" s="384">
        <f>IF(A209="","",IF(D209="MAPPING_HOLD","QUARANTINED",IF(COUNTIF(tblServiceEvents[Event #],C209)=1,"Yes","No")))</f>
        <v/>
      </c>
      <c r="F209" s="384">
        <f>IF(A209="","",IF(E209&lt;&gt;"Yes","N/A",IF(INDEX(tblServiceEvents[Client ID],MATCH(C209,tblServiceEvents[Event #],0))=INDEX(tblLedger[Client ID],ROWS($A$202:A209)),"Yes","No")))</f>
        <v/>
      </c>
      <c r="G209" s="384">
        <f>IF(A209="","",IF(E209&lt;&gt;"Yes","N/A",IF(INDEX(tblServiceEvents[Location Key],MATCH(C209,tblServiceEvents[Event #],0))=INDEX(tblLedger[Location Key],ROWS($A$202:A209)),"Yes","No")))</f>
        <v/>
      </c>
      <c r="H209" s="384">
        <f>IF(A209="","",IF(E209&lt;&gt;"Yes","N/A",IF(INDEX(tblServiceEvents[Service Date],MATCH(C209,tblServiceEvents[Event #],0))=INDEX(tblLedger[Service Date],ROWS($A$202:A209)),"Yes","No")))</f>
        <v/>
      </c>
      <c r="I209" s="384">
        <f>IF(A209="","",IF(E209&lt;&gt;"Yes","N/A",IF(D209="MULTI-WO VISIT","Yes",IF(B209=INDEX(tblServiceEvents[Work Orders],MATCH(C209,tblServiceEvents[Event #],0)),"Yes","No"))))</f>
        <v/>
      </c>
      <c r="J209" s="384">
        <f>IF(A209="","",IF(D209="MAPPING_HOLD","QUARANTINED",IF(AND(E209="Yes",F209="Yes",G209="Yes",H209="Yes",I209="Yes"),"PASS","FAIL")))</f>
        <v/>
      </c>
    </row>
    <row r="210" ht="15" customHeight="1" s="192">
      <c r="A210" s="384">
        <f>IFERROR(INDEX(tblLedger[Ledger Record ID],ROWS($A$202:A210)),"")</f>
        <v/>
      </c>
      <c r="B210" s="384">
        <f>IFERROR(INDEX(tblLedger[Work Order #],ROWS($A$202:A210)),"")</f>
        <v/>
      </c>
      <c r="C210" s="384">
        <f>IFERROR(INDEX(tblLedger[Event #],ROWS($A$202:A210)),"")</f>
        <v/>
      </c>
      <c r="D210" s="384">
        <f>IFERROR(INDEX(tblLedger[Mapping Status],ROWS($A$202:A210)),"")</f>
        <v/>
      </c>
      <c r="E210" s="384">
        <f>IF(A210="","",IF(D210="MAPPING_HOLD","QUARANTINED",IF(COUNTIF(tblServiceEvents[Event #],C210)=1,"Yes","No")))</f>
        <v/>
      </c>
      <c r="F210" s="384">
        <f>IF(A210="","",IF(E210&lt;&gt;"Yes","N/A",IF(INDEX(tblServiceEvents[Client ID],MATCH(C210,tblServiceEvents[Event #],0))=INDEX(tblLedger[Client ID],ROWS($A$202:A210)),"Yes","No")))</f>
        <v/>
      </c>
      <c r="G210" s="384">
        <f>IF(A210="","",IF(E210&lt;&gt;"Yes","N/A",IF(INDEX(tblServiceEvents[Location Key],MATCH(C210,tblServiceEvents[Event #],0))=INDEX(tblLedger[Location Key],ROWS($A$202:A210)),"Yes","No")))</f>
        <v/>
      </c>
      <c r="H210" s="384">
        <f>IF(A210="","",IF(E210&lt;&gt;"Yes","N/A",IF(INDEX(tblServiceEvents[Service Date],MATCH(C210,tblServiceEvents[Event #],0))=INDEX(tblLedger[Service Date],ROWS($A$202:A210)),"Yes","No")))</f>
        <v/>
      </c>
      <c r="I210" s="384">
        <f>IF(A210="","",IF(E210&lt;&gt;"Yes","N/A",IF(D210="MULTI-WO VISIT","Yes",IF(B210=INDEX(tblServiceEvents[Work Orders],MATCH(C210,tblServiceEvents[Event #],0)),"Yes","No"))))</f>
        <v/>
      </c>
      <c r="J210" s="384">
        <f>IF(A210="","",IF(D210="MAPPING_HOLD","QUARANTINED",IF(AND(E210="Yes",F210="Yes",G210="Yes",H210="Yes",I210="Yes"),"PASS","FAIL")))</f>
        <v/>
      </c>
    </row>
    <row r="211" ht="15" customHeight="1" s="192">
      <c r="A211" s="384">
        <f>IFERROR(INDEX(tblLedger[Ledger Record ID],ROWS($A$202:A211)),"")</f>
        <v/>
      </c>
      <c r="B211" s="384">
        <f>IFERROR(INDEX(tblLedger[Work Order #],ROWS($A$202:A211)),"")</f>
        <v/>
      </c>
      <c r="C211" s="384">
        <f>IFERROR(INDEX(tblLedger[Event #],ROWS($A$202:A211)),"")</f>
        <v/>
      </c>
      <c r="D211" s="384">
        <f>IFERROR(INDEX(tblLedger[Mapping Status],ROWS($A$202:A211)),"")</f>
        <v/>
      </c>
      <c r="E211" s="384">
        <f>IF(A211="","",IF(D211="MAPPING_HOLD","QUARANTINED",IF(COUNTIF(tblServiceEvents[Event #],C211)=1,"Yes","No")))</f>
        <v/>
      </c>
      <c r="F211" s="384">
        <f>IF(A211="","",IF(E211&lt;&gt;"Yes","N/A",IF(INDEX(tblServiceEvents[Client ID],MATCH(C211,tblServiceEvents[Event #],0))=INDEX(tblLedger[Client ID],ROWS($A$202:A211)),"Yes","No")))</f>
        <v/>
      </c>
      <c r="G211" s="384">
        <f>IF(A211="","",IF(E211&lt;&gt;"Yes","N/A",IF(INDEX(tblServiceEvents[Location Key],MATCH(C211,tblServiceEvents[Event #],0))=INDEX(tblLedger[Location Key],ROWS($A$202:A211)),"Yes","No")))</f>
        <v/>
      </c>
      <c r="H211" s="384">
        <f>IF(A211="","",IF(E211&lt;&gt;"Yes","N/A",IF(INDEX(tblServiceEvents[Service Date],MATCH(C211,tblServiceEvents[Event #],0))=INDEX(tblLedger[Service Date],ROWS($A$202:A211)),"Yes","No")))</f>
        <v/>
      </c>
      <c r="I211" s="384">
        <f>IF(A211="","",IF(E211&lt;&gt;"Yes","N/A",IF(D211="MULTI-WO VISIT","Yes",IF(B211=INDEX(tblServiceEvents[Work Orders],MATCH(C211,tblServiceEvents[Event #],0)),"Yes","No"))))</f>
        <v/>
      </c>
      <c r="J211" s="384">
        <f>IF(A211="","",IF(D211="MAPPING_HOLD","QUARANTINED",IF(AND(E211="Yes",F211="Yes",G211="Yes",H211="Yes",I211="Yes"),"PASS","FAIL")))</f>
        <v/>
      </c>
    </row>
    <row r="212" ht="15" customHeight="1" s="192">
      <c r="A212" s="384">
        <f>IFERROR(INDEX(tblLedger[Ledger Record ID],ROWS($A$202:A212)),"")</f>
        <v/>
      </c>
      <c r="B212" s="384">
        <f>IFERROR(INDEX(tblLedger[Work Order #],ROWS($A$202:A212)),"")</f>
        <v/>
      </c>
      <c r="C212" s="384">
        <f>IFERROR(INDEX(tblLedger[Event #],ROWS($A$202:A212)),"")</f>
        <v/>
      </c>
      <c r="D212" s="384">
        <f>IFERROR(INDEX(tblLedger[Mapping Status],ROWS($A$202:A212)),"")</f>
        <v/>
      </c>
      <c r="E212" s="384">
        <f>IF(A212="","",IF(D212="MAPPING_HOLD","QUARANTINED",IF(COUNTIF(tblServiceEvents[Event #],C212)=1,"Yes","No")))</f>
        <v/>
      </c>
      <c r="F212" s="384">
        <f>IF(A212="","",IF(E212&lt;&gt;"Yes","N/A",IF(INDEX(tblServiceEvents[Client ID],MATCH(C212,tblServiceEvents[Event #],0))=INDEX(tblLedger[Client ID],ROWS($A$202:A212)),"Yes","No")))</f>
        <v/>
      </c>
      <c r="G212" s="384">
        <f>IF(A212="","",IF(E212&lt;&gt;"Yes","N/A",IF(INDEX(tblServiceEvents[Location Key],MATCH(C212,tblServiceEvents[Event #],0))=INDEX(tblLedger[Location Key],ROWS($A$202:A212)),"Yes","No")))</f>
        <v/>
      </c>
      <c r="H212" s="384">
        <f>IF(A212="","",IF(E212&lt;&gt;"Yes","N/A",IF(INDEX(tblServiceEvents[Service Date],MATCH(C212,tblServiceEvents[Event #],0))=INDEX(tblLedger[Service Date],ROWS($A$202:A212)),"Yes","No")))</f>
        <v/>
      </c>
      <c r="I212" s="384">
        <f>IF(A212="","",IF(E212&lt;&gt;"Yes","N/A",IF(D212="MULTI-WO VISIT","Yes",IF(B212=INDEX(tblServiceEvents[Work Orders],MATCH(C212,tblServiceEvents[Event #],0)),"Yes","No"))))</f>
        <v/>
      </c>
      <c r="J212" s="384">
        <f>IF(A212="","",IF(D212="MAPPING_HOLD","QUARANTINED",IF(AND(E212="Yes",F212="Yes",G212="Yes",H212="Yes",I212="Yes"),"PASS","FAIL")))</f>
        <v/>
      </c>
    </row>
    <row r="213" ht="15" customHeight="1" s="192">
      <c r="A213" s="384">
        <f>IFERROR(INDEX(tblLedger[Ledger Record ID],ROWS($A$202:A213)),"")</f>
        <v/>
      </c>
      <c r="B213" s="384">
        <f>IFERROR(INDEX(tblLedger[Work Order #],ROWS($A$202:A213)),"")</f>
        <v/>
      </c>
      <c r="C213" s="384">
        <f>IFERROR(INDEX(tblLedger[Event #],ROWS($A$202:A213)),"")</f>
        <v/>
      </c>
      <c r="D213" s="384">
        <f>IFERROR(INDEX(tblLedger[Mapping Status],ROWS($A$202:A213)),"")</f>
        <v/>
      </c>
      <c r="E213" s="384">
        <f>IF(A213="","",IF(D213="MAPPING_HOLD","QUARANTINED",IF(COUNTIF(tblServiceEvents[Event #],C213)=1,"Yes","No")))</f>
        <v/>
      </c>
      <c r="F213" s="384">
        <f>IF(A213="","",IF(E213&lt;&gt;"Yes","N/A",IF(INDEX(tblServiceEvents[Client ID],MATCH(C213,tblServiceEvents[Event #],0))=INDEX(tblLedger[Client ID],ROWS($A$202:A213)),"Yes","No")))</f>
        <v/>
      </c>
      <c r="G213" s="384">
        <f>IF(A213="","",IF(E213&lt;&gt;"Yes","N/A",IF(INDEX(tblServiceEvents[Location Key],MATCH(C213,tblServiceEvents[Event #],0))=INDEX(tblLedger[Location Key],ROWS($A$202:A213)),"Yes","No")))</f>
        <v/>
      </c>
      <c r="H213" s="384">
        <f>IF(A213="","",IF(E213&lt;&gt;"Yes","N/A",IF(INDEX(tblServiceEvents[Service Date],MATCH(C213,tblServiceEvents[Event #],0))=INDEX(tblLedger[Service Date],ROWS($A$202:A213)),"Yes","No")))</f>
        <v/>
      </c>
      <c r="I213" s="384">
        <f>IF(A213="","",IF(E213&lt;&gt;"Yes","N/A",IF(D213="MULTI-WO VISIT","Yes",IF(B213=INDEX(tblServiceEvents[Work Orders],MATCH(C213,tblServiceEvents[Event #],0)),"Yes","No"))))</f>
        <v/>
      </c>
      <c r="J213" s="384">
        <f>IF(A213="","",IF(D213="MAPPING_HOLD","QUARANTINED",IF(AND(E213="Yes",F213="Yes",G213="Yes",H213="Yes",I213="Yes"),"PASS","FAIL")))</f>
        <v/>
      </c>
    </row>
    <row r="214" ht="15" customHeight="1" s="192">
      <c r="A214" s="384">
        <f>IFERROR(INDEX(tblLedger[Ledger Record ID],ROWS($A$202:A214)),"")</f>
        <v/>
      </c>
      <c r="B214" s="384">
        <f>IFERROR(INDEX(tblLedger[Work Order #],ROWS($A$202:A214)),"")</f>
        <v/>
      </c>
      <c r="C214" s="384">
        <f>IFERROR(INDEX(tblLedger[Event #],ROWS($A$202:A214)),"")</f>
        <v/>
      </c>
      <c r="D214" s="384">
        <f>IFERROR(INDEX(tblLedger[Mapping Status],ROWS($A$202:A214)),"")</f>
        <v/>
      </c>
      <c r="E214" s="384">
        <f>IF(A214="","",IF(D214="MAPPING_HOLD","QUARANTINED",IF(COUNTIF(tblServiceEvents[Event #],C214)=1,"Yes","No")))</f>
        <v/>
      </c>
      <c r="F214" s="384">
        <f>IF(A214="","",IF(E214&lt;&gt;"Yes","N/A",IF(INDEX(tblServiceEvents[Client ID],MATCH(C214,tblServiceEvents[Event #],0))=INDEX(tblLedger[Client ID],ROWS($A$202:A214)),"Yes","No")))</f>
        <v/>
      </c>
      <c r="G214" s="384">
        <f>IF(A214="","",IF(E214&lt;&gt;"Yes","N/A",IF(INDEX(tblServiceEvents[Location Key],MATCH(C214,tblServiceEvents[Event #],0))=INDEX(tblLedger[Location Key],ROWS($A$202:A214)),"Yes","No")))</f>
        <v/>
      </c>
      <c r="H214" s="384">
        <f>IF(A214="","",IF(E214&lt;&gt;"Yes","N/A",IF(INDEX(tblServiceEvents[Service Date],MATCH(C214,tblServiceEvents[Event #],0))=INDEX(tblLedger[Service Date],ROWS($A$202:A214)),"Yes","No")))</f>
        <v/>
      </c>
      <c r="I214" s="384">
        <f>IF(A214="","",IF(E214&lt;&gt;"Yes","N/A",IF(D214="MULTI-WO VISIT","Yes",IF(B214=INDEX(tblServiceEvents[Work Orders],MATCH(C214,tblServiceEvents[Event #],0)),"Yes","No"))))</f>
        <v/>
      </c>
      <c r="J214" s="384">
        <f>IF(A214="","",IF(D214="MAPPING_HOLD","QUARANTINED",IF(AND(E214="Yes",F214="Yes",G214="Yes",H214="Yes",I214="Yes"),"PASS","FAIL")))</f>
        <v/>
      </c>
    </row>
    <row r="215" ht="15" customHeight="1" s="192">
      <c r="A215" s="384">
        <f>IFERROR(INDEX(tblLedger[Ledger Record ID],ROWS($A$202:A215)),"")</f>
        <v/>
      </c>
      <c r="B215" s="384">
        <f>IFERROR(INDEX(tblLedger[Work Order #],ROWS($A$202:A215)),"")</f>
        <v/>
      </c>
      <c r="C215" s="384">
        <f>IFERROR(INDEX(tblLedger[Event #],ROWS($A$202:A215)),"")</f>
        <v/>
      </c>
      <c r="D215" s="384">
        <f>IFERROR(INDEX(tblLedger[Mapping Status],ROWS($A$202:A215)),"")</f>
        <v/>
      </c>
      <c r="E215" s="384">
        <f>IF(A215="","",IF(D215="MAPPING_HOLD","QUARANTINED",IF(COUNTIF(tblServiceEvents[Event #],C215)=1,"Yes","No")))</f>
        <v/>
      </c>
      <c r="F215" s="384">
        <f>IF(A215="","",IF(E215&lt;&gt;"Yes","N/A",IF(INDEX(tblServiceEvents[Client ID],MATCH(C215,tblServiceEvents[Event #],0))=INDEX(tblLedger[Client ID],ROWS($A$202:A215)),"Yes","No")))</f>
        <v/>
      </c>
      <c r="G215" s="384">
        <f>IF(A215="","",IF(E215&lt;&gt;"Yes","N/A",IF(INDEX(tblServiceEvents[Location Key],MATCH(C215,tblServiceEvents[Event #],0))=INDEX(tblLedger[Location Key],ROWS($A$202:A215)),"Yes","No")))</f>
        <v/>
      </c>
      <c r="H215" s="384">
        <f>IF(A215="","",IF(E215&lt;&gt;"Yes","N/A",IF(INDEX(tblServiceEvents[Service Date],MATCH(C215,tblServiceEvents[Event #],0))=INDEX(tblLedger[Service Date],ROWS($A$202:A215)),"Yes","No")))</f>
        <v/>
      </c>
      <c r="I215" s="384">
        <f>IF(A215="","",IF(E215&lt;&gt;"Yes","N/A",IF(D215="MULTI-WO VISIT","Yes",IF(B215=INDEX(tblServiceEvents[Work Orders],MATCH(C215,tblServiceEvents[Event #],0)),"Yes","No"))))</f>
        <v/>
      </c>
      <c r="J215" s="384">
        <f>IF(A215="","",IF(D215="MAPPING_HOLD","QUARANTINED",IF(AND(E215="Yes",F215="Yes",G215="Yes",H215="Yes",I215="Yes"),"PASS","FAIL")))</f>
        <v/>
      </c>
    </row>
    <row r="216" ht="15" customHeight="1" s="192">
      <c r="A216" s="384">
        <f>IFERROR(INDEX(tblLedger[Ledger Record ID],ROWS($A$202:A216)),"")</f>
        <v/>
      </c>
      <c r="B216" s="384">
        <f>IFERROR(INDEX(tblLedger[Work Order #],ROWS($A$202:A216)),"")</f>
        <v/>
      </c>
      <c r="C216" s="384">
        <f>IFERROR(INDEX(tblLedger[Event #],ROWS($A$202:A216)),"")</f>
        <v/>
      </c>
      <c r="D216" s="384">
        <f>IFERROR(INDEX(tblLedger[Mapping Status],ROWS($A$202:A216)),"")</f>
        <v/>
      </c>
      <c r="E216" s="384">
        <f>IF(A216="","",IF(D216="MAPPING_HOLD","QUARANTINED",IF(COUNTIF(tblServiceEvents[Event #],C216)=1,"Yes","No")))</f>
        <v/>
      </c>
      <c r="F216" s="384">
        <f>IF(A216="","",IF(E216&lt;&gt;"Yes","N/A",IF(INDEX(tblServiceEvents[Client ID],MATCH(C216,tblServiceEvents[Event #],0))=INDEX(tblLedger[Client ID],ROWS($A$202:A216)),"Yes","No")))</f>
        <v/>
      </c>
      <c r="G216" s="384">
        <f>IF(A216="","",IF(E216&lt;&gt;"Yes","N/A",IF(INDEX(tblServiceEvents[Location Key],MATCH(C216,tblServiceEvents[Event #],0))=INDEX(tblLedger[Location Key],ROWS($A$202:A216)),"Yes","No")))</f>
        <v/>
      </c>
      <c r="H216" s="384">
        <f>IF(A216="","",IF(E216&lt;&gt;"Yes","N/A",IF(INDEX(tblServiceEvents[Service Date],MATCH(C216,tblServiceEvents[Event #],0))=INDEX(tblLedger[Service Date],ROWS($A$202:A216)),"Yes","No")))</f>
        <v/>
      </c>
      <c r="I216" s="384">
        <f>IF(A216="","",IF(E216&lt;&gt;"Yes","N/A",IF(D216="MULTI-WO VISIT","Yes",IF(B216=INDEX(tblServiceEvents[Work Orders],MATCH(C216,tblServiceEvents[Event #],0)),"Yes","No"))))</f>
        <v/>
      </c>
      <c r="J216" s="384">
        <f>IF(A216="","",IF(D216="MAPPING_HOLD","QUARANTINED",IF(AND(E216="Yes",F216="Yes",G216="Yes",H216="Yes",I216="Yes"),"PASS","FAIL")))</f>
        <v/>
      </c>
    </row>
    <row r="217" ht="15" customHeight="1" s="192">
      <c r="A217" s="384">
        <f>IFERROR(INDEX(tblLedger[Ledger Record ID],ROWS($A$202:A217)),"")</f>
        <v/>
      </c>
      <c r="B217" s="384">
        <f>IFERROR(INDEX(tblLedger[Work Order #],ROWS($A$202:A217)),"")</f>
        <v/>
      </c>
      <c r="C217" s="384">
        <f>IFERROR(INDEX(tblLedger[Event #],ROWS($A$202:A217)),"")</f>
        <v/>
      </c>
      <c r="D217" s="384">
        <f>IFERROR(INDEX(tblLedger[Mapping Status],ROWS($A$202:A217)),"")</f>
        <v/>
      </c>
      <c r="E217" s="384">
        <f>IF(A217="","",IF(D217="MAPPING_HOLD","QUARANTINED",IF(COUNTIF(tblServiceEvents[Event #],C217)=1,"Yes","No")))</f>
        <v/>
      </c>
      <c r="F217" s="384">
        <f>IF(A217="","",IF(E217&lt;&gt;"Yes","N/A",IF(INDEX(tblServiceEvents[Client ID],MATCH(C217,tblServiceEvents[Event #],0))=INDEX(tblLedger[Client ID],ROWS($A$202:A217)),"Yes","No")))</f>
        <v/>
      </c>
      <c r="G217" s="384">
        <f>IF(A217="","",IF(E217&lt;&gt;"Yes","N/A",IF(INDEX(tblServiceEvents[Location Key],MATCH(C217,tblServiceEvents[Event #],0))=INDEX(tblLedger[Location Key],ROWS($A$202:A217)),"Yes","No")))</f>
        <v/>
      </c>
      <c r="H217" s="384">
        <f>IF(A217="","",IF(E217&lt;&gt;"Yes","N/A",IF(INDEX(tblServiceEvents[Service Date],MATCH(C217,tblServiceEvents[Event #],0))=INDEX(tblLedger[Service Date],ROWS($A$202:A217)),"Yes","No")))</f>
        <v/>
      </c>
      <c r="I217" s="384">
        <f>IF(A217="","",IF(E217&lt;&gt;"Yes","N/A",IF(D217="MULTI-WO VISIT","Yes",IF(B217=INDEX(tblServiceEvents[Work Orders],MATCH(C217,tblServiceEvents[Event #],0)),"Yes","No"))))</f>
        <v/>
      </c>
      <c r="J217" s="384">
        <f>IF(A217="","",IF(D217="MAPPING_HOLD","QUARANTINED",IF(AND(E217="Yes",F217="Yes",G217="Yes",H217="Yes",I217="Yes"),"PASS","FAIL")))</f>
        <v/>
      </c>
    </row>
    <row r="218" ht="15" customHeight="1" s="192">
      <c r="A218" s="384">
        <f>IFERROR(INDEX(tblLedger[Ledger Record ID],ROWS($A$202:A218)),"")</f>
        <v/>
      </c>
      <c r="B218" s="384">
        <f>IFERROR(INDEX(tblLedger[Work Order #],ROWS($A$202:A218)),"")</f>
        <v/>
      </c>
      <c r="C218" s="384">
        <f>IFERROR(INDEX(tblLedger[Event #],ROWS($A$202:A218)),"")</f>
        <v/>
      </c>
      <c r="D218" s="384">
        <f>IFERROR(INDEX(tblLedger[Mapping Status],ROWS($A$202:A218)),"")</f>
        <v/>
      </c>
      <c r="E218" s="384">
        <f>IF(A218="","",IF(D218="MAPPING_HOLD","QUARANTINED",IF(COUNTIF(tblServiceEvents[Event #],C218)=1,"Yes","No")))</f>
        <v/>
      </c>
      <c r="F218" s="384">
        <f>IF(A218="","",IF(E218&lt;&gt;"Yes","N/A",IF(INDEX(tblServiceEvents[Client ID],MATCH(C218,tblServiceEvents[Event #],0))=INDEX(tblLedger[Client ID],ROWS($A$202:A218)),"Yes","No")))</f>
        <v/>
      </c>
      <c r="G218" s="384">
        <f>IF(A218="","",IF(E218&lt;&gt;"Yes","N/A",IF(INDEX(tblServiceEvents[Location Key],MATCH(C218,tblServiceEvents[Event #],0))=INDEX(tblLedger[Location Key],ROWS($A$202:A218)),"Yes","No")))</f>
        <v/>
      </c>
      <c r="H218" s="384">
        <f>IF(A218="","",IF(E218&lt;&gt;"Yes","N/A",IF(INDEX(tblServiceEvents[Service Date],MATCH(C218,tblServiceEvents[Event #],0))=INDEX(tblLedger[Service Date],ROWS($A$202:A218)),"Yes","No")))</f>
        <v/>
      </c>
      <c r="I218" s="384">
        <f>IF(A218="","",IF(E218&lt;&gt;"Yes","N/A",IF(D218="MULTI-WO VISIT","Yes",IF(B218=INDEX(tblServiceEvents[Work Orders],MATCH(C218,tblServiceEvents[Event #],0)),"Yes","No"))))</f>
        <v/>
      </c>
      <c r="J218" s="384">
        <f>IF(A218="","",IF(D218="MAPPING_HOLD","QUARANTINED",IF(AND(E218="Yes",F218="Yes",G218="Yes",H218="Yes",I218="Yes"),"PASS","FAIL")))</f>
        <v/>
      </c>
    </row>
    <row r="219" ht="15" customHeight="1" s="192">
      <c r="A219" s="384">
        <f>IFERROR(INDEX(tblLedger[Ledger Record ID],ROWS($A$202:A219)),"")</f>
        <v/>
      </c>
      <c r="B219" s="384">
        <f>IFERROR(INDEX(tblLedger[Work Order #],ROWS($A$202:A219)),"")</f>
        <v/>
      </c>
      <c r="C219" s="384">
        <f>IFERROR(INDEX(tblLedger[Event #],ROWS($A$202:A219)),"")</f>
        <v/>
      </c>
      <c r="D219" s="384">
        <f>IFERROR(INDEX(tblLedger[Mapping Status],ROWS($A$202:A219)),"")</f>
        <v/>
      </c>
      <c r="E219" s="384">
        <f>IF(A219="","",IF(D219="MAPPING_HOLD","QUARANTINED",IF(COUNTIF(tblServiceEvents[Event #],C219)=1,"Yes","No")))</f>
        <v/>
      </c>
      <c r="F219" s="384">
        <f>IF(A219="","",IF(E219&lt;&gt;"Yes","N/A",IF(INDEX(tblServiceEvents[Client ID],MATCH(C219,tblServiceEvents[Event #],0))=INDEX(tblLedger[Client ID],ROWS($A$202:A219)),"Yes","No")))</f>
        <v/>
      </c>
      <c r="G219" s="384">
        <f>IF(A219="","",IF(E219&lt;&gt;"Yes","N/A",IF(INDEX(tblServiceEvents[Location Key],MATCH(C219,tblServiceEvents[Event #],0))=INDEX(tblLedger[Location Key],ROWS($A$202:A219)),"Yes","No")))</f>
        <v/>
      </c>
      <c r="H219" s="384">
        <f>IF(A219="","",IF(E219&lt;&gt;"Yes","N/A",IF(INDEX(tblServiceEvents[Service Date],MATCH(C219,tblServiceEvents[Event #],0))=INDEX(tblLedger[Service Date],ROWS($A$202:A219)),"Yes","No")))</f>
        <v/>
      </c>
      <c r="I219" s="384">
        <f>IF(A219="","",IF(E219&lt;&gt;"Yes","N/A",IF(D219="MULTI-WO VISIT","Yes",IF(B219=INDEX(tblServiceEvents[Work Orders],MATCH(C219,tblServiceEvents[Event #],0)),"Yes","No"))))</f>
        <v/>
      </c>
      <c r="J219" s="384">
        <f>IF(A219="","",IF(D219="MAPPING_HOLD","QUARANTINED",IF(AND(E219="Yes",F219="Yes",G219="Yes",H219="Yes",I219="Yes"),"PASS","FAIL")))</f>
        <v/>
      </c>
    </row>
    <row r="220" ht="15" customHeight="1" s="192">
      <c r="A220" s="384">
        <f>IFERROR(INDEX(tblLedger[Ledger Record ID],ROWS($A$202:A220)),"")</f>
        <v/>
      </c>
      <c r="B220" s="384">
        <f>IFERROR(INDEX(tblLedger[Work Order #],ROWS($A$202:A220)),"")</f>
        <v/>
      </c>
      <c r="C220" s="384">
        <f>IFERROR(INDEX(tblLedger[Event #],ROWS($A$202:A220)),"")</f>
        <v/>
      </c>
      <c r="D220" s="384">
        <f>IFERROR(INDEX(tblLedger[Mapping Status],ROWS($A$202:A220)),"")</f>
        <v/>
      </c>
      <c r="E220" s="384">
        <f>IF(A220="","",IF(D220="MAPPING_HOLD","QUARANTINED",IF(COUNTIF(tblServiceEvents[Event #],C220)=1,"Yes","No")))</f>
        <v/>
      </c>
      <c r="F220" s="384">
        <f>IF(A220="","",IF(E220&lt;&gt;"Yes","N/A",IF(INDEX(tblServiceEvents[Client ID],MATCH(C220,tblServiceEvents[Event #],0))=INDEX(tblLedger[Client ID],ROWS($A$202:A220)),"Yes","No")))</f>
        <v/>
      </c>
      <c r="G220" s="384">
        <f>IF(A220="","",IF(E220&lt;&gt;"Yes","N/A",IF(INDEX(tblServiceEvents[Location Key],MATCH(C220,tblServiceEvents[Event #],0))=INDEX(tblLedger[Location Key],ROWS($A$202:A220)),"Yes","No")))</f>
        <v/>
      </c>
      <c r="H220" s="384">
        <f>IF(A220="","",IF(E220&lt;&gt;"Yes","N/A",IF(INDEX(tblServiceEvents[Service Date],MATCH(C220,tblServiceEvents[Event #],0))=INDEX(tblLedger[Service Date],ROWS($A$202:A220)),"Yes","No")))</f>
        <v/>
      </c>
      <c r="I220" s="384">
        <f>IF(A220="","",IF(E220&lt;&gt;"Yes","N/A",IF(D220="MULTI-WO VISIT","Yes",IF(B220=INDEX(tblServiceEvents[Work Orders],MATCH(C220,tblServiceEvents[Event #],0)),"Yes","No"))))</f>
        <v/>
      </c>
      <c r="J220" s="384">
        <f>IF(A220="","",IF(D220="MAPPING_HOLD","QUARANTINED",IF(AND(E220="Yes",F220="Yes",G220="Yes",H220="Yes",I220="Yes"),"PASS","FAIL")))</f>
        <v/>
      </c>
    </row>
    <row r="221" ht="15" customHeight="1" s="192">
      <c r="A221" s="384">
        <f>IFERROR(INDEX(tblLedger[Ledger Record ID],ROWS($A$202:A221)),"")</f>
        <v/>
      </c>
      <c r="B221" s="384">
        <f>IFERROR(INDEX(tblLedger[Work Order #],ROWS($A$202:A221)),"")</f>
        <v/>
      </c>
      <c r="C221" s="384">
        <f>IFERROR(INDEX(tblLedger[Event #],ROWS($A$202:A221)),"")</f>
        <v/>
      </c>
      <c r="D221" s="384">
        <f>IFERROR(INDEX(tblLedger[Mapping Status],ROWS($A$202:A221)),"")</f>
        <v/>
      </c>
      <c r="E221" s="384">
        <f>IF(A221="","",IF(D221="MAPPING_HOLD","QUARANTINED",IF(COUNTIF(tblServiceEvents[Event #],C221)=1,"Yes","No")))</f>
        <v/>
      </c>
      <c r="F221" s="384">
        <f>IF(A221="","",IF(E221&lt;&gt;"Yes","N/A",IF(INDEX(tblServiceEvents[Client ID],MATCH(C221,tblServiceEvents[Event #],0))=INDEX(tblLedger[Client ID],ROWS($A$202:A221)),"Yes","No")))</f>
        <v/>
      </c>
      <c r="G221" s="384">
        <f>IF(A221="","",IF(E221&lt;&gt;"Yes","N/A",IF(INDEX(tblServiceEvents[Location Key],MATCH(C221,tblServiceEvents[Event #],0))=INDEX(tblLedger[Location Key],ROWS($A$202:A221)),"Yes","No")))</f>
        <v/>
      </c>
      <c r="H221" s="384">
        <f>IF(A221="","",IF(E221&lt;&gt;"Yes","N/A",IF(INDEX(tblServiceEvents[Service Date],MATCH(C221,tblServiceEvents[Event #],0))=INDEX(tblLedger[Service Date],ROWS($A$202:A221)),"Yes","No")))</f>
        <v/>
      </c>
      <c r="I221" s="384">
        <f>IF(A221="","",IF(E221&lt;&gt;"Yes","N/A",IF(D221="MULTI-WO VISIT","Yes",IF(B221=INDEX(tblServiceEvents[Work Orders],MATCH(C221,tblServiceEvents[Event #],0)),"Yes","No"))))</f>
        <v/>
      </c>
      <c r="J221" s="384">
        <f>IF(A221="","",IF(D221="MAPPING_HOLD","QUARANTINED",IF(AND(E221="Yes",F221="Yes",G221="Yes",H221="Yes",I221="Yes"),"PASS","FAIL")))</f>
        <v/>
      </c>
    </row>
    <row r="222" ht="15" customHeight="1" s="192">
      <c r="A222" s="384">
        <f>IFERROR(INDEX(tblLedger[Ledger Record ID],ROWS($A$202:A222)),"")</f>
        <v/>
      </c>
      <c r="B222" s="384">
        <f>IFERROR(INDEX(tblLedger[Work Order #],ROWS($A$202:A222)),"")</f>
        <v/>
      </c>
      <c r="C222" s="384">
        <f>IFERROR(INDEX(tblLedger[Event #],ROWS($A$202:A222)),"")</f>
        <v/>
      </c>
      <c r="D222" s="384">
        <f>IFERROR(INDEX(tblLedger[Mapping Status],ROWS($A$202:A222)),"")</f>
        <v/>
      </c>
      <c r="E222" s="384">
        <f>IF(A222="","",IF(D222="MAPPING_HOLD","QUARANTINED",IF(COUNTIF(tblServiceEvents[Event #],C222)=1,"Yes","No")))</f>
        <v/>
      </c>
      <c r="F222" s="384">
        <f>IF(A222="","",IF(E222&lt;&gt;"Yes","N/A",IF(INDEX(tblServiceEvents[Client ID],MATCH(C222,tblServiceEvents[Event #],0))=INDEX(tblLedger[Client ID],ROWS($A$202:A222)),"Yes","No")))</f>
        <v/>
      </c>
      <c r="G222" s="384">
        <f>IF(A222="","",IF(E222&lt;&gt;"Yes","N/A",IF(INDEX(tblServiceEvents[Location Key],MATCH(C222,tblServiceEvents[Event #],0))=INDEX(tblLedger[Location Key],ROWS($A$202:A222)),"Yes","No")))</f>
        <v/>
      </c>
      <c r="H222" s="384">
        <f>IF(A222="","",IF(E222&lt;&gt;"Yes","N/A",IF(INDEX(tblServiceEvents[Service Date],MATCH(C222,tblServiceEvents[Event #],0))=INDEX(tblLedger[Service Date],ROWS($A$202:A222)),"Yes","No")))</f>
        <v/>
      </c>
      <c r="I222" s="384">
        <f>IF(A222="","",IF(E222&lt;&gt;"Yes","N/A",IF(D222="MULTI-WO VISIT","Yes",IF(B222=INDEX(tblServiceEvents[Work Orders],MATCH(C222,tblServiceEvents[Event #],0)),"Yes","No"))))</f>
        <v/>
      </c>
      <c r="J222" s="384">
        <f>IF(A222="","",IF(D222="MAPPING_HOLD","QUARANTINED",IF(AND(E222="Yes",F222="Yes",G222="Yes",H222="Yes",I222="Yes"),"PASS","FAIL")))</f>
        <v/>
      </c>
    </row>
    <row r="223" ht="15" customHeight="1" s="192">
      <c r="A223" s="384">
        <f>IFERROR(INDEX(tblLedger[Ledger Record ID],ROWS($A$202:A223)),"")</f>
        <v/>
      </c>
      <c r="B223" s="384">
        <f>IFERROR(INDEX(tblLedger[Work Order #],ROWS($A$202:A223)),"")</f>
        <v/>
      </c>
      <c r="C223" s="384">
        <f>IFERROR(INDEX(tblLedger[Event #],ROWS($A$202:A223)),"")</f>
        <v/>
      </c>
      <c r="D223" s="384">
        <f>IFERROR(INDEX(tblLedger[Mapping Status],ROWS($A$202:A223)),"")</f>
        <v/>
      </c>
      <c r="E223" s="384">
        <f>IF(A223="","",IF(D223="MAPPING_HOLD","QUARANTINED",IF(COUNTIF(tblServiceEvents[Event #],C223)=1,"Yes","No")))</f>
        <v/>
      </c>
      <c r="F223" s="384">
        <f>IF(A223="","",IF(E223&lt;&gt;"Yes","N/A",IF(INDEX(tblServiceEvents[Client ID],MATCH(C223,tblServiceEvents[Event #],0))=INDEX(tblLedger[Client ID],ROWS($A$202:A223)),"Yes","No")))</f>
        <v/>
      </c>
      <c r="G223" s="384">
        <f>IF(A223="","",IF(E223&lt;&gt;"Yes","N/A",IF(INDEX(tblServiceEvents[Location Key],MATCH(C223,tblServiceEvents[Event #],0))=INDEX(tblLedger[Location Key],ROWS($A$202:A223)),"Yes","No")))</f>
        <v/>
      </c>
      <c r="H223" s="384">
        <f>IF(A223="","",IF(E223&lt;&gt;"Yes","N/A",IF(INDEX(tblServiceEvents[Service Date],MATCH(C223,tblServiceEvents[Event #],0))=INDEX(tblLedger[Service Date],ROWS($A$202:A223)),"Yes","No")))</f>
        <v/>
      </c>
      <c r="I223" s="384">
        <f>IF(A223="","",IF(E223&lt;&gt;"Yes","N/A",IF(D223="MULTI-WO VISIT","Yes",IF(B223=INDEX(tblServiceEvents[Work Orders],MATCH(C223,tblServiceEvents[Event #],0)),"Yes","No"))))</f>
        <v/>
      </c>
      <c r="J223" s="384">
        <f>IF(A223="","",IF(D223="MAPPING_HOLD","QUARANTINED",IF(AND(E223="Yes",F223="Yes",G223="Yes",H223="Yes",I223="Yes"),"PASS","FAIL")))</f>
        <v/>
      </c>
    </row>
    <row r="224" ht="15" customHeight="1" s="192">
      <c r="A224" s="384">
        <f>IFERROR(INDEX(tblLedger[Ledger Record ID],ROWS($A$202:A224)),"")</f>
        <v/>
      </c>
      <c r="B224" s="384">
        <f>IFERROR(INDEX(tblLedger[Work Order #],ROWS($A$202:A224)),"")</f>
        <v/>
      </c>
      <c r="C224" s="384">
        <f>IFERROR(INDEX(tblLedger[Event #],ROWS($A$202:A224)),"")</f>
        <v/>
      </c>
      <c r="D224" s="384">
        <f>IFERROR(INDEX(tblLedger[Mapping Status],ROWS($A$202:A224)),"")</f>
        <v/>
      </c>
      <c r="E224" s="384">
        <f>IF(A224="","",IF(D224="MAPPING_HOLD","QUARANTINED",IF(COUNTIF(tblServiceEvents[Event #],C224)=1,"Yes","No")))</f>
        <v/>
      </c>
      <c r="F224" s="384">
        <f>IF(A224="","",IF(E224&lt;&gt;"Yes","N/A",IF(INDEX(tblServiceEvents[Client ID],MATCH(C224,tblServiceEvents[Event #],0))=INDEX(tblLedger[Client ID],ROWS($A$202:A224)),"Yes","No")))</f>
        <v/>
      </c>
      <c r="G224" s="384">
        <f>IF(A224="","",IF(E224&lt;&gt;"Yes","N/A",IF(INDEX(tblServiceEvents[Location Key],MATCH(C224,tblServiceEvents[Event #],0))=INDEX(tblLedger[Location Key],ROWS($A$202:A224)),"Yes","No")))</f>
        <v/>
      </c>
      <c r="H224" s="384">
        <f>IF(A224="","",IF(E224&lt;&gt;"Yes","N/A",IF(INDEX(tblServiceEvents[Service Date],MATCH(C224,tblServiceEvents[Event #],0))=INDEX(tblLedger[Service Date],ROWS($A$202:A224)),"Yes","No")))</f>
        <v/>
      </c>
      <c r="I224" s="384">
        <f>IF(A224="","",IF(E224&lt;&gt;"Yes","N/A",IF(D224="MULTI-WO VISIT","Yes",IF(B224=INDEX(tblServiceEvents[Work Orders],MATCH(C224,tblServiceEvents[Event #],0)),"Yes","No"))))</f>
        <v/>
      </c>
      <c r="J224" s="384">
        <f>IF(A224="","",IF(D224="MAPPING_HOLD","QUARANTINED",IF(AND(E224="Yes",F224="Yes",G224="Yes",H224="Yes",I224="Yes"),"PASS","FAIL")))</f>
        <v/>
      </c>
    </row>
    <row r="225" ht="15" customHeight="1" s="192">
      <c r="A225" s="384">
        <f>IFERROR(INDEX(tblLedger[Ledger Record ID],ROWS($A$202:A225)),"")</f>
        <v/>
      </c>
      <c r="B225" s="384">
        <f>IFERROR(INDEX(tblLedger[Work Order #],ROWS($A$202:A225)),"")</f>
        <v/>
      </c>
      <c r="C225" s="384">
        <f>IFERROR(INDEX(tblLedger[Event #],ROWS($A$202:A225)),"")</f>
        <v/>
      </c>
      <c r="D225" s="384">
        <f>IFERROR(INDEX(tblLedger[Mapping Status],ROWS($A$202:A225)),"")</f>
        <v/>
      </c>
      <c r="E225" s="384">
        <f>IF(A225="","",IF(D225="MAPPING_HOLD","QUARANTINED",IF(COUNTIF(tblServiceEvents[Event #],C225)=1,"Yes","No")))</f>
        <v/>
      </c>
      <c r="F225" s="384">
        <f>IF(A225="","",IF(E225&lt;&gt;"Yes","N/A",IF(INDEX(tblServiceEvents[Client ID],MATCH(C225,tblServiceEvents[Event #],0))=INDEX(tblLedger[Client ID],ROWS($A$202:A225)),"Yes","No")))</f>
        <v/>
      </c>
      <c r="G225" s="384">
        <f>IF(A225="","",IF(E225&lt;&gt;"Yes","N/A",IF(INDEX(tblServiceEvents[Location Key],MATCH(C225,tblServiceEvents[Event #],0))=INDEX(tblLedger[Location Key],ROWS($A$202:A225)),"Yes","No")))</f>
        <v/>
      </c>
      <c r="H225" s="384">
        <f>IF(A225="","",IF(E225&lt;&gt;"Yes","N/A",IF(INDEX(tblServiceEvents[Service Date],MATCH(C225,tblServiceEvents[Event #],0))=INDEX(tblLedger[Service Date],ROWS($A$202:A225)),"Yes","No")))</f>
        <v/>
      </c>
      <c r="I225" s="384">
        <f>IF(A225="","",IF(E225&lt;&gt;"Yes","N/A",IF(D225="MULTI-WO VISIT","Yes",IF(B225=INDEX(tblServiceEvents[Work Orders],MATCH(C225,tblServiceEvents[Event #],0)),"Yes","No"))))</f>
        <v/>
      </c>
      <c r="J225" s="384">
        <f>IF(A225="","",IF(D225="MAPPING_HOLD","QUARANTINED",IF(AND(E225="Yes",F225="Yes",G225="Yes",H225="Yes",I225="Yes"),"PASS","FAIL")))</f>
        <v/>
      </c>
    </row>
    <row r="226" ht="15" customHeight="1" s="192">
      <c r="A226" s="384">
        <f>IFERROR(INDEX(tblLedger[Ledger Record ID],ROWS($A$202:A226)),"")</f>
        <v/>
      </c>
      <c r="B226" s="384">
        <f>IFERROR(INDEX(tblLedger[Work Order #],ROWS($A$202:A226)),"")</f>
        <v/>
      </c>
      <c r="C226" s="384">
        <f>IFERROR(INDEX(tblLedger[Event #],ROWS($A$202:A226)),"")</f>
        <v/>
      </c>
      <c r="D226" s="384">
        <f>IFERROR(INDEX(tblLedger[Mapping Status],ROWS($A$202:A226)),"")</f>
        <v/>
      </c>
      <c r="E226" s="384">
        <f>IF(A226="","",IF(D226="MAPPING_HOLD","QUARANTINED",IF(COUNTIF(tblServiceEvents[Event #],C226)=1,"Yes","No")))</f>
        <v/>
      </c>
      <c r="F226" s="384">
        <f>IF(A226="","",IF(E226&lt;&gt;"Yes","N/A",IF(INDEX(tblServiceEvents[Client ID],MATCH(C226,tblServiceEvents[Event #],0))=INDEX(tblLedger[Client ID],ROWS($A$202:A226)),"Yes","No")))</f>
        <v/>
      </c>
      <c r="G226" s="384">
        <f>IF(A226="","",IF(E226&lt;&gt;"Yes","N/A",IF(INDEX(tblServiceEvents[Location Key],MATCH(C226,tblServiceEvents[Event #],0))=INDEX(tblLedger[Location Key],ROWS($A$202:A226)),"Yes","No")))</f>
        <v/>
      </c>
      <c r="H226" s="384">
        <f>IF(A226="","",IF(E226&lt;&gt;"Yes","N/A",IF(INDEX(tblServiceEvents[Service Date],MATCH(C226,tblServiceEvents[Event #],0))=INDEX(tblLedger[Service Date],ROWS($A$202:A226)),"Yes","No")))</f>
        <v/>
      </c>
      <c r="I226" s="384">
        <f>IF(A226="","",IF(E226&lt;&gt;"Yes","N/A",IF(D226="MULTI-WO VISIT","Yes",IF(B226=INDEX(tblServiceEvents[Work Orders],MATCH(C226,tblServiceEvents[Event #],0)),"Yes","No"))))</f>
        <v/>
      </c>
      <c r="J226" s="384">
        <f>IF(A226="","",IF(D226="MAPPING_HOLD","QUARANTINED",IF(AND(E226="Yes",F226="Yes",G226="Yes",H226="Yes",I226="Yes"),"PASS","FAIL")))</f>
        <v/>
      </c>
    </row>
    <row r="227" ht="15" customHeight="1" s="192">
      <c r="A227" s="384">
        <f>IFERROR(INDEX(tblLedger[Ledger Record ID],ROWS($A$202:A227)),"")</f>
        <v/>
      </c>
      <c r="B227" s="384">
        <f>IFERROR(INDEX(tblLedger[Work Order #],ROWS($A$202:A227)),"")</f>
        <v/>
      </c>
      <c r="C227" s="384">
        <f>IFERROR(INDEX(tblLedger[Event #],ROWS($A$202:A227)),"")</f>
        <v/>
      </c>
      <c r="D227" s="384">
        <f>IFERROR(INDEX(tblLedger[Mapping Status],ROWS($A$202:A227)),"")</f>
        <v/>
      </c>
      <c r="E227" s="384">
        <f>IF(A227="","",IF(D227="MAPPING_HOLD","QUARANTINED",IF(COUNTIF(tblServiceEvents[Event #],C227)=1,"Yes","No")))</f>
        <v/>
      </c>
      <c r="F227" s="384">
        <f>IF(A227="","",IF(E227&lt;&gt;"Yes","N/A",IF(INDEX(tblServiceEvents[Client ID],MATCH(C227,tblServiceEvents[Event #],0))=INDEX(tblLedger[Client ID],ROWS($A$202:A227)),"Yes","No")))</f>
        <v/>
      </c>
      <c r="G227" s="384">
        <f>IF(A227="","",IF(E227&lt;&gt;"Yes","N/A",IF(INDEX(tblServiceEvents[Location Key],MATCH(C227,tblServiceEvents[Event #],0))=INDEX(tblLedger[Location Key],ROWS($A$202:A227)),"Yes","No")))</f>
        <v/>
      </c>
      <c r="H227" s="384">
        <f>IF(A227="","",IF(E227&lt;&gt;"Yes","N/A",IF(INDEX(tblServiceEvents[Service Date],MATCH(C227,tblServiceEvents[Event #],0))=INDEX(tblLedger[Service Date],ROWS($A$202:A227)),"Yes","No")))</f>
        <v/>
      </c>
      <c r="I227" s="384">
        <f>IF(A227="","",IF(E227&lt;&gt;"Yes","N/A",IF(D227="MULTI-WO VISIT","Yes",IF(B227=INDEX(tblServiceEvents[Work Orders],MATCH(C227,tblServiceEvents[Event #],0)),"Yes","No"))))</f>
        <v/>
      </c>
      <c r="J227" s="384">
        <f>IF(A227="","",IF(D227="MAPPING_HOLD","QUARANTINED",IF(AND(E227="Yes",F227="Yes",G227="Yes",H227="Yes",I227="Yes"),"PASS","FAIL")))</f>
        <v/>
      </c>
    </row>
    <row r="228" ht="15" customHeight="1" s="192">
      <c r="A228" s="384">
        <f>IFERROR(INDEX(tblLedger[Ledger Record ID],ROWS($A$202:A228)),"")</f>
        <v/>
      </c>
      <c r="B228" s="384">
        <f>IFERROR(INDEX(tblLedger[Work Order #],ROWS($A$202:A228)),"")</f>
        <v/>
      </c>
      <c r="C228" s="384">
        <f>IFERROR(INDEX(tblLedger[Event #],ROWS($A$202:A228)),"")</f>
        <v/>
      </c>
      <c r="D228" s="384">
        <f>IFERROR(INDEX(tblLedger[Mapping Status],ROWS($A$202:A228)),"")</f>
        <v/>
      </c>
      <c r="E228" s="384">
        <f>IF(A228="","",IF(D228="MAPPING_HOLD","QUARANTINED",IF(COUNTIF(tblServiceEvents[Event #],C228)=1,"Yes","No")))</f>
        <v/>
      </c>
      <c r="F228" s="384">
        <f>IF(A228="","",IF(E228&lt;&gt;"Yes","N/A",IF(INDEX(tblServiceEvents[Client ID],MATCH(C228,tblServiceEvents[Event #],0))=INDEX(tblLedger[Client ID],ROWS($A$202:A228)),"Yes","No")))</f>
        <v/>
      </c>
      <c r="G228" s="384">
        <f>IF(A228="","",IF(E228&lt;&gt;"Yes","N/A",IF(INDEX(tblServiceEvents[Location Key],MATCH(C228,tblServiceEvents[Event #],0))=INDEX(tblLedger[Location Key],ROWS($A$202:A228)),"Yes","No")))</f>
        <v/>
      </c>
      <c r="H228" s="384">
        <f>IF(A228="","",IF(E228&lt;&gt;"Yes","N/A",IF(INDEX(tblServiceEvents[Service Date],MATCH(C228,tblServiceEvents[Event #],0))=INDEX(tblLedger[Service Date],ROWS($A$202:A228)),"Yes","No")))</f>
        <v/>
      </c>
      <c r="I228" s="384">
        <f>IF(A228="","",IF(E228&lt;&gt;"Yes","N/A",IF(D228="MULTI-WO VISIT","Yes",IF(B228=INDEX(tblServiceEvents[Work Orders],MATCH(C228,tblServiceEvents[Event #],0)),"Yes","No"))))</f>
        <v/>
      </c>
      <c r="J228" s="384">
        <f>IF(A228="","",IF(D228="MAPPING_HOLD","QUARANTINED",IF(AND(E228="Yes",F228="Yes",G228="Yes",H228="Yes",I228="Yes"),"PASS","FAIL")))</f>
        <v/>
      </c>
    </row>
    <row r="229" ht="15" customHeight="1" s="192">
      <c r="A229" s="384">
        <f>IFERROR(INDEX(tblLedger[Ledger Record ID],ROWS($A$202:A229)),"")</f>
        <v/>
      </c>
      <c r="B229" s="384">
        <f>IFERROR(INDEX(tblLedger[Work Order #],ROWS($A$202:A229)),"")</f>
        <v/>
      </c>
      <c r="C229" s="384">
        <f>IFERROR(INDEX(tblLedger[Event #],ROWS($A$202:A229)),"")</f>
        <v/>
      </c>
      <c r="D229" s="384">
        <f>IFERROR(INDEX(tblLedger[Mapping Status],ROWS($A$202:A229)),"")</f>
        <v/>
      </c>
      <c r="E229" s="384">
        <f>IF(A229="","",IF(D229="MAPPING_HOLD","QUARANTINED",IF(COUNTIF(tblServiceEvents[Event #],C229)=1,"Yes","No")))</f>
        <v/>
      </c>
      <c r="F229" s="384">
        <f>IF(A229="","",IF(E229&lt;&gt;"Yes","N/A",IF(INDEX(tblServiceEvents[Client ID],MATCH(C229,tblServiceEvents[Event #],0))=INDEX(tblLedger[Client ID],ROWS($A$202:A229)),"Yes","No")))</f>
        <v/>
      </c>
      <c r="G229" s="384">
        <f>IF(A229="","",IF(E229&lt;&gt;"Yes","N/A",IF(INDEX(tblServiceEvents[Location Key],MATCH(C229,tblServiceEvents[Event #],0))=INDEX(tblLedger[Location Key],ROWS($A$202:A229)),"Yes","No")))</f>
        <v/>
      </c>
      <c r="H229" s="384">
        <f>IF(A229="","",IF(E229&lt;&gt;"Yes","N/A",IF(INDEX(tblServiceEvents[Service Date],MATCH(C229,tblServiceEvents[Event #],0))=INDEX(tblLedger[Service Date],ROWS($A$202:A229)),"Yes","No")))</f>
        <v/>
      </c>
      <c r="I229" s="384">
        <f>IF(A229="","",IF(E229&lt;&gt;"Yes","N/A",IF(D229="MULTI-WO VISIT","Yes",IF(B229=INDEX(tblServiceEvents[Work Orders],MATCH(C229,tblServiceEvents[Event #],0)),"Yes","No"))))</f>
        <v/>
      </c>
      <c r="J229" s="384">
        <f>IF(A229="","",IF(D229="MAPPING_HOLD","QUARANTINED",IF(AND(E229="Yes",F229="Yes",G229="Yes",H229="Yes",I229="Yes"),"PASS","FAIL")))</f>
        <v/>
      </c>
    </row>
    <row r="230" ht="15" customHeight="1" s="192">
      <c r="A230" s="384">
        <f>IFERROR(INDEX(tblLedger[Ledger Record ID],ROWS($A$202:A230)),"")</f>
        <v/>
      </c>
      <c r="B230" s="384">
        <f>IFERROR(INDEX(tblLedger[Work Order #],ROWS($A$202:A230)),"")</f>
        <v/>
      </c>
      <c r="C230" s="384">
        <f>IFERROR(INDEX(tblLedger[Event #],ROWS($A$202:A230)),"")</f>
        <v/>
      </c>
      <c r="D230" s="384">
        <f>IFERROR(INDEX(tblLedger[Mapping Status],ROWS($A$202:A230)),"")</f>
        <v/>
      </c>
      <c r="E230" s="384">
        <f>IF(A230="","",IF(D230="MAPPING_HOLD","QUARANTINED",IF(COUNTIF(tblServiceEvents[Event #],C230)=1,"Yes","No")))</f>
        <v/>
      </c>
      <c r="F230" s="384">
        <f>IF(A230="","",IF(E230&lt;&gt;"Yes","N/A",IF(INDEX(tblServiceEvents[Client ID],MATCH(C230,tblServiceEvents[Event #],0))=INDEX(tblLedger[Client ID],ROWS($A$202:A230)),"Yes","No")))</f>
        <v/>
      </c>
      <c r="G230" s="384">
        <f>IF(A230="","",IF(E230&lt;&gt;"Yes","N/A",IF(INDEX(tblServiceEvents[Location Key],MATCH(C230,tblServiceEvents[Event #],0))=INDEX(tblLedger[Location Key],ROWS($A$202:A230)),"Yes","No")))</f>
        <v/>
      </c>
      <c r="H230" s="384">
        <f>IF(A230="","",IF(E230&lt;&gt;"Yes","N/A",IF(INDEX(tblServiceEvents[Service Date],MATCH(C230,tblServiceEvents[Event #],0))=INDEX(tblLedger[Service Date],ROWS($A$202:A230)),"Yes","No")))</f>
        <v/>
      </c>
      <c r="I230" s="384">
        <f>IF(A230="","",IF(E230&lt;&gt;"Yes","N/A",IF(D230="MULTI-WO VISIT","Yes",IF(B230=INDEX(tblServiceEvents[Work Orders],MATCH(C230,tblServiceEvents[Event #],0)),"Yes","No"))))</f>
        <v/>
      </c>
      <c r="J230" s="384">
        <f>IF(A230="","",IF(D230="MAPPING_HOLD","QUARANTINED",IF(AND(E230="Yes",F230="Yes",G230="Yes",H230="Yes",I230="Yes"),"PASS","FAIL")))</f>
        <v/>
      </c>
    </row>
    <row r="231" ht="15" customHeight="1" s="192">
      <c r="A231" s="384">
        <f>IFERROR(INDEX(tblLedger[Ledger Record ID],ROWS($A$202:A231)),"")</f>
        <v/>
      </c>
      <c r="B231" s="384">
        <f>IFERROR(INDEX(tblLedger[Work Order #],ROWS($A$202:A231)),"")</f>
        <v/>
      </c>
      <c r="C231" s="384">
        <f>IFERROR(INDEX(tblLedger[Event #],ROWS($A$202:A231)),"")</f>
        <v/>
      </c>
      <c r="D231" s="384">
        <f>IFERROR(INDEX(tblLedger[Mapping Status],ROWS($A$202:A231)),"")</f>
        <v/>
      </c>
      <c r="E231" s="384">
        <f>IF(A231="","",IF(D231="MAPPING_HOLD","QUARANTINED",IF(COUNTIF(tblServiceEvents[Event #],C231)=1,"Yes","No")))</f>
        <v/>
      </c>
      <c r="F231" s="384">
        <f>IF(A231="","",IF(E231&lt;&gt;"Yes","N/A",IF(INDEX(tblServiceEvents[Client ID],MATCH(C231,tblServiceEvents[Event #],0))=INDEX(tblLedger[Client ID],ROWS($A$202:A231)),"Yes","No")))</f>
        <v/>
      </c>
      <c r="G231" s="384">
        <f>IF(A231="","",IF(E231&lt;&gt;"Yes","N/A",IF(INDEX(tblServiceEvents[Location Key],MATCH(C231,tblServiceEvents[Event #],0))=INDEX(tblLedger[Location Key],ROWS($A$202:A231)),"Yes","No")))</f>
        <v/>
      </c>
      <c r="H231" s="384">
        <f>IF(A231="","",IF(E231&lt;&gt;"Yes","N/A",IF(INDEX(tblServiceEvents[Service Date],MATCH(C231,tblServiceEvents[Event #],0))=INDEX(tblLedger[Service Date],ROWS($A$202:A231)),"Yes","No")))</f>
        <v/>
      </c>
      <c r="I231" s="384">
        <f>IF(A231="","",IF(E231&lt;&gt;"Yes","N/A",IF(D231="MULTI-WO VISIT","Yes",IF(B231=INDEX(tblServiceEvents[Work Orders],MATCH(C231,tblServiceEvents[Event #],0)),"Yes","No"))))</f>
        <v/>
      </c>
      <c r="J231" s="384">
        <f>IF(A231="","",IF(D231="MAPPING_HOLD","QUARANTINED",IF(AND(E231="Yes",F231="Yes",G231="Yes",H231="Yes",I231="Yes"),"PASS","FAIL")))</f>
        <v/>
      </c>
    </row>
    <row r="232" ht="15" customHeight="1" s="192">
      <c r="A232" s="384">
        <f>IFERROR(INDEX(tblLedger[Ledger Record ID],ROWS($A$202:A232)),"")</f>
        <v/>
      </c>
      <c r="B232" s="384">
        <f>IFERROR(INDEX(tblLedger[Work Order #],ROWS($A$202:A232)),"")</f>
        <v/>
      </c>
      <c r="C232" s="384">
        <f>IFERROR(INDEX(tblLedger[Event #],ROWS($A$202:A232)),"")</f>
        <v/>
      </c>
      <c r="D232" s="384">
        <f>IFERROR(INDEX(tblLedger[Mapping Status],ROWS($A$202:A232)),"")</f>
        <v/>
      </c>
      <c r="E232" s="384">
        <f>IF(A232="","",IF(D232="MAPPING_HOLD","QUARANTINED",IF(COUNTIF(tblServiceEvents[Event #],C232)=1,"Yes","No")))</f>
        <v/>
      </c>
      <c r="F232" s="384">
        <f>IF(A232="","",IF(E232&lt;&gt;"Yes","N/A",IF(INDEX(tblServiceEvents[Client ID],MATCH(C232,tblServiceEvents[Event #],0))=INDEX(tblLedger[Client ID],ROWS($A$202:A232)),"Yes","No")))</f>
        <v/>
      </c>
      <c r="G232" s="384">
        <f>IF(A232="","",IF(E232&lt;&gt;"Yes","N/A",IF(INDEX(tblServiceEvents[Location Key],MATCH(C232,tblServiceEvents[Event #],0))=INDEX(tblLedger[Location Key],ROWS($A$202:A232)),"Yes","No")))</f>
        <v/>
      </c>
      <c r="H232" s="384">
        <f>IF(A232="","",IF(E232&lt;&gt;"Yes","N/A",IF(INDEX(tblServiceEvents[Service Date],MATCH(C232,tblServiceEvents[Event #],0))=INDEX(tblLedger[Service Date],ROWS($A$202:A232)),"Yes","No")))</f>
        <v/>
      </c>
      <c r="I232" s="384">
        <f>IF(A232="","",IF(E232&lt;&gt;"Yes","N/A",IF(D232="MULTI-WO VISIT","Yes",IF(B232=INDEX(tblServiceEvents[Work Orders],MATCH(C232,tblServiceEvents[Event #],0)),"Yes","No"))))</f>
        <v/>
      </c>
      <c r="J232" s="384">
        <f>IF(A232="","",IF(D232="MAPPING_HOLD","QUARANTINED",IF(AND(E232="Yes",F232="Yes",G232="Yes",H232="Yes",I232="Yes"),"PASS","FAIL")))</f>
        <v/>
      </c>
    </row>
    <row r="233" ht="15" customHeight="1" s="192">
      <c r="A233" s="384">
        <f>IFERROR(INDEX(tblLedger[Ledger Record ID],ROWS($A$202:A233)),"")</f>
        <v/>
      </c>
      <c r="B233" s="384">
        <f>IFERROR(INDEX(tblLedger[Work Order #],ROWS($A$202:A233)),"")</f>
        <v/>
      </c>
      <c r="C233" s="384">
        <f>IFERROR(INDEX(tblLedger[Event #],ROWS($A$202:A233)),"")</f>
        <v/>
      </c>
      <c r="D233" s="384">
        <f>IFERROR(INDEX(tblLedger[Mapping Status],ROWS($A$202:A233)),"")</f>
        <v/>
      </c>
      <c r="E233" s="384">
        <f>IF(A233="","",IF(D233="MAPPING_HOLD","QUARANTINED",IF(COUNTIF(tblServiceEvents[Event #],C233)=1,"Yes","No")))</f>
        <v/>
      </c>
      <c r="F233" s="384">
        <f>IF(A233="","",IF(E233&lt;&gt;"Yes","N/A",IF(INDEX(tblServiceEvents[Client ID],MATCH(C233,tblServiceEvents[Event #],0))=INDEX(tblLedger[Client ID],ROWS($A$202:A233)),"Yes","No")))</f>
        <v/>
      </c>
      <c r="G233" s="384">
        <f>IF(A233="","",IF(E233&lt;&gt;"Yes","N/A",IF(INDEX(tblServiceEvents[Location Key],MATCH(C233,tblServiceEvents[Event #],0))=INDEX(tblLedger[Location Key],ROWS($A$202:A233)),"Yes","No")))</f>
        <v/>
      </c>
      <c r="H233" s="384">
        <f>IF(A233="","",IF(E233&lt;&gt;"Yes","N/A",IF(INDEX(tblServiceEvents[Service Date],MATCH(C233,tblServiceEvents[Event #],0))=INDEX(tblLedger[Service Date],ROWS($A$202:A233)),"Yes","No")))</f>
        <v/>
      </c>
      <c r="I233" s="384">
        <f>IF(A233="","",IF(E233&lt;&gt;"Yes","N/A",IF(D233="MULTI-WO VISIT","Yes",IF(B233=INDEX(tblServiceEvents[Work Orders],MATCH(C233,tblServiceEvents[Event #],0)),"Yes","No"))))</f>
        <v/>
      </c>
      <c r="J233" s="384">
        <f>IF(A233="","",IF(D233="MAPPING_HOLD","QUARANTINED",IF(AND(E233="Yes",F233="Yes",G233="Yes",H233="Yes",I233="Yes"),"PASS","FAIL")))</f>
        <v/>
      </c>
    </row>
    <row r="234" ht="15" customHeight="1" s="192">
      <c r="A234" s="384">
        <f>IFERROR(INDEX(tblLedger[Ledger Record ID],ROWS($A$202:A234)),"")</f>
        <v/>
      </c>
      <c r="B234" s="384">
        <f>IFERROR(INDEX(tblLedger[Work Order #],ROWS($A$202:A234)),"")</f>
        <v/>
      </c>
      <c r="C234" s="384">
        <f>IFERROR(INDEX(tblLedger[Event #],ROWS($A$202:A234)),"")</f>
        <v/>
      </c>
      <c r="D234" s="384">
        <f>IFERROR(INDEX(tblLedger[Mapping Status],ROWS($A$202:A234)),"")</f>
        <v/>
      </c>
      <c r="E234" s="384">
        <f>IF(A234="","",IF(D234="MAPPING_HOLD","QUARANTINED",IF(COUNTIF(tblServiceEvents[Event #],C234)=1,"Yes","No")))</f>
        <v/>
      </c>
      <c r="F234" s="384">
        <f>IF(A234="","",IF(E234&lt;&gt;"Yes","N/A",IF(INDEX(tblServiceEvents[Client ID],MATCH(C234,tblServiceEvents[Event #],0))=INDEX(tblLedger[Client ID],ROWS($A$202:A234)),"Yes","No")))</f>
        <v/>
      </c>
      <c r="G234" s="384">
        <f>IF(A234="","",IF(E234&lt;&gt;"Yes","N/A",IF(INDEX(tblServiceEvents[Location Key],MATCH(C234,tblServiceEvents[Event #],0))=INDEX(tblLedger[Location Key],ROWS($A$202:A234)),"Yes","No")))</f>
        <v/>
      </c>
      <c r="H234" s="384">
        <f>IF(A234="","",IF(E234&lt;&gt;"Yes","N/A",IF(INDEX(tblServiceEvents[Service Date],MATCH(C234,tblServiceEvents[Event #],0))=INDEX(tblLedger[Service Date],ROWS($A$202:A234)),"Yes","No")))</f>
        <v/>
      </c>
      <c r="I234" s="384">
        <f>IF(A234="","",IF(E234&lt;&gt;"Yes","N/A",IF(D234="MULTI-WO VISIT","Yes",IF(B234=INDEX(tblServiceEvents[Work Orders],MATCH(C234,tblServiceEvents[Event #],0)),"Yes","No"))))</f>
        <v/>
      </c>
      <c r="J234" s="384">
        <f>IF(A234="","",IF(D234="MAPPING_HOLD","QUARANTINED",IF(AND(E234="Yes",F234="Yes",G234="Yes",H234="Yes",I234="Yes"),"PASS","FAIL")))</f>
        <v/>
      </c>
    </row>
    <row r="235" ht="15" customHeight="1" s="192">
      <c r="A235" s="384">
        <f>IFERROR(INDEX(tblLedger[Ledger Record ID],ROWS($A$202:A235)),"")</f>
        <v/>
      </c>
      <c r="B235" s="384">
        <f>IFERROR(INDEX(tblLedger[Work Order #],ROWS($A$202:A235)),"")</f>
        <v/>
      </c>
      <c r="C235" s="384">
        <f>IFERROR(INDEX(tblLedger[Event #],ROWS($A$202:A235)),"")</f>
        <v/>
      </c>
      <c r="D235" s="384">
        <f>IFERROR(INDEX(tblLedger[Mapping Status],ROWS($A$202:A235)),"")</f>
        <v/>
      </c>
      <c r="E235" s="384">
        <f>IF(A235="","",IF(D235="MAPPING_HOLD","QUARANTINED",IF(COUNTIF(tblServiceEvents[Event #],C235)=1,"Yes","No")))</f>
        <v/>
      </c>
      <c r="F235" s="384">
        <f>IF(A235="","",IF(E235&lt;&gt;"Yes","N/A",IF(INDEX(tblServiceEvents[Client ID],MATCH(C235,tblServiceEvents[Event #],0))=INDEX(tblLedger[Client ID],ROWS($A$202:A235)),"Yes","No")))</f>
        <v/>
      </c>
      <c r="G235" s="384">
        <f>IF(A235="","",IF(E235&lt;&gt;"Yes","N/A",IF(INDEX(tblServiceEvents[Location Key],MATCH(C235,tblServiceEvents[Event #],0))=INDEX(tblLedger[Location Key],ROWS($A$202:A235)),"Yes","No")))</f>
        <v/>
      </c>
      <c r="H235" s="384">
        <f>IF(A235="","",IF(E235&lt;&gt;"Yes","N/A",IF(INDEX(tblServiceEvents[Service Date],MATCH(C235,tblServiceEvents[Event #],0))=INDEX(tblLedger[Service Date],ROWS($A$202:A235)),"Yes","No")))</f>
        <v/>
      </c>
      <c r="I235" s="384">
        <f>IF(A235="","",IF(E235&lt;&gt;"Yes","N/A",IF(D235="MULTI-WO VISIT","Yes",IF(B235=INDEX(tblServiceEvents[Work Orders],MATCH(C235,tblServiceEvents[Event #],0)),"Yes","No"))))</f>
        <v/>
      </c>
      <c r="J235" s="384">
        <f>IF(A235="","",IF(D235="MAPPING_HOLD","QUARANTINED",IF(AND(E235="Yes",F235="Yes",G235="Yes",H235="Yes",I235="Yes"),"PASS","FAIL")))</f>
        <v/>
      </c>
    </row>
    <row r="236" ht="15" customHeight="1" s="192">
      <c r="A236" s="384">
        <f>IFERROR(INDEX(tblLedger[Ledger Record ID],ROWS($A$202:A236)),"")</f>
        <v/>
      </c>
      <c r="B236" s="384">
        <f>IFERROR(INDEX(tblLedger[Work Order #],ROWS($A$202:A236)),"")</f>
        <v/>
      </c>
      <c r="C236" s="384">
        <f>IFERROR(INDEX(tblLedger[Event #],ROWS($A$202:A236)),"")</f>
        <v/>
      </c>
      <c r="D236" s="384">
        <f>IFERROR(INDEX(tblLedger[Mapping Status],ROWS($A$202:A236)),"")</f>
        <v/>
      </c>
      <c r="E236" s="384">
        <f>IF(A236="","",IF(D236="MAPPING_HOLD","QUARANTINED",IF(COUNTIF(tblServiceEvents[Event #],C236)=1,"Yes","No")))</f>
        <v/>
      </c>
      <c r="F236" s="384">
        <f>IF(A236="","",IF(E236&lt;&gt;"Yes","N/A",IF(INDEX(tblServiceEvents[Client ID],MATCH(C236,tblServiceEvents[Event #],0))=INDEX(tblLedger[Client ID],ROWS($A$202:A236)),"Yes","No")))</f>
        <v/>
      </c>
      <c r="G236" s="384">
        <f>IF(A236="","",IF(E236&lt;&gt;"Yes","N/A",IF(INDEX(tblServiceEvents[Location Key],MATCH(C236,tblServiceEvents[Event #],0))=INDEX(tblLedger[Location Key],ROWS($A$202:A236)),"Yes","No")))</f>
        <v/>
      </c>
      <c r="H236" s="384">
        <f>IF(A236="","",IF(E236&lt;&gt;"Yes","N/A",IF(INDEX(tblServiceEvents[Service Date],MATCH(C236,tblServiceEvents[Event #],0))=INDEX(tblLedger[Service Date],ROWS($A$202:A236)),"Yes","No")))</f>
        <v/>
      </c>
      <c r="I236" s="384">
        <f>IF(A236="","",IF(E236&lt;&gt;"Yes","N/A",IF(D236="MULTI-WO VISIT","Yes",IF(B236=INDEX(tblServiceEvents[Work Orders],MATCH(C236,tblServiceEvents[Event #],0)),"Yes","No"))))</f>
        <v/>
      </c>
      <c r="J236" s="384">
        <f>IF(A236="","",IF(D236="MAPPING_HOLD","QUARANTINED",IF(AND(E236="Yes",F236="Yes",G236="Yes",H236="Yes",I236="Yes"),"PASS","FAIL")))</f>
        <v/>
      </c>
    </row>
    <row r="237" ht="15" customHeight="1" s="192">
      <c r="A237" s="384">
        <f>IFERROR(INDEX(tblLedger[Ledger Record ID],ROWS($A$202:A237)),"")</f>
        <v/>
      </c>
      <c r="B237" s="384">
        <f>IFERROR(INDEX(tblLedger[Work Order #],ROWS($A$202:A237)),"")</f>
        <v/>
      </c>
      <c r="C237" s="384">
        <f>IFERROR(INDEX(tblLedger[Event #],ROWS($A$202:A237)),"")</f>
        <v/>
      </c>
      <c r="D237" s="384">
        <f>IFERROR(INDEX(tblLedger[Mapping Status],ROWS($A$202:A237)),"")</f>
        <v/>
      </c>
      <c r="E237" s="384">
        <f>IF(A237="","",IF(D237="MAPPING_HOLD","QUARANTINED",IF(COUNTIF(tblServiceEvents[Event #],C237)=1,"Yes","No")))</f>
        <v/>
      </c>
      <c r="F237" s="384">
        <f>IF(A237="","",IF(E237&lt;&gt;"Yes","N/A",IF(INDEX(tblServiceEvents[Client ID],MATCH(C237,tblServiceEvents[Event #],0))=INDEX(tblLedger[Client ID],ROWS($A$202:A237)),"Yes","No")))</f>
        <v/>
      </c>
      <c r="G237" s="384">
        <f>IF(A237="","",IF(E237&lt;&gt;"Yes","N/A",IF(INDEX(tblServiceEvents[Location Key],MATCH(C237,tblServiceEvents[Event #],0))=INDEX(tblLedger[Location Key],ROWS($A$202:A237)),"Yes","No")))</f>
        <v/>
      </c>
      <c r="H237" s="384">
        <f>IF(A237="","",IF(E237&lt;&gt;"Yes","N/A",IF(INDEX(tblServiceEvents[Service Date],MATCH(C237,tblServiceEvents[Event #],0))=INDEX(tblLedger[Service Date],ROWS($A$202:A237)),"Yes","No")))</f>
        <v/>
      </c>
      <c r="I237" s="384">
        <f>IF(A237="","",IF(E237&lt;&gt;"Yes","N/A",IF(D237="MULTI-WO VISIT","Yes",IF(B237=INDEX(tblServiceEvents[Work Orders],MATCH(C237,tblServiceEvents[Event #],0)),"Yes","No"))))</f>
        <v/>
      </c>
      <c r="J237" s="384">
        <f>IF(A237="","",IF(D237="MAPPING_HOLD","QUARANTINED",IF(AND(E237="Yes",F237="Yes",G237="Yes",H237="Yes",I237="Yes"),"PASS","FAIL")))</f>
        <v/>
      </c>
    </row>
    <row r="238" ht="15" customHeight="1" s="192">
      <c r="A238" s="384">
        <f>IFERROR(INDEX(tblLedger[Ledger Record ID],ROWS($A$202:A238)),"")</f>
        <v/>
      </c>
      <c r="B238" s="384">
        <f>IFERROR(INDEX(tblLedger[Work Order #],ROWS($A$202:A238)),"")</f>
        <v/>
      </c>
      <c r="C238" s="384">
        <f>IFERROR(INDEX(tblLedger[Event #],ROWS($A$202:A238)),"")</f>
        <v/>
      </c>
      <c r="D238" s="384">
        <f>IFERROR(INDEX(tblLedger[Mapping Status],ROWS($A$202:A238)),"")</f>
        <v/>
      </c>
      <c r="E238" s="384">
        <f>IF(A238="","",IF(D238="MAPPING_HOLD","QUARANTINED",IF(COUNTIF(tblServiceEvents[Event #],C238)=1,"Yes","No")))</f>
        <v/>
      </c>
      <c r="F238" s="384">
        <f>IF(A238="","",IF(E238&lt;&gt;"Yes","N/A",IF(INDEX(tblServiceEvents[Client ID],MATCH(C238,tblServiceEvents[Event #],0))=INDEX(tblLedger[Client ID],ROWS($A$202:A238)),"Yes","No")))</f>
        <v/>
      </c>
      <c r="G238" s="384">
        <f>IF(A238="","",IF(E238&lt;&gt;"Yes","N/A",IF(INDEX(tblServiceEvents[Location Key],MATCH(C238,tblServiceEvents[Event #],0))=INDEX(tblLedger[Location Key],ROWS($A$202:A238)),"Yes","No")))</f>
        <v/>
      </c>
      <c r="H238" s="384">
        <f>IF(A238="","",IF(E238&lt;&gt;"Yes","N/A",IF(INDEX(tblServiceEvents[Service Date],MATCH(C238,tblServiceEvents[Event #],0))=INDEX(tblLedger[Service Date],ROWS($A$202:A238)),"Yes","No")))</f>
        <v/>
      </c>
      <c r="I238" s="384">
        <f>IF(A238="","",IF(E238&lt;&gt;"Yes","N/A",IF(D238="MULTI-WO VISIT","Yes",IF(B238=INDEX(tblServiceEvents[Work Orders],MATCH(C238,tblServiceEvents[Event #],0)),"Yes","No"))))</f>
        <v/>
      </c>
      <c r="J238" s="384">
        <f>IF(A238="","",IF(D238="MAPPING_HOLD","QUARANTINED",IF(AND(E238="Yes",F238="Yes",G238="Yes",H238="Yes",I238="Yes"),"PASS","FAIL")))</f>
        <v/>
      </c>
    </row>
    <row r="239" ht="15" customHeight="1" s="192">
      <c r="A239" s="384">
        <f>IFERROR(INDEX(tblLedger[Ledger Record ID],ROWS($A$202:A239)),"")</f>
        <v/>
      </c>
      <c r="B239" s="384">
        <f>IFERROR(INDEX(tblLedger[Work Order #],ROWS($A$202:A239)),"")</f>
        <v/>
      </c>
      <c r="C239" s="384">
        <f>IFERROR(INDEX(tblLedger[Event #],ROWS($A$202:A239)),"")</f>
        <v/>
      </c>
      <c r="D239" s="384">
        <f>IFERROR(INDEX(tblLedger[Mapping Status],ROWS($A$202:A239)),"")</f>
        <v/>
      </c>
      <c r="E239" s="384">
        <f>IF(A239="","",IF(D239="MAPPING_HOLD","QUARANTINED",IF(COUNTIF(tblServiceEvents[Event #],C239)=1,"Yes","No")))</f>
        <v/>
      </c>
      <c r="F239" s="384">
        <f>IF(A239="","",IF(E239&lt;&gt;"Yes","N/A",IF(INDEX(tblServiceEvents[Client ID],MATCH(C239,tblServiceEvents[Event #],0))=INDEX(tblLedger[Client ID],ROWS($A$202:A239)),"Yes","No")))</f>
        <v/>
      </c>
      <c r="G239" s="384">
        <f>IF(A239="","",IF(E239&lt;&gt;"Yes","N/A",IF(INDEX(tblServiceEvents[Location Key],MATCH(C239,tblServiceEvents[Event #],0))=INDEX(tblLedger[Location Key],ROWS($A$202:A239)),"Yes","No")))</f>
        <v/>
      </c>
      <c r="H239" s="384">
        <f>IF(A239="","",IF(E239&lt;&gt;"Yes","N/A",IF(INDEX(tblServiceEvents[Service Date],MATCH(C239,tblServiceEvents[Event #],0))=INDEX(tblLedger[Service Date],ROWS($A$202:A239)),"Yes","No")))</f>
        <v/>
      </c>
      <c r="I239" s="384">
        <f>IF(A239="","",IF(E239&lt;&gt;"Yes","N/A",IF(D239="MULTI-WO VISIT","Yes",IF(B239=INDEX(tblServiceEvents[Work Orders],MATCH(C239,tblServiceEvents[Event #],0)),"Yes","No"))))</f>
        <v/>
      </c>
      <c r="J239" s="384">
        <f>IF(A239="","",IF(D239="MAPPING_HOLD","QUARANTINED",IF(AND(E239="Yes",F239="Yes",G239="Yes",H239="Yes",I239="Yes"),"PASS","FAIL")))</f>
        <v/>
      </c>
    </row>
    <row r="240" ht="15" customHeight="1" s="192">
      <c r="A240" s="384">
        <f>IFERROR(INDEX(tblLedger[Ledger Record ID],ROWS($A$202:A240)),"")</f>
        <v/>
      </c>
      <c r="B240" s="384">
        <f>IFERROR(INDEX(tblLedger[Work Order #],ROWS($A$202:A240)),"")</f>
        <v/>
      </c>
      <c r="C240" s="384">
        <f>IFERROR(INDEX(tblLedger[Event #],ROWS($A$202:A240)),"")</f>
        <v/>
      </c>
      <c r="D240" s="384">
        <f>IFERROR(INDEX(tblLedger[Mapping Status],ROWS($A$202:A240)),"")</f>
        <v/>
      </c>
      <c r="E240" s="384">
        <f>IF(A240="","",IF(D240="MAPPING_HOLD","QUARANTINED",IF(COUNTIF(tblServiceEvents[Event #],C240)=1,"Yes","No")))</f>
        <v/>
      </c>
      <c r="F240" s="384">
        <f>IF(A240="","",IF(E240&lt;&gt;"Yes","N/A",IF(INDEX(tblServiceEvents[Client ID],MATCH(C240,tblServiceEvents[Event #],0))=INDEX(tblLedger[Client ID],ROWS($A$202:A240)),"Yes","No")))</f>
        <v/>
      </c>
      <c r="G240" s="384">
        <f>IF(A240="","",IF(E240&lt;&gt;"Yes","N/A",IF(INDEX(tblServiceEvents[Location Key],MATCH(C240,tblServiceEvents[Event #],0))=INDEX(tblLedger[Location Key],ROWS($A$202:A240)),"Yes","No")))</f>
        <v/>
      </c>
      <c r="H240" s="384">
        <f>IF(A240="","",IF(E240&lt;&gt;"Yes","N/A",IF(INDEX(tblServiceEvents[Service Date],MATCH(C240,tblServiceEvents[Event #],0))=INDEX(tblLedger[Service Date],ROWS($A$202:A240)),"Yes","No")))</f>
        <v/>
      </c>
      <c r="I240" s="384">
        <f>IF(A240="","",IF(E240&lt;&gt;"Yes","N/A",IF(D240="MULTI-WO VISIT","Yes",IF(B240=INDEX(tblServiceEvents[Work Orders],MATCH(C240,tblServiceEvents[Event #],0)),"Yes","No"))))</f>
        <v/>
      </c>
      <c r="J240" s="384">
        <f>IF(A240="","",IF(D240="MAPPING_HOLD","QUARANTINED",IF(AND(E240="Yes",F240="Yes",G240="Yes",H240="Yes",I240="Yes"),"PASS","FAIL")))</f>
        <v/>
      </c>
    </row>
    <row r="241" ht="15" customHeight="1" s="192">
      <c r="A241" s="384">
        <f>IFERROR(INDEX(tblLedger[Ledger Record ID],ROWS($A$202:A241)),"")</f>
        <v/>
      </c>
      <c r="B241" s="384">
        <f>IFERROR(INDEX(tblLedger[Work Order #],ROWS($A$202:A241)),"")</f>
        <v/>
      </c>
      <c r="C241" s="384">
        <f>IFERROR(INDEX(tblLedger[Event #],ROWS($A$202:A241)),"")</f>
        <v/>
      </c>
      <c r="D241" s="384">
        <f>IFERROR(INDEX(tblLedger[Mapping Status],ROWS($A$202:A241)),"")</f>
        <v/>
      </c>
      <c r="E241" s="384">
        <f>IF(A241="","",IF(D241="MAPPING_HOLD","QUARANTINED",IF(COUNTIF(tblServiceEvents[Event #],C241)=1,"Yes","No")))</f>
        <v/>
      </c>
      <c r="F241" s="384">
        <f>IF(A241="","",IF(E241&lt;&gt;"Yes","N/A",IF(INDEX(tblServiceEvents[Client ID],MATCH(C241,tblServiceEvents[Event #],0))=INDEX(tblLedger[Client ID],ROWS($A$202:A241)),"Yes","No")))</f>
        <v/>
      </c>
      <c r="G241" s="384">
        <f>IF(A241="","",IF(E241&lt;&gt;"Yes","N/A",IF(INDEX(tblServiceEvents[Location Key],MATCH(C241,tblServiceEvents[Event #],0))=INDEX(tblLedger[Location Key],ROWS($A$202:A241)),"Yes","No")))</f>
        <v/>
      </c>
      <c r="H241" s="384">
        <f>IF(A241="","",IF(E241&lt;&gt;"Yes","N/A",IF(INDEX(tblServiceEvents[Service Date],MATCH(C241,tblServiceEvents[Event #],0))=INDEX(tblLedger[Service Date],ROWS($A$202:A241)),"Yes","No")))</f>
        <v/>
      </c>
      <c r="I241" s="384">
        <f>IF(A241="","",IF(E241&lt;&gt;"Yes","N/A",IF(D241="MULTI-WO VISIT","Yes",IF(B241=INDEX(tblServiceEvents[Work Orders],MATCH(C241,tblServiceEvents[Event #],0)),"Yes","No"))))</f>
        <v/>
      </c>
      <c r="J241" s="384">
        <f>IF(A241="","",IF(D241="MAPPING_HOLD","QUARANTINED",IF(AND(E241="Yes",F241="Yes",G241="Yes",H241="Yes",I241="Yes"),"PASS","FAIL")))</f>
        <v/>
      </c>
    </row>
    <row r="242" ht="15" customHeight="1" s="192">
      <c r="A242" s="384">
        <f>IFERROR(INDEX(tblLedger[Ledger Record ID],ROWS($A$202:A242)),"")</f>
        <v/>
      </c>
      <c r="B242" s="384">
        <f>IFERROR(INDEX(tblLedger[Work Order #],ROWS($A$202:A242)),"")</f>
        <v/>
      </c>
      <c r="C242" s="384">
        <f>IFERROR(INDEX(tblLedger[Event #],ROWS($A$202:A242)),"")</f>
        <v/>
      </c>
      <c r="D242" s="384">
        <f>IFERROR(INDEX(tblLedger[Mapping Status],ROWS($A$202:A242)),"")</f>
        <v/>
      </c>
      <c r="E242" s="384">
        <f>IF(A242="","",IF(D242="MAPPING_HOLD","QUARANTINED",IF(COUNTIF(tblServiceEvents[Event #],C242)=1,"Yes","No")))</f>
        <v/>
      </c>
      <c r="F242" s="384">
        <f>IF(A242="","",IF(E242&lt;&gt;"Yes","N/A",IF(INDEX(tblServiceEvents[Client ID],MATCH(C242,tblServiceEvents[Event #],0))=INDEX(tblLedger[Client ID],ROWS($A$202:A242)),"Yes","No")))</f>
        <v/>
      </c>
      <c r="G242" s="384">
        <f>IF(A242="","",IF(E242&lt;&gt;"Yes","N/A",IF(INDEX(tblServiceEvents[Location Key],MATCH(C242,tblServiceEvents[Event #],0))=INDEX(tblLedger[Location Key],ROWS($A$202:A242)),"Yes","No")))</f>
        <v/>
      </c>
      <c r="H242" s="384">
        <f>IF(A242="","",IF(E242&lt;&gt;"Yes","N/A",IF(INDEX(tblServiceEvents[Service Date],MATCH(C242,tblServiceEvents[Event #],0))=INDEX(tblLedger[Service Date],ROWS($A$202:A242)),"Yes","No")))</f>
        <v/>
      </c>
      <c r="I242" s="384">
        <f>IF(A242="","",IF(E242&lt;&gt;"Yes","N/A",IF(D242="MULTI-WO VISIT","Yes",IF(B242=INDEX(tblServiceEvents[Work Orders],MATCH(C242,tblServiceEvents[Event #],0)),"Yes","No"))))</f>
        <v/>
      </c>
      <c r="J242" s="384">
        <f>IF(A242="","",IF(D242="MAPPING_HOLD","QUARANTINED",IF(AND(E242="Yes",F242="Yes",G242="Yes",H242="Yes",I242="Yes"),"PASS","FAIL")))</f>
        <v/>
      </c>
    </row>
    <row r="243" ht="15" customHeight="1" s="192">
      <c r="A243" s="384">
        <f>IFERROR(INDEX(tblLedger[Ledger Record ID],ROWS($A$202:A243)),"")</f>
        <v/>
      </c>
      <c r="B243" s="384">
        <f>IFERROR(INDEX(tblLedger[Work Order #],ROWS($A$202:A243)),"")</f>
        <v/>
      </c>
      <c r="C243" s="384">
        <f>IFERROR(INDEX(tblLedger[Event #],ROWS($A$202:A243)),"")</f>
        <v/>
      </c>
      <c r="D243" s="384">
        <f>IFERROR(INDEX(tblLedger[Mapping Status],ROWS($A$202:A243)),"")</f>
        <v/>
      </c>
      <c r="E243" s="384">
        <f>IF(A243="","",IF(D243="MAPPING_HOLD","QUARANTINED",IF(COUNTIF(tblServiceEvents[Event #],C243)=1,"Yes","No")))</f>
        <v/>
      </c>
      <c r="F243" s="384">
        <f>IF(A243="","",IF(E243&lt;&gt;"Yes","N/A",IF(INDEX(tblServiceEvents[Client ID],MATCH(C243,tblServiceEvents[Event #],0))=INDEX(tblLedger[Client ID],ROWS($A$202:A243)),"Yes","No")))</f>
        <v/>
      </c>
      <c r="G243" s="384">
        <f>IF(A243="","",IF(E243&lt;&gt;"Yes","N/A",IF(INDEX(tblServiceEvents[Location Key],MATCH(C243,tblServiceEvents[Event #],0))=INDEX(tblLedger[Location Key],ROWS($A$202:A243)),"Yes","No")))</f>
        <v/>
      </c>
      <c r="H243" s="384">
        <f>IF(A243="","",IF(E243&lt;&gt;"Yes","N/A",IF(INDEX(tblServiceEvents[Service Date],MATCH(C243,tblServiceEvents[Event #],0))=INDEX(tblLedger[Service Date],ROWS($A$202:A243)),"Yes","No")))</f>
        <v/>
      </c>
      <c r="I243" s="384">
        <f>IF(A243="","",IF(E243&lt;&gt;"Yes","N/A",IF(D243="MULTI-WO VISIT","Yes",IF(B243=INDEX(tblServiceEvents[Work Orders],MATCH(C243,tblServiceEvents[Event #],0)),"Yes","No"))))</f>
        <v/>
      </c>
      <c r="J243" s="384">
        <f>IF(A243="","",IF(D243="MAPPING_HOLD","QUARANTINED",IF(AND(E243="Yes",F243="Yes",G243="Yes",H243="Yes",I243="Yes"),"PASS","FAIL")))</f>
        <v/>
      </c>
    </row>
    <row r="244" ht="15" customHeight="1" s="192">
      <c r="A244" s="384">
        <f>IFERROR(INDEX(tblLedger[Ledger Record ID],ROWS($A$202:A244)),"")</f>
        <v/>
      </c>
      <c r="B244" s="384">
        <f>IFERROR(INDEX(tblLedger[Work Order #],ROWS($A$202:A244)),"")</f>
        <v/>
      </c>
      <c r="C244" s="384">
        <f>IFERROR(INDEX(tblLedger[Event #],ROWS($A$202:A244)),"")</f>
        <v/>
      </c>
      <c r="D244" s="384">
        <f>IFERROR(INDEX(tblLedger[Mapping Status],ROWS($A$202:A244)),"")</f>
        <v/>
      </c>
      <c r="E244" s="384">
        <f>IF(A244="","",IF(D244="MAPPING_HOLD","QUARANTINED",IF(COUNTIF(tblServiceEvents[Event #],C244)=1,"Yes","No")))</f>
        <v/>
      </c>
      <c r="F244" s="384">
        <f>IF(A244="","",IF(E244&lt;&gt;"Yes","N/A",IF(INDEX(tblServiceEvents[Client ID],MATCH(C244,tblServiceEvents[Event #],0))=INDEX(tblLedger[Client ID],ROWS($A$202:A244)),"Yes","No")))</f>
        <v/>
      </c>
      <c r="G244" s="384">
        <f>IF(A244="","",IF(E244&lt;&gt;"Yes","N/A",IF(INDEX(tblServiceEvents[Location Key],MATCH(C244,tblServiceEvents[Event #],0))=INDEX(tblLedger[Location Key],ROWS($A$202:A244)),"Yes","No")))</f>
        <v/>
      </c>
      <c r="H244" s="384">
        <f>IF(A244="","",IF(E244&lt;&gt;"Yes","N/A",IF(INDEX(tblServiceEvents[Service Date],MATCH(C244,tblServiceEvents[Event #],0))=INDEX(tblLedger[Service Date],ROWS($A$202:A244)),"Yes","No")))</f>
        <v/>
      </c>
      <c r="I244" s="384">
        <f>IF(A244="","",IF(E244&lt;&gt;"Yes","N/A",IF(D244="MULTI-WO VISIT","Yes",IF(B244=INDEX(tblServiceEvents[Work Orders],MATCH(C244,tblServiceEvents[Event #],0)),"Yes","No"))))</f>
        <v/>
      </c>
      <c r="J244" s="384">
        <f>IF(A244="","",IF(D244="MAPPING_HOLD","QUARANTINED",IF(AND(E244="Yes",F244="Yes",G244="Yes",H244="Yes",I244="Yes"),"PASS","FAIL")))</f>
        <v/>
      </c>
    </row>
    <row r="245" ht="15" customHeight="1" s="192">
      <c r="A245" s="384">
        <f>IFERROR(INDEX(tblLedger[Ledger Record ID],ROWS($A$202:A245)),"")</f>
        <v/>
      </c>
      <c r="B245" s="384">
        <f>IFERROR(INDEX(tblLedger[Work Order #],ROWS($A$202:A245)),"")</f>
        <v/>
      </c>
      <c r="C245" s="384">
        <f>IFERROR(INDEX(tblLedger[Event #],ROWS($A$202:A245)),"")</f>
        <v/>
      </c>
      <c r="D245" s="384">
        <f>IFERROR(INDEX(tblLedger[Mapping Status],ROWS($A$202:A245)),"")</f>
        <v/>
      </c>
      <c r="E245" s="384">
        <f>IF(A245="","",IF(D245="MAPPING_HOLD","QUARANTINED",IF(COUNTIF(tblServiceEvents[Event #],C245)=1,"Yes","No")))</f>
        <v/>
      </c>
      <c r="F245" s="384">
        <f>IF(A245="","",IF(E245&lt;&gt;"Yes","N/A",IF(INDEX(tblServiceEvents[Client ID],MATCH(C245,tblServiceEvents[Event #],0))=INDEX(tblLedger[Client ID],ROWS($A$202:A245)),"Yes","No")))</f>
        <v/>
      </c>
      <c r="G245" s="384">
        <f>IF(A245="","",IF(E245&lt;&gt;"Yes","N/A",IF(INDEX(tblServiceEvents[Location Key],MATCH(C245,tblServiceEvents[Event #],0))=INDEX(tblLedger[Location Key],ROWS($A$202:A245)),"Yes","No")))</f>
        <v/>
      </c>
      <c r="H245" s="384">
        <f>IF(A245="","",IF(E245&lt;&gt;"Yes","N/A",IF(INDEX(tblServiceEvents[Service Date],MATCH(C245,tblServiceEvents[Event #],0))=INDEX(tblLedger[Service Date],ROWS($A$202:A245)),"Yes","No")))</f>
        <v/>
      </c>
      <c r="I245" s="384">
        <f>IF(A245="","",IF(E245&lt;&gt;"Yes","N/A",IF(D245="MULTI-WO VISIT","Yes",IF(B245=INDEX(tblServiceEvents[Work Orders],MATCH(C245,tblServiceEvents[Event #],0)),"Yes","No"))))</f>
        <v/>
      </c>
      <c r="J245" s="384">
        <f>IF(A245="","",IF(D245="MAPPING_HOLD","QUARANTINED",IF(AND(E245="Yes",F245="Yes",G245="Yes",H245="Yes",I245="Yes"),"PASS","FAIL")))</f>
        <v/>
      </c>
    </row>
    <row r="246" ht="15" customHeight="1" s="192">
      <c r="A246" s="384">
        <f>IFERROR(INDEX(tblLedger[Ledger Record ID],ROWS($A$202:A246)),"")</f>
        <v/>
      </c>
      <c r="B246" s="384">
        <f>IFERROR(INDEX(tblLedger[Work Order #],ROWS($A$202:A246)),"")</f>
        <v/>
      </c>
      <c r="C246" s="384">
        <f>IFERROR(INDEX(tblLedger[Event #],ROWS($A$202:A246)),"")</f>
        <v/>
      </c>
      <c r="D246" s="384">
        <f>IFERROR(INDEX(tblLedger[Mapping Status],ROWS($A$202:A246)),"")</f>
        <v/>
      </c>
      <c r="E246" s="384">
        <f>IF(A246="","",IF(D246="MAPPING_HOLD","QUARANTINED",IF(COUNTIF(tblServiceEvents[Event #],C246)=1,"Yes","No")))</f>
        <v/>
      </c>
      <c r="F246" s="384">
        <f>IF(A246="","",IF(E246&lt;&gt;"Yes","N/A",IF(INDEX(tblServiceEvents[Client ID],MATCH(C246,tblServiceEvents[Event #],0))=INDEX(tblLedger[Client ID],ROWS($A$202:A246)),"Yes","No")))</f>
        <v/>
      </c>
      <c r="G246" s="384">
        <f>IF(A246="","",IF(E246&lt;&gt;"Yes","N/A",IF(INDEX(tblServiceEvents[Location Key],MATCH(C246,tblServiceEvents[Event #],0))=INDEX(tblLedger[Location Key],ROWS($A$202:A246)),"Yes","No")))</f>
        <v/>
      </c>
      <c r="H246" s="384">
        <f>IF(A246="","",IF(E246&lt;&gt;"Yes","N/A",IF(INDEX(tblServiceEvents[Service Date],MATCH(C246,tblServiceEvents[Event #],0))=INDEX(tblLedger[Service Date],ROWS($A$202:A246)),"Yes","No")))</f>
        <v/>
      </c>
      <c r="I246" s="384">
        <f>IF(A246="","",IF(E246&lt;&gt;"Yes","N/A",IF(D246="MULTI-WO VISIT","Yes",IF(B246=INDEX(tblServiceEvents[Work Orders],MATCH(C246,tblServiceEvents[Event #],0)),"Yes","No"))))</f>
        <v/>
      </c>
      <c r="J246" s="384">
        <f>IF(A246="","",IF(D246="MAPPING_HOLD","QUARANTINED",IF(AND(E246="Yes",F246="Yes",G246="Yes",H246="Yes",I246="Yes"),"PASS","FAIL")))</f>
        <v/>
      </c>
    </row>
    <row r="247" ht="15" customHeight="1" s="192">
      <c r="A247" s="384">
        <f>IFERROR(INDEX(tblLedger[Ledger Record ID],ROWS($A$202:A247)),"")</f>
        <v/>
      </c>
      <c r="B247" s="384">
        <f>IFERROR(INDEX(tblLedger[Work Order #],ROWS($A$202:A247)),"")</f>
        <v/>
      </c>
      <c r="C247" s="384">
        <f>IFERROR(INDEX(tblLedger[Event #],ROWS($A$202:A247)),"")</f>
        <v/>
      </c>
      <c r="D247" s="384">
        <f>IFERROR(INDEX(tblLedger[Mapping Status],ROWS($A$202:A247)),"")</f>
        <v/>
      </c>
      <c r="E247" s="384">
        <f>IF(A247="","",IF(D247="MAPPING_HOLD","QUARANTINED",IF(COUNTIF(tblServiceEvents[Event #],C247)=1,"Yes","No")))</f>
        <v/>
      </c>
      <c r="F247" s="384">
        <f>IF(A247="","",IF(E247&lt;&gt;"Yes","N/A",IF(INDEX(tblServiceEvents[Client ID],MATCH(C247,tblServiceEvents[Event #],0))=INDEX(tblLedger[Client ID],ROWS($A$202:A247)),"Yes","No")))</f>
        <v/>
      </c>
      <c r="G247" s="384">
        <f>IF(A247="","",IF(E247&lt;&gt;"Yes","N/A",IF(INDEX(tblServiceEvents[Location Key],MATCH(C247,tblServiceEvents[Event #],0))=INDEX(tblLedger[Location Key],ROWS($A$202:A247)),"Yes","No")))</f>
        <v/>
      </c>
      <c r="H247" s="384">
        <f>IF(A247="","",IF(E247&lt;&gt;"Yes","N/A",IF(INDEX(tblServiceEvents[Service Date],MATCH(C247,tblServiceEvents[Event #],0))=INDEX(tblLedger[Service Date],ROWS($A$202:A247)),"Yes","No")))</f>
        <v/>
      </c>
      <c r="I247" s="384">
        <f>IF(A247="","",IF(E247&lt;&gt;"Yes","N/A",IF(D247="MULTI-WO VISIT","Yes",IF(B247=INDEX(tblServiceEvents[Work Orders],MATCH(C247,tblServiceEvents[Event #],0)),"Yes","No"))))</f>
        <v/>
      </c>
      <c r="J247" s="384">
        <f>IF(A247="","",IF(D247="MAPPING_HOLD","QUARANTINED",IF(AND(E247="Yes",F247="Yes",G247="Yes",H247="Yes",I247="Yes"),"PASS","FAIL")))</f>
        <v/>
      </c>
    </row>
    <row r="248" ht="15" customHeight="1" s="192">
      <c r="A248" s="384">
        <f>IFERROR(INDEX(tblLedger[Ledger Record ID],ROWS($A$202:A248)),"")</f>
        <v/>
      </c>
      <c r="B248" s="384">
        <f>IFERROR(INDEX(tblLedger[Work Order #],ROWS($A$202:A248)),"")</f>
        <v/>
      </c>
      <c r="C248" s="384">
        <f>IFERROR(INDEX(tblLedger[Event #],ROWS($A$202:A248)),"")</f>
        <v/>
      </c>
      <c r="D248" s="384">
        <f>IFERROR(INDEX(tblLedger[Mapping Status],ROWS($A$202:A248)),"")</f>
        <v/>
      </c>
      <c r="E248" s="384">
        <f>IF(A248="","",IF(D248="MAPPING_HOLD","QUARANTINED",IF(COUNTIF(tblServiceEvents[Event #],C248)=1,"Yes","No")))</f>
        <v/>
      </c>
      <c r="F248" s="384">
        <f>IF(A248="","",IF(E248&lt;&gt;"Yes","N/A",IF(INDEX(tblServiceEvents[Client ID],MATCH(C248,tblServiceEvents[Event #],0))=INDEX(tblLedger[Client ID],ROWS($A$202:A248)),"Yes","No")))</f>
        <v/>
      </c>
      <c r="G248" s="384">
        <f>IF(A248="","",IF(E248&lt;&gt;"Yes","N/A",IF(INDEX(tblServiceEvents[Location Key],MATCH(C248,tblServiceEvents[Event #],0))=INDEX(tblLedger[Location Key],ROWS($A$202:A248)),"Yes","No")))</f>
        <v/>
      </c>
      <c r="H248" s="384">
        <f>IF(A248="","",IF(E248&lt;&gt;"Yes","N/A",IF(INDEX(tblServiceEvents[Service Date],MATCH(C248,tblServiceEvents[Event #],0))=INDEX(tblLedger[Service Date],ROWS($A$202:A248)),"Yes","No")))</f>
        <v/>
      </c>
      <c r="I248" s="384">
        <f>IF(A248="","",IF(E248&lt;&gt;"Yes","N/A",IF(D248="MULTI-WO VISIT","Yes",IF(B248=INDEX(tblServiceEvents[Work Orders],MATCH(C248,tblServiceEvents[Event #],0)),"Yes","No"))))</f>
        <v/>
      </c>
      <c r="J248" s="384">
        <f>IF(A248="","",IF(D248="MAPPING_HOLD","QUARANTINED",IF(AND(E248="Yes",F248="Yes",G248="Yes",H248="Yes",I248="Yes"),"PASS","FAIL")))</f>
        <v/>
      </c>
    </row>
    <row r="249" ht="15" customHeight="1" s="192">
      <c r="A249" s="384">
        <f>IFERROR(INDEX(tblLedger[Ledger Record ID],ROWS($A$202:A249)),"")</f>
        <v/>
      </c>
      <c r="B249" s="384">
        <f>IFERROR(INDEX(tblLedger[Work Order #],ROWS($A$202:A249)),"")</f>
        <v/>
      </c>
      <c r="C249" s="384">
        <f>IFERROR(INDEX(tblLedger[Event #],ROWS($A$202:A249)),"")</f>
        <v/>
      </c>
      <c r="D249" s="384">
        <f>IFERROR(INDEX(tblLedger[Mapping Status],ROWS($A$202:A249)),"")</f>
        <v/>
      </c>
      <c r="E249" s="384">
        <f>IF(A249="","",IF(D249="MAPPING_HOLD","QUARANTINED",IF(COUNTIF(tblServiceEvents[Event #],C249)=1,"Yes","No")))</f>
        <v/>
      </c>
      <c r="F249" s="384">
        <f>IF(A249="","",IF(E249&lt;&gt;"Yes","N/A",IF(INDEX(tblServiceEvents[Client ID],MATCH(C249,tblServiceEvents[Event #],0))=INDEX(tblLedger[Client ID],ROWS($A$202:A249)),"Yes","No")))</f>
        <v/>
      </c>
      <c r="G249" s="384">
        <f>IF(A249="","",IF(E249&lt;&gt;"Yes","N/A",IF(INDEX(tblServiceEvents[Location Key],MATCH(C249,tblServiceEvents[Event #],0))=INDEX(tblLedger[Location Key],ROWS($A$202:A249)),"Yes","No")))</f>
        <v/>
      </c>
      <c r="H249" s="384">
        <f>IF(A249="","",IF(E249&lt;&gt;"Yes","N/A",IF(INDEX(tblServiceEvents[Service Date],MATCH(C249,tblServiceEvents[Event #],0))=INDEX(tblLedger[Service Date],ROWS($A$202:A249)),"Yes","No")))</f>
        <v/>
      </c>
      <c r="I249" s="384">
        <f>IF(A249="","",IF(E249&lt;&gt;"Yes","N/A",IF(D249="MULTI-WO VISIT","Yes",IF(B249=INDEX(tblServiceEvents[Work Orders],MATCH(C249,tblServiceEvents[Event #],0)),"Yes","No"))))</f>
        <v/>
      </c>
      <c r="J249" s="384">
        <f>IF(A249="","",IF(D249="MAPPING_HOLD","QUARANTINED",IF(AND(E249="Yes",F249="Yes",G249="Yes",H249="Yes",I249="Yes"),"PASS","FAIL")))</f>
        <v/>
      </c>
    </row>
    <row r="250" ht="15" customHeight="1" s="192">
      <c r="A250" s="384">
        <f>IFERROR(INDEX(tblLedger[Ledger Record ID],ROWS($A$202:A250)),"")</f>
        <v/>
      </c>
      <c r="B250" s="384">
        <f>IFERROR(INDEX(tblLedger[Work Order #],ROWS($A$202:A250)),"")</f>
        <v/>
      </c>
      <c r="C250" s="384">
        <f>IFERROR(INDEX(tblLedger[Event #],ROWS($A$202:A250)),"")</f>
        <v/>
      </c>
      <c r="D250" s="384">
        <f>IFERROR(INDEX(tblLedger[Mapping Status],ROWS($A$202:A250)),"")</f>
        <v/>
      </c>
      <c r="E250" s="384">
        <f>IF(A250="","",IF(D250="MAPPING_HOLD","QUARANTINED",IF(COUNTIF(tblServiceEvents[Event #],C250)=1,"Yes","No")))</f>
        <v/>
      </c>
      <c r="F250" s="384">
        <f>IF(A250="","",IF(E250&lt;&gt;"Yes","N/A",IF(INDEX(tblServiceEvents[Client ID],MATCH(C250,tblServiceEvents[Event #],0))=INDEX(tblLedger[Client ID],ROWS($A$202:A250)),"Yes","No")))</f>
        <v/>
      </c>
      <c r="G250" s="384">
        <f>IF(A250="","",IF(E250&lt;&gt;"Yes","N/A",IF(INDEX(tblServiceEvents[Location Key],MATCH(C250,tblServiceEvents[Event #],0))=INDEX(tblLedger[Location Key],ROWS($A$202:A250)),"Yes","No")))</f>
        <v/>
      </c>
      <c r="H250" s="384">
        <f>IF(A250="","",IF(E250&lt;&gt;"Yes","N/A",IF(INDEX(tblServiceEvents[Service Date],MATCH(C250,tblServiceEvents[Event #],0))=INDEX(tblLedger[Service Date],ROWS($A$202:A250)),"Yes","No")))</f>
        <v/>
      </c>
      <c r="I250" s="384">
        <f>IF(A250="","",IF(E250&lt;&gt;"Yes","N/A",IF(D250="MULTI-WO VISIT","Yes",IF(B250=INDEX(tblServiceEvents[Work Orders],MATCH(C250,tblServiceEvents[Event #],0)),"Yes","No"))))</f>
        <v/>
      </c>
      <c r="J250" s="384">
        <f>IF(A250="","",IF(D250="MAPPING_HOLD","QUARANTINED",IF(AND(E250="Yes",F250="Yes",G250="Yes",H250="Yes",I250="Yes"),"PASS","FAIL")))</f>
        <v/>
      </c>
    </row>
    <row r="251" ht="15" customHeight="1" s="192">
      <c r="A251" s="384">
        <f>IFERROR(INDEX(tblLedger[Ledger Record ID],ROWS($A$202:A251)),"")</f>
        <v/>
      </c>
      <c r="B251" s="384">
        <f>IFERROR(INDEX(tblLedger[Work Order #],ROWS($A$202:A251)),"")</f>
        <v/>
      </c>
      <c r="C251" s="384">
        <f>IFERROR(INDEX(tblLedger[Event #],ROWS($A$202:A251)),"")</f>
        <v/>
      </c>
      <c r="D251" s="384">
        <f>IFERROR(INDEX(tblLedger[Mapping Status],ROWS($A$202:A251)),"")</f>
        <v/>
      </c>
      <c r="E251" s="384">
        <f>IF(A251="","",IF(D251="MAPPING_HOLD","QUARANTINED",IF(COUNTIF(tblServiceEvents[Event #],C251)=1,"Yes","No")))</f>
        <v/>
      </c>
      <c r="F251" s="384">
        <f>IF(A251="","",IF(E251&lt;&gt;"Yes","N/A",IF(INDEX(tblServiceEvents[Client ID],MATCH(C251,tblServiceEvents[Event #],0))=INDEX(tblLedger[Client ID],ROWS($A$202:A251)),"Yes","No")))</f>
        <v/>
      </c>
      <c r="G251" s="384">
        <f>IF(A251="","",IF(E251&lt;&gt;"Yes","N/A",IF(INDEX(tblServiceEvents[Location Key],MATCH(C251,tblServiceEvents[Event #],0))=INDEX(tblLedger[Location Key],ROWS($A$202:A251)),"Yes","No")))</f>
        <v/>
      </c>
      <c r="H251" s="384">
        <f>IF(A251="","",IF(E251&lt;&gt;"Yes","N/A",IF(INDEX(tblServiceEvents[Service Date],MATCH(C251,tblServiceEvents[Event #],0))=INDEX(tblLedger[Service Date],ROWS($A$202:A251)),"Yes","No")))</f>
        <v/>
      </c>
      <c r="I251" s="384">
        <f>IF(A251="","",IF(E251&lt;&gt;"Yes","N/A",IF(D251="MULTI-WO VISIT","Yes",IF(B251=INDEX(tblServiceEvents[Work Orders],MATCH(C251,tblServiceEvents[Event #],0)),"Yes","No"))))</f>
        <v/>
      </c>
      <c r="J251" s="384">
        <f>IF(A251="","",IF(D251="MAPPING_HOLD","QUARANTINED",IF(AND(E251="Yes",F251="Yes",G251="Yes",H251="Yes",I251="Yes"),"PASS","FAIL")))</f>
        <v/>
      </c>
    </row>
    <row r="252" ht="15" customHeight="1" s="192">
      <c r="A252" s="384">
        <f>IFERROR(INDEX(tblLedger[Ledger Record ID],ROWS($A$202:A252)),"")</f>
        <v/>
      </c>
      <c r="B252" s="384">
        <f>IFERROR(INDEX(tblLedger[Work Order #],ROWS($A$202:A252)),"")</f>
        <v/>
      </c>
      <c r="C252" s="384">
        <f>IFERROR(INDEX(tblLedger[Event #],ROWS($A$202:A252)),"")</f>
        <v/>
      </c>
      <c r="D252" s="384">
        <f>IFERROR(INDEX(tblLedger[Mapping Status],ROWS($A$202:A252)),"")</f>
        <v/>
      </c>
      <c r="E252" s="384">
        <f>IF(A252="","",IF(D252="MAPPING_HOLD","QUARANTINED",IF(COUNTIF(tblServiceEvents[Event #],C252)=1,"Yes","No")))</f>
        <v/>
      </c>
      <c r="F252" s="384">
        <f>IF(A252="","",IF(E252&lt;&gt;"Yes","N/A",IF(INDEX(tblServiceEvents[Client ID],MATCH(C252,tblServiceEvents[Event #],0))=INDEX(tblLedger[Client ID],ROWS($A$202:A252)),"Yes","No")))</f>
        <v/>
      </c>
      <c r="G252" s="384">
        <f>IF(A252="","",IF(E252&lt;&gt;"Yes","N/A",IF(INDEX(tblServiceEvents[Location Key],MATCH(C252,tblServiceEvents[Event #],0))=INDEX(tblLedger[Location Key],ROWS($A$202:A252)),"Yes","No")))</f>
        <v/>
      </c>
      <c r="H252" s="384">
        <f>IF(A252="","",IF(E252&lt;&gt;"Yes","N/A",IF(INDEX(tblServiceEvents[Service Date],MATCH(C252,tblServiceEvents[Event #],0))=INDEX(tblLedger[Service Date],ROWS($A$202:A252)),"Yes","No")))</f>
        <v/>
      </c>
      <c r="I252" s="384">
        <f>IF(A252="","",IF(E252&lt;&gt;"Yes","N/A",IF(D252="MULTI-WO VISIT","Yes",IF(B252=INDEX(tblServiceEvents[Work Orders],MATCH(C252,tblServiceEvents[Event #],0)),"Yes","No"))))</f>
        <v/>
      </c>
      <c r="J252" s="384">
        <f>IF(A252="","",IF(D252="MAPPING_HOLD","QUARANTINED",IF(AND(E252="Yes",F252="Yes",G252="Yes",H252="Yes",I252="Yes"),"PASS","FAIL")))</f>
        <v/>
      </c>
    </row>
    <row r="253" ht="15" customHeight="1" s="192">
      <c r="A253" s="384">
        <f>IFERROR(INDEX(tblLedger[Ledger Record ID],ROWS($A$202:A253)),"")</f>
        <v/>
      </c>
      <c r="B253" s="384">
        <f>IFERROR(INDEX(tblLedger[Work Order #],ROWS($A$202:A253)),"")</f>
        <v/>
      </c>
      <c r="C253" s="384">
        <f>IFERROR(INDEX(tblLedger[Event #],ROWS($A$202:A253)),"")</f>
        <v/>
      </c>
      <c r="D253" s="384">
        <f>IFERROR(INDEX(tblLedger[Mapping Status],ROWS($A$202:A253)),"")</f>
        <v/>
      </c>
      <c r="E253" s="384">
        <f>IF(A253="","",IF(D253="MAPPING_HOLD","QUARANTINED",IF(COUNTIF(tblServiceEvents[Event #],C253)=1,"Yes","No")))</f>
        <v/>
      </c>
      <c r="F253" s="384">
        <f>IF(A253="","",IF(E253&lt;&gt;"Yes","N/A",IF(INDEX(tblServiceEvents[Client ID],MATCH(C253,tblServiceEvents[Event #],0))=INDEX(tblLedger[Client ID],ROWS($A$202:A253)),"Yes","No")))</f>
        <v/>
      </c>
      <c r="G253" s="384">
        <f>IF(A253="","",IF(E253&lt;&gt;"Yes","N/A",IF(INDEX(tblServiceEvents[Location Key],MATCH(C253,tblServiceEvents[Event #],0))=INDEX(tblLedger[Location Key],ROWS($A$202:A253)),"Yes","No")))</f>
        <v/>
      </c>
      <c r="H253" s="384">
        <f>IF(A253="","",IF(E253&lt;&gt;"Yes","N/A",IF(INDEX(tblServiceEvents[Service Date],MATCH(C253,tblServiceEvents[Event #],0))=INDEX(tblLedger[Service Date],ROWS($A$202:A253)),"Yes","No")))</f>
        <v/>
      </c>
      <c r="I253" s="384">
        <f>IF(A253="","",IF(E253&lt;&gt;"Yes","N/A",IF(D253="MULTI-WO VISIT","Yes",IF(B253=INDEX(tblServiceEvents[Work Orders],MATCH(C253,tblServiceEvents[Event #],0)),"Yes","No"))))</f>
        <v/>
      </c>
      <c r="J253" s="384">
        <f>IF(A253="","",IF(D253="MAPPING_HOLD","QUARANTINED",IF(AND(E253="Yes",F253="Yes",G253="Yes",H253="Yes",I253="Yes"),"PASS","FAIL")))</f>
        <v/>
      </c>
    </row>
    <row r="254" ht="15" customHeight="1" s="192">
      <c r="A254" s="384">
        <f>IFERROR(INDEX(tblLedger[Ledger Record ID],ROWS($A$202:A254)),"")</f>
        <v/>
      </c>
      <c r="B254" s="384">
        <f>IFERROR(INDEX(tblLedger[Work Order #],ROWS($A$202:A254)),"")</f>
        <v/>
      </c>
      <c r="C254" s="384">
        <f>IFERROR(INDEX(tblLedger[Event #],ROWS($A$202:A254)),"")</f>
        <v/>
      </c>
      <c r="D254" s="384">
        <f>IFERROR(INDEX(tblLedger[Mapping Status],ROWS($A$202:A254)),"")</f>
        <v/>
      </c>
      <c r="E254" s="384">
        <f>IF(A254="","",IF(D254="MAPPING_HOLD","QUARANTINED",IF(COUNTIF(tblServiceEvents[Event #],C254)=1,"Yes","No")))</f>
        <v/>
      </c>
      <c r="F254" s="384">
        <f>IF(A254="","",IF(E254&lt;&gt;"Yes","N/A",IF(INDEX(tblServiceEvents[Client ID],MATCH(C254,tblServiceEvents[Event #],0))=INDEX(tblLedger[Client ID],ROWS($A$202:A254)),"Yes","No")))</f>
        <v/>
      </c>
      <c r="G254" s="384">
        <f>IF(A254="","",IF(E254&lt;&gt;"Yes","N/A",IF(INDEX(tblServiceEvents[Location Key],MATCH(C254,tblServiceEvents[Event #],0))=INDEX(tblLedger[Location Key],ROWS($A$202:A254)),"Yes","No")))</f>
        <v/>
      </c>
      <c r="H254" s="384">
        <f>IF(A254="","",IF(E254&lt;&gt;"Yes","N/A",IF(INDEX(tblServiceEvents[Service Date],MATCH(C254,tblServiceEvents[Event #],0))=INDEX(tblLedger[Service Date],ROWS($A$202:A254)),"Yes","No")))</f>
        <v/>
      </c>
      <c r="I254" s="384">
        <f>IF(A254="","",IF(E254&lt;&gt;"Yes","N/A",IF(D254="MULTI-WO VISIT","Yes",IF(B254=INDEX(tblServiceEvents[Work Orders],MATCH(C254,tblServiceEvents[Event #],0)),"Yes","No"))))</f>
        <v/>
      </c>
      <c r="J254" s="384">
        <f>IF(A254="","",IF(D254="MAPPING_HOLD","QUARANTINED",IF(AND(E254="Yes",F254="Yes",G254="Yes",H254="Yes",I254="Yes"),"PASS","FAIL")))</f>
        <v/>
      </c>
    </row>
    <row r="255" ht="15" customHeight="1" s="192">
      <c r="A255" s="384">
        <f>IFERROR(INDEX(tblLedger[Ledger Record ID],ROWS($A$202:A255)),"")</f>
        <v/>
      </c>
      <c r="B255" s="384">
        <f>IFERROR(INDEX(tblLedger[Work Order #],ROWS($A$202:A255)),"")</f>
        <v/>
      </c>
      <c r="C255" s="384">
        <f>IFERROR(INDEX(tblLedger[Event #],ROWS($A$202:A255)),"")</f>
        <v/>
      </c>
      <c r="D255" s="384">
        <f>IFERROR(INDEX(tblLedger[Mapping Status],ROWS($A$202:A255)),"")</f>
        <v/>
      </c>
      <c r="E255" s="384">
        <f>IF(A255="","",IF(D255="MAPPING_HOLD","QUARANTINED",IF(COUNTIF(tblServiceEvents[Event #],C255)=1,"Yes","No")))</f>
        <v/>
      </c>
      <c r="F255" s="384">
        <f>IF(A255="","",IF(E255&lt;&gt;"Yes","N/A",IF(INDEX(tblServiceEvents[Client ID],MATCH(C255,tblServiceEvents[Event #],0))=INDEX(tblLedger[Client ID],ROWS($A$202:A255)),"Yes","No")))</f>
        <v/>
      </c>
      <c r="G255" s="384">
        <f>IF(A255="","",IF(E255&lt;&gt;"Yes","N/A",IF(INDEX(tblServiceEvents[Location Key],MATCH(C255,tblServiceEvents[Event #],0))=INDEX(tblLedger[Location Key],ROWS($A$202:A255)),"Yes","No")))</f>
        <v/>
      </c>
      <c r="H255" s="384">
        <f>IF(A255="","",IF(E255&lt;&gt;"Yes","N/A",IF(INDEX(tblServiceEvents[Service Date],MATCH(C255,tblServiceEvents[Event #],0))=INDEX(tblLedger[Service Date],ROWS($A$202:A255)),"Yes","No")))</f>
        <v/>
      </c>
      <c r="I255" s="384">
        <f>IF(A255="","",IF(E255&lt;&gt;"Yes","N/A",IF(D255="MULTI-WO VISIT","Yes",IF(B255=INDEX(tblServiceEvents[Work Orders],MATCH(C255,tblServiceEvents[Event #],0)),"Yes","No"))))</f>
        <v/>
      </c>
      <c r="J255" s="384">
        <f>IF(A255="","",IF(D255="MAPPING_HOLD","QUARANTINED",IF(AND(E255="Yes",F255="Yes",G255="Yes",H255="Yes",I255="Yes"),"PASS","FAIL")))</f>
        <v/>
      </c>
    </row>
    <row r="256" ht="15" customHeight="1" s="192">
      <c r="A256" s="384">
        <f>IFERROR(INDEX(tblLedger[Ledger Record ID],ROWS($A$202:A256)),"")</f>
        <v/>
      </c>
      <c r="B256" s="384">
        <f>IFERROR(INDEX(tblLedger[Work Order #],ROWS($A$202:A256)),"")</f>
        <v/>
      </c>
      <c r="C256" s="384">
        <f>IFERROR(INDEX(tblLedger[Event #],ROWS($A$202:A256)),"")</f>
        <v/>
      </c>
      <c r="D256" s="384">
        <f>IFERROR(INDEX(tblLedger[Mapping Status],ROWS($A$202:A256)),"")</f>
        <v/>
      </c>
      <c r="E256" s="384">
        <f>IF(A256="","",IF(D256="MAPPING_HOLD","QUARANTINED",IF(COUNTIF(tblServiceEvents[Event #],C256)=1,"Yes","No")))</f>
        <v/>
      </c>
      <c r="F256" s="384">
        <f>IF(A256="","",IF(E256&lt;&gt;"Yes","N/A",IF(INDEX(tblServiceEvents[Client ID],MATCH(C256,tblServiceEvents[Event #],0))=INDEX(tblLedger[Client ID],ROWS($A$202:A256)),"Yes","No")))</f>
        <v/>
      </c>
      <c r="G256" s="384">
        <f>IF(A256="","",IF(E256&lt;&gt;"Yes","N/A",IF(INDEX(tblServiceEvents[Location Key],MATCH(C256,tblServiceEvents[Event #],0))=INDEX(tblLedger[Location Key],ROWS($A$202:A256)),"Yes","No")))</f>
        <v/>
      </c>
      <c r="H256" s="384">
        <f>IF(A256="","",IF(E256&lt;&gt;"Yes","N/A",IF(INDEX(tblServiceEvents[Service Date],MATCH(C256,tblServiceEvents[Event #],0))=INDEX(tblLedger[Service Date],ROWS($A$202:A256)),"Yes","No")))</f>
        <v/>
      </c>
      <c r="I256" s="384">
        <f>IF(A256="","",IF(E256&lt;&gt;"Yes","N/A",IF(D256="MULTI-WO VISIT","Yes",IF(B256=INDEX(tblServiceEvents[Work Orders],MATCH(C256,tblServiceEvents[Event #],0)),"Yes","No"))))</f>
        <v/>
      </c>
      <c r="J256" s="384">
        <f>IF(A256="","",IF(D256="MAPPING_HOLD","QUARANTINED",IF(AND(E256="Yes",F256="Yes",G256="Yes",H256="Yes",I256="Yes"),"PASS","FAIL")))</f>
        <v/>
      </c>
    </row>
    <row r="257" ht="15" customHeight="1" s="192">
      <c r="A257" s="384">
        <f>IFERROR(INDEX(tblLedger[Ledger Record ID],ROWS($A$202:A257)),"")</f>
        <v/>
      </c>
      <c r="B257" s="384">
        <f>IFERROR(INDEX(tblLedger[Work Order #],ROWS($A$202:A257)),"")</f>
        <v/>
      </c>
      <c r="C257" s="384">
        <f>IFERROR(INDEX(tblLedger[Event #],ROWS($A$202:A257)),"")</f>
        <v/>
      </c>
      <c r="D257" s="384">
        <f>IFERROR(INDEX(tblLedger[Mapping Status],ROWS($A$202:A257)),"")</f>
        <v/>
      </c>
      <c r="E257" s="384">
        <f>IF(A257="","",IF(D257="MAPPING_HOLD","QUARANTINED",IF(COUNTIF(tblServiceEvents[Event #],C257)=1,"Yes","No")))</f>
        <v/>
      </c>
      <c r="F257" s="384">
        <f>IF(A257="","",IF(E257&lt;&gt;"Yes","N/A",IF(INDEX(tblServiceEvents[Client ID],MATCH(C257,tblServiceEvents[Event #],0))=INDEX(tblLedger[Client ID],ROWS($A$202:A257)),"Yes","No")))</f>
        <v/>
      </c>
      <c r="G257" s="384">
        <f>IF(A257="","",IF(E257&lt;&gt;"Yes","N/A",IF(INDEX(tblServiceEvents[Location Key],MATCH(C257,tblServiceEvents[Event #],0))=INDEX(tblLedger[Location Key],ROWS($A$202:A257)),"Yes","No")))</f>
        <v/>
      </c>
      <c r="H257" s="384">
        <f>IF(A257="","",IF(E257&lt;&gt;"Yes","N/A",IF(INDEX(tblServiceEvents[Service Date],MATCH(C257,tblServiceEvents[Event #],0))=INDEX(tblLedger[Service Date],ROWS($A$202:A257)),"Yes","No")))</f>
        <v/>
      </c>
      <c r="I257" s="384">
        <f>IF(A257="","",IF(E257&lt;&gt;"Yes","N/A",IF(D257="MULTI-WO VISIT","Yes",IF(B257=INDEX(tblServiceEvents[Work Orders],MATCH(C257,tblServiceEvents[Event #],0)),"Yes","No"))))</f>
        <v/>
      </c>
      <c r="J257" s="384">
        <f>IF(A257="","",IF(D257="MAPPING_HOLD","QUARANTINED",IF(AND(E257="Yes",F257="Yes",G257="Yes",H257="Yes",I257="Yes"),"PASS","FAIL")))</f>
        <v/>
      </c>
    </row>
    <row r="258" ht="15" customHeight="1" s="192">
      <c r="A258" s="384">
        <f>IFERROR(INDEX(tblLedger[Ledger Record ID],ROWS($A$202:A258)),"")</f>
        <v/>
      </c>
      <c r="B258" s="384">
        <f>IFERROR(INDEX(tblLedger[Work Order #],ROWS($A$202:A258)),"")</f>
        <v/>
      </c>
      <c r="C258" s="384">
        <f>IFERROR(INDEX(tblLedger[Event #],ROWS($A$202:A258)),"")</f>
        <v/>
      </c>
      <c r="D258" s="384">
        <f>IFERROR(INDEX(tblLedger[Mapping Status],ROWS($A$202:A258)),"")</f>
        <v/>
      </c>
      <c r="E258" s="384">
        <f>IF(A258="","",IF(D258="MAPPING_HOLD","QUARANTINED",IF(COUNTIF(tblServiceEvents[Event #],C258)=1,"Yes","No")))</f>
        <v/>
      </c>
      <c r="F258" s="384">
        <f>IF(A258="","",IF(E258&lt;&gt;"Yes","N/A",IF(INDEX(tblServiceEvents[Client ID],MATCH(C258,tblServiceEvents[Event #],0))=INDEX(tblLedger[Client ID],ROWS($A$202:A258)),"Yes","No")))</f>
        <v/>
      </c>
      <c r="G258" s="384">
        <f>IF(A258="","",IF(E258&lt;&gt;"Yes","N/A",IF(INDEX(tblServiceEvents[Location Key],MATCH(C258,tblServiceEvents[Event #],0))=INDEX(tblLedger[Location Key],ROWS($A$202:A258)),"Yes","No")))</f>
        <v/>
      </c>
      <c r="H258" s="384">
        <f>IF(A258="","",IF(E258&lt;&gt;"Yes","N/A",IF(INDEX(tblServiceEvents[Service Date],MATCH(C258,tblServiceEvents[Event #],0))=INDEX(tblLedger[Service Date],ROWS($A$202:A258)),"Yes","No")))</f>
        <v/>
      </c>
      <c r="I258" s="384">
        <f>IF(A258="","",IF(E258&lt;&gt;"Yes","N/A",IF(D258="MULTI-WO VISIT","Yes",IF(B258=INDEX(tblServiceEvents[Work Orders],MATCH(C258,tblServiceEvents[Event #],0)),"Yes","No"))))</f>
        <v/>
      </c>
      <c r="J258" s="384">
        <f>IF(A258="","",IF(D258="MAPPING_HOLD","QUARANTINED",IF(AND(E258="Yes",F258="Yes",G258="Yes",H258="Yes",I258="Yes"),"PASS","FAIL")))</f>
        <v/>
      </c>
    </row>
    <row r="259" ht="15" customHeight="1" s="192">
      <c r="A259" s="384">
        <f>IFERROR(INDEX(tblLedger[Ledger Record ID],ROWS($A$202:A259)),"")</f>
        <v/>
      </c>
      <c r="B259" s="384">
        <f>IFERROR(INDEX(tblLedger[Work Order #],ROWS($A$202:A259)),"")</f>
        <v/>
      </c>
      <c r="C259" s="384">
        <f>IFERROR(INDEX(tblLedger[Event #],ROWS($A$202:A259)),"")</f>
        <v/>
      </c>
      <c r="D259" s="384">
        <f>IFERROR(INDEX(tblLedger[Mapping Status],ROWS($A$202:A259)),"")</f>
        <v/>
      </c>
      <c r="E259" s="384">
        <f>IF(A259="","",IF(D259="MAPPING_HOLD","QUARANTINED",IF(COUNTIF(tblServiceEvents[Event #],C259)=1,"Yes","No")))</f>
        <v/>
      </c>
      <c r="F259" s="384">
        <f>IF(A259="","",IF(E259&lt;&gt;"Yes","N/A",IF(INDEX(tblServiceEvents[Client ID],MATCH(C259,tblServiceEvents[Event #],0))=INDEX(tblLedger[Client ID],ROWS($A$202:A259)),"Yes","No")))</f>
        <v/>
      </c>
      <c r="G259" s="384">
        <f>IF(A259="","",IF(E259&lt;&gt;"Yes","N/A",IF(INDEX(tblServiceEvents[Location Key],MATCH(C259,tblServiceEvents[Event #],0))=INDEX(tblLedger[Location Key],ROWS($A$202:A259)),"Yes","No")))</f>
        <v/>
      </c>
      <c r="H259" s="384">
        <f>IF(A259="","",IF(E259&lt;&gt;"Yes","N/A",IF(INDEX(tblServiceEvents[Service Date],MATCH(C259,tblServiceEvents[Event #],0))=INDEX(tblLedger[Service Date],ROWS($A$202:A259)),"Yes","No")))</f>
        <v/>
      </c>
      <c r="I259" s="384">
        <f>IF(A259="","",IF(E259&lt;&gt;"Yes","N/A",IF(D259="MULTI-WO VISIT","Yes",IF(B259=INDEX(tblServiceEvents[Work Orders],MATCH(C259,tblServiceEvents[Event #],0)),"Yes","No"))))</f>
        <v/>
      </c>
      <c r="J259" s="384">
        <f>IF(A259="","",IF(D259="MAPPING_HOLD","QUARANTINED",IF(AND(E259="Yes",F259="Yes",G259="Yes",H259="Yes",I259="Yes"),"PASS","FAIL")))</f>
        <v/>
      </c>
    </row>
    <row r="260" ht="15" customHeight="1" s="192">
      <c r="A260" s="384">
        <f>IFERROR(INDEX(tblLedger[Ledger Record ID],ROWS($A$202:A260)),"")</f>
        <v/>
      </c>
      <c r="B260" s="384">
        <f>IFERROR(INDEX(tblLedger[Work Order #],ROWS($A$202:A260)),"")</f>
        <v/>
      </c>
      <c r="C260" s="384">
        <f>IFERROR(INDEX(tblLedger[Event #],ROWS($A$202:A260)),"")</f>
        <v/>
      </c>
      <c r="D260" s="384">
        <f>IFERROR(INDEX(tblLedger[Mapping Status],ROWS($A$202:A260)),"")</f>
        <v/>
      </c>
      <c r="E260" s="384">
        <f>IF(A260="","",IF(D260="MAPPING_HOLD","QUARANTINED",IF(COUNTIF(tblServiceEvents[Event #],C260)=1,"Yes","No")))</f>
        <v/>
      </c>
      <c r="F260" s="384">
        <f>IF(A260="","",IF(E260&lt;&gt;"Yes","N/A",IF(INDEX(tblServiceEvents[Client ID],MATCH(C260,tblServiceEvents[Event #],0))=INDEX(tblLedger[Client ID],ROWS($A$202:A260)),"Yes","No")))</f>
        <v/>
      </c>
      <c r="G260" s="384">
        <f>IF(A260="","",IF(E260&lt;&gt;"Yes","N/A",IF(INDEX(tblServiceEvents[Location Key],MATCH(C260,tblServiceEvents[Event #],0))=INDEX(tblLedger[Location Key],ROWS($A$202:A260)),"Yes","No")))</f>
        <v/>
      </c>
      <c r="H260" s="384">
        <f>IF(A260="","",IF(E260&lt;&gt;"Yes","N/A",IF(INDEX(tblServiceEvents[Service Date],MATCH(C260,tblServiceEvents[Event #],0))=INDEX(tblLedger[Service Date],ROWS($A$202:A260)),"Yes","No")))</f>
        <v/>
      </c>
      <c r="I260" s="384">
        <f>IF(A260="","",IF(E260&lt;&gt;"Yes","N/A",IF(D260="MULTI-WO VISIT","Yes",IF(B260=INDEX(tblServiceEvents[Work Orders],MATCH(C260,tblServiceEvents[Event #],0)),"Yes","No"))))</f>
        <v/>
      </c>
      <c r="J260" s="384">
        <f>IF(A260="","",IF(D260="MAPPING_HOLD","QUARANTINED",IF(AND(E260="Yes",F260="Yes",G260="Yes",H260="Yes",I260="Yes"),"PASS","FAIL")))</f>
        <v/>
      </c>
    </row>
    <row r="261" ht="15" customHeight="1" s="192">
      <c r="A261" s="384">
        <f>IFERROR(INDEX(tblLedger[Ledger Record ID],ROWS($A$202:A261)),"")</f>
        <v/>
      </c>
      <c r="B261" s="384">
        <f>IFERROR(INDEX(tblLedger[Work Order #],ROWS($A$202:A261)),"")</f>
        <v/>
      </c>
      <c r="C261" s="384">
        <f>IFERROR(INDEX(tblLedger[Event #],ROWS($A$202:A261)),"")</f>
        <v/>
      </c>
      <c r="D261" s="384">
        <f>IFERROR(INDEX(tblLedger[Mapping Status],ROWS($A$202:A261)),"")</f>
        <v/>
      </c>
      <c r="E261" s="384">
        <f>IF(A261="","",IF(D261="MAPPING_HOLD","QUARANTINED",IF(COUNTIF(tblServiceEvents[Event #],C261)=1,"Yes","No")))</f>
        <v/>
      </c>
      <c r="F261" s="384">
        <f>IF(A261="","",IF(E261&lt;&gt;"Yes","N/A",IF(INDEX(tblServiceEvents[Client ID],MATCH(C261,tblServiceEvents[Event #],0))=INDEX(tblLedger[Client ID],ROWS($A$202:A261)),"Yes","No")))</f>
        <v/>
      </c>
      <c r="G261" s="384">
        <f>IF(A261="","",IF(E261&lt;&gt;"Yes","N/A",IF(INDEX(tblServiceEvents[Location Key],MATCH(C261,tblServiceEvents[Event #],0))=INDEX(tblLedger[Location Key],ROWS($A$202:A261)),"Yes","No")))</f>
        <v/>
      </c>
      <c r="H261" s="384">
        <f>IF(A261="","",IF(E261&lt;&gt;"Yes","N/A",IF(INDEX(tblServiceEvents[Service Date],MATCH(C261,tblServiceEvents[Event #],0))=INDEX(tblLedger[Service Date],ROWS($A$202:A261)),"Yes","No")))</f>
        <v/>
      </c>
      <c r="I261" s="384">
        <f>IF(A261="","",IF(E261&lt;&gt;"Yes","N/A",IF(D261="MULTI-WO VISIT","Yes",IF(B261=INDEX(tblServiceEvents[Work Orders],MATCH(C261,tblServiceEvents[Event #],0)),"Yes","No"))))</f>
        <v/>
      </c>
      <c r="J261" s="384">
        <f>IF(A261="","",IF(D261="MAPPING_HOLD","QUARANTINED",IF(AND(E261="Yes",F261="Yes",G261="Yes",H261="Yes",I261="Yes"),"PASS","FAIL")))</f>
        <v/>
      </c>
    </row>
    <row r="262" ht="15" customHeight="1" s="192">
      <c r="A262" s="384">
        <f>IFERROR(INDEX(tblLedger[Ledger Record ID],ROWS($A$202:A262)),"")</f>
        <v/>
      </c>
      <c r="B262" s="384">
        <f>IFERROR(INDEX(tblLedger[Work Order #],ROWS($A$202:A262)),"")</f>
        <v/>
      </c>
      <c r="C262" s="384">
        <f>IFERROR(INDEX(tblLedger[Event #],ROWS($A$202:A262)),"")</f>
        <v/>
      </c>
      <c r="D262" s="384">
        <f>IFERROR(INDEX(tblLedger[Mapping Status],ROWS($A$202:A262)),"")</f>
        <v/>
      </c>
      <c r="E262" s="384">
        <f>IF(A262="","",IF(D262="MAPPING_HOLD","QUARANTINED",IF(COUNTIF(tblServiceEvents[Event #],C262)=1,"Yes","No")))</f>
        <v/>
      </c>
      <c r="F262" s="384">
        <f>IF(A262="","",IF(E262&lt;&gt;"Yes","N/A",IF(INDEX(tblServiceEvents[Client ID],MATCH(C262,tblServiceEvents[Event #],0))=INDEX(tblLedger[Client ID],ROWS($A$202:A262)),"Yes","No")))</f>
        <v/>
      </c>
      <c r="G262" s="384">
        <f>IF(A262="","",IF(E262&lt;&gt;"Yes","N/A",IF(INDEX(tblServiceEvents[Location Key],MATCH(C262,tblServiceEvents[Event #],0))=INDEX(tblLedger[Location Key],ROWS($A$202:A262)),"Yes","No")))</f>
        <v/>
      </c>
      <c r="H262" s="384">
        <f>IF(A262="","",IF(E262&lt;&gt;"Yes","N/A",IF(INDEX(tblServiceEvents[Service Date],MATCH(C262,tblServiceEvents[Event #],0))=INDEX(tblLedger[Service Date],ROWS($A$202:A262)),"Yes","No")))</f>
        <v/>
      </c>
      <c r="I262" s="384">
        <f>IF(A262="","",IF(E262&lt;&gt;"Yes","N/A",IF(D262="MULTI-WO VISIT","Yes",IF(B262=INDEX(tblServiceEvents[Work Orders],MATCH(C262,tblServiceEvents[Event #],0)),"Yes","No"))))</f>
        <v/>
      </c>
      <c r="J262" s="384">
        <f>IF(A262="","",IF(D262="MAPPING_HOLD","QUARANTINED",IF(AND(E262="Yes",F262="Yes",G262="Yes",H262="Yes",I262="Yes"),"PASS","FAIL")))</f>
        <v/>
      </c>
    </row>
    <row r="263" ht="15" customHeight="1" s="192">
      <c r="A263" s="384">
        <f>IFERROR(INDEX(tblLedger[Ledger Record ID],ROWS($A$202:A263)),"")</f>
        <v/>
      </c>
      <c r="B263" s="384">
        <f>IFERROR(INDEX(tblLedger[Work Order #],ROWS($A$202:A263)),"")</f>
        <v/>
      </c>
      <c r="C263" s="384">
        <f>IFERROR(INDEX(tblLedger[Event #],ROWS($A$202:A263)),"")</f>
        <v/>
      </c>
      <c r="D263" s="384">
        <f>IFERROR(INDEX(tblLedger[Mapping Status],ROWS($A$202:A263)),"")</f>
        <v/>
      </c>
      <c r="E263" s="384">
        <f>IF(A263="","",IF(D263="MAPPING_HOLD","QUARANTINED",IF(COUNTIF(tblServiceEvents[Event #],C263)=1,"Yes","No")))</f>
        <v/>
      </c>
      <c r="F263" s="384">
        <f>IF(A263="","",IF(E263&lt;&gt;"Yes","N/A",IF(INDEX(tblServiceEvents[Client ID],MATCH(C263,tblServiceEvents[Event #],0))=INDEX(tblLedger[Client ID],ROWS($A$202:A263)),"Yes","No")))</f>
        <v/>
      </c>
      <c r="G263" s="384">
        <f>IF(A263="","",IF(E263&lt;&gt;"Yes","N/A",IF(INDEX(tblServiceEvents[Location Key],MATCH(C263,tblServiceEvents[Event #],0))=INDEX(tblLedger[Location Key],ROWS($A$202:A263)),"Yes","No")))</f>
        <v/>
      </c>
      <c r="H263" s="384">
        <f>IF(A263="","",IF(E263&lt;&gt;"Yes","N/A",IF(INDEX(tblServiceEvents[Service Date],MATCH(C263,tblServiceEvents[Event #],0))=INDEX(tblLedger[Service Date],ROWS($A$202:A263)),"Yes","No")))</f>
        <v/>
      </c>
      <c r="I263" s="384">
        <f>IF(A263="","",IF(E263&lt;&gt;"Yes","N/A",IF(D263="MULTI-WO VISIT","Yes",IF(B263=INDEX(tblServiceEvents[Work Orders],MATCH(C263,tblServiceEvents[Event #],0)),"Yes","No"))))</f>
        <v/>
      </c>
      <c r="J263" s="384">
        <f>IF(A263="","",IF(D263="MAPPING_HOLD","QUARANTINED",IF(AND(E263="Yes",F263="Yes",G263="Yes",H263="Yes",I263="Yes"),"PASS","FAIL")))</f>
        <v/>
      </c>
    </row>
    <row r="264">
      <c r="A264">
        <f>IFERROR(INDEX(tblLedger[Ledger Record ID],ROWS($A$202:A264)),"")</f>
        <v/>
      </c>
      <c r="B264">
        <f>IFERROR(INDEX(tblLedger[Work Order #],ROWS($A$202:A264)),"")</f>
        <v/>
      </c>
      <c r="C264">
        <f>IFERROR(INDEX(tblLedger[Event #],ROWS($A$202:A264)),"")</f>
        <v/>
      </c>
      <c r="D264">
        <f>IFERROR(INDEX(tblLedger[Mapping Status],ROWS($A$202:A264)),"")</f>
        <v/>
      </c>
      <c r="E264">
        <f>IF(A264="","",IF(D264="MAPPING_HOLD","QUARANTINED",IF(COUNTIF(tblServiceEvents[Event #],C264)=1,"Yes","No")))</f>
        <v/>
      </c>
      <c r="F264">
        <f>IF(A264="","",IF(E264&lt;&gt;"Yes","N/A",IF(INDEX(tblServiceEvents[Client ID],MATCH(C264,tblServiceEvents[Event #],0))=INDEX(tblLedger[Client ID],ROWS($A$202:A264)),"Yes","No")))</f>
        <v/>
      </c>
      <c r="G264">
        <f>IF(A264="","",IF(E264&lt;&gt;"Yes","N/A",IF(INDEX(tblServiceEvents[Location Key],MATCH(C264,tblServiceEvents[Event #],0))=INDEX(tblLedger[Location Key],ROWS($A$202:A264)),"Yes","No")))</f>
        <v/>
      </c>
      <c r="H264">
        <f>IF(A264="","",IF(E264&lt;&gt;"Yes","N/A",IF(INDEX(tblServiceEvents[Service Date],MATCH(C264,tblServiceEvents[Event #],0))=INDEX(tblLedger[Service Date],ROWS($A$202:A264)),"Yes","No")))</f>
        <v/>
      </c>
      <c r="I264">
        <f>IF(A264="","",IF(E264&lt;&gt;"Yes","N/A",IF(D264="MULTI-WO VISIT","Yes",IF(B264=INDEX(tblServiceEvents[Work Orders],MATCH(C264,tblServiceEvents[Event #],0)),"Yes","No"))))</f>
        <v/>
      </c>
      <c r="J264">
        <f>IF(A264="","",IF(D264="MAPPING_HOLD","QUARANTINED",IF(AND(E264="Yes",F264="Yes",G264="Yes",H264="Yes",I264="Yes"),"PASS","FAIL")))</f>
        <v/>
      </c>
    </row>
    <row r="265">
      <c r="A265">
        <f>IFERROR(INDEX(tblLedger[Ledger Record ID],ROWS($A$202:A265)),"")</f>
        <v/>
      </c>
      <c r="B265">
        <f>IFERROR(INDEX(tblLedger[Work Order #],ROWS($A$202:A265)),"")</f>
        <v/>
      </c>
      <c r="C265">
        <f>IFERROR(INDEX(tblLedger[Event #],ROWS($A$202:A265)),"")</f>
        <v/>
      </c>
      <c r="D265">
        <f>IFERROR(INDEX(tblLedger[Mapping Status],ROWS($A$202:A265)),"")</f>
        <v/>
      </c>
      <c r="E265">
        <f>IF(A265="","",IF(D265="MAPPING_HOLD","QUARANTINED",IF(COUNTIF(tblServiceEvents[Event #],C265)=1,"Yes","No")))</f>
        <v/>
      </c>
      <c r="F265">
        <f>IF(A265="","",IF(E265&lt;&gt;"Yes","N/A",IF(INDEX(tblServiceEvents[Client ID],MATCH(C265,tblServiceEvents[Event #],0))=INDEX(tblLedger[Client ID],ROWS($A$202:A265)),"Yes","No")))</f>
        <v/>
      </c>
      <c r="G265">
        <f>IF(A265="","",IF(E265&lt;&gt;"Yes","N/A",IF(INDEX(tblServiceEvents[Location Key],MATCH(C265,tblServiceEvents[Event #],0))=INDEX(tblLedger[Location Key],ROWS($A$202:A265)),"Yes","No")))</f>
        <v/>
      </c>
      <c r="H265">
        <f>IF(A265="","",IF(E265&lt;&gt;"Yes","N/A",IF(INDEX(tblServiceEvents[Service Date],MATCH(C265,tblServiceEvents[Event #],0))=INDEX(tblLedger[Service Date],ROWS($A$202:A265)),"Yes","No")))</f>
        <v/>
      </c>
      <c r="I265">
        <f>IF(A265="","",IF(E265&lt;&gt;"Yes","N/A",IF(D265="MULTI-WO VISIT","Yes",IF(B265=INDEX(tblServiceEvents[Work Orders],MATCH(C265,tblServiceEvents[Event #],0)),"Yes","No"))))</f>
        <v/>
      </c>
      <c r="J265">
        <f>IF(A265="","",IF(D265="MAPPING_HOLD","QUARANTINED",IF(AND(E265="Yes",F265="Yes",G265="Yes",H265="Yes",I265="Yes"),"PASS","FAIL")))</f>
        <v/>
      </c>
    </row>
    <row r="266">
      <c r="A266">
        <f>IFERROR(INDEX(tblLedger[Ledger Record ID],ROWS($A$202:A266)),"")</f>
        <v/>
      </c>
      <c r="B266">
        <f>IFERROR(INDEX(tblLedger[Work Order #],ROWS($A$202:A266)),"")</f>
        <v/>
      </c>
      <c r="C266">
        <f>IFERROR(INDEX(tblLedger[Event #],ROWS($A$202:A266)),"")</f>
        <v/>
      </c>
      <c r="D266">
        <f>IFERROR(INDEX(tblLedger[Mapping Status],ROWS($A$202:A266)),"")</f>
        <v/>
      </c>
      <c r="E266">
        <f>IF(A266="","",IF(D266="MAPPING_HOLD","QUARANTINED",IF(COUNTIF(tblServiceEvents[Event #],C266)=1,"Yes","No")))</f>
        <v/>
      </c>
      <c r="F266">
        <f>IF(A266="","",IF(E266&lt;&gt;"Yes","N/A",IF(INDEX(tblServiceEvents[Client ID],MATCH(C266,tblServiceEvents[Event #],0))=INDEX(tblLedger[Client ID],ROWS($A$202:A266)),"Yes","No")))</f>
        <v/>
      </c>
      <c r="G266">
        <f>IF(A266="","",IF(E266&lt;&gt;"Yes","N/A",IF(INDEX(tblServiceEvents[Location Key],MATCH(C266,tblServiceEvents[Event #],0))=INDEX(tblLedger[Location Key],ROWS($A$202:A266)),"Yes","No")))</f>
        <v/>
      </c>
      <c r="H266">
        <f>IF(A266="","",IF(E266&lt;&gt;"Yes","N/A",IF(INDEX(tblServiceEvents[Service Date],MATCH(C266,tblServiceEvents[Event #],0))=INDEX(tblLedger[Service Date],ROWS($A$202:A266)),"Yes","No")))</f>
        <v/>
      </c>
      <c r="I266">
        <f>IF(A266="","",IF(E266&lt;&gt;"Yes","N/A",IF(D266="MULTI-WO VISIT","Yes",IF(B266=INDEX(tblServiceEvents[Work Orders],MATCH(C266,tblServiceEvents[Event #],0)),"Yes","No"))))</f>
        <v/>
      </c>
      <c r="J266">
        <f>IF(A266="","",IF(D266="MAPPING_HOLD","QUARANTINED",IF(AND(E266="Yes",F266="Yes",G266="Yes",H266="Yes",I266="Yes"),"PASS","FAIL")))</f>
        <v/>
      </c>
    </row>
    <row r="267">
      <c r="A267">
        <f>IFERROR(INDEX(tblLedger[Ledger Record ID],ROWS($A$202:A267)),"")</f>
        <v/>
      </c>
      <c r="B267">
        <f>IFERROR(INDEX(tblLedger[Work Order #],ROWS($A$202:A267)),"")</f>
        <v/>
      </c>
      <c r="C267">
        <f>IFERROR(INDEX(tblLedger[Event #],ROWS($A$202:A267)),"")</f>
        <v/>
      </c>
      <c r="D267">
        <f>IFERROR(INDEX(tblLedger[Mapping Status],ROWS($A$202:A267)),"")</f>
        <v/>
      </c>
      <c r="E267">
        <f>IF(A267="","",IF(D267="MAPPING_HOLD","QUARANTINED",IF(COUNTIF(tblServiceEvents[Event #],C267)=1,"Yes","No")))</f>
        <v/>
      </c>
      <c r="F267">
        <f>IF(A267="","",IF(E267&lt;&gt;"Yes","N/A",IF(INDEX(tblServiceEvents[Client ID],MATCH(C267,tblServiceEvents[Event #],0))=INDEX(tblLedger[Client ID],ROWS($A$202:A267)),"Yes","No")))</f>
        <v/>
      </c>
      <c r="G267">
        <f>IF(A267="","",IF(E267&lt;&gt;"Yes","N/A",IF(INDEX(tblServiceEvents[Location Key],MATCH(C267,tblServiceEvents[Event #],0))=INDEX(tblLedger[Location Key],ROWS($A$202:A267)),"Yes","No")))</f>
        <v/>
      </c>
      <c r="H267">
        <f>IF(A267="","",IF(E267&lt;&gt;"Yes","N/A",IF(INDEX(tblServiceEvents[Service Date],MATCH(C267,tblServiceEvents[Event #],0))=INDEX(tblLedger[Service Date],ROWS($A$202:A267)),"Yes","No")))</f>
        <v/>
      </c>
      <c r="I267">
        <f>IF(A267="","",IF(E267&lt;&gt;"Yes","N/A",IF(D267="MULTI-WO VISIT","Yes",IF(B267=INDEX(tblServiceEvents[Work Orders],MATCH(C267,tblServiceEvents[Event #],0)),"Yes","No"))))</f>
        <v/>
      </c>
      <c r="J267">
        <f>IF(A267="","",IF(D267="MAPPING_HOLD","QUARANTINED",IF(AND(E267="Yes",F267="Yes",G267="Yes",H267="Yes",I267="Yes"),"PASS","FAIL")))</f>
        <v/>
      </c>
    </row>
    <row r="268">
      <c r="A268">
        <f>IFERROR(INDEX(tblLedger[Ledger Record ID],ROWS($A$202:A268)),"")</f>
        <v/>
      </c>
      <c r="B268">
        <f>IFERROR(INDEX(tblLedger[Work Order #],ROWS($A$202:A268)),"")</f>
        <v/>
      </c>
      <c r="C268">
        <f>IFERROR(INDEX(tblLedger[Event #],ROWS($A$202:A268)),"")</f>
        <v/>
      </c>
      <c r="D268">
        <f>IFERROR(INDEX(tblLedger[Mapping Status],ROWS($A$202:A268)),"")</f>
        <v/>
      </c>
      <c r="E268">
        <f>IF(A268="","",IF(D268="MAPPING_HOLD","QUARANTINED",IF(COUNTIF(tblServiceEvents[Event #],C268)=1,"Yes","No")))</f>
        <v/>
      </c>
      <c r="F268">
        <f>IF(A268="","",IF(E268&lt;&gt;"Yes","N/A",IF(INDEX(tblServiceEvents[Client ID],MATCH(C268,tblServiceEvents[Event #],0))=INDEX(tblLedger[Client ID],ROWS($A$202:A268)),"Yes","No")))</f>
        <v/>
      </c>
      <c r="G268">
        <f>IF(A268="","",IF(E268&lt;&gt;"Yes","N/A",IF(INDEX(tblServiceEvents[Location Key],MATCH(C268,tblServiceEvents[Event #],0))=INDEX(tblLedger[Location Key],ROWS($A$202:A268)),"Yes","No")))</f>
        <v/>
      </c>
      <c r="H268">
        <f>IF(A268="","",IF(E268&lt;&gt;"Yes","N/A",IF(INDEX(tblServiceEvents[Service Date],MATCH(C268,tblServiceEvents[Event #],0))=INDEX(tblLedger[Service Date],ROWS($A$202:A268)),"Yes","No")))</f>
        <v/>
      </c>
      <c r="I268">
        <f>IF(A268="","",IF(E268&lt;&gt;"Yes","N/A",IF(D268="MULTI-WO VISIT","Yes",IF(B268=INDEX(tblServiceEvents[Work Orders],MATCH(C268,tblServiceEvents[Event #],0)),"Yes","No"))))</f>
        <v/>
      </c>
      <c r="J268">
        <f>IF(A268="","",IF(D268="MAPPING_HOLD","QUARANTINED",IF(AND(E268="Yes",F268="Yes",G268="Yes",H268="Yes",I268="Yes"),"PASS","FAIL")))</f>
        <v/>
      </c>
    </row>
    <row r="269">
      <c r="A269">
        <f>IFERROR(INDEX(tblLedger[Ledger Record ID],ROWS($A$202:A269)),"")</f>
        <v/>
      </c>
      <c r="B269">
        <f>IFERROR(INDEX(tblLedger[Work Order #],ROWS($A$202:A269)),"")</f>
        <v/>
      </c>
      <c r="C269">
        <f>IFERROR(INDEX(tblLedger[Event #],ROWS($A$202:A269)),"")</f>
        <v/>
      </c>
      <c r="D269">
        <f>IFERROR(INDEX(tblLedger[Mapping Status],ROWS($A$202:A269)),"")</f>
        <v/>
      </c>
      <c r="E269">
        <f>IF(A269="","",IF(D269="MAPPING_HOLD","QUARANTINED",IF(COUNTIF(tblServiceEvents[Event #],C269)=1,"Yes","No")))</f>
        <v/>
      </c>
      <c r="F269">
        <f>IF(A269="","",IF(E269&lt;&gt;"Yes","N/A",IF(INDEX(tblServiceEvents[Client ID],MATCH(C269,tblServiceEvents[Event #],0))=INDEX(tblLedger[Client ID],ROWS($A$202:A269)),"Yes","No")))</f>
        <v/>
      </c>
      <c r="G269">
        <f>IF(A269="","",IF(E269&lt;&gt;"Yes","N/A",IF(INDEX(tblServiceEvents[Location Key],MATCH(C269,tblServiceEvents[Event #],0))=INDEX(tblLedger[Location Key],ROWS($A$202:A269)),"Yes","No")))</f>
        <v/>
      </c>
      <c r="H269">
        <f>IF(A269="","",IF(E269&lt;&gt;"Yes","N/A",IF(INDEX(tblServiceEvents[Service Date],MATCH(C269,tblServiceEvents[Event #],0))=INDEX(tblLedger[Service Date],ROWS($A$202:A269)),"Yes","No")))</f>
        <v/>
      </c>
      <c r="I269">
        <f>IF(A269="","",IF(E269&lt;&gt;"Yes","N/A",IF(D269="MULTI-WO VISIT","Yes",IF(B269=INDEX(tblServiceEvents[Work Orders],MATCH(C269,tblServiceEvents[Event #],0)),"Yes","No"))))</f>
        <v/>
      </c>
      <c r="J269">
        <f>IF(A269="","",IF(D269="MAPPING_HOLD","QUARANTINED",IF(AND(E269="Yes",F269="Yes",G269="Yes",H269="Yes",I269="Yes"),"PASS","FAIL")))</f>
        <v/>
      </c>
    </row>
  </sheetData>
  <mergeCells count="19">
    <mergeCell ref="A1:V2"/>
    <mergeCell ref="S5:V5"/>
    <mergeCell ref="A29:V29"/>
    <mergeCell ref="D6:F7"/>
    <mergeCell ref="A5:C5"/>
    <mergeCell ref="G5:I5"/>
    <mergeCell ref="S6:V7"/>
    <mergeCell ref="P6:R7"/>
    <mergeCell ref="A6:C7"/>
    <mergeCell ref="A96:R96"/>
    <mergeCell ref="J6:L7"/>
    <mergeCell ref="D5:F5"/>
    <mergeCell ref="P5:R5"/>
    <mergeCell ref="A9:L9"/>
    <mergeCell ref="M6:O7"/>
    <mergeCell ref="J5:L5"/>
    <mergeCell ref="G6:I7"/>
    <mergeCell ref="M5:O5"/>
    <mergeCell ref="A3:V3"/>
  </mergeCells>
  <conditionalFormatting sqref="A31:V93">
    <cfRule type="expression" priority="1" dxfId="13">
      <formula>$S31="Critical"</formula>
    </cfRule>
  </conditionalFormatting>
  <conditionalFormatting sqref="A98:R159">
    <cfRule type="expression" priority="2" dxfId="13">
      <formula>$Q98="Critical"</formula>
    </cfRule>
  </conditionalFormatting>
  <conditionalFormatting sqref="S31:S93">
    <cfRule type="expression" priority="3" dxfId="15">
      <formula>S31="Critical"</formula>
    </cfRule>
    <cfRule type="expression" priority="4" dxfId="16">
      <formula>S31="Warning"</formula>
    </cfRule>
    <cfRule type="expression" priority="5" dxfId="1">
      <formula>S31="Informational"</formula>
    </cfRule>
  </conditionalFormatting>
  <conditionalFormatting sqref="Q98:Q159">
    <cfRule type="expression" priority="6" dxfId="15">
      <formula>Q98="Critical"</formula>
    </cfRule>
    <cfRule type="expression" priority="7" dxfId="16">
      <formula>Q98="Warning"</formula>
    </cfRule>
    <cfRule type="expression" priority="8" dxfId="1">
      <formula>Q98="Informational"</formula>
    </cfRule>
  </conditionalFormatting>
  <conditionalFormatting sqref="A6:C6">
    <cfRule type="expression" priority="9" dxfId="21">
      <formula>$A$6=0</formula>
    </cfRule>
    <cfRule type="expression" priority="10" dxfId="23">
      <formula>$A$6&gt;0</formula>
    </cfRule>
  </conditionalFormatting>
  <conditionalFormatting sqref="D6:F6">
    <cfRule type="expression" priority="11" dxfId="21">
      <formula>$D$6=0</formula>
    </cfRule>
    <cfRule type="expression" priority="12" dxfId="26">
      <formula>$D$6&gt;0</formula>
    </cfRule>
  </conditionalFormatting>
  <conditionalFormatting sqref="G6:I6">
    <cfRule type="expression" priority="13" dxfId="21">
      <formula>$G$6=0</formula>
    </cfRule>
    <cfRule type="expression" priority="14" dxfId="22">
      <formula>$G$6&gt;0</formula>
    </cfRule>
  </conditionalFormatting>
  <conditionalFormatting sqref="J6:L6">
    <cfRule type="expression" priority="15" dxfId="21">
      <formula>$J$6=0</formula>
    </cfRule>
    <cfRule type="expression" priority="16" dxfId="23">
      <formula>$J$6&gt;0</formula>
    </cfRule>
  </conditionalFormatting>
  <conditionalFormatting sqref="M6:O6">
    <cfRule type="expression" priority="17" dxfId="21">
      <formula>$M$6=0</formula>
    </cfRule>
    <cfRule type="expression" priority="18" dxfId="23">
      <formula>$M$6&gt;0</formula>
    </cfRule>
  </conditionalFormatting>
  <conditionalFormatting sqref="P6:R6">
    <cfRule type="expression" priority="19" dxfId="21">
      <formula>$P$6=0</formula>
    </cfRule>
    <cfRule type="expression" priority="20" dxfId="23">
      <formula>$P$6&gt;0</formula>
    </cfRule>
  </conditionalFormatting>
  <conditionalFormatting sqref="S6:V6">
    <cfRule type="expression" priority="21" dxfId="21">
      <formula>$S$6=0</formula>
    </cfRule>
    <cfRule type="expression" priority="22" dxfId="23">
      <formula>$S$6&gt;0</formula>
    </cfRule>
  </conditionalFormatting>
  <conditionalFormatting sqref="A11:L25">
    <cfRule type="expression" priority="23" dxfId="23">
      <formula>$A11="Critical"</formula>
    </cfRule>
    <cfRule type="expression" priority="24" dxfId="26">
      <formula>$A11="Warning"</formula>
    </cfRule>
    <cfRule type="expression" priority="25" dxfId="59">
      <formula>$A11="Informational"</formula>
    </cfRule>
  </conditionalFormatting>
  <conditionalFormatting sqref="H11:H25">
    <cfRule type="dataBar" priority="26">
      <dataBar>
        <cfvo type="min"/>
        <cfvo type="max"/>
        <color rgb="FFED7D31"/>
      </dataBar>
    </cfRule>
  </conditionalFormatting>
  <conditionalFormatting sqref="R31:V96">
    <cfRule type="expression" priority="27" dxfId="23">
      <formula>$S31="Critical"</formula>
    </cfRule>
    <cfRule type="expression" priority="28" dxfId="26">
      <formula>$S31="Warning"</formula>
    </cfRule>
    <cfRule type="expression" priority="29" dxfId="59">
      <formula>$S31="Informational"</formula>
    </cfRule>
    <cfRule type="expression" priority="30" dxfId="76">
      <formula>$S31="OK"</formula>
    </cfRule>
  </conditionalFormatting>
  <conditionalFormatting sqref="V31:V96">
    <cfRule type="dataBar" priority="31">
      <dataBar>
        <cfvo type="min"/>
        <cfvo type="max"/>
        <color rgb="FFC00000"/>
      </dataBar>
    </cfRule>
  </conditionalFormatting>
  <conditionalFormatting sqref="P98:R162">
    <cfRule type="expression" priority="32" dxfId="23">
      <formula>$Q98="Critical"</formula>
    </cfRule>
    <cfRule type="expression" priority="33" dxfId="26">
      <formula>$Q98="Warning"</formula>
    </cfRule>
    <cfRule type="expression" priority="34" dxfId="59">
      <formula>$Q98="Informational"</formula>
    </cfRule>
    <cfRule type="expression" priority="35" dxfId="76">
      <formula>$Q98="OK"</formula>
    </cfRule>
  </conditionalFormatting>
  <conditionalFormatting sqref="B167">
    <cfRule type="expression" priority="36" dxfId="127">
      <formula>B167="PASS"</formula>
    </cfRule>
    <cfRule type="expression" priority="37" dxfId="128">
      <formula>B167="FAIL"</formula>
    </cfRule>
  </conditionalFormatting>
  <conditionalFormatting sqref="E172:E193">
    <cfRule type="expression" priority="38" dxfId="127">
      <formula>E172="PASS"</formula>
    </cfRule>
    <cfRule type="expression" priority="39" dxfId="128">
      <formula>E172="FAIL"</formula>
    </cfRule>
  </conditionalFormatting>
  <conditionalFormatting sqref="J198:J263">
    <cfRule type="expression" priority="40" dxfId="127">
      <formula>J198="PASS"</formula>
    </cfRule>
    <cfRule type="expression" priority="41" dxfId="128">
      <formula>J198="FAIL"</formula>
    </cfRule>
    <cfRule type="expression" priority="42" dxfId="133">
      <formula>J198="QUARANTINED"</formula>
    </cfRule>
  </conditionalFormatting>
  <pageMargins left="0.7" right="0.7" top="0.75" bottom="0.75" header="0.3" footer="0.3"/>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6.xml><?xml version="1.0" encoding="utf-8"?>
<worksheet xmlns="http://schemas.openxmlformats.org/spreadsheetml/2006/main">
  <sheetPr>
    <outlinePr summaryBelow="1" summaryRight="1"/>
    <pageSetUpPr/>
  </sheetPr>
  <dimension ref="A1:AE279"/>
  <sheetViews>
    <sheetView showGridLines="0" workbookViewId="0">
      <selection activeCell="A1" sqref="A1"/>
    </sheetView>
  </sheetViews>
  <sheetFormatPr baseColWidth="8" defaultRowHeight="15"/>
  <cols>
    <col width="18" customWidth="1" style="192" min="1" max="1"/>
    <col width="42" customWidth="1" style="192" min="2" max="2"/>
    <col width="42" customWidth="1" style="192" min="3" max="3"/>
    <col width="18" customWidth="1" style="192" min="4" max="4"/>
    <col width="18" customWidth="1" style="192" min="5" max="5"/>
    <col width="18" customWidth="1" style="192" min="6" max="6"/>
    <col width="18" customWidth="1" style="192" min="7" max="7"/>
    <col width="18" customWidth="1" style="192" min="8" max="8"/>
    <col width="18" customWidth="1" style="192" min="9" max="9"/>
    <col width="18" customWidth="1" style="192" min="10" max="10"/>
    <col width="18" customWidth="1" style="192" min="11" max="11"/>
  </cols>
  <sheetData>
    <row r="1">
      <c r="A1" s="53" t="inlineStr">
        <is>
          <t>Barrister Governance &amp; Migration Record</t>
        </is>
      </c>
      <c r="B1" s="1" t="n"/>
      <c r="C1" s="1" t="n"/>
      <c r="D1" s="1" t="n"/>
      <c r="E1" s="1" t="n"/>
      <c r="F1" s="1" t="n"/>
      <c r="G1" s="52" t="n"/>
      <c r="H1" s="52" t="n"/>
      <c r="I1" s="52" t="n"/>
      <c r="J1" s="52" t="n"/>
      <c r="K1" s="52" t="n"/>
      <c r="L1" s="52" t="n"/>
      <c r="M1" s="52" t="n"/>
      <c r="N1" s="52" t="n"/>
      <c r="O1" s="52" t="n"/>
      <c r="P1" s="52" t="n"/>
      <c r="Q1" s="52" t="n"/>
      <c r="R1" s="52" t="n"/>
      <c r="S1" s="52" t="n"/>
      <c r="T1" s="52" t="n"/>
      <c r="U1" s="52" t="n"/>
      <c r="V1" s="52" t="n"/>
      <c r="W1" s="52" t="n"/>
      <c r="X1" s="52" t="n"/>
      <c r="Y1" s="52" t="n"/>
      <c r="Z1" s="52" t="n"/>
      <c r="AA1" s="52" t="n"/>
      <c r="AB1" s="52" t="n"/>
      <c r="AC1" s="52" t="n"/>
      <c r="AD1" s="52" t="n"/>
      <c r="AE1" s="52" t="n"/>
    </row>
    <row r="2">
      <c r="A2" s="1" t="n"/>
      <c r="B2" s="1" t="n"/>
      <c r="C2" s="1" t="n"/>
      <c r="D2" s="1" t="n"/>
      <c r="E2" s="1" t="n"/>
      <c r="F2" s="1" t="n"/>
      <c r="G2" s="329" t="n"/>
      <c r="H2" s="329" t="n"/>
      <c r="I2" s="329" t="n"/>
      <c r="J2" s="329" t="n"/>
      <c r="K2" s="329" t="n"/>
      <c r="L2" s="329" t="n"/>
      <c r="M2" s="329" t="n"/>
      <c r="N2" s="329" t="n"/>
      <c r="O2" s="329" t="n"/>
      <c r="P2" s="329" t="n"/>
      <c r="Q2" s="329" t="n"/>
      <c r="R2" s="329" t="n"/>
      <c r="S2" s="329" t="n"/>
      <c r="T2" s="329" t="n"/>
      <c r="U2" s="329" t="n"/>
      <c r="V2" s="329" t="n"/>
      <c r="W2" s="329" t="n"/>
      <c r="X2" s="329" t="n"/>
      <c r="Y2" s="329" t="n"/>
      <c r="Z2" s="329" t="n"/>
      <c r="AA2" s="329" t="n"/>
      <c r="AB2" s="329" t="n"/>
      <c r="AC2" s="329" t="n"/>
      <c r="AD2" s="329" t="n"/>
      <c r="AE2" s="329" t="n"/>
    </row>
    <row r="3">
      <c r="A3" s="329" t="n"/>
      <c r="B3" s="329" t="n"/>
      <c r="C3" s="329" t="n"/>
      <c r="D3" s="329" t="n"/>
      <c r="E3" s="329" t="n"/>
      <c r="F3" s="329" t="n"/>
      <c r="G3" s="329" t="n"/>
      <c r="H3" s="329" t="n"/>
      <c r="I3" s="329" t="n"/>
      <c r="J3" s="329" t="n"/>
      <c r="K3" s="329" t="n"/>
      <c r="L3" s="329" t="n"/>
      <c r="M3" s="329" t="n"/>
      <c r="N3" s="329" t="n"/>
      <c r="O3" s="329" t="n"/>
      <c r="P3" s="329" t="n"/>
      <c r="Q3" s="329" t="n"/>
      <c r="R3" s="329" t="n"/>
      <c r="S3" s="329" t="n"/>
      <c r="T3" s="329" t="n"/>
      <c r="U3" s="329" t="n"/>
      <c r="V3" s="329" t="n"/>
      <c r="W3" s="329" t="n"/>
      <c r="X3" s="329" t="n"/>
      <c r="Y3" s="329" t="n"/>
      <c r="Z3" s="329" t="n"/>
      <c r="AA3" s="329" t="n"/>
      <c r="AB3" s="329" t="n"/>
      <c r="AC3" s="329" t="n"/>
      <c r="AD3" s="329" t="n"/>
      <c r="AE3" s="329" t="n"/>
    </row>
    <row r="4">
      <c r="A4" s="691" t="inlineStr">
        <is>
          <t>Current Master Summary</t>
        </is>
      </c>
      <c r="B4" s="1" t="n"/>
      <c r="C4" s="329" t="n"/>
      <c r="D4" s="329" t="n"/>
      <c r="E4" s="329" t="n"/>
      <c r="F4" s="329" t="n"/>
      <c r="G4" s="329" t="n"/>
      <c r="H4" s="329" t="n"/>
      <c r="I4" s="329" t="n"/>
      <c r="J4" s="329" t="n"/>
      <c r="K4" s="329" t="n"/>
      <c r="L4" s="329" t="n"/>
      <c r="M4" s="329" t="n"/>
      <c r="N4" s="329" t="n"/>
      <c r="O4" s="329" t="n"/>
      <c r="P4" s="329" t="n"/>
      <c r="Q4" s="329" t="n"/>
      <c r="R4" s="329" t="n"/>
      <c r="S4" s="329" t="n"/>
      <c r="T4" s="329" t="n"/>
      <c r="U4" s="329" t="n"/>
      <c r="V4" s="329" t="n"/>
      <c r="W4" s="329" t="n"/>
      <c r="X4" s="329" t="n"/>
      <c r="Y4" s="329" t="n"/>
      <c r="Z4" s="329" t="n"/>
      <c r="AA4" s="329" t="n"/>
      <c r="AB4" s="329" t="n"/>
      <c r="AC4" s="329" t="n"/>
      <c r="AD4" s="329" t="n"/>
      <c r="AE4" s="329" t="n"/>
    </row>
    <row r="5">
      <c r="A5" s="329" t="inlineStr">
        <is>
          <t>Purpose</t>
        </is>
      </c>
      <c r="B5" s="329" t="inlineStr">
        <is>
          <t>Barrister Source of Truth — July Master v1</t>
        </is>
      </c>
      <c r="C5" s="329" t="n"/>
      <c r="D5" s="329" t="n"/>
      <c r="E5" s="329" t="n"/>
      <c r="F5" s="329" t="n"/>
      <c r="G5" s="329" t="n"/>
      <c r="H5" s="329" t="n"/>
      <c r="I5" s="329" t="n"/>
      <c r="J5" s="329" t="n"/>
      <c r="K5" s="329" t="n"/>
      <c r="L5" s="329" t="n"/>
      <c r="M5" s="329" t="n"/>
      <c r="N5" s="329" t="n"/>
      <c r="O5" s="329" t="n"/>
      <c r="P5" s="329" t="n"/>
      <c r="Q5" s="329" t="n"/>
      <c r="R5" s="329" t="n"/>
      <c r="S5" s="329" t="n"/>
      <c r="T5" s="329" t="n"/>
      <c r="U5" s="329" t="n"/>
      <c r="V5" s="329" t="n"/>
      <c r="W5" s="329" t="n"/>
      <c r="X5" s="329" t="n"/>
      <c r="Y5" s="329" t="n"/>
      <c r="Z5" s="329" t="n"/>
      <c r="AA5" s="329" t="n"/>
      <c r="AB5" s="329" t="n"/>
      <c r="AC5" s="329" t="n"/>
      <c r="AD5" s="329" t="n"/>
      <c r="AE5" s="329" t="n"/>
    </row>
    <row r="6">
      <c r="A6" s="329" t="inlineStr">
        <is>
          <t>Current Completed Service Events</t>
        </is>
      </c>
      <c r="B6" s="329" t="n">
        <v>65</v>
      </c>
      <c r="C6" s="329" t="n"/>
      <c r="D6" s="329" t="n"/>
      <c r="E6" s="329" t="n"/>
      <c r="F6" s="329" t="n"/>
      <c r="G6" s="329" t="n"/>
      <c r="H6" s="329" t="n"/>
      <c r="I6" s="329" t="n"/>
      <c r="J6" s="329" t="n"/>
      <c r="K6" s="329" t="n"/>
      <c r="L6" s="329" t="n"/>
      <c r="M6" s="329" t="n"/>
      <c r="N6" s="329" t="n"/>
      <c r="O6" s="329" t="n"/>
      <c r="P6" s="329" t="n"/>
      <c r="Q6" s="329" t="n"/>
      <c r="R6" s="329" t="n"/>
      <c r="S6" s="329" t="n"/>
      <c r="T6" s="329" t="n"/>
      <c r="U6" s="329" t="n"/>
      <c r="V6" s="329" t="n"/>
      <c r="W6" s="329" t="n"/>
      <c r="X6" s="329" t="n"/>
      <c r="Y6" s="329" t="n"/>
      <c r="Z6" s="329" t="n"/>
      <c r="AA6" s="329" t="n"/>
      <c r="AB6" s="329" t="n"/>
      <c r="AC6" s="329" t="n"/>
      <c r="AD6" s="329" t="n"/>
      <c r="AE6" s="329" t="n"/>
    </row>
    <row r="7">
      <c r="A7" s="329" t="inlineStr">
        <is>
          <t>Current Completed Unique Clients</t>
        </is>
      </c>
      <c r="B7" s="329" t="n">
        <v>27</v>
      </c>
      <c r="C7" s="329" t="n"/>
      <c r="D7" s="329" t="n"/>
      <c r="E7" s="329" t="n"/>
      <c r="F7" s="329" t="n"/>
      <c r="G7" s="329" t="n"/>
      <c r="H7" s="329" t="n"/>
      <c r="I7" s="329" t="n"/>
      <c r="J7" s="329" t="n"/>
      <c r="K7" s="329" t="n"/>
      <c r="L7" s="329" t="n"/>
      <c r="M7" s="329" t="n"/>
      <c r="N7" s="329" t="n"/>
      <c r="O7" s="329" t="n"/>
      <c r="P7" s="329" t="n"/>
      <c r="Q7" s="329" t="n"/>
      <c r="R7" s="329" t="n"/>
      <c r="S7" s="329" t="n"/>
      <c r="T7" s="329" t="n"/>
      <c r="U7" s="329" t="n"/>
      <c r="V7" s="329" t="n"/>
      <c r="W7" s="329" t="n"/>
      <c r="X7" s="329" t="n"/>
      <c r="Y7" s="329" t="n"/>
      <c r="Z7" s="329" t="n"/>
      <c r="AA7" s="329" t="n"/>
      <c r="AB7" s="329" t="n"/>
      <c r="AC7" s="329" t="n"/>
      <c r="AD7" s="329" t="n"/>
      <c r="AE7" s="329" t="n"/>
    </row>
    <row r="8">
      <c r="A8" s="329" t="inlineStr">
        <is>
          <t>Scheduled Timeline Positions</t>
        </is>
      </c>
      <c r="B8" s="329" t="n">
        <v>0</v>
      </c>
      <c r="C8" s="329" t="n"/>
      <c r="D8" s="329" t="n"/>
      <c r="E8" s="329" t="n"/>
      <c r="F8" s="329" t="n"/>
      <c r="G8" s="329" t="n"/>
      <c r="H8" s="329" t="n"/>
      <c r="I8" s="329" t="n"/>
      <c r="J8" s="329" t="n"/>
      <c r="K8" s="329" t="n"/>
      <c r="L8" s="329" t="n"/>
      <c r="M8" s="329" t="n"/>
      <c r="N8" s="329" t="n"/>
      <c r="O8" s="329" t="n"/>
      <c r="P8" s="329" t="n"/>
      <c r="Q8" s="329" t="n"/>
      <c r="R8" s="329" t="n"/>
      <c r="S8" s="329" t="n"/>
      <c r="T8" s="329" t="n"/>
      <c r="U8" s="329" t="n"/>
      <c r="V8" s="329" t="n"/>
      <c r="W8" s="329" t="n"/>
      <c r="X8" s="329" t="n"/>
      <c r="Y8" s="329" t="n"/>
      <c r="Z8" s="329" t="n"/>
      <c r="AA8" s="329" t="n"/>
      <c r="AB8" s="329" t="n"/>
      <c r="AC8" s="329" t="n"/>
      <c r="AD8" s="329" t="n"/>
      <c r="AE8" s="329" t="n"/>
    </row>
    <row r="9">
      <c r="A9" s="329" t="inlineStr">
        <is>
          <t>Awarded Client Without Timeline Entry</t>
        </is>
      </c>
      <c r="B9" s="329" t="n">
        <v>0</v>
      </c>
      <c r="C9" s="329" t="n"/>
      <c r="D9" s="329" t="n"/>
      <c r="E9" s="329" t="n"/>
      <c r="F9" s="329" t="n"/>
      <c r="G9" s="329" t="n"/>
      <c r="H9" s="329" t="n"/>
      <c r="I9" s="329" t="n"/>
      <c r="J9" s="329" t="n"/>
      <c r="K9" s="329" t="n"/>
      <c r="L9" s="329" t="n"/>
      <c r="M9" s="329" t="n"/>
      <c r="N9" s="329" t="n"/>
      <c r="O9" s="329" t="n"/>
      <c r="P9" s="329" t="n"/>
      <c r="Q9" s="329" t="n"/>
      <c r="R9" s="329" t="n"/>
      <c r="S9" s="329" t="n"/>
      <c r="T9" s="329" t="n"/>
      <c r="U9" s="329" t="n"/>
      <c r="V9" s="329" t="n"/>
      <c r="W9" s="329" t="n"/>
      <c r="X9" s="329" t="n"/>
      <c r="Y9" s="329" t="n"/>
      <c r="Z9" s="329" t="n"/>
      <c r="AA9" s="329" t="n"/>
      <c r="AB9" s="329" t="n"/>
      <c r="AC9" s="329" t="n"/>
      <c r="AD9" s="329" t="n"/>
      <c r="AE9" s="329" t="n"/>
    </row>
    <row r="10">
      <c r="A10" s="329" t="inlineStr">
        <is>
          <t>Core Principle</t>
        </is>
      </c>
      <c r="B10" s="329" t="inlineStr">
        <is>
          <t>Update the ledger; do not reconstruct from memory.</t>
        </is>
      </c>
      <c r="C10" s="329" t="n"/>
      <c r="D10" s="329" t="n"/>
      <c r="E10" s="329" t="n"/>
      <c r="F10" s="329" t="n"/>
      <c r="G10" s="329" t="n"/>
      <c r="H10" s="329" t="n"/>
      <c r="I10" s="329" t="n"/>
      <c r="J10" s="329" t="n"/>
      <c r="K10" s="329" t="n"/>
      <c r="L10" s="329" t="n"/>
      <c r="M10" s="329" t="n"/>
      <c r="N10" s="329" t="n"/>
      <c r="O10" s="329" t="n"/>
      <c r="P10" s="329" t="n"/>
      <c r="Q10" s="329" t="n"/>
      <c r="R10" s="329" t="n"/>
      <c r="S10" s="329" t="n"/>
      <c r="T10" s="329" t="n"/>
      <c r="U10" s="329" t="n"/>
      <c r="V10" s="329" t="n"/>
      <c r="W10" s="329" t="n"/>
      <c r="X10" s="329" t="n"/>
      <c r="Y10" s="329" t="n"/>
      <c r="Z10" s="329" t="n"/>
      <c r="AA10" s="329" t="n"/>
      <c r="AB10" s="329" t="n"/>
      <c r="AC10" s="329" t="n"/>
      <c r="AD10" s="329" t="n"/>
      <c r="AE10" s="329" t="n"/>
    </row>
    <row r="11">
      <c r="A11" s="329" t="inlineStr">
        <is>
          <t>Latest Update</t>
        </is>
      </c>
      <c r="B11" s="329" t="inlineStr">
        <is>
          <t>Chronology dated through Event #65; Phase 3G self-healing formulas and Phase 3H structural integrity controls are active.</t>
        </is>
      </c>
      <c r="C11" s="329" t="n"/>
      <c r="D11" s="329" t="n"/>
      <c r="E11" s="329" t="n"/>
      <c r="F11" s="329" t="n"/>
      <c r="G11" s="329" t="n"/>
      <c r="H11" s="329" t="n"/>
      <c r="I11" s="329" t="n"/>
      <c r="J11" s="329" t="n"/>
      <c r="K11" s="329" t="n"/>
      <c r="L11" s="329" t="n"/>
      <c r="M11" s="329" t="n"/>
      <c r="N11" s="329" t="n"/>
      <c r="O11" s="329" t="n"/>
      <c r="P11" s="329" t="n"/>
      <c r="Q11" s="329" t="n"/>
      <c r="R11" s="329" t="n"/>
      <c r="S11" s="329" t="n"/>
      <c r="T11" s="329" t="n"/>
      <c r="U11" s="329" t="n"/>
      <c r="V11" s="329" t="n"/>
      <c r="W11" s="329" t="n"/>
      <c r="X11" s="329" t="n"/>
      <c r="Y11" s="329" t="n"/>
      <c r="Z11" s="329" t="n"/>
      <c r="AA11" s="329" t="n"/>
      <c r="AB11" s="329" t="n"/>
      <c r="AC11" s="329" t="n"/>
      <c r="AD11" s="329" t="n"/>
      <c r="AE11" s="329" t="n"/>
    </row>
    <row r="12">
      <c r="A12" s="329" t="inlineStr">
        <is>
          <t>Integrity Rule</t>
        </is>
      </c>
      <c r="B12" s="329" t="inlineStr">
        <is>
          <t>Timeline tracks physical visits; ledger tracks WOs. Same-site multi-WO visits remain one event.</t>
        </is>
      </c>
      <c r="C12" s="329" t="n"/>
      <c r="D12" s="329" t="n"/>
      <c r="E12" s="329" t="n"/>
      <c r="F12" s="329" t="n"/>
      <c r="G12" s="329" t="n"/>
      <c r="H12" s="329" t="n"/>
      <c r="I12" s="329" t="n"/>
      <c r="J12" s="329" t="n"/>
      <c r="K12" s="329" t="n"/>
      <c r="L12" s="329" t="n"/>
      <c r="M12" s="329" t="n"/>
      <c r="N12" s="329" t="n"/>
      <c r="O12" s="329" t="n"/>
      <c r="P12" s="329" t="n"/>
      <c r="Q12" s="329" t="n"/>
      <c r="R12" s="329" t="n"/>
      <c r="S12" s="329" t="n"/>
      <c r="T12" s="329" t="n"/>
      <c r="U12" s="329" t="n"/>
      <c r="V12" s="329" t="n"/>
      <c r="W12" s="329" t="n"/>
      <c r="X12" s="329" t="n"/>
      <c r="Y12" s="329" t="n"/>
      <c r="Z12" s="329" t="n"/>
      <c r="AA12" s="329" t="n"/>
      <c r="AB12" s="329" t="n"/>
      <c r="AC12" s="329" t="n"/>
      <c r="AD12" s="329" t="n"/>
      <c r="AE12" s="329" t="n"/>
    </row>
    <row r="13">
      <c r="A13" s="329" t="inlineStr">
        <is>
          <t>Metrics Rule</t>
        </is>
      </c>
      <c r="B13" s="329" t="inlineStr">
        <is>
          <t>Career chronology and financial scope are separate populations. Revenue averages use confirmed eligible events; missing-breakdown metrics use Financial Scope + Breakdown Expected.</t>
        </is>
      </c>
      <c r="C13" s="329" t="n"/>
      <c r="D13" s="329" t="n"/>
      <c r="E13" s="329" t="n"/>
      <c r="F13" s="329" t="n"/>
      <c r="G13" s="329" t="n"/>
      <c r="H13" s="329" t="n"/>
      <c r="I13" s="329" t="n"/>
      <c r="J13" s="329" t="n"/>
      <c r="K13" s="329" t="n"/>
      <c r="L13" s="329" t="n"/>
      <c r="M13" s="329" t="n"/>
      <c r="N13" s="329" t="n"/>
      <c r="O13" s="329" t="n"/>
      <c r="P13" s="329" t="n"/>
      <c r="Q13" s="329" t="n"/>
      <c r="R13" s="329" t="n"/>
      <c r="S13" s="329" t="n"/>
      <c r="T13" s="329" t="n"/>
      <c r="U13" s="329" t="n"/>
      <c r="V13" s="329" t="n"/>
      <c r="W13" s="329" t="n"/>
      <c r="X13" s="329" t="n"/>
      <c r="Y13" s="329" t="n"/>
      <c r="Z13" s="329" t="n"/>
      <c r="AA13" s="329" t="n"/>
      <c r="AB13" s="329" t="n"/>
      <c r="AC13" s="329" t="n"/>
      <c r="AD13" s="329" t="n"/>
      <c r="AE13" s="329" t="n"/>
    </row>
    <row r="14">
      <c r="A14" s="329" t="inlineStr">
        <is>
          <t>Version Note</t>
        </is>
      </c>
      <c r="B14" s="329" t="inlineStr">
        <is>
          <t>Authoritative Phase 3G + 3H version generated from Phase 3H; deterministic fields auto-repair without reconstructing chronology.</t>
        </is>
      </c>
      <c r="C14" s="329" t="n"/>
      <c r="D14" s="329" t="n"/>
      <c r="E14" s="329" t="n"/>
      <c r="F14" s="329" t="n"/>
      <c r="G14" s="329" t="n"/>
      <c r="H14" s="329" t="n"/>
      <c r="I14" s="329" t="n"/>
      <c r="J14" s="329" t="n"/>
      <c r="K14" s="329" t="n"/>
      <c r="L14" s="329" t="n"/>
      <c r="M14" s="329" t="n"/>
      <c r="N14" s="329" t="n"/>
      <c r="O14" s="329" t="n"/>
      <c r="P14" s="329" t="n"/>
      <c r="Q14" s="329" t="n"/>
      <c r="R14" s="329" t="n"/>
      <c r="S14" s="329" t="n"/>
      <c r="T14" s="329" t="n"/>
      <c r="U14" s="329" t="n"/>
      <c r="V14" s="329" t="n"/>
      <c r="W14" s="329" t="n"/>
      <c r="X14" s="329" t="n"/>
      <c r="Y14" s="329" t="n"/>
      <c r="Z14" s="329" t="n"/>
      <c r="AA14" s="329" t="n"/>
      <c r="AB14" s="329" t="n"/>
      <c r="AC14" s="329" t="n"/>
      <c r="AD14" s="329" t="n"/>
      <c r="AE14" s="329" t="n"/>
    </row>
    <row r="15">
      <c r="A15" s="329" t="inlineStr">
        <is>
          <t>Phase 0 Canonical Master</t>
        </is>
      </c>
      <c r="B15" s="329" t="inlineStr">
        <is>
          <t>Created from Phase2 base + Compare workbook + July 1/2 deltas.</t>
        </is>
      </c>
      <c r="C15" s="329" t="n"/>
      <c r="D15" s="329" t="n"/>
      <c r="E15" s="329" t="n"/>
      <c r="F15" s="329" t="n"/>
      <c r="G15" s="329" t="n"/>
      <c r="H15" s="329" t="n"/>
      <c r="I15" s="329" t="n"/>
      <c r="J15" s="329" t="n"/>
      <c r="K15" s="329" t="n"/>
      <c r="L15" s="329" t="n"/>
      <c r="M15" s="329" t="n"/>
      <c r="N15" s="329" t="n"/>
      <c r="O15" s="329" t="n"/>
      <c r="P15" s="329" t="n"/>
      <c r="Q15" s="329" t="n"/>
      <c r="R15" s="329" t="n"/>
      <c r="S15" s="329" t="n"/>
      <c r="T15" s="329" t="n"/>
      <c r="U15" s="329" t="n"/>
      <c r="V15" s="329" t="n"/>
      <c r="W15" s="329" t="n"/>
      <c r="X15" s="329" t="n"/>
      <c r="Y15" s="329" t="n"/>
      <c r="Z15" s="329" t="n"/>
      <c r="AA15" s="329" t="n"/>
      <c r="AB15" s="329" t="n"/>
      <c r="AC15" s="329" t="n"/>
      <c r="AD15" s="329" t="n"/>
      <c r="AE15" s="329" t="n"/>
    </row>
    <row r="16">
      <c r="A16" s="329" t="inlineStr">
        <is>
          <t>Authoritative workbook</t>
        </is>
      </c>
      <c r="B16" s="329" t="inlineStr">
        <is>
          <t>Barrister_Master_v2_Phase3G_3H_Complete.xlsx</t>
        </is>
      </c>
      <c r="C16" s="329" t="n"/>
      <c r="D16" s="329" t="n"/>
      <c r="E16" s="329" t="n"/>
      <c r="F16" s="329" t="n"/>
      <c r="G16" s="329" t="n"/>
      <c r="H16" s="329" t="n"/>
      <c r="I16" s="329" t="n"/>
      <c r="J16" s="329" t="n"/>
      <c r="K16" s="329" t="n"/>
      <c r="L16" s="329" t="n"/>
      <c r="M16" s="329" t="n"/>
      <c r="N16" s="329" t="n"/>
      <c r="O16" s="329" t="n"/>
      <c r="P16" s="329" t="n"/>
      <c r="Q16" s="329" t="n"/>
      <c r="R16" s="329" t="n"/>
      <c r="S16" s="329" t="n"/>
      <c r="T16" s="329" t="n"/>
      <c r="U16" s="329" t="n"/>
      <c r="V16" s="329" t="n"/>
      <c r="W16" s="329" t="n"/>
      <c r="X16" s="329" t="n"/>
      <c r="Y16" s="329" t="n"/>
      <c r="Z16" s="329" t="n"/>
      <c r="AA16" s="329" t="n"/>
      <c r="AB16" s="329" t="n"/>
      <c r="AC16" s="329" t="n"/>
      <c r="AD16" s="329" t="n"/>
      <c r="AE16" s="329" t="n"/>
    </row>
    <row r="17">
      <c r="A17" s="329" t="inlineStr">
        <is>
          <t>New authoritative sheets</t>
        </is>
      </c>
      <c r="B17" s="329" t="inlineStr">
        <is>
          <t>Service Calendar, Worked Days, Weekday Metrics</t>
        </is>
      </c>
      <c r="C17" s="329" t="n"/>
      <c r="D17" s="329" t="n"/>
      <c r="E17" s="329" t="n"/>
      <c r="F17" s="329" t="n"/>
      <c r="G17" s="329" t="n"/>
      <c r="H17" s="329" t="n"/>
      <c r="I17" s="329" t="n"/>
      <c r="J17" s="329" t="n"/>
      <c r="K17" s="329" t="n"/>
      <c r="L17" s="329" t="n"/>
      <c r="M17" s="329" t="n"/>
      <c r="N17" s="329" t="n"/>
      <c r="O17" s="329" t="n"/>
      <c r="P17" s="329" t="n"/>
      <c r="Q17" s="329" t="n"/>
      <c r="R17" s="329" t="n"/>
      <c r="S17" s="329" t="n"/>
      <c r="T17" s="329" t="n"/>
      <c r="U17" s="329" t="n"/>
      <c r="V17" s="329" t="n"/>
      <c r="W17" s="329" t="n"/>
      <c r="X17" s="329" t="n"/>
      <c r="Y17" s="329" t="n"/>
      <c r="Z17" s="329" t="n"/>
      <c r="AA17" s="329" t="n"/>
      <c r="AB17" s="329" t="n"/>
      <c r="AC17" s="329" t="n"/>
      <c r="AD17" s="329" t="n"/>
      <c r="AE17" s="329" t="n"/>
    </row>
    <row r="18">
      <c r="A18" s="329" t="inlineStr">
        <is>
          <t>Critical review item</t>
        </is>
      </c>
      <c r="B18" s="329" t="inlineStr">
        <is>
          <t>WO 5905579 duplicate/partial ACH remains flagged; do not clean-close until resolved.</t>
        </is>
      </c>
      <c r="C18" s="329" t="n"/>
      <c r="D18" s="329" t="n"/>
      <c r="E18" s="329" t="n"/>
      <c r="F18" s="329" t="n"/>
      <c r="G18" s="329" t="n"/>
      <c r="H18" s="329" t="n"/>
      <c r="I18" s="329" t="n"/>
      <c r="J18" s="329" t="n"/>
      <c r="K18" s="329" t="n"/>
      <c r="L18" s="329" t="n"/>
      <c r="M18" s="329" t="n"/>
      <c r="N18" s="329" t="n"/>
      <c r="O18" s="329" t="n"/>
      <c r="P18" s="329" t="n"/>
      <c r="Q18" s="329" t="n"/>
      <c r="R18" s="329" t="n"/>
      <c r="S18" s="329" t="n"/>
      <c r="T18" s="329" t="n"/>
      <c r="U18" s="329" t="n"/>
      <c r="V18" s="329" t="n"/>
      <c r="W18" s="329" t="n"/>
      <c r="X18" s="329" t="n"/>
      <c r="Y18" s="329" t="n"/>
      <c r="Z18" s="329" t="n"/>
      <c r="AA18" s="329" t="n"/>
      <c r="AB18" s="329" t="n"/>
      <c r="AC18" s="329" t="n"/>
      <c r="AD18" s="329" t="n"/>
      <c r="AE18" s="329" t="n"/>
    </row>
    <row r="19">
      <c r="A19" s="329" t="inlineStr">
        <is>
          <t>Current operational timeline</t>
        </is>
      </c>
      <c r="B19" s="329" t="inlineStr">
        <is>
          <t>65 completed events</t>
        </is>
      </c>
      <c r="C19" s="329" t="n"/>
      <c r="D19" s="329" t="n"/>
      <c r="E19" s="329" t="n"/>
      <c r="F19" s="329" t="n"/>
      <c r="G19" s="329" t="n"/>
      <c r="H19" s="329" t="n"/>
      <c r="I19" s="329" t="n"/>
      <c r="J19" s="329" t="n"/>
      <c r="K19" s="329" t="n"/>
      <c r="L19" s="329" t="n"/>
      <c r="M19" s="329" t="n"/>
      <c r="N19" s="329" t="n"/>
      <c r="O19" s="329" t="n"/>
      <c r="P19" s="329" t="n"/>
      <c r="Q19" s="329" t="n"/>
      <c r="R19" s="329" t="n"/>
      <c r="S19" s="329" t="n"/>
      <c r="T19" s="329" t="n"/>
      <c r="U19" s="329" t="n"/>
      <c r="V19" s="329" t="n"/>
      <c r="W19" s="329" t="n"/>
      <c r="X19" s="329" t="n"/>
      <c r="Y19" s="329" t="n"/>
      <c r="Z19" s="329" t="n"/>
      <c r="AA19" s="329" t="n"/>
      <c r="AB19" s="329" t="n"/>
      <c r="AC19" s="329" t="n"/>
      <c r="AD19" s="329" t="n"/>
      <c r="AE19" s="329" t="n"/>
    </row>
    <row r="20">
      <c r="A20" s="329" t="inlineStr">
        <is>
          <t>Current financial-scope events</t>
        </is>
      </c>
      <c r="B20" s="329" t="n">
        <v>61</v>
      </c>
      <c r="C20" s="329" t="n"/>
      <c r="D20" s="329" t="n"/>
      <c r="E20" s="329" t="n"/>
      <c r="F20" s="329" t="n"/>
      <c r="G20" s="329" t="n"/>
      <c r="H20" s="329" t="n"/>
      <c r="I20" s="329" t="n"/>
      <c r="J20" s="329" t="n"/>
      <c r="K20" s="329" t="n"/>
      <c r="L20" s="329" t="n"/>
      <c r="M20" s="329" t="n"/>
      <c r="N20" s="329" t="n"/>
      <c r="O20" s="329" t="n"/>
      <c r="P20" s="329" t="n"/>
      <c r="Q20" s="329" t="n"/>
      <c r="R20" s="329" t="n"/>
      <c r="S20" s="329" t="n"/>
      <c r="T20" s="329" t="n"/>
      <c r="U20" s="329" t="n"/>
      <c r="V20" s="329" t="n"/>
      <c r="W20" s="329" t="n"/>
      <c r="X20" s="329" t="n"/>
      <c r="Y20" s="329" t="n"/>
      <c r="Z20" s="329" t="n"/>
      <c r="AA20" s="329" t="n"/>
      <c r="AB20" s="329" t="n"/>
      <c r="AC20" s="329" t="n"/>
      <c r="AD20" s="329" t="n"/>
      <c r="AE20" s="329" t="n"/>
    </row>
    <row r="21">
      <c r="A21" s="329" t="inlineStr">
        <is>
          <t>Confirmed-breakdown revenue total</t>
        </is>
      </c>
      <c r="B21" s="667" t="n">
        <v>7050.81</v>
      </c>
      <c r="C21" s="329" t="n"/>
      <c r="D21" s="329" t="n"/>
      <c r="E21" s="329" t="n"/>
      <c r="F21" s="329" t="n"/>
      <c r="G21" s="329" t="n"/>
      <c r="H21" s="329" t="n"/>
      <c r="I21" s="329" t="n"/>
      <c r="J21" s="329" t="n"/>
      <c r="K21" s="329" t="n"/>
      <c r="L21" s="329" t="n"/>
      <c r="M21" s="329" t="n"/>
      <c r="N21" s="329" t="n"/>
      <c r="O21" s="329" t="n"/>
      <c r="P21" s="329" t="n"/>
      <c r="Q21" s="329" t="n"/>
      <c r="R21" s="329" t="n"/>
      <c r="S21" s="329" t="n"/>
      <c r="T21" s="329" t="n"/>
      <c r="U21" s="329" t="n"/>
      <c r="V21" s="329" t="n"/>
      <c r="W21" s="329" t="n"/>
      <c r="X21" s="329" t="n"/>
      <c r="Y21" s="329" t="n"/>
      <c r="Z21" s="329" t="n"/>
      <c r="AA21" s="329" t="n"/>
      <c r="AB21" s="329" t="n"/>
      <c r="AC21" s="329" t="n"/>
      <c r="AD21" s="329" t="n"/>
      <c r="AE21" s="329" t="n"/>
    </row>
    <row r="22">
      <c r="A22" s="329" t="inlineStr">
        <is>
          <t>Breakdown-confirmed financial events</t>
        </is>
      </c>
      <c r="B22" s="329" t="n">
        <v>57</v>
      </c>
      <c r="C22" s="329" t="n"/>
      <c r="D22" s="329" t="n"/>
      <c r="E22" s="329" t="n"/>
      <c r="F22" s="329" t="n"/>
      <c r="G22" s="329" t="n"/>
      <c r="H22" s="329" t="n"/>
      <c r="I22" s="329" t="n"/>
      <c r="J22" s="329" t="n"/>
      <c r="K22" s="329" t="n"/>
      <c r="L22" s="329" t="n"/>
      <c r="M22" s="329" t="n"/>
      <c r="N22" s="329" t="n"/>
      <c r="O22" s="329" t="n"/>
      <c r="P22" s="329" t="n"/>
      <c r="Q22" s="329" t="n"/>
      <c r="R22" s="329" t="n"/>
      <c r="S22" s="329" t="n"/>
      <c r="T22" s="329" t="n"/>
      <c r="U22" s="329" t="n"/>
      <c r="V22" s="329" t="n"/>
      <c r="W22" s="329" t="n"/>
      <c r="X22" s="329" t="n"/>
      <c r="Y22" s="329" t="n"/>
      <c r="Z22" s="329" t="n"/>
      <c r="AA22" s="329" t="n"/>
      <c r="AB22" s="329" t="n"/>
      <c r="AC22" s="329" t="n"/>
      <c r="AD22" s="329" t="n"/>
      <c r="AE22" s="329" t="n"/>
    </row>
    <row r="23">
      <c r="A23" s="329" t="n"/>
      <c r="B23" s="329" t="n"/>
      <c r="C23" s="329" t="n"/>
      <c r="D23" s="329" t="n"/>
      <c r="E23" s="329" t="n"/>
      <c r="F23" s="329" t="n"/>
      <c r="G23" s="329" t="n"/>
      <c r="H23" s="329" t="n"/>
      <c r="I23" s="329" t="n"/>
      <c r="J23" s="329" t="n"/>
      <c r="K23" s="329" t="n"/>
      <c r="L23" s="329" t="n"/>
      <c r="M23" s="329" t="n"/>
      <c r="N23" s="329" t="n"/>
      <c r="O23" s="329" t="n"/>
      <c r="P23" s="329" t="n"/>
      <c r="Q23" s="329" t="n"/>
      <c r="R23" s="329" t="n"/>
      <c r="S23" s="329" t="n"/>
      <c r="T23" s="329" t="n"/>
      <c r="U23" s="329" t="n"/>
      <c r="V23" s="329" t="n"/>
      <c r="W23" s="329" t="n"/>
      <c r="X23" s="329" t="n"/>
      <c r="Y23" s="329" t="n"/>
      <c r="Z23" s="329" t="n"/>
      <c r="AA23" s="329" t="n"/>
      <c r="AB23" s="329" t="n"/>
      <c r="AC23" s="329" t="n"/>
      <c r="AD23" s="329" t="n"/>
      <c r="AE23" s="329" t="n"/>
    </row>
    <row r="24">
      <c r="A24" s="691" t="inlineStr">
        <is>
          <t>Rules &amp; Governance</t>
        </is>
      </c>
      <c r="B24" s="1" t="n"/>
      <c r="C24" s="1" t="n"/>
      <c r="D24" s="329" t="n"/>
      <c r="E24" s="329" t="n"/>
      <c r="F24" s="329" t="n"/>
      <c r="G24" s="329" t="n"/>
      <c r="H24" s="329" t="n"/>
      <c r="I24" s="329" t="n"/>
      <c r="J24" s="329" t="n"/>
      <c r="K24" s="329" t="n"/>
      <c r="L24" s="329" t="n"/>
      <c r="M24" s="329" t="n"/>
      <c r="N24" s="329" t="n"/>
      <c r="O24" s="329" t="n"/>
      <c r="P24" s="329" t="n"/>
      <c r="Q24" s="329" t="n"/>
      <c r="R24" s="329" t="n"/>
      <c r="S24" s="329" t="n"/>
      <c r="T24" s="329" t="n"/>
      <c r="U24" s="329" t="n"/>
      <c r="V24" s="329" t="n"/>
      <c r="W24" s="329" t="n"/>
      <c r="X24" s="329" t="n"/>
      <c r="Y24" s="329" t="n"/>
      <c r="Z24" s="329" t="n"/>
      <c r="AA24" s="329" t="n"/>
      <c r="AB24" s="329" t="n"/>
      <c r="AC24" s="329" t="n"/>
      <c r="AD24" s="329" t="n"/>
      <c r="AE24" s="329" t="n"/>
    </row>
    <row r="25">
      <c r="A25" s="399" t="inlineStr">
        <is>
          <t>Rule #</t>
        </is>
      </c>
      <c r="B25" s="399" t="inlineStr">
        <is>
          <t>Rule</t>
        </is>
      </c>
      <c r="C25" s="399" t="inlineStr">
        <is>
          <t>Definition</t>
        </is>
      </c>
      <c r="D25" s="329" t="n"/>
      <c r="E25" s="329" t="n"/>
      <c r="F25" s="329" t="n"/>
      <c r="G25" s="329" t="n"/>
      <c r="H25" s="329" t="n"/>
      <c r="I25" s="329" t="n"/>
      <c r="J25" s="329" t="n"/>
      <c r="K25" s="329" t="n"/>
      <c r="L25" s="329" t="n"/>
      <c r="M25" s="329" t="n"/>
      <c r="N25" s="329" t="n"/>
      <c r="O25" s="329" t="n"/>
      <c r="P25" s="329" t="n"/>
      <c r="Q25" s="329" t="n"/>
      <c r="R25" s="329" t="n"/>
      <c r="S25" s="329" t="n"/>
      <c r="T25" s="329" t="n"/>
      <c r="U25" s="329" t="n"/>
      <c r="V25" s="329" t="n"/>
      <c r="W25" s="329" t="n"/>
      <c r="X25" s="329" t="n"/>
      <c r="Y25" s="329" t="n"/>
      <c r="Z25" s="329" t="n"/>
      <c r="AA25" s="329" t="n"/>
      <c r="AB25" s="329" t="n"/>
      <c r="AC25" s="329" t="n"/>
      <c r="AD25" s="329" t="n"/>
      <c r="AE25" s="329" t="n"/>
    </row>
    <row r="26">
      <c r="A26" s="329" t="n">
        <v>1</v>
      </c>
      <c r="B26" s="329" t="inlineStr">
        <is>
          <t>The Spreadsheet Is The Record</t>
        </is>
      </c>
      <c r="C26" s="329" t="inlineStr">
        <is>
          <t>The spreadsheet is the authoritative record. Conversation is commentary. When a discrepancy exists, update the spreadsheet. Do not recreate the spreadsheet from conversation.</t>
        </is>
      </c>
      <c r="D26" s="329" t="n"/>
      <c r="E26" s="329" t="n"/>
      <c r="F26" s="329" t="n"/>
      <c r="G26" s="329" t="n"/>
      <c r="H26" s="329" t="n"/>
      <c r="I26" s="329" t="n"/>
      <c r="J26" s="329" t="n"/>
      <c r="K26" s="329" t="n"/>
      <c r="L26" s="329" t="n"/>
      <c r="M26" s="329" t="n"/>
      <c r="N26" s="329" t="n"/>
      <c r="O26" s="329" t="n"/>
      <c r="P26" s="329" t="n"/>
      <c r="Q26" s="329" t="n"/>
      <c r="R26" s="329" t="n"/>
      <c r="S26" s="329" t="n"/>
      <c r="T26" s="329" t="n"/>
      <c r="U26" s="329" t="n"/>
      <c r="V26" s="329" t="n"/>
      <c r="W26" s="329" t="n"/>
      <c r="X26" s="329" t="n"/>
      <c r="Y26" s="329" t="n"/>
      <c r="Z26" s="329" t="n"/>
      <c r="AA26" s="329" t="n"/>
      <c r="AB26" s="329" t="n"/>
      <c r="AC26" s="329" t="n"/>
      <c r="AD26" s="329" t="n"/>
      <c r="AE26" s="329" t="n"/>
    </row>
    <row r="27">
      <c r="A27" s="329" t="n">
        <v>2</v>
      </c>
      <c r="B27" s="329" t="inlineStr">
        <is>
          <t>Update, Never Reconstruct</t>
        </is>
      </c>
      <c r="C27" s="329" t="inlineStr">
        <is>
          <t>At the end of each week, open the latest Source of Truth workbook and apply only new changes. Do not regenerate Timeline, Client List, or Scorecard from memory.</t>
        </is>
      </c>
      <c r="D27" s="329" t="n"/>
      <c r="E27" s="329" t="n"/>
      <c r="F27" s="329" t="n"/>
      <c r="G27" s="329" t="n"/>
      <c r="H27" s="329" t="n"/>
      <c r="I27" s="329" t="n"/>
      <c r="J27" s="329" t="n"/>
      <c r="K27" s="329" t="n"/>
      <c r="L27" s="329" t="n"/>
      <c r="M27" s="329" t="n"/>
      <c r="N27" s="329" t="n"/>
      <c r="O27" s="329" t="n"/>
      <c r="P27" s="329" t="n"/>
      <c r="Q27" s="329" t="n"/>
      <c r="R27" s="329" t="n"/>
      <c r="S27" s="329" t="n"/>
      <c r="T27" s="329" t="n"/>
      <c r="U27" s="329" t="n"/>
      <c r="V27" s="329" t="n"/>
      <c r="W27" s="329" t="n"/>
      <c r="X27" s="329" t="n"/>
      <c r="Y27" s="329" t="n"/>
      <c r="Z27" s="329" t="n"/>
      <c r="AA27" s="329" t="n"/>
      <c r="AB27" s="329" t="n"/>
      <c r="AC27" s="329" t="n"/>
      <c r="AD27" s="329" t="n"/>
      <c r="AE27" s="329" t="n"/>
    </row>
    <row r="28">
      <c r="A28" s="329" t="n">
        <v>3</v>
      </c>
      <c r="B28" s="329" t="inlineStr">
        <is>
          <t>Delta Update Method</t>
        </is>
      </c>
      <c r="C28" s="329" t="inlineStr">
        <is>
          <t>All updates must be treated as deltas: new visit, new client, location correction, naming correction. Apply changes directly to the existing record. Never rebuild the entire record.</t>
        </is>
      </c>
      <c r="D28" s="329" t="n"/>
      <c r="E28" s="329" t="n"/>
      <c r="F28" s="329" t="n"/>
      <c r="G28" s="329" t="n"/>
      <c r="H28" s="329" t="n"/>
      <c r="I28" s="329" t="n"/>
      <c r="J28" s="329" t="n"/>
      <c r="K28" s="329" t="n"/>
      <c r="L28" s="329" t="n"/>
      <c r="M28" s="329" t="n"/>
      <c r="N28" s="329" t="n"/>
      <c r="O28" s="329" t="n"/>
      <c r="P28" s="329" t="n"/>
      <c r="Q28" s="329" t="n"/>
      <c r="R28" s="329" t="n"/>
      <c r="S28" s="329" t="n"/>
      <c r="T28" s="329" t="n"/>
      <c r="U28" s="329" t="n"/>
      <c r="V28" s="329" t="n"/>
      <c r="W28" s="329" t="n"/>
      <c r="X28" s="329" t="n"/>
      <c r="Y28" s="329" t="n"/>
      <c r="Z28" s="329" t="n"/>
      <c r="AA28" s="329" t="n"/>
      <c r="AB28" s="329" t="n"/>
      <c r="AC28" s="329" t="n"/>
      <c r="AD28" s="329" t="n"/>
      <c r="AE28" s="329" t="n"/>
    </row>
    <row r="29">
      <c r="A29" s="329" t="n">
        <v>4</v>
      </c>
      <c r="B29" s="329" t="inlineStr">
        <is>
          <t>Chronology Is King</t>
        </is>
      </c>
      <c r="C29" s="329" t="inlineStr">
        <is>
          <t>Timeline order is determined by actual visit sequence, not client name, state, geography, or importance.</t>
        </is>
      </c>
      <c r="D29" s="329" t="n"/>
      <c r="E29" s="329" t="n"/>
      <c r="F29" s="329" t="n"/>
      <c r="G29" s="329" t="n"/>
      <c r="H29" s="329" t="n"/>
      <c r="I29" s="329" t="n"/>
      <c r="J29" s="329" t="n"/>
      <c r="K29" s="329" t="n"/>
      <c r="L29" s="329" t="n"/>
      <c r="M29" s="329" t="n"/>
      <c r="N29" s="329" t="n"/>
      <c r="O29" s="329" t="n"/>
      <c r="P29" s="329" t="n"/>
      <c r="Q29" s="329" t="n"/>
      <c r="R29" s="329" t="n"/>
      <c r="S29" s="329" t="n"/>
      <c r="T29" s="329" t="n"/>
      <c r="U29" s="329" t="n"/>
      <c r="V29" s="329" t="n"/>
      <c r="W29" s="329" t="n"/>
      <c r="X29" s="329" t="n"/>
      <c r="Y29" s="329" t="n"/>
      <c r="Z29" s="329" t="n"/>
      <c r="AA29" s="329" t="n"/>
      <c r="AB29" s="329" t="n"/>
      <c r="AC29" s="329" t="n"/>
      <c r="AD29" s="329" t="n"/>
      <c r="AE29" s="329" t="n"/>
    </row>
    <row r="30">
      <c r="A30" s="329" t="n">
        <v>5</v>
      </c>
      <c r="B30" s="329" t="inlineStr">
        <is>
          <t>One Visit = One Timeline Entry</t>
        </is>
      </c>
      <c r="C30" s="329" t="inlineStr">
        <is>
          <t>Every completed visit receives its own timeline position. Repeat visits remain separate entries.</t>
        </is>
      </c>
      <c r="D30" s="329" t="n"/>
      <c r="E30" s="329" t="n"/>
      <c r="F30" s="329" t="n"/>
      <c r="G30" s="329" t="n"/>
      <c r="H30" s="329" t="n"/>
      <c r="I30" s="329" t="n"/>
      <c r="J30" s="329" t="n"/>
      <c r="K30" s="329" t="n"/>
      <c r="L30" s="329" t="n"/>
      <c r="M30" s="329" t="n"/>
      <c r="N30" s="329" t="n"/>
      <c r="O30" s="329" t="n"/>
      <c r="P30" s="329" t="n"/>
      <c r="Q30" s="329" t="n"/>
      <c r="R30" s="329" t="n"/>
      <c r="S30" s="329" t="n"/>
      <c r="T30" s="329" t="n"/>
      <c r="U30" s="329" t="n"/>
      <c r="V30" s="329" t="n"/>
      <c r="W30" s="329" t="n"/>
      <c r="X30" s="329" t="n"/>
      <c r="Y30" s="329" t="n"/>
      <c r="Z30" s="329" t="n"/>
      <c r="AA30" s="329" t="n"/>
      <c r="AB30" s="329" t="n"/>
      <c r="AC30" s="329" t="n"/>
      <c r="AD30" s="329" t="n"/>
      <c r="AE30" s="329" t="n"/>
    </row>
    <row r="31">
      <c r="A31" s="329" t="n">
        <v>6</v>
      </c>
      <c r="B31" s="329" t="inlineStr">
        <is>
          <t>Client List Uses Unique Clients</t>
        </is>
      </c>
      <c r="C31" s="329" t="inlineStr">
        <is>
          <t>Client List is deduplicated. Timeline is not. One client may appear many times on the timeline but only once on the Client List.</t>
        </is>
      </c>
      <c r="D31" s="329" t="n"/>
      <c r="E31" s="329" t="n"/>
      <c r="F31" s="329" t="n"/>
      <c r="G31" s="329" t="n"/>
      <c r="H31" s="329" t="n"/>
      <c r="I31" s="329" t="n"/>
      <c r="J31" s="329" t="n"/>
      <c r="K31" s="329" t="n"/>
      <c r="L31" s="329" t="n"/>
      <c r="M31" s="329" t="n"/>
      <c r="N31" s="329" t="n"/>
      <c r="O31" s="329" t="n"/>
      <c r="P31" s="329" t="n"/>
      <c r="Q31" s="329" t="n"/>
      <c r="R31" s="329" t="n"/>
      <c r="S31" s="329" t="n"/>
      <c r="T31" s="329" t="n"/>
      <c r="U31" s="329" t="n"/>
      <c r="V31" s="329" t="n"/>
      <c r="W31" s="329" t="n"/>
      <c r="X31" s="329" t="n"/>
      <c r="Y31" s="329" t="n"/>
      <c r="Z31" s="329" t="n"/>
      <c r="AA31" s="329" t="n"/>
      <c r="AB31" s="329" t="n"/>
      <c r="AC31" s="329" t="n"/>
      <c r="AD31" s="329" t="n"/>
      <c r="AE31" s="329" t="n"/>
    </row>
    <row r="32">
      <c r="A32" s="329" t="n">
        <v>7</v>
      </c>
      <c r="B32" s="329" t="inlineStr">
        <is>
          <t>Client Count Derivation</t>
        </is>
      </c>
      <c r="C32" s="329" t="inlineStr">
        <is>
          <t>Unique Client Count is derived from the Client List. Never manually counted, never estimated.</t>
        </is>
      </c>
      <c r="D32" s="329" t="n"/>
      <c r="E32" s="329" t="n"/>
      <c r="F32" s="329" t="n"/>
      <c r="G32" s="329" t="n"/>
      <c r="H32" s="329" t="n"/>
      <c r="I32" s="329" t="n"/>
      <c r="J32" s="329" t="n"/>
      <c r="K32" s="329" t="n"/>
      <c r="L32" s="329" t="n"/>
      <c r="M32" s="329" t="n"/>
      <c r="N32" s="329" t="n"/>
      <c r="O32" s="329" t="n"/>
      <c r="P32" s="329" t="n"/>
      <c r="Q32" s="329" t="n"/>
      <c r="R32" s="329" t="n"/>
      <c r="S32" s="329" t="n"/>
      <c r="T32" s="329" t="n"/>
      <c r="U32" s="329" t="n"/>
      <c r="V32" s="329" t="n"/>
      <c r="W32" s="329" t="n"/>
      <c r="X32" s="329" t="n"/>
      <c r="Y32" s="329" t="n"/>
      <c r="Z32" s="329" t="n"/>
      <c r="AA32" s="329" t="n"/>
      <c r="AB32" s="329" t="n"/>
      <c r="AC32" s="329" t="n"/>
      <c r="AD32" s="329" t="n"/>
      <c r="AE32" s="329" t="n"/>
    </row>
    <row r="33">
      <c r="A33" s="329" t="n">
        <v>8</v>
      </c>
      <c r="B33" s="329" t="inlineStr">
        <is>
          <t>Service Event Count Derivation</t>
        </is>
      </c>
      <c r="C33" s="329" t="inlineStr">
        <is>
          <t>Service Event Count is derived from the Timeline. The latest completed timeline position equals completed service events.</t>
        </is>
      </c>
      <c r="D33" s="329" t="n"/>
      <c r="E33" s="329" t="n"/>
      <c r="F33" s="329" t="n"/>
      <c r="G33" s="329" t="n"/>
      <c r="H33" s="329" t="n"/>
      <c r="I33" s="329" t="n"/>
      <c r="J33" s="329" t="n"/>
      <c r="K33" s="329" t="n"/>
      <c r="L33" s="329" t="n"/>
      <c r="M33" s="329" t="n"/>
      <c r="N33" s="329" t="n"/>
      <c r="O33" s="329" t="n"/>
      <c r="P33" s="329" t="n"/>
      <c r="Q33" s="329" t="n"/>
      <c r="R33" s="329" t="n"/>
      <c r="S33" s="329" t="n"/>
      <c r="T33" s="329" t="n"/>
      <c r="U33" s="329" t="n"/>
      <c r="V33" s="329" t="n"/>
      <c r="W33" s="329" t="n"/>
      <c r="X33" s="329" t="n"/>
      <c r="Y33" s="329" t="n"/>
      <c r="Z33" s="329" t="n"/>
      <c r="AA33" s="329" t="n"/>
      <c r="AB33" s="329" t="n"/>
      <c r="AC33" s="329" t="n"/>
      <c r="AD33" s="329" t="n"/>
      <c r="AE33" s="329" t="n"/>
    </row>
    <row r="34">
      <c r="A34" s="329" t="n">
        <v>9</v>
      </c>
      <c r="B34" s="329" t="inlineStr">
        <is>
          <t>Barrister Authoritative Mode</t>
        </is>
      </c>
      <c r="C34" s="329" t="inlineStr">
        <is>
          <t>Within the Barrister project, user-provided Barrister facts are authoritative. When the user states a ticket is closed, it is closed. Do not downgrade to pending, assumed, likely, or probable unless the user explicitly indicates uncertainty.</t>
        </is>
      </c>
      <c r="D34" s="329" t="n"/>
      <c r="E34" s="329" t="n"/>
      <c r="F34" s="329" t="n"/>
      <c r="G34" s="329" t="n"/>
      <c r="H34" s="329" t="n"/>
      <c r="I34" s="329" t="n"/>
      <c r="J34" s="329" t="n"/>
      <c r="K34" s="329" t="n"/>
      <c r="L34" s="329" t="n"/>
      <c r="M34" s="329" t="n"/>
      <c r="N34" s="329" t="n"/>
      <c r="O34" s="329" t="n"/>
      <c r="P34" s="329" t="n"/>
      <c r="Q34" s="329" t="n"/>
      <c r="R34" s="329" t="n"/>
      <c r="S34" s="329" t="n"/>
      <c r="T34" s="329" t="n"/>
      <c r="U34" s="329" t="n"/>
      <c r="V34" s="329" t="n"/>
      <c r="W34" s="329" t="n"/>
      <c r="X34" s="329" t="n"/>
      <c r="Y34" s="329" t="n"/>
      <c r="Z34" s="329" t="n"/>
      <c r="AA34" s="329" t="n"/>
      <c r="AB34" s="329" t="n"/>
      <c r="AC34" s="329" t="n"/>
      <c r="AD34" s="329" t="n"/>
      <c r="AE34" s="329" t="n"/>
    </row>
    <row r="35">
      <c r="A35" s="329" t="n">
        <v>10</v>
      </c>
      <c r="B35" s="329" t="inlineStr">
        <is>
          <t>Scheduled vs Completed</t>
        </is>
      </c>
      <c r="C35" s="329" t="inlineStr">
        <is>
          <t>Timeline may contain Completed and Scheduled entries. Completed visits affect the completed scorecard. Scheduled visits are labeled and do not count as completed service events until closed.</t>
        </is>
      </c>
      <c r="D35" s="329" t="n"/>
      <c r="E35" s="329" t="n"/>
      <c r="F35" s="329" t="n"/>
      <c r="G35" s="329" t="n"/>
      <c r="H35" s="329" t="n"/>
      <c r="I35" s="329" t="n"/>
      <c r="J35" s="329" t="n"/>
      <c r="K35" s="329" t="n"/>
      <c r="L35" s="329" t="n"/>
      <c r="M35" s="329" t="n"/>
      <c r="N35" s="329" t="n"/>
      <c r="O35" s="329" t="n"/>
      <c r="P35" s="329" t="n"/>
      <c r="Q35" s="329" t="n"/>
      <c r="R35" s="329" t="n"/>
      <c r="S35" s="329" t="n"/>
      <c r="T35" s="329" t="n"/>
      <c r="U35" s="329" t="n"/>
      <c r="V35" s="329" t="n"/>
      <c r="W35" s="329" t="n"/>
      <c r="X35" s="329" t="n"/>
      <c r="Y35" s="329" t="n"/>
      <c r="Z35" s="329" t="n"/>
      <c r="AA35" s="329" t="n"/>
      <c r="AB35" s="329" t="n"/>
      <c r="AC35" s="329" t="n"/>
      <c r="AD35" s="329" t="n"/>
      <c r="AE35" s="329" t="n"/>
    </row>
    <row r="36">
      <c r="A36" s="329" t="n">
        <v>11</v>
      </c>
      <c r="B36" s="329" t="inlineStr">
        <is>
          <t>Awarded Clients</t>
        </is>
      </c>
      <c r="C36" s="329" t="inlineStr">
        <is>
          <t>A client may exist before the first visit. Awarded clients appear on the Client List, but no timeline entry is created until the first visit occurs.</t>
        </is>
      </c>
      <c r="D36" s="329" t="n"/>
      <c r="E36" s="329" t="n"/>
      <c r="F36" s="329" t="n"/>
      <c r="G36" s="329" t="n"/>
      <c r="H36" s="329" t="n"/>
      <c r="I36" s="329" t="n"/>
      <c r="J36" s="329" t="n"/>
      <c r="K36" s="329" t="n"/>
      <c r="L36" s="329" t="n"/>
      <c r="M36" s="329" t="n"/>
      <c r="N36" s="329" t="n"/>
      <c r="O36" s="329" t="n"/>
      <c r="P36" s="329" t="n"/>
      <c r="Q36" s="329" t="n"/>
      <c r="R36" s="329" t="n"/>
      <c r="S36" s="329" t="n"/>
      <c r="T36" s="329" t="n"/>
      <c r="U36" s="329" t="n"/>
      <c r="V36" s="329" t="n"/>
      <c r="W36" s="329" t="n"/>
      <c r="X36" s="329" t="n"/>
      <c r="Y36" s="329" t="n"/>
      <c r="Z36" s="329" t="n"/>
      <c r="AA36" s="329" t="n"/>
      <c r="AB36" s="329" t="n"/>
      <c r="AC36" s="329" t="n"/>
      <c r="AD36" s="329" t="n"/>
      <c r="AE36" s="329" t="n"/>
    </row>
    <row r="37">
      <c r="A37" s="329" t="n">
        <v>12</v>
      </c>
      <c r="B37" s="329" t="inlineStr">
        <is>
          <t>Location Standardization</t>
        </is>
      </c>
      <c r="C37" s="329" t="inlineStr">
        <is>
          <t>Use DC directional abbreviation format only: DC, NW / DC, NE / DC, SW / DC, SE. Do not spell out Northwest, Southwest, etc.</t>
        </is>
      </c>
      <c r="D37" s="329" t="n"/>
      <c r="E37" s="329" t="n"/>
      <c r="F37" s="329" t="n"/>
      <c r="G37" s="329" t="n"/>
      <c r="H37" s="329" t="n"/>
      <c r="I37" s="329" t="n"/>
      <c r="J37" s="329" t="n"/>
      <c r="K37" s="329" t="n"/>
      <c r="L37" s="329" t="n"/>
      <c r="M37" s="329" t="n"/>
      <c r="N37" s="329" t="n"/>
      <c r="O37" s="329" t="n"/>
      <c r="P37" s="329" t="n"/>
      <c r="Q37" s="329" t="n"/>
      <c r="R37" s="329" t="n"/>
      <c r="S37" s="329" t="n"/>
      <c r="T37" s="329" t="n"/>
      <c r="U37" s="329" t="n"/>
      <c r="V37" s="329" t="n"/>
      <c r="W37" s="329" t="n"/>
      <c r="X37" s="329" t="n"/>
      <c r="Y37" s="329" t="n"/>
      <c r="Z37" s="329" t="n"/>
      <c r="AA37" s="329" t="n"/>
      <c r="AB37" s="329" t="n"/>
      <c r="AC37" s="329" t="n"/>
      <c r="AD37" s="329" t="n"/>
      <c r="AE37" s="329" t="n"/>
    </row>
    <row r="38">
      <c r="A38" s="329" t="n">
        <v>13</v>
      </c>
      <c r="B38" s="329" t="inlineStr">
        <is>
          <t>Government Office Naming</t>
        </is>
      </c>
      <c r="C38" s="329" t="inlineStr">
        <is>
          <t>Senatorial offices are individual clients. Use Office of MD Senator Chris Van Hollen and Office of MD Senator Angela Alsobrooks.</t>
        </is>
      </c>
      <c r="D38" s="329" t="n"/>
      <c r="E38" s="329" t="n"/>
      <c r="F38" s="329" t="n"/>
      <c r="G38" s="329" t="n"/>
      <c r="H38" s="329" t="n"/>
      <c r="I38" s="329" t="n"/>
      <c r="J38" s="329" t="n"/>
      <c r="K38" s="329" t="n"/>
      <c r="L38" s="329" t="n"/>
      <c r="M38" s="329" t="n"/>
      <c r="N38" s="329" t="n"/>
      <c r="O38" s="329" t="n"/>
      <c r="P38" s="329" t="n"/>
      <c r="Q38" s="329" t="n"/>
      <c r="R38" s="329" t="n"/>
      <c r="S38" s="329" t="n"/>
      <c r="T38" s="329" t="n"/>
      <c r="U38" s="329" t="n"/>
      <c r="V38" s="329" t="n"/>
      <c r="W38" s="329" t="n"/>
      <c r="X38" s="329" t="n"/>
      <c r="Y38" s="329" t="n"/>
      <c r="Z38" s="329" t="n"/>
      <c r="AA38" s="329" t="n"/>
      <c r="AB38" s="329" t="n"/>
      <c r="AC38" s="329" t="n"/>
      <c r="AD38" s="329" t="n"/>
      <c r="AE38" s="329" t="n"/>
    </row>
    <row r="39">
      <c r="A39" s="329" t="n">
        <v>14</v>
      </c>
      <c r="B39" s="329" t="inlineStr">
        <is>
          <t>Client vs Technology</t>
        </is>
      </c>
      <c r="C39" s="329" t="inlineStr">
        <is>
          <t>Clients are organizations visited. Technologies, manufacturers, devices, and problem types are not clients.</t>
        </is>
      </c>
      <c r="D39" s="329" t="n"/>
      <c r="E39" s="329" t="n"/>
      <c r="F39" s="329" t="n"/>
      <c r="G39" s="329" t="n"/>
      <c r="H39" s="329" t="n"/>
      <c r="I39" s="329" t="n"/>
      <c r="J39" s="329" t="n"/>
      <c r="K39" s="329" t="n"/>
      <c r="L39" s="329" t="n"/>
      <c r="M39" s="329" t="n"/>
      <c r="N39" s="329" t="n"/>
      <c r="O39" s="329" t="n"/>
      <c r="P39" s="329" t="n"/>
      <c r="Q39" s="329" t="n"/>
      <c r="R39" s="329" t="n"/>
      <c r="S39" s="329" t="n"/>
      <c r="T39" s="329" t="n"/>
      <c r="U39" s="329" t="n"/>
      <c r="V39" s="329" t="n"/>
      <c r="W39" s="329" t="n"/>
      <c r="X39" s="329" t="n"/>
      <c r="Y39" s="329" t="n"/>
      <c r="Z39" s="329" t="n"/>
      <c r="AA39" s="329" t="n"/>
      <c r="AB39" s="329" t="n"/>
      <c r="AC39" s="329" t="n"/>
      <c r="AD39" s="329" t="n"/>
      <c r="AE39" s="329" t="n"/>
    </row>
    <row r="40">
      <c r="A40" s="329" t="n">
        <v>15</v>
      </c>
      <c r="B40" s="329" t="inlineStr">
        <is>
          <t>Weekly Closeout Procedure</t>
        </is>
      </c>
      <c r="C40" s="329" t="inlineStr">
        <is>
          <t>End of week procedure: update timeline, update client list, update scorecard, apply corrections, verify chronology, save new workbook version, then begin the next week.</t>
        </is>
      </c>
      <c r="D40" s="329" t="n"/>
      <c r="E40" s="329" t="n"/>
      <c r="F40" s="329" t="n"/>
      <c r="G40" s="329" t="n"/>
      <c r="H40" s="329" t="n"/>
      <c r="I40" s="329" t="n"/>
      <c r="J40" s="329" t="n"/>
      <c r="K40" s="329" t="n"/>
      <c r="L40" s="329" t="n"/>
      <c r="M40" s="329" t="n"/>
      <c r="N40" s="329" t="n"/>
      <c r="O40" s="329" t="n"/>
      <c r="P40" s="329" t="n"/>
      <c r="Q40" s="329" t="n"/>
      <c r="R40" s="329" t="n"/>
      <c r="S40" s="329" t="n"/>
      <c r="T40" s="329" t="n"/>
      <c r="U40" s="329" t="n"/>
      <c r="V40" s="329" t="n"/>
      <c r="W40" s="329" t="n"/>
      <c r="X40" s="329" t="n"/>
      <c r="Y40" s="329" t="n"/>
      <c r="Z40" s="329" t="n"/>
      <c r="AA40" s="329" t="n"/>
      <c r="AB40" s="329" t="n"/>
      <c r="AC40" s="329" t="n"/>
      <c r="AD40" s="329" t="n"/>
      <c r="AE40" s="329" t="n"/>
    </row>
    <row r="41">
      <c r="A41" s="329" t="n">
        <v>16</v>
      </c>
      <c r="B41" s="329" t="inlineStr">
        <is>
          <t>Structured Record System</t>
        </is>
      </c>
      <c r="C41" s="329" t="inlineStr">
        <is>
          <t>Barrister operates as a structured record system with conversations happening around it. The record is primary. The conversation supports the record.</t>
        </is>
      </c>
      <c r="D41" s="329" t="n"/>
      <c r="E41" s="329" t="n"/>
      <c r="F41" s="329" t="n"/>
      <c r="G41" s="329" t="n"/>
      <c r="H41" s="329" t="n"/>
      <c r="I41" s="329" t="n"/>
      <c r="J41" s="329" t="n"/>
      <c r="K41" s="329" t="n"/>
      <c r="L41" s="329" t="n"/>
      <c r="M41" s="329" t="n"/>
      <c r="N41" s="329" t="n"/>
      <c r="O41" s="329" t="n"/>
      <c r="P41" s="329" t="n"/>
      <c r="Q41" s="329" t="n"/>
      <c r="R41" s="329" t="n"/>
      <c r="S41" s="329" t="n"/>
      <c r="T41" s="329" t="n"/>
      <c r="U41" s="329" t="n"/>
      <c r="V41" s="329" t="n"/>
      <c r="W41" s="329" t="n"/>
      <c r="X41" s="329" t="n"/>
      <c r="Y41" s="329" t="n"/>
      <c r="Z41" s="329" t="n"/>
      <c r="AA41" s="329" t="n"/>
      <c r="AB41" s="329" t="n"/>
      <c r="AC41" s="329" t="n"/>
      <c r="AD41" s="329" t="n"/>
      <c r="AE41" s="329" t="n"/>
    </row>
    <row r="42">
      <c r="A42" s="329" t="inlineStr">
        <is>
          <t>Financial Status Rule</t>
        </is>
      </c>
      <c r="B42" s="329" t="inlineStr">
        <is>
          <t>Timeline Verified? column uses ☑ / ⚠ / ☐</t>
        </is>
      </c>
      <c r="C42" s="329" t="inlineStr">
        <is>
          <t>☑ = closed, ⚠ = follow-up, ☐ = awaiting confirmation</t>
        </is>
      </c>
      <c r="D42" s="329" t="n"/>
      <c r="E42" s="329" t="n"/>
      <c r="F42" s="329" t="n"/>
      <c r="G42" s="329" t="n"/>
      <c r="H42" s="329" t="n"/>
      <c r="I42" s="329" t="n"/>
      <c r="J42" s="329" t="n"/>
      <c r="K42" s="329" t="n"/>
      <c r="L42" s="329" t="n"/>
      <c r="M42" s="329" t="n"/>
      <c r="N42" s="329" t="n"/>
      <c r="O42" s="329" t="n"/>
      <c r="P42" s="329" t="n"/>
      <c r="Q42" s="329" t="n"/>
      <c r="R42" s="329" t="n"/>
      <c r="S42" s="329" t="n"/>
      <c r="T42" s="329" t="n"/>
      <c r="U42" s="329" t="n"/>
      <c r="V42" s="329" t="n"/>
      <c r="W42" s="329" t="n"/>
      <c r="X42" s="329" t="n"/>
      <c r="Y42" s="329" t="n"/>
      <c r="Z42" s="329" t="n"/>
      <c r="AA42" s="329" t="n"/>
      <c r="AB42" s="329" t="n"/>
      <c r="AC42" s="329" t="n"/>
      <c r="AD42" s="329" t="n"/>
      <c r="AE42" s="329" t="n"/>
    </row>
    <row r="43">
      <c r="A43" s="329" t="inlineStr">
        <is>
          <t>ACH Checkbox Rule</t>
        </is>
      </c>
      <c r="B43" s="329" t="inlineStr">
        <is>
          <t>Practical ledger mode</t>
        </is>
      </c>
      <c r="C43" s="329" t="inlineStr">
        <is>
          <t>☑ can reflect financially closed status, not only freshly discovered ACH</t>
        </is>
      </c>
      <c r="D43" s="329" t="n"/>
      <c r="E43" s="329" t="n"/>
      <c r="F43" s="329" t="n"/>
      <c r="G43" s="329" t="n"/>
      <c r="H43" s="329" t="n"/>
      <c r="I43" s="329" t="n"/>
      <c r="J43" s="329" t="n"/>
      <c r="K43" s="329" t="n"/>
      <c r="L43" s="329" t="n"/>
      <c r="M43" s="329" t="n"/>
      <c r="N43" s="329" t="n"/>
      <c r="O43" s="329" t="n"/>
      <c r="P43" s="329" t="n"/>
      <c r="Q43" s="329" t="n"/>
      <c r="R43" s="329" t="n"/>
      <c r="S43" s="329" t="n"/>
      <c r="T43" s="329" t="n"/>
      <c r="U43" s="329" t="n"/>
      <c r="V43" s="329" t="n"/>
      <c r="W43" s="329" t="n"/>
      <c r="X43" s="329" t="n"/>
      <c r="Y43" s="329" t="n"/>
      <c r="Z43" s="329" t="n"/>
      <c r="AA43" s="329" t="n"/>
      <c r="AB43" s="329" t="n"/>
      <c r="AC43" s="329" t="n"/>
      <c r="AD43" s="329" t="n"/>
      <c r="AE43" s="329" t="n"/>
    </row>
    <row r="44">
      <c r="A44" s="329" t="inlineStr">
        <is>
          <t>Current Follow-Up Rows</t>
        </is>
      </c>
      <c r="B44" s="329" t="inlineStr">
        <is>
          <t>#1, #11, #38</t>
        </is>
      </c>
      <c r="C44" s="329" t="inlineStr">
        <is>
          <t>Macy's Fairfax, Food Lion Leesburg, 7-Eleven Lanham</t>
        </is>
      </c>
      <c r="D44" s="329" t="n"/>
      <c r="E44" s="329" t="n"/>
      <c r="F44" s="329" t="n"/>
      <c r="G44" s="329" t="n"/>
      <c r="H44" s="329" t="n"/>
      <c r="I44" s="329" t="n"/>
      <c r="J44" s="329" t="n"/>
      <c r="K44" s="329" t="n"/>
      <c r="L44" s="329" t="n"/>
      <c r="M44" s="329" t="n"/>
      <c r="N44" s="329" t="n"/>
      <c r="O44" s="329" t="n"/>
      <c r="P44" s="329" t="n"/>
      <c r="Q44" s="329" t="n"/>
      <c r="R44" s="329" t="n"/>
      <c r="S44" s="329" t="n"/>
      <c r="T44" s="329" t="n"/>
      <c r="U44" s="329" t="n"/>
      <c r="V44" s="329" t="n"/>
      <c r="W44" s="329" t="n"/>
      <c r="X44" s="329" t="n"/>
      <c r="Y44" s="329" t="n"/>
      <c r="Z44" s="329" t="n"/>
      <c r="AA44" s="329" t="n"/>
      <c r="AB44" s="329" t="n"/>
      <c r="AC44" s="329" t="n"/>
      <c r="AD44" s="329" t="n"/>
      <c r="AE44" s="329" t="n"/>
    </row>
    <row r="45">
      <c r="A45" s="329" t="inlineStr">
        <is>
          <t>Current Awaiting Rows</t>
        </is>
      </c>
      <c r="B45" s="329" t="inlineStr">
        <is>
          <t>#41-#47</t>
        </is>
      </c>
      <c r="C45" s="329" t="inlineStr">
        <is>
          <t>Baskin Robbins through Alsobrooks</t>
        </is>
      </c>
      <c r="D45" s="329" t="n"/>
      <c r="E45" s="329" t="n"/>
      <c r="F45" s="329" t="n"/>
      <c r="G45" s="329" t="n"/>
      <c r="H45" s="329" t="n"/>
      <c r="I45" s="329" t="n"/>
      <c r="J45" s="329" t="n"/>
      <c r="K45" s="329" t="n"/>
      <c r="L45" s="329" t="n"/>
      <c r="M45" s="329" t="n"/>
      <c r="N45" s="329" t="n"/>
      <c r="O45" s="329" t="n"/>
      <c r="P45" s="329" t="n"/>
      <c r="Q45" s="329" t="n"/>
      <c r="R45" s="329" t="n"/>
      <c r="S45" s="329" t="n"/>
      <c r="T45" s="329" t="n"/>
      <c r="U45" s="329" t="n"/>
      <c r="V45" s="329" t="n"/>
      <c r="W45" s="329" t="n"/>
      <c r="X45" s="329" t="n"/>
      <c r="Y45" s="329" t="n"/>
      <c r="Z45" s="329" t="n"/>
      <c r="AA45" s="329" t="n"/>
      <c r="AB45" s="329" t="n"/>
      <c r="AC45" s="329" t="n"/>
      <c r="AD45" s="329" t="n"/>
      <c r="AE45" s="329" t="n"/>
    </row>
    <row r="46">
      <c r="A46" s="329" t="inlineStr">
        <is>
          <t>Accepted Deltas</t>
        </is>
      </c>
      <c r="B46" s="329" t="inlineStr">
        <is>
          <t>#44-#47</t>
        </is>
      </c>
      <c r="C46" s="329" t="inlineStr">
        <is>
          <t>Marshalls Frederick, Montpelier Liquors, Marshalls Laurel, Alsobrooks completed</t>
        </is>
      </c>
      <c r="D46" s="329" t="n"/>
      <c r="E46" s="329" t="n"/>
      <c r="F46" s="329" t="n"/>
      <c r="G46" s="329" t="n"/>
      <c r="H46" s="329" t="n"/>
      <c r="I46" s="329" t="n"/>
      <c r="J46" s="329" t="n"/>
      <c r="K46" s="329" t="n"/>
      <c r="L46" s="329" t="n"/>
      <c r="M46" s="329" t="n"/>
      <c r="N46" s="329" t="n"/>
      <c r="O46" s="329" t="n"/>
      <c r="P46" s="329" t="n"/>
      <c r="Q46" s="329" t="n"/>
      <c r="R46" s="329" t="n"/>
      <c r="S46" s="329" t="n"/>
      <c r="T46" s="329" t="n"/>
      <c r="U46" s="329" t="n"/>
      <c r="V46" s="329" t="n"/>
      <c r="W46" s="329" t="n"/>
      <c r="X46" s="329" t="n"/>
      <c r="Y46" s="329" t="n"/>
      <c r="Z46" s="329" t="n"/>
      <c r="AA46" s="329" t="n"/>
      <c r="AB46" s="329" t="n"/>
      <c r="AC46" s="329" t="n"/>
      <c r="AD46" s="329" t="n"/>
      <c r="AE46" s="329" t="n"/>
    </row>
    <row r="47">
      <c r="A47" s="329" t="inlineStr">
        <is>
          <t>Ledger Delta Rule</t>
        </is>
      </c>
      <c r="B47" s="329" t="inlineStr">
        <is>
          <t>Apply accepted financial deltas directly to master workbook</t>
        </is>
      </c>
      <c r="C47" s="329" t="inlineStr">
        <is>
          <t>Do not rebuild chronology; update only affected rows/notes/status.</t>
        </is>
      </c>
      <c r="D47" s="329" t="n"/>
      <c r="E47" s="329" t="n"/>
      <c r="F47" s="329" t="n"/>
      <c r="G47" s="329" t="n"/>
      <c r="H47" s="329" t="n"/>
      <c r="I47" s="329" t="n"/>
      <c r="J47" s="329" t="n"/>
      <c r="K47" s="329" t="n"/>
      <c r="L47" s="329" t="n"/>
      <c r="M47" s="329" t="n"/>
      <c r="N47" s="329" t="n"/>
      <c r="O47" s="329" t="n"/>
      <c r="P47" s="329" t="n"/>
      <c r="Q47" s="329" t="n"/>
      <c r="R47" s="329" t="n"/>
      <c r="S47" s="329" t="n"/>
      <c r="T47" s="329" t="n"/>
      <c r="U47" s="329" t="n"/>
      <c r="V47" s="329" t="n"/>
      <c r="W47" s="329" t="n"/>
      <c r="X47" s="329" t="n"/>
      <c r="Y47" s="329" t="n"/>
      <c r="Z47" s="329" t="n"/>
      <c r="AA47" s="329" t="n"/>
      <c r="AB47" s="329" t="n"/>
      <c r="AC47" s="329" t="n"/>
      <c r="AD47" s="329" t="n"/>
      <c r="AE47" s="329" t="n"/>
    </row>
    <row r="48">
      <c r="A48" s="329" t="inlineStr">
        <is>
          <t>Catalina Naming Rule</t>
        </is>
      </c>
      <c r="B48" s="329" t="inlineStr">
        <is>
          <t>Catalina is a program/ticket type, not the client name</t>
        </is>
      </c>
      <c r="C48" s="329" t="inlineStr">
        <is>
          <t>Use actual store as client; #49 is Weis Markets Callaway.</t>
        </is>
      </c>
      <c r="D48" s="329" t="n"/>
      <c r="E48" s="329" t="n"/>
      <c r="F48" s="329" t="n"/>
      <c r="G48" s="329" t="n"/>
      <c r="H48" s="329" t="n"/>
      <c r="I48" s="329" t="n"/>
      <c r="J48" s="329" t="n"/>
      <c r="K48" s="329" t="n"/>
      <c r="L48" s="329" t="n"/>
      <c r="M48" s="329" t="n"/>
      <c r="N48" s="329" t="n"/>
      <c r="O48" s="329" t="n"/>
      <c r="P48" s="329" t="n"/>
      <c r="Q48" s="329" t="n"/>
      <c r="R48" s="329" t="n"/>
      <c r="S48" s="329" t="n"/>
      <c r="T48" s="329" t="n"/>
      <c r="U48" s="329" t="n"/>
      <c r="V48" s="329" t="n"/>
      <c r="W48" s="329" t="n"/>
      <c r="X48" s="329" t="n"/>
      <c r="Y48" s="329" t="n"/>
      <c r="Z48" s="329" t="n"/>
      <c r="AA48" s="329" t="n"/>
      <c r="AB48" s="329" t="n"/>
      <c r="AC48" s="329" t="n"/>
      <c r="AD48" s="329" t="n"/>
      <c r="AE48" s="329" t="n"/>
    </row>
    <row r="49">
      <c r="A49" s="329" t="inlineStr">
        <is>
          <t>Hebrew Home 2-WO Rule</t>
        </is>
      </c>
      <c r="B49" s="329" t="inlineStr">
        <is>
          <t>One onsite visit, two work orders</t>
        </is>
      </c>
      <c r="C49" s="329" t="inlineStr">
        <is>
          <t>Timeline counts one visit; audit tracks 5905576 and 5905579 financial disposition.</t>
        </is>
      </c>
      <c r="D49" s="329" t="n"/>
      <c r="E49" s="329" t="n"/>
      <c r="F49" s="329" t="n"/>
      <c r="G49" s="329" t="n"/>
      <c r="H49" s="329" t="n"/>
      <c r="I49" s="329" t="n"/>
      <c r="J49" s="329" t="n"/>
      <c r="K49" s="329" t="n"/>
      <c r="L49" s="329" t="n"/>
      <c r="M49" s="329" t="n"/>
      <c r="N49" s="329" t="n"/>
      <c r="O49" s="329" t="n"/>
      <c r="P49" s="329" t="n"/>
      <c r="Q49" s="329" t="n"/>
      <c r="R49" s="329" t="n"/>
      <c r="S49" s="329" t="n"/>
      <c r="T49" s="329" t="n"/>
      <c r="U49" s="329" t="n"/>
      <c r="V49" s="329" t="n"/>
      <c r="W49" s="329" t="n"/>
      <c r="X49" s="329" t="n"/>
      <c r="Y49" s="329" t="n"/>
      <c r="Z49" s="329" t="n"/>
      <c r="AA49" s="329" t="n"/>
      <c r="AB49" s="329" t="n"/>
      <c r="AC49" s="329" t="n"/>
      <c r="AD49" s="329" t="n"/>
      <c r="AE49" s="329" t="n"/>
    </row>
    <row r="50">
      <c r="A50" s="329" t="inlineStr">
        <is>
          <t>Payment Timing Rule</t>
        </is>
      </c>
      <c r="B50" s="329" t="inlineStr">
        <is>
          <t>Most breakdown/ACH updates arrive morning/noon</t>
        </is>
      </c>
      <c r="C50" s="329" t="inlineStr">
        <is>
          <t>After Friday update, wait until Monday unless new evidence appears.</t>
        </is>
      </c>
      <c r="D50" s="329" t="n"/>
      <c r="E50" s="329" t="n"/>
      <c r="F50" s="329" t="n"/>
      <c r="G50" s="329" t="n"/>
      <c r="H50" s="329" t="n"/>
      <c r="I50" s="329" t="n"/>
      <c r="J50" s="329" t="n"/>
      <c r="K50" s="329" t="n"/>
      <c r="L50" s="329" t="n"/>
      <c r="M50" s="329" t="n"/>
      <c r="N50" s="329" t="n"/>
      <c r="O50" s="329" t="n"/>
      <c r="P50" s="329" t="n"/>
      <c r="Q50" s="329" t="n"/>
      <c r="R50" s="329" t="n"/>
      <c r="S50" s="329" t="n"/>
      <c r="T50" s="329" t="n"/>
      <c r="U50" s="329" t="n"/>
      <c r="V50" s="329" t="n"/>
      <c r="W50" s="329" t="n"/>
      <c r="X50" s="329" t="n"/>
      <c r="Y50" s="329" t="n"/>
      <c r="Z50" s="329" t="n"/>
      <c r="AA50" s="329" t="n"/>
      <c r="AB50" s="329" t="n"/>
      <c r="AC50" s="329" t="n"/>
      <c r="AD50" s="329" t="n"/>
      <c r="AE50" s="329" t="n"/>
    </row>
    <row r="51">
      <c r="A51" s="329" t="inlineStr">
        <is>
          <t>Practical Verified Rule</t>
        </is>
      </c>
      <c r="B51" s="329" t="inlineStr">
        <is>
          <t>☑ means financially updated/closed enough for current ledger</t>
        </is>
      </c>
      <c r="C51" s="329" t="inlineStr">
        <is>
          <t>⚠ means action/follow-up; ☐ means awaiting normal payment cycle.</t>
        </is>
      </c>
      <c r="D51" s="329" t="n"/>
      <c r="E51" s="329" t="n"/>
      <c r="F51" s="329" t="n"/>
      <c r="G51" s="329" t="n"/>
      <c r="H51" s="329" t="n"/>
      <c r="I51" s="329" t="n"/>
      <c r="J51" s="329" t="n"/>
      <c r="K51" s="329" t="n"/>
      <c r="L51" s="329" t="n"/>
      <c r="M51" s="329" t="n"/>
      <c r="N51" s="329" t="n"/>
      <c r="O51" s="329" t="n"/>
      <c r="P51" s="329" t="n"/>
      <c r="Q51" s="329" t="n"/>
      <c r="R51" s="329" t="n"/>
      <c r="S51" s="329" t="n"/>
      <c r="T51" s="329" t="n"/>
      <c r="U51" s="329" t="n"/>
      <c r="V51" s="329" t="n"/>
      <c r="W51" s="329" t="n"/>
      <c r="X51" s="329" t="n"/>
      <c r="Y51" s="329" t="n"/>
      <c r="Z51" s="329" t="n"/>
      <c r="AA51" s="329" t="n"/>
      <c r="AB51" s="329" t="n"/>
      <c r="AC51" s="329" t="n"/>
      <c r="AD51" s="329" t="n"/>
      <c r="AE51" s="329" t="n"/>
    </row>
    <row r="52">
      <c r="A52" s="329" t="inlineStr">
        <is>
          <t>Latest Delta</t>
        </is>
      </c>
      <c r="B52" s="329" t="inlineStr">
        <is>
          <t>#43, #47, #48, #49</t>
        </is>
      </c>
      <c r="C52" s="329" t="inlineStr">
        <is>
          <t>Verizon Lanham $50; Alsobrooks $130; Hebrew warning; Weis Callaway added.</t>
        </is>
      </c>
      <c r="D52" s="329" t="n"/>
      <c r="E52" s="329" t="n"/>
      <c r="F52" s="329" t="n"/>
      <c r="G52" s="329" t="n"/>
      <c r="H52" s="329" t="n"/>
      <c r="I52" s="329" t="n"/>
      <c r="J52" s="329" t="n"/>
      <c r="K52" s="329" t="n"/>
      <c r="L52" s="329" t="n"/>
      <c r="M52" s="329" t="n"/>
      <c r="N52" s="329" t="n"/>
      <c r="O52" s="329" t="n"/>
      <c r="P52" s="329" t="n"/>
      <c r="Q52" s="329" t="n"/>
      <c r="R52" s="329" t="n"/>
      <c r="S52" s="329" t="n"/>
      <c r="T52" s="329" t="n"/>
      <c r="U52" s="329" t="n"/>
      <c r="V52" s="329" t="n"/>
      <c r="W52" s="329" t="n"/>
      <c r="X52" s="329" t="n"/>
      <c r="Y52" s="329" t="n"/>
      <c r="Z52" s="329" t="n"/>
      <c r="AA52" s="329" t="n"/>
      <c r="AB52" s="329" t="n"/>
      <c r="AC52" s="329" t="n"/>
      <c r="AD52" s="329" t="n"/>
      <c r="AE52" s="329" t="n"/>
    </row>
    <row r="53">
      <c r="A53" s="329" t="inlineStr">
        <is>
          <t>Rule 0 — Engine Gate</t>
        </is>
      </c>
      <c r="B53" s="329" t="inlineStr">
        <is>
          <t>No ledger update may be applied unless the Work Order uniquely maps to exactly one authoritative Timeline event through the Work Order Index / WO Alias Index.</t>
        </is>
      </c>
      <c r="C53" s="329" t="inlineStr">
        <is>
          <t>If mapping is missing, duplicated, or flagged review, stop and classify as VERIFY / Mapping Review.</t>
        </is>
      </c>
      <c r="D53" s="329" t="n"/>
      <c r="E53" s="329" t="n"/>
      <c r="F53" s="329" t="n"/>
      <c r="G53" s="329" t="n"/>
      <c r="H53" s="329" t="n"/>
      <c r="I53" s="329" t="n"/>
      <c r="J53" s="329" t="n"/>
      <c r="K53" s="329" t="n"/>
      <c r="L53" s="329" t="n"/>
      <c r="M53" s="329" t="n"/>
      <c r="N53" s="329" t="n"/>
      <c r="O53" s="329" t="n"/>
      <c r="P53" s="329" t="n"/>
      <c r="Q53" s="329" t="n"/>
      <c r="R53" s="329" t="n"/>
      <c r="S53" s="329" t="n"/>
      <c r="T53" s="329" t="n"/>
      <c r="U53" s="329" t="n"/>
      <c r="V53" s="329" t="n"/>
      <c r="W53" s="329" t="n"/>
      <c r="X53" s="329" t="n"/>
      <c r="Y53" s="329" t="n"/>
      <c r="Z53" s="329" t="n"/>
      <c r="AA53" s="329" t="n"/>
      <c r="AB53" s="329" t="n"/>
      <c r="AC53" s="329" t="n"/>
      <c r="AD53" s="329" t="n"/>
      <c r="AE53" s="329" t="n"/>
    </row>
    <row r="54">
      <c r="A54" s="329" t="inlineStr">
        <is>
          <t>Same-Site Multi-WO Visit Rule</t>
        </is>
      </c>
      <c r="B54" s="329" t="inlineStr">
        <is>
          <t>One physical visit can contain multiple work orders</t>
        </is>
      </c>
      <c r="C54" s="329" t="inlineStr">
        <is>
          <t>One drive / one arrival / one facility / one departure = one chronological event. Multiple WOs completed during that visit roll up to the same event.</t>
        </is>
      </c>
      <c r="D54" s="329" t="n"/>
      <c r="E54" s="329" t="n"/>
      <c r="F54" s="329" t="n"/>
      <c r="G54" s="329" t="n"/>
      <c r="H54" s="329" t="n"/>
      <c r="I54" s="329" t="n"/>
      <c r="J54" s="329" t="n"/>
      <c r="K54" s="329" t="n"/>
      <c r="L54" s="329" t="n"/>
      <c r="M54" s="329" t="n"/>
      <c r="N54" s="329" t="n"/>
      <c r="O54" s="329" t="n"/>
      <c r="P54" s="329" t="n"/>
      <c r="Q54" s="329" t="n"/>
      <c r="R54" s="329" t="n"/>
      <c r="S54" s="329" t="n"/>
      <c r="T54" s="329" t="n"/>
      <c r="U54" s="329" t="n"/>
      <c r="V54" s="329" t="n"/>
      <c r="W54" s="329" t="n"/>
      <c r="X54" s="329" t="n"/>
      <c r="Y54" s="329" t="n"/>
      <c r="Z54" s="329" t="n"/>
      <c r="AA54" s="329" t="n"/>
      <c r="AB54" s="329" t="n"/>
      <c r="AC54" s="329" t="n"/>
      <c r="AD54" s="329" t="n"/>
      <c r="AE54" s="329" t="n"/>
    </row>
    <row r="55">
      <c r="A55" s="329" t="inlineStr">
        <is>
          <t>Carvana Application</t>
        </is>
      </c>
      <c r="B55" s="329" t="inlineStr">
        <is>
          <t>Event #60 is one Carvana visit</t>
        </is>
      </c>
      <c r="C55" s="329" t="inlineStr">
        <is>
          <t>WO 5914049 and WO 5912364 are both tracked financially but do not create a second timeline event or repeat-client status.</t>
        </is>
      </c>
      <c r="D55" s="329" t="n"/>
      <c r="E55" s="329" t="n"/>
      <c r="F55" s="329" t="n"/>
      <c r="G55" s="329" t="n"/>
      <c r="H55" s="329" t="n"/>
      <c r="I55" s="329" t="n"/>
      <c r="J55" s="329" t="n"/>
      <c r="K55" s="329" t="n"/>
      <c r="L55" s="329" t="n"/>
      <c r="M55" s="329" t="n"/>
      <c r="N55" s="329" t="n"/>
      <c r="O55" s="329" t="n"/>
      <c r="P55" s="329" t="n"/>
      <c r="Q55" s="329" t="n"/>
      <c r="R55" s="329" t="n"/>
      <c r="S55" s="329" t="n"/>
      <c r="T55" s="329" t="n"/>
      <c r="U55" s="329" t="n"/>
      <c r="V55" s="329" t="n"/>
      <c r="W55" s="329" t="n"/>
      <c r="X55" s="329" t="n"/>
      <c r="Y55" s="329" t="n"/>
      <c r="Z55" s="329" t="n"/>
      <c r="AA55" s="329" t="n"/>
      <c r="AB55" s="329" t="n"/>
      <c r="AC55" s="329" t="n"/>
      <c r="AD55" s="329" t="n"/>
      <c r="AE55" s="329" t="n"/>
    </row>
    <row r="56">
      <c r="A56" s="329" t="inlineStr">
        <is>
          <t>Ledger Rollup Rule</t>
        </is>
      </c>
      <c r="B56" s="329" t="inlineStr">
        <is>
          <t>Financial ledger tracks WOs; timeline tracks visits</t>
        </is>
      </c>
      <c r="C56" s="329" t="inlineStr">
        <is>
          <t>For same-site multi-WO visits, keep WO-level aliases for ACH/breakdown matching and roll up confirmed revenue to one timeline event.</t>
        </is>
      </c>
      <c r="D56" s="329" t="n"/>
      <c r="E56" s="329" t="n"/>
      <c r="F56" s="329" t="n"/>
      <c r="G56" s="329" t="n"/>
      <c r="H56" s="329" t="n"/>
      <c r="I56" s="329" t="n"/>
      <c r="J56" s="329" t="n"/>
      <c r="K56" s="329" t="n"/>
      <c r="L56" s="329" t="n"/>
      <c r="M56" s="329" t="n"/>
      <c r="N56" s="329" t="n"/>
      <c r="O56" s="329" t="n"/>
      <c r="P56" s="329" t="n"/>
      <c r="Q56" s="329" t="n"/>
      <c r="R56" s="329" t="n"/>
      <c r="S56" s="329" t="n"/>
      <c r="T56" s="329" t="n"/>
      <c r="U56" s="329" t="n"/>
      <c r="V56" s="329" t="n"/>
      <c r="W56" s="329" t="n"/>
      <c r="X56" s="329" t="n"/>
      <c r="Y56" s="329" t="n"/>
      <c r="Z56" s="329" t="n"/>
      <c r="AA56" s="329" t="n"/>
      <c r="AB56" s="329" t="n"/>
      <c r="AC56" s="329" t="n"/>
      <c r="AD56" s="329" t="n"/>
      <c r="AE56" s="329" t="n"/>
    </row>
    <row r="57">
      <c r="A57" s="329" t="n">
        <v>17</v>
      </c>
      <c r="B57" s="329" t="inlineStr">
        <is>
          <t>Calendar Date Assignment Rule</t>
        </is>
      </c>
      <c r="C57" s="329" t="inlineStr">
        <is>
          <t>The chronological Timeline fixes event identity and order. Calendar/ICS evidence assigns dates and weekdays to those existing events; it must never reorder, insert, remove, or invent clients.</t>
        </is>
      </c>
      <c r="D57" s="329" t="n"/>
      <c r="E57" s="329" t="n"/>
      <c r="F57" s="329" t="n"/>
      <c r="G57" s="329" t="n"/>
      <c r="H57" s="329" t="n"/>
      <c r="I57" s="329" t="n"/>
      <c r="J57" s="329" t="n"/>
      <c r="K57" s="329" t="n"/>
      <c r="L57" s="329" t="n"/>
      <c r="M57" s="329" t="n"/>
      <c r="N57" s="329" t="n"/>
      <c r="O57" s="329" t="n"/>
      <c r="P57" s="329" t="n"/>
      <c r="Q57" s="329" t="n"/>
      <c r="R57" s="329" t="n"/>
      <c r="S57" s="329" t="n"/>
      <c r="T57" s="329" t="n"/>
      <c r="U57" s="329" t="n"/>
      <c r="V57" s="329" t="n"/>
      <c r="W57" s="329" t="n"/>
      <c r="X57" s="329" t="n"/>
      <c r="Y57" s="329" t="n"/>
      <c r="Z57" s="329" t="n"/>
      <c r="AA57" s="329" t="n"/>
      <c r="AB57" s="329" t="n"/>
      <c r="AC57" s="329" t="n"/>
      <c r="AD57" s="329" t="n"/>
      <c r="AE57" s="329" t="n"/>
    </row>
    <row r="58">
      <c r="A58" s="329" t="n">
        <v>18</v>
      </c>
      <c r="B58" s="329" t="inlineStr">
        <is>
          <t>Calendar Dot Interpretation Rule</t>
        </is>
      </c>
      <c r="C58" s="329" t="inlineStr">
        <is>
          <t>Calendar marks show work presence and event count. Selected-day work-order listings are direct evidence for dates, locations, and multi-event days.</t>
        </is>
      </c>
      <c r="D58" s="329" t="n"/>
      <c r="E58" s="329" t="n"/>
      <c r="F58" s="329" t="n"/>
      <c r="G58" s="329" t="n"/>
      <c r="H58" s="329" t="n"/>
      <c r="I58" s="329" t="n"/>
      <c r="J58" s="329" t="n"/>
      <c r="K58" s="329" t="n"/>
      <c r="L58" s="329" t="n"/>
      <c r="M58" s="329" t="n"/>
      <c r="N58" s="329" t="n"/>
      <c r="O58" s="329" t="n"/>
      <c r="P58" s="329" t="n"/>
      <c r="Q58" s="329" t="n"/>
      <c r="R58" s="329" t="n"/>
      <c r="S58" s="329" t="n"/>
      <c r="T58" s="329" t="n"/>
      <c r="U58" s="329" t="n"/>
      <c r="V58" s="329" t="n"/>
      <c r="W58" s="329" t="n"/>
      <c r="X58" s="329" t="n"/>
      <c r="Y58" s="329" t="n"/>
      <c r="Z58" s="329" t="n"/>
      <c r="AA58" s="329" t="n"/>
      <c r="AB58" s="329" t="n"/>
      <c r="AC58" s="329" t="n"/>
      <c r="AD58" s="329" t="n"/>
      <c r="AE58" s="329" t="n"/>
    </row>
    <row r="59">
      <c r="A59" s="329" t="n">
        <v>19</v>
      </c>
      <c r="B59" s="329" t="inlineStr">
        <is>
          <t>Confirmed Revenue Eligibility Rule</t>
        </is>
      </c>
      <c r="C59" s="329" t="inlineStr">
        <is>
          <t>Weekday revenue totals and average revenue per event include only completed events whose Canonical Ledger field Breakdown Confirmed equals Yes and whose Confirmed Revenue is numeric.</t>
        </is>
      </c>
      <c r="D59" s="329" t="n"/>
      <c r="E59" s="329" t="n"/>
      <c r="F59" s="329" t="n"/>
      <c r="G59" s="329" t="n"/>
      <c r="H59" s="329" t="n"/>
      <c r="I59" s="329" t="n"/>
      <c r="J59" s="329" t="n"/>
      <c r="K59" s="329" t="n"/>
      <c r="L59" s="329" t="n"/>
      <c r="M59" s="329" t="n"/>
      <c r="N59" s="329" t="n"/>
      <c r="O59" s="329" t="n"/>
      <c r="P59" s="329" t="n"/>
      <c r="Q59" s="329" t="n"/>
      <c r="R59" s="329" t="n"/>
      <c r="S59" s="329" t="n"/>
      <c r="T59" s="329" t="n"/>
      <c r="U59" s="329" t="n"/>
      <c r="V59" s="329" t="n"/>
      <c r="W59" s="329" t="n"/>
      <c r="X59" s="329" t="n"/>
      <c r="Y59" s="329" t="n"/>
      <c r="Z59" s="329" t="n"/>
      <c r="AA59" s="329" t="n"/>
      <c r="AB59" s="329" t="n"/>
      <c r="AC59" s="329" t="n"/>
      <c r="AD59" s="329" t="n"/>
      <c r="AE59" s="329" t="n"/>
    </row>
    <row r="60">
      <c r="A60" s="329" t="n">
        <v>20</v>
      </c>
      <c r="B60" s="329" t="inlineStr">
        <is>
          <t>TBD / Partial Exclusion Rule</t>
        </is>
      </c>
      <c r="C60" s="329" t="inlineStr">
        <is>
          <t>Events with breakdown status No, Partial, Pending, TBD, N/A, or missing are excluded from both the numerator and denominator of confirmed-revenue averages.</t>
        </is>
      </c>
      <c r="D60" s="329" t="n"/>
      <c r="E60" s="329" t="n"/>
      <c r="F60" s="329" t="n"/>
      <c r="G60" s="329" t="n"/>
      <c r="H60" s="329" t="n"/>
      <c r="I60" s="329" t="n"/>
      <c r="J60" s="329" t="n"/>
      <c r="K60" s="329" t="n"/>
      <c r="L60" s="329" t="n"/>
      <c r="M60" s="329" t="n"/>
      <c r="N60" s="329" t="n"/>
      <c r="O60" s="329" t="n"/>
      <c r="P60" s="329" t="n"/>
      <c r="Q60" s="329" t="n"/>
      <c r="R60" s="329" t="n"/>
      <c r="S60" s="329" t="n"/>
      <c r="T60" s="329" t="n"/>
      <c r="U60" s="329" t="n"/>
      <c r="V60" s="329" t="n"/>
      <c r="W60" s="329" t="n"/>
      <c r="X60" s="329" t="n"/>
      <c r="Y60" s="329" t="n"/>
      <c r="Z60" s="329" t="n"/>
      <c r="AA60" s="329" t="n"/>
      <c r="AB60" s="329" t="n"/>
      <c r="AC60" s="329" t="n"/>
      <c r="AD60" s="329" t="n"/>
      <c r="AE60" s="329" t="n"/>
    </row>
    <row r="61">
      <c r="A61" s="329" t="n">
        <v>21</v>
      </c>
      <c r="B61" s="329" t="inlineStr">
        <is>
          <t>Weekday Activity Rule</t>
        </is>
      </c>
      <c r="C61" s="329" t="inlineStr">
        <is>
          <t>Weekday activity measures whether at least one Barrister visit occurred on that weekday in a workweek. Multiple events on the same date count as one active weekday.</t>
        </is>
      </c>
      <c r="D61" s="329" t="n"/>
      <c r="E61" s="329" t="n"/>
      <c r="F61" s="329" t="n"/>
      <c r="G61" s="329" t="n"/>
      <c r="H61" s="329" t="n"/>
      <c r="I61" s="329" t="n"/>
      <c r="J61" s="329" t="n"/>
      <c r="K61" s="329" t="n"/>
      <c r="L61" s="329" t="n"/>
      <c r="M61" s="329" t="n"/>
      <c r="N61" s="329" t="n"/>
      <c r="O61" s="329" t="n"/>
      <c r="P61" s="329" t="n"/>
      <c r="Q61" s="329" t="n"/>
      <c r="R61" s="329" t="n"/>
      <c r="S61" s="329" t="n"/>
      <c r="T61" s="329" t="n"/>
      <c r="U61" s="329" t="n"/>
      <c r="V61" s="329" t="n"/>
      <c r="W61" s="329" t="n"/>
      <c r="X61" s="329" t="n"/>
      <c r="Y61" s="329" t="n"/>
      <c r="Z61" s="329" t="n"/>
      <c r="AA61" s="329" t="n"/>
      <c r="AB61" s="329" t="n"/>
      <c r="AC61" s="329" t="n"/>
      <c r="AD61" s="329" t="n"/>
      <c r="AE61" s="329" t="n"/>
    </row>
    <row r="62">
      <c r="A62" s="329" t="n">
        <v>22</v>
      </c>
      <c r="B62" s="329" t="inlineStr">
        <is>
          <t>Twelve-Week Baseline</t>
        </is>
      </c>
      <c r="C62" s="329" t="inlineStr">
        <is>
          <t>The initial weekday activity baseline covers 12 complete Monday-through-Friday weeks from 2026-04-20 through 2026-07-10.</t>
        </is>
      </c>
      <c r="D62" s="329" t="n"/>
      <c r="E62" s="329" t="n"/>
      <c r="F62" s="329" t="n"/>
      <c r="G62" s="329" t="n"/>
      <c r="H62" s="329" t="n"/>
      <c r="I62" s="329" t="n"/>
      <c r="J62" s="329" t="n"/>
      <c r="K62" s="329" t="n"/>
      <c r="L62" s="329" t="n"/>
      <c r="M62" s="329" t="n"/>
      <c r="N62" s="329" t="n"/>
      <c r="O62" s="329" t="n"/>
      <c r="P62" s="329" t="n"/>
      <c r="Q62" s="329" t="n"/>
      <c r="R62" s="329" t="n"/>
      <c r="S62" s="329" t="n"/>
      <c r="T62" s="329" t="n"/>
      <c r="U62" s="329" t="n"/>
      <c r="V62" s="329" t="n"/>
      <c r="W62" s="329" t="n"/>
      <c r="X62" s="329" t="n"/>
      <c r="Y62" s="329" t="n"/>
      <c r="Z62" s="329" t="n"/>
      <c r="AA62" s="329" t="n"/>
      <c r="AB62" s="329" t="n"/>
      <c r="AC62" s="329" t="n"/>
      <c r="AD62" s="329" t="n"/>
      <c r="AE62" s="329" t="n"/>
    </row>
    <row r="63">
      <c r="A63" s="329" t="n">
        <v>23</v>
      </c>
      <c r="B63" s="329" t="inlineStr">
        <is>
          <t>Weekday Metrics Governance</t>
        </is>
      </c>
      <c r="C63" s="329" t="inlineStr">
        <is>
          <t>Keep two separate metrics: confirmed revenue per eligible event, and activity rate based on actual worked weekdays. Payment eligibility never filters the activity-rate calculation.</t>
        </is>
      </c>
      <c r="D63" s="329" t="n"/>
      <c r="E63" s="329" t="n"/>
      <c r="F63" s="329" t="n"/>
      <c r="G63" s="329" t="n"/>
      <c r="H63" s="329" t="n"/>
      <c r="I63" s="329" t="n"/>
      <c r="J63" s="329" t="n"/>
      <c r="K63" s="329" t="n"/>
      <c r="L63" s="329" t="n"/>
      <c r="M63" s="329" t="n"/>
      <c r="N63" s="329" t="n"/>
      <c r="O63" s="329" t="n"/>
      <c r="P63" s="329" t="n"/>
      <c r="Q63" s="329" t="n"/>
      <c r="R63" s="329" t="n"/>
      <c r="S63" s="329" t="n"/>
      <c r="T63" s="329" t="n"/>
      <c r="U63" s="329" t="n"/>
      <c r="V63" s="329" t="n"/>
      <c r="W63" s="329" t="n"/>
      <c r="X63" s="329" t="n"/>
      <c r="Y63" s="329" t="n"/>
      <c r="Z63" s="329" t="n"/>
      <c r="AA63" s="329" t="n"/>
      <c r="AB63" s="329" t="n"/>
      <c r="AC63" s="329" t="n"/>
      <c r="AD63" s="329" t="n"/>
      <c r="AE63" s="329" t="n"/>
    </row>
    <row r="64">
      <c r="A64" s="329" t="n"/>
      <c r="B64" s="329" t="n"/>
      <c r="C64" s="329" t="n"/>
      <c r="D64" s="329" t="n"/>
      <c r="E64" s="329" t="n"/>
      <c r="F64" s="329" t="n"/>
      <c r="G64" s="329" t="n"/>
      <c r="H64" s="329" t="n"/>
      <c r="I64" s="329" t="n"/>
      <c r="J64" s="329" t="n"/>
      <c r="K64" s="329" t="n"/>
      <c r="L64" s="329" t="n"/>
      <c r="M64" s="329" t="n"/>
      <c r="N64" s="329" t="n"/>
      <c r="O64" s="329" t="n"/>
      <c r="P64" s="329" t="n"/>
      <c r="Q64" s="329" t="n"/>
      <c r="R64" s="329" t="n"/>
      <c r="S64" s="329" t="n"/>
      <c r="T64" s="329" t="n"/>
      <c r="U64" s="329" t="n"/>
      <c r="V64" s="329" t="n"/>
      <c r="W64" s="329" t="n"/>
      <c r="X64" s="329" t="n"/>
      <c r="Y64" s="329" t="n"/>
      <c r="Z64" s="329" t="n"/>
      <c r="AA64" s="329" t="n"/>
      <c r="AB64" s="329" t="n"/>
      <c r="AC64" s="329" t="n"/>
      <c r="AD64" s="329" t="n"/>
      <c r="AE64" s="329" t="n"/>
    </row>
    <row r="65">
      <c r="A65" s="329" t="n"/>
      <c r="B65" s="329" t="n"/>
      <c r="C65" s="329" t="n"/>
      <c r="D65" s="329" t="n"/>
      <c r="E65" s="329" t="n"/>
      <c r="F65" s="329" t="n"/>
      <c r="G65" s="329" t="n"/>
      <c r="H65" s="329" t="n"/>
      <c r="I65" s="329" t="n"/>
      <c r="J65" s="329" t="n"/>
      <c r="K65" s="329" t="n"/>
      <c r="L65" s="329" t="n"/>
      <c r="M65" s="329" t="n"/>
      <c r="N65" s="329" t="n"/>
      <c r="O65" s="329" t="n"/>
      <c r="P65" s="329" t="n"/>
      <c r="Q65" s="329" t="n"/>
      <c r="R65" s="329" t="n"/>
      <c r="S65" s="329" t="n"/>
      <c r="T65" s="329" t="n"/>
      <c r="U65" s="329" t="n"/>
      <c r="V65" s="329" t="n"/>
      <c r="W65" s="329" t="n"/>
      <c r="X65" s="329" t="n"/>
      <c r="Y65" s="329" t="n"/>
      <c r="Z65" s="329" t="n"/>
      <c r="AA65" s="329" t="n"/>
      <c r="AB65" s="329" t="n"/>
      <c r="AC65" s="329" t="n"/>
      <c r="AD65" s="329" t="n"/>
      <c r="AE65" s="329" t="n"/>
    </row>
    <row r="66">
      <c r="A66" s="691" t="inlineStr">
        <is>
          <t>Engine Rules</t>
        </is>
      </c>
      <c r="B66" s="1" t="n"/>
      <c r="C66" s="1" t="n"/>
      <c r="D66" s="1" t="n"/>
      <c r="E66" s="1" t="n"/>
      <c r="F66" s="329" t="n"/>
      <c r="G66" s="329" t="n"/>
      <c r="H66" s="329" t="n"/>
      <c r="I66" s="329" t="n"/>
      <c r="J66" s="329" t="n"/>
      <c r="K66" s="329" t="n"/>
      <c r="L66" s="329" t="n"/>
      <c r="M66" s="329" t="n"/>
      <c r="N66" s="329" t="n"/>
      <c r="O66" s="329" t="n"/>
      <c r="P66" s="329" t="n"/>
      <c r="Q66" s="329" t="n"/>
      <c r="R66" s="329" t="n"/>
      <c r="S66" s="329" t="n"/>
      <c r="T66" s="329" t="n"/>
      <c r="U66" s="329" t="n"/>
      <c r="V66" s="329" t="n"/>
      <c r="W66" s="329" t="n"/>
      <c r="X66" s="329" t="n"/>
      <c r="Y66" s="329" t="n"/>
      <c r="Z66" s="329" t="n"/>
      <c r="AA66" s="329" t="n"/>
      <c r="AB66" s="329" t="n"/>
      <c r="AC66" s="329" t="n"/>
      <c r="AD66" s="329" t="n"/>
      <c r="AE66" s="329" t="n"/>
    </row>
    <row r="67">
      <c r="A67" s="399" t="inlineStr">
        <is>
          <t>Barrister Engine Rules</t>
        </is>
      </c>
      <c r="B67" s="399" t="n"/>
      <c r="C67" s="399" t="n"/>
      <c r="D67" s="399" t="n"/>
      <c r="E67" s="399" t="n"/>
      <c r="F67" s="329" t="n"/>
      <c r="G67" s="329" t="n"/>
      <c r="H67" s="329" t="n"/>
      <c r="I67" s="329" t="n"/>
      <c r="J67" s="329" t="n"/>
      <c r="K67" s="329" t="n"/>
      <c r="L67" s="329" t="n"/>
      <c r="M67" s="329" t="n"/>
      <c r="N67" s="329" t="n"/>
      <c r="O67" s="329" t="n"/>
      <c r="P67" s="329" t="n"/>
      <c r="Q67" s="329" t="n"/>
      <c r="R67" s="329" t="n"/>
      <c r="S67" s="329" t="n"/>
      <c r="T67" s="329" t="n"/>
      <c r="U67" s="329" t="n"/>
      <c r="V67" s="329" t="n"/>
      <c r="W67" s="329" t="n"/>
      <c r="X67" s="329" t="n"/>
      <c r="Y67" s="329" t="n"/>
      <c r="Z67" s="329" t="n"/>
      <c r="AA67" s="329" t="n"/>
      <c r="AB67" s="329" t="n"/>
      <c r="AC67" s="329" t="n"/>
      <c r="AD67" s="329" t="n"/>
      <c r="AE67" s="329" t="n"/>
    </row>
    <row r="68">
      <c r="A68" s="329" t="inlineStr">
        <is>
          <t>Rule ID</t>
        </is>
      </c>
      <c r="B68" s="329" t="inlineStr">
        <is>
          <t>Rule Name</t>
        </is>
      </c>
      <c r="C68" s="329" t="inlineStr">
        <is>
          <t>Requirement</t>
        </is>
      </c>
      <c r="D68" s="329" t="inlineStr">
        <is>
          <t>Pass Condition</t>
        </is>
      </c>
      <c r="E68" s="329" t="inlineStr">
        <is>
          <t>Fail Action</t>
        </is>
      </c>
      <c r="F68" s="329" t="n"/>
      <c r="G68" s="329" t="n"/>
      <c r="H68" s="329" t="n"/>
      <c r="I68" s="329" t="n"/>
      <c r="J68" s="329" t="n"/>
      <c r="K68" s="329" t="n"/>
      <c r="L68" s="329" t="n"/>
      <c r="M68" s="329" t="n"/>
      <c r="N68" s="329" t="n"/>
      <c r="O68" s="329" t="n"/>
      <c r="P68" s="329" t="n"/>
      <c r="Q68" s="329" t="n"/>
      <c r="R68" s="329" t="n"/>
      <c r="S68" s="329" t="n"/>
      <c r="T68" s="329" t="n"/>
      <c r="U68" s="329" t="n"/>
      <c r="V68" s="329" t="n"/>
      <c r="W68" s="329" t="n"/>
      <c r="X68" s="329" t="n"/>
      <c r="Y68" s="329" t="n"/>
      <c r="Z68" s="329" t="n"/>
      <c r="AA68" s="329" t="n"/>
      <c r="AB68" s="329" t="n"/>
      <c r="AC68" s="329" t="n"/>
      <c r="AD68" s="329" t="n"/>
      <c r="AE68" s="329" t="n"/>
    </row>
    <row r="69">
      <c r="A69" s="329" t="inlineStr">
        <is>
          <t>Rule 0</t>
        </is>
      </c>
      <c r="B69" s="329" t="inlineStr">
        <is>
          <t>Unique Work Order Mapping</t>
        </is>
      </c>
      <c r="C69" s="329" t="inlineStr">
        <is>
          <t>No ledger update may be applied unless the Work Order maps to exactly one authoritative Timeline event through the Work Order Index / WO Alias Index.</t>
        </is>
      </c>
      <c r="D69" s="329" t="inlineStr">
        <is>
          <t>WO appears once, maps to one Event #, and is not flagged as Duplicate / Review / Missing.</t>
        </is>
      </c>
      <c r="E69" s="329" t="inlineStr">
        <is>
          <t>Stop update; classify as VERIFY / Mapping Review; log to Exception Review; do not change ACH/Breakdown status.</t>
        </is>
      </c>
      <c r="F69" s="329" t="n"/>
      <c r="G69" s="329" t="n"/>
      <c r="H69" s="329" t="n"/>
      <c r="I69" s="329" t="n"/>
      <c r="J69" s="329" t="n"/>
      <c r="K69" s="329" t="n"/>
      <c r="L69" s="329" t="n"/>
      <c r="M69" s="329" t="n"/>
      <c r="N69" s="329" t="n"/>
      <c r="O69" s="329" t="n"/>
      <c r="P69" s="329" t="n"/>
      <c r="Q69" s="329" t="n"/>
      <c r="R69" s="329" t="n"/>
      <c r="S69" s="329" t="n"/>
      <c r="T69" s="329" t="n"/>
      <c r="U69" s="329" t="n"/>
      <c r="V69" s="329" t="n"/>
      <c r="W69" s="329" t="n"/>
      <c r="X69" s="329" t="n"/>
      <c r="Y69" s="329" t="n"/>
      <c r="Z69" s="329" t="n"/>
      <c r="AA69" s="329" t="n"/>
      <c r="AB69" s="329" t="n"/>
      <c r="AC69" s="329" t="n"/>
      <c r="AD69" s="329" t="n"/>
      <c r="AE69" s="329" t="n"/>
    </row>
    <row r="70">
      <c r="A70" s="329" t="inlineStr">
        <is>
          <t>Rule 1</t>
        </is>
      </c>
      <c r="B70" s="329" t="inlineStr">
        <is>
          <t>Breakdown Comparison</t>
        </is>
      </c>
      <c r="C70" s="329" t="inlineStr">
        <is>
          <t>A new payment breakdown must be compared against the existing recorded breakdown before updating the ledger.</t>
        </is>
      </c>
      <c r="D70" s="329" t="inlineStr">
        <is>
          <t>New amount matches existing blank or same amount.</t>
        </is>
      </c>
      <c r="E70" s="329" t="inlineStr">
        <is>
          <t>If amount differs: classify as UPDATE; record previous vs new amount.</t>
        </is>
      </c>
      <c r="F70" s="329" t="n"/>
      <c r="G70" s="329" t="n"/>
      <c r="H70" s="329" t="n"/>
      <c r="I70" s="329" t="n"/>
      <c r="J70" s="329" t="n"/>
      <c r="K70" s="329" t="n"/>
      <c r="L70" s="329" t="n"/>
      <c r="M70" s="329" t="n"/>
      <c r="N70" s="329" t="n"/>
      <c r="O70" s="329" t="n"/>
      <c r="P70" s="329" t="n"/>
      <c r="Q70" s="329" t="n"/>
      <c r="R70" s="329" t="n"/>
      <c r="S70" s="329" t="n"/>
      <c r="T70" s="329" t="n"/>
      <c r="U70" s="329" t="n"/>
      <c r="V70" s="329" t="n"/>
      <c r="W70" s="329" t="n"/>
      <c r="X70" s="329" t="n"/>
      <c r="Y70" s="329" t="n"/>
      <c r="Z70" s="329" t="n"/>
      <c r="AA70" s="329" t="n"/>
      <c r="AB70" s="329" t="n"/>
      <c r="AC70" s="329" t="n"/>
      <c r="AD70" s="329" t="n"/>
      <c r="AE70" s="329" t="n"/>
    </row>
    <row r="71">
      <c r="A71" s="329" t="inlineStr">
        <is>
          <t>Rule 2</t>
        </is>
      </c>
      <c r="B71" s="329" t="inlineStr">
        <is>
          <t>ACH Comparison</t>
        </is>
      </c>
      <c r="C71" s="329" t="inlineStr">
        <is>
          <t>Every ACH line item must be compared against the recorded payment breakdown for the mapped Work Order.</t>
        </is>
      </c>
      <c r="D71" s="329" t="inlineStr">
        <is>
          <t>ACH amount equals payment breakdown amount.</t>
        </is>
      </c>
      <c r="E71" s="329" t="inlineStr">
        <is>
          <t>If amount differs: classify as ACH MISMATCH / Partial; log unresolved variance.</t>
        </is>
      </c>
      <c r="F71" s="329" t="n"/>
      <c r="G71" s="329" t="n"/>
      <c r="H71" s="329" t="n"/>
      <c r="I71" s="329" t="n"/>
      <c r="J71" s="329" t="n"/>
      <c r="K71" s="329" t="n"/>
      <c r="L71" s="329" t="n"/>
      <c r="M71" s="329" t="n"/>
      <c r="N71" s="329" t="n"/>
      <c r="O71" s="329" t="n"/>
      <c r="P71" s="329" t="n"/>
      <c r="Q71" s="329" t="n"/>
      <c r="R71" s="329" t="n"/>
      <c r="S71" s="329" t="n"/>
      <c r="T71" s="329" t="n"/>
      <c r="U71" s="329" t="n"/>
      <c r="V71" s="329" t="n"/>
      <c r="W71" s="329" t="n"/>
      <c r="X71" s="329" t="n"/>
      <c r="Y71" s="329" t="n"/>
      <c r="Z71" s="329" t="n"/>
      <c r="AA71" s="329" t="n"/>
      <c r="AB71" s="329" t="n"/>
      <c r="AC71" s="329" t="n"/>
      <c r="AD71" s="329" t="n"/>
      <c r="AE71" s="329" t="n"/>
    </row>
    <row r="72">
      <c r="A72" s="329" t="inlineStr">
        <is>
          <t>Rule 3</t>
        </is>
      </c>
      <c r="B72" s="329" t="inlineStr">
        <is>
          <t>Duplicate Breakdown</t>
        </is>
      </c>
      <c r="C72" s="329" t="inlineStr">
        <is>
          <t>Repeated payment breakdown emails with the same amount are verification notes, not new revenue.</t>
        </is>
      </c>
      <c r="D72" s="329" t="inlineStr">
        <is>
          <t>Previous amount equals new amount.</t>
        </is>
      </c>
      <c r="E72" s="329" t="inlineStr">
        <is>
          <t>Classify as VERIFY; note reissued/verified email date.</t>
        </is>
      </c>
      <c r="F72" s="329" t="n"/>
      <c r="G72" s="329" t="n"/>
      <c r="H72" s="329" t="n"/>
      <c r="I72" s="329" t="n"/>
      <c r="J72" s="329" t="n"/>
      <c r="K72" s="329" t="n"/>
      <c r="L72" s="329" t="n"/>
      <c r="M72" s="329" t="n"/>
      <c r="N72" s="329" t="n"/>
      <c r="O72" s="329" t="n"/>
      <c r="P72" s="329" t="n"/>
      <c r="Q72" s="329" t="n"/>
      <c r="R72" s="329" t="n"/>
      <c r="S72" s="329" t="n"/>
      <c r="T72" s="329" t="n"/>
      <c r="U72" s="329" t="n"/>
      <c r="V72" s="329" t="n"/>
      <c r="W72" s="329" t="n"/>
      <c r="X72" s="329" t="n"/>
      <c r="Y72" s="329" t="n"/>
      <c r="Z72" s="329" t="n"/>
      <c r="AA72" s="329" t="n"/>
      <c r="AB72" s="329" t="n"/>
      <c r="AC72" s="329" t="n"/>
      <c r="AD72" s="329" t="n"/>
      <c r="AE72" s="329" t="n"/>
    </row>
    <row r="73">
      <c r="A73" s="329" t="inlineStr">
        <is>
          <t>Rule 4</t>
        </is>
      </c>
      <c r="B73" s="329" t="inlineStr">
        <is>
          <t>Hold Queue</t>
        </is>
      </c>
      <c r="C73" s="329" t="inlineStr">
        <is>
          <t>$0, missing WO, unmapped WO, or duplicate WO records must not update financial totals.</t>
        </is>
      </c>
      <c r="D73" s="329" t="inlineStr">
        <is>
          <t>WO is valid and uniquely mapped with nonzero relevant amount.</t>
        </is>
      </c>
      <c r="E73" s="329" t="inlineStr">
        <is>
          <t>Classify as HOLD; add to Exception Review.</t>
        </is>
      </c>
      <c r="F73" s="329" t="n"/>
      <c r="G73" s="329" t="n"/>
      <c r="H73" s="329" t="n"/>
      <c r="I73" s="329" t="n"/>
      <c r="J73" s="329" t="n"/>
      <c r="K73" s="329" t="n"/>
      <c r="L73" s="329" t="n"/>
      <c r="M73" s="329" t="n"/>
      <c r="N73" s="329" t="n"/>
      <c r="O73" s="329" t="n"/>
      <c r="P73" s="329" t="n"/>
      <c r="Q73" s="329" t="n"/>
      <c r="R73" s="329" t="n"/>
      <c r="S73" s="329" t="n"/>
      <c r="T73" s="329" t="n"/>
      <c r="U73" s="329" t="n"/>
      <c r="V73" s="329" t="n"/>
      <c r="W73" s="329" t="n"/>
      <c r="X73" s="329" t="n"/>
      <c r="Y73" s="329" t="n"/>
      <c r="Z73" s="329" t="n"/>
      <c r="AA73" s="329" t="n"/>
      <c r="AB73" s="329" t="n"/>
      <c r="AC73" s="329" t="n"/>
      <c r="AD73" s="329" t="n"/>
      <c r="AE73" s="329" t="n"/>
    </row>
    <row r="74">
      <c r="A74" s="329" t="inlineStr">
        <is>
          <t>Rule 5</t>
        </is>
      </c>
      <c r="B74" s="329" t="inlineStr">
        <is>
          <t>Audit Trail</t>
        </is>
      </c>
      <c r="C74" s="329" t="inlineStr">
        <is>
          <t>Every applied update must create an audit-row record describing source, mapping, amount comparison, and action taken.</t>
        </is>
      </c>
      <c r="D74" s="329" t="inlineStr">
        <is>
          <t>Delta Log row is populated with source type, WO, Event #, amount, classification, and note.</t>
        </is>
      </c>
      <c r="E74" s="329" t="inlineStr">
        <is>
          <t>Stop export until audit row is added.</t>
        </is>
      </c>
      <c r="F74" s="329" t="n"/>
      <c r="G74" s="329" t="n"/>
      <c r="H74" s="329" t="n"/>
      <c r="I74" s="329" t="n"/>
      <c r="J74" s="329" t="n"/>
      <c r="K74" s="329" t="n"/>
      <c r="L74" s="329" t="n"/>
      <c r="M74" s="329" t="n"/>
      <c r="N74" s="329" t="n"/>
      <c r="O74" s="329" t="n"/>
      <c r="P74" s="329" t="n"/>
      <c r="Q74" s="329" t="n"/>
      <c r="R74" s="329" t="n"/>
      <c r="S74" s="329" t="n"/>
      <c r="T74" s="329" t="n"/>
      <c r="U74" s="329" t="n"/>
      <c r="V74" s="329" t="n"/>
      <c r="W74" s="329" t="n"/>
      <c r="X74" s="329" t="n"/>
      <c r="Y74" s="329" t="n"/>
      <c r="Z74" s="329" t="n"/>
      <c r="AA74" s="329" t="n"/>
      <c r="AB74" s="329" t="n"/>
      <c r="AC74" s="329" t="n"/>
      <c r="AD74" s="329" t="n"/>
      <c r="AE74" s="329" t="n"/>
    </row>
    <row r="75">
      <c r="A75" s="329" t="inlineStr">
        <is>
          <t>Rule 6</t>
        </is>
      </c>
      <c r="B75" s="329" t="inlineStr">
        <is>
          <t>Workbook Authority</t>
        </is>
      </c>
      <c r="C75" s="329" t="inlineStr">
        <is>
          <t>The workbook, not conversation memory, remains the authoritative record after updates are applied.</t>
        </is>
      </c>
      <c r="D75" s="329" t="inlineStr">
        <is>
          <t>Updated workbook saved as new version with date/version identifier.</t>
        </is>
      </c>
      <c r="E75" s="329" t="inlineStr">
        <is>
          <t>Do not overwrite source silently; output a versioned workbook.</t>
        </is>
      </c>
      <c r="F75" s="329" t="n"/>
      <c r="G75" s="329" t="n"/>
      <c r="H75" s="329" t="n"/>
      <c r="I75" s="329" t="n"/>
      <c r="J75" s="329" t="n"/>
      <c r="K75" s="329" t="n"/>
      <c r="L75" s="329" t="n"/>
      <c r="M75" s="329" t="n"/>
      <c r="N75" s="329" t="n"/>
      <c r="O75" s="329" t="n"/>
      <c r="P75" s="329" t="n"/>
      <c r="Q75" s="329" t="n"/>
      <c r="R75" s="329" t="n"/>
      <c r="S75" s="329" t="n"/>
      <c r="T75" s="329" t="n"/>
      <c r="U75" s="329" t="n"/>
      <c r="V75" s="329" t="n"/>
      <c r="W75" s="329" t="n"/>
      <c r="X75" s="329" t="n"/>
      <c r="Y75" s="329" t="n"/>
      <c r="Z75" s="329" t="n"/>
      <c r="AA75" s="329" t="n"/>
      <c r="AB75" s="329" t="n"/>
      <c r="AC75" s="329" t="n"/>
      <c r="AD75" s="329" t="n"/>
      <c r="AE75" s="329" t="n"/>
    </row>
    <row r="76">
      <c r="A76" s="329" t="n"/>
      <c r="B76" s="329" t="n"/>
      <c r="C76" s="329" t="n"/>
      <c r="D76" s="329" t="n"/>
      <c r="E76" s="329" t="n"/>
      <c r="F76" s="329" t="n"/>
      <c r="G76" s="329" t="n"/>
      <c r="H76" s="329" t="n"/>
      <c r="I76" s="329" t="n"/>
      <c r="J76" s="329" t="n"/>
      <c r="K76" s="329" t="n"/>
      <c r="L76" s="329" t="n"/>
      <c r="M76" s="329" t="n"/>
      <c r="N76" s="329" t="n"/>
      <c r="O76" s="329" t="n"/>
      <c r="P76" s="329" t="n"/>
      <c r="Q76" s="329" t="n"/>
      <c r="R76" s="329" t="n"/>
      <c r="S76" s="329" t="n"/>
      <c r="T76" s="329" t="n"/>
      <c r="U76" s="329" t="n"/>
      <c r="V76" s="329" t="n"/>
      <c r="W76" s="329" t="n"/>
      <c r="X76" s="329" t="n"/>
      <c r="Y76" s="329" t="n"/>
      <c r="Z76" s="329" t="n"/>
      <c r="AA76" s="329" t="n"/>
      <c r="AB76" s="329" t="n"/>
      <c r="AC76" s="329" t="n"/>
      <c r="AD76" s="329" t="n"/>
      <c r="AE76" s="329" t="n"/>
    </row>
    <row r="77">
      <c r="A77" s="329" t="n"/>
      <c r="B77" s="329" t="n"/>
      <c r="C77" s="329" t="n"/>
      <c r="D77" s="329" t="n"/>
      <c r="E77" s="329" t="n"/>
      <c r="F77" s="329" t="n"/>
      <c r="G77" s="329" t="n"/>
      <c r="H77" s="329" t="n"/>
      <c r="I77" s="329" t="n"/>
      <c r="J77" s="329" t="n"/>
      <c r="K77" s="329" t="n"/>
      <c r="L77" s="329" t="n"/>
      <c r="M77" s="329" t="n"/>
      <c r="N77" s="329" t="n"/>
      <c r="O77" s="329" t="n"/>
      <c r="P77" s="329" t="n"/>
      <c r="Q77" s="329" t="n"/>
      <c r="R77" s="329" t="n"/>
      <c r="S77" s="329" t="n"/>
      <c r="T77" s="329" t="n"/>
      <c r="U77" s="329" t="n"/>
      <c r="V77" s="329" t="n"/>
      <c r="W77" s="329" t="n"/>
      <c r="X77" s="329" t="n"/>
      <c r="Y77" s="329" t="n"/>
      <c r="Z77" s="329" t="n"/>
      <c r="AA77" s="329" t="n"/>
      <c r="AB77" s="329" t="n"/>
      <c r="AC77" s="329" t="n"/>
      <c r="AD77" s="329" t="n"/>
      <c r="AE77" s="329" t="n"/>
    </row>
    <row r="78">
      <c r="A78" s="691" t="inlineStr">
        <is>
          <t>Migration Map — 29 Legacy Tabs to 6 Production Tabs</t>
        </is>
      </c>
      <c r="B78" s="1" t="n"/>
      <c r="C78" s="1" t="n"/>
      <c r="D78" s="329" t="n"/>
      <c r="E78" s="329" t="n"/>
      <c r="F78" s="329" t="n"/>
      <c r="G78" s="329" t="n"/>
      <c r="H78" s="329" t="n"/>
      <c r="I78" s="329" t="n"/>
      <c r="J78" s="329" t="n"/>
      <c r="K78" s="329" t="n"/>
      <c r="L78" s="329" t="n"/>
      <c r="M78" s="329" t="n"/>
      <c r="N78" s="329" t="n"/>
      <c r="O78" s="329" t="n"/>
      <c r="P78" s="329" t="n"/>
      <c r="Q78" s="329" t="n"/>
      <c r="R78" s="329" t="n"/>
      <c r="S78" s="329" t="n"/>
      <c r="T78" s="329" t="n"/>
      <c r="U78" s="329" t="n"/>
      <c r="V78" s="329" t="n"/>
      <c r="W78" s="329" t="n"/>
      <c r="X78" s="329" t="n"/>
      <c r="Y78" s="329" t="n"/>
      <c r="Z78" s="329" t="n"/>
      <c r="AA78" s="329" t="n"/>
      <c r="AB78" s="329" t="n"/>
      <c r="AC78" s="329" t="n"/>
      <c r="AD78" s="329" t="n"/>
      <c r="AE78" s="329" t="n"/>
    </row>
    <row r="79">
      <c r="A79" s="399" t="inlineStr">
        <is>
          <t>Legacy Tab</t>
        </is>
      </c>
      <c r="B79" s="399" t="inlineStr">
        <is>
          <t>Production Destination</t>
        </is>
      </c>
      <c r="C79" s="399" t="inlineStr">
        <is>
          <t>Treatment</t>
        </is>
      </c>
      <c r="D79" s="329" t="n"/>
      <c r="E79" s="329" t="n"/>
      <c r="F79" s="329" t="n"/>
      <c r="G79" s="329" t="n"/>
      <c r="H79" s="329" t="n"/>
      <c r="I79" s="329" t="n"/>
      <c r="J79" s="329" t="n"/>
      <c r="K79" s="329" t="n"/>
      <c r="L79" s="329" t="n"/>
      <c r="M79" s="329" t="n"/>
      <c r="N79" s="329" t="n"/>
      <c r="O79" s="329" t="n"/>
      <c r="P79" s="329" t="n"/>
      <c r="Q79" s="329" t="n"/>
      <c r="R79" s="329" t="n"/>
      <c r="S79" s="329" t="n"/>
      <c r="T79" s="329" t="n"/>
      <c r="U79" s="329" t="n"/>
      <c r="V79" s="329" t="n"/>
      <c r="W79" s="329" t="n"/>
      <c r="X79" s="329" t="n"/>
      <c r="Y79" s="329" t="n"/>
      <c r="Z79" s="329" t="n"/>
      <c r="AA79" s="329" t="n"/>
      <c r="AB79" s="329" t="n"/>
      <c r="AC79" s="329" t="n"/>
      <c r="AD79" s="329" t="n"/>
      <c r="AE79" s="329" t="n"/>
    </row>
    <row r="80">
      <c r="A80" s="329" t="inlineStr">
        <is>
          <t>README</t>
        </is>
      </c>
      <c r="B80" s="329" t="inlineStr">
        <is>
          <t>Governance / Dashboard</t>
        </is>
      </c>
      <c r="C80" s="329" t="inlineStr">
        <is>
          <t>Merged</t>
        </is>
      </c>
      <c r="D80" s="329" t="n"/>
      <c r="E80" s="329" t="n"/>
      <c r="F80" s="329" t="n"/>
      <c r="G80" s="329" t="n"/>
      <c r="H80" s="329" t="n"/>
      <c r="I80" s="329" t="n"/>
      <c r="J80" s="329" t="n"/>
      <c r="K80" s="329" t="n"/>
      <c r="L80" s="329" t="n"/>
      <c r="M80" s="329" t="n"/>
      <c r="N80" s="329" t="n"/>
      <c r="O80" s="329" t="n"/>
      <c r="P80" s="329" t="n"/>
      <c r="Q80" s="329" t="n"/>
      <c r="R80" s="329" t="n"/>
      <c r="S80" s="329" t="n"/>
      <c r="T80" s="329" t="n"/>
      <c r="U80" s="329" t="n"/>
      <c r="V80" s="329" t="n"/>
      <c r="W80" s="329" t="n"/>
      <c r="X80" s="329" t="n"/>
      <c r="Y80" s="329" t="n"/>
      <c r="Z80" s="329" t="n"/>
      <c r="AA80" s="329" t="n"/>
      <c r="AB80" s="329" t="n"/>
      <c r="AC80" s="329" t="n"/>
      <c r="AD80" s="329" t="n"/>
      <c r="AE80" s="329" t="n"/>
    </row>
    <row r="81">
      <c r="A81" s="329" t="inlineStr">
        <is>
          <t>Scorecard</t>
        </is>
      </c>
      <c r="B81" s="329" t="inlineStr">
        <is>
          <t>Dashboard</t>
        </is>
      </c>
      <c r="C81" s="329" t="inlineStr">
        <is>
          <t>Merged</t>
        </is>
      </c>
      <c r="D81" s="329" t="n"/>
      <c r="E81" s="329" t="n"/>
      <c r="F81" s="329" t="n"/>
      <c r="G81" s="329" t="n"/>
      <c r="H81" s="329" t="n"/>
      <c r="I81" s="329" t="n"/>
      <c r="J81" s="329" t="n"/>
      <c r="K81" s="329" t="n"/>
      <c r="L81" s="329" t="n"/>
      <c r="M81" s="329" t="n"/>
      <c r="N81" s="329" t="n"/>
      <c r="O81" s="329" t="n"/>
      <c r="P81" s="329" t="n"/>
      <c r="Q81" s="329" t="n"/>
      <c r="R81" s="329" t="n"/>
      <c r="S81" s="329" t="n"/>
      <c r="T81" s="329" t="n"/>
      <c r="U81" s="329" t="n"/>
      <c r="V81" s="329" t="n"/>
      <c r="W81" s="329" t="n"/>
      <c r="X81" s="329" t="n"/>
      <c r="Y81" s="329" t="n"/>
      <c r="Z81" s="329" t="n"/>
      <c r="AA81" s="329" t="n"/>
      <c r="AB81" s="329" t="n"/>
      <c r="AC81" s="329" t="n"/>
      <c r="AD81" s="329" t="n"/>
      <c r="AE81" s="329" t="n"/>
    </row>
    <row r="82">
      <c r="A82" s="329" t="inlineStr">
        <is>
          <t>Timeline</t>
        </is>
      </c>
      <c r="B82" s="329" t="inlineStr">
        <is>
          <t>Service Events</t>
        </is>
      </c>
      <c r="C82" s="329" t="inlineStr">
        <is>
          <t>Merged</t>
        </is>
      </c>
      <c r="D82" s="329" t="n"/>
      <c r="E82" s="329" t="n"/>
      <c r="F82" s="329" t="n"/>
      <c r="G82" s="329" t="n"/>
      <c r="H82" s="329" t="n"/>
      <c r="I82" s="329" t="n"/>
      <c r="J82" s="329" t="n"/>
      <c r="K82" s="329" t="n"/>
      <c r="L82" s="329" t="n"/>
      <c r="M82" s="329" t="n"/>
      <c r="N82" s="329" t="n"/>
      <c r="O82" s="329" t="n"/>
      <c r="P82" s="329" t="n"/>
      <c r="Q82" s="329" t="n"/>
      <c r="R82" s="329" t="n"/>
      <c r="S82" s="329" t="n"/>
      <c r="T82" s="329" t="n"/>
      <c r="U82" s="329" t="n"/>
      <c r="V82" s="329" t="n"/>
      <c r="W82" s="329" t="n"/>
      <c r="X82" s="329" t="n"/>
      <c r="Y82" s="329" t="n"/>
      <c r="Z82" s="329" t="n"/>
      <c r="AA82" s="329" t="n"/>
      <c r="AB82" s="329" t="n"/>
      <c r="AC82" s="329" t="n"/>
      <c r="AD82" s="329" t="n"/>
      <c r="AE82" s="329" t="n"/>
    </row>
    <row r="83">
      <c r="A83" s="329" t="inlineStr">
        <is>
          <t>Client List</t>
        </is>
      </c>
      <c r="B83" s="329" t="inlineStr">
        <is>
          <t>Analytics</t>
        </is>
      </c>
      <c r="C83" s="329" t="inlineStr">
        <is>
          <t>Derived / migrated snapshot</t>
        </is>
      </c>
      <c r="D83" s="329" t="n"/>
      <c r="E83" s="329" t="n"/>
      <c r="F83" s="329" t="n"/>
      <c r="G83" s="329" t="n"/>
      <c r="H83" s="329" t="n"/>
      <c r="I83" s="329" t="n"/>
      <c r="J83" s="329" t="n"/>
      <c r="K83" s="329" t="n"/>
      <c r="L83" s="329" t="n"/>
      <c r="M83" s="329" t="n"/>
      <c r="N83" s="329" t="n"/>
      <c r="O83" s="329" t="n"/>
      <c r="P83" s="329" t="n"/>
      <c r="Q83" s="329" t="n"/>
      <c r="R83" s="329" t="n"/>
      <c r="S83" s="329" t="n"/>
      <c r="T83" s="329" t="n"/>
      <c r="U83" s="329" t="n"/>
      <c r="V83" s="329" t="n"/>
      <c r="W83" s="329" t="n"/>
      <c r="X83" s="329" t="n"/>
      <c r="Y83" s="329" t="n"/>
      <c r="Z83" s="329" t="n"/>
      <c r="AA83" s="329" t="n"/>
      <c r="AB83" s="329" t="n"/>
      <c r="AC83" s="329" t="n"/>
      <c r="AD83" s="329" t="n"/>
      <c r="AE83" s="329" t="n"/>
    </row>
    <row r="84">
      <c r="A84" s="329" t="inlineStr">
        <is>
          <t>Repeat Clients</t>
        </is>
      </c>
      <c r="B84" s="329" t="inlineStr">
        <is>
          <t>Analytics</t>
        </is>
      </c>
      <c r="C84" s="329" t="inlineStr">
        <is>
          <t>Derived / migrated snapshot</t>
        </is>
      </c>
      <c r="D84" s="329" t="n"/>
      <c r="E84" s="329" t="n"/>
      <c r="F84" s="329" t="n"/>
      <c r="G84" s="329" t="n"/>
      <c r="H84" s="329" t="n"/>
      <c r="I84" s="329" t="n"/>
      <c r="J84" s="329" t="n"/>
      <c r="K84" s="329" t="n"/>
      <c r="L84" s="329" t="n"/>
      <c r="M84" s="329" t="n"/>
      <c r="N84" s="329" t="n"/>
      <c r="O84" s="329" t="n"/>
      <c r="P84" s="329" t="n"/>
      <c r="Q84" s="329" t="n"/>
      <c r="R84" s="329" t="n"/>
      <c r="S84" s="329" t="n"/>
      <c r="T84" s="329" t="n"/>
      <c r="U84" s="329" t="n"/>
      <c r="V84" s="329" t="n"/>
      <c r="W84" s="329" t="n"/>
      <c r="X84" s="329" t="n"/>
      <c r="Y84" s="329" t="n"/>
      <c r="Z84" s="329" t="n"/>
      <c r="AA84" s="329" t="n"/>
      <c r="AB84" s="329" t="n"/>
      <c r="AC84" s="329" t="n"/>
      <c r="AD84" s="329" t="n"/>
      <c r="AE84" s="329" t="n"/>
    </row>
    <row r="85">
      <c r="A85" s="329" t="inlineStr">
        <is>
          <t>State Coverage</t>
        </is>
      </c>
      <c r="B85" s="329" t="inlineStr">
        <is>
          <t>Analytics</t>
        </is>
      </c>
      <c r="C85" s="329" t="inlineStr">
        <is>
          <t>Derived / migrated snapshot</t>
        </is>
      </c>
      <c r="D85" s="329" t="n"/>
      <c r="E85" s="329" t="n"/>
      <c r="F85" s="329" t="n"/>
      <c r="G85" s="329" t="n"/>
      <c r="H85" s="329" t="n"/>
      <c r="I85" s="329" t="n"/>
      <c r="J85" s="329" t="n"/>
      <c r="K85" s="329" t="n"/>
      <c r="L85" s="329" t="n"/>
      <c r="M85" s="329" t="n"/>
      <c r="N85" s="329" t="n"/>
      <c r="O85" s="329" t="n"/>
      <c r="P85" s="329" t="n"/>
      <c r="Q85" s="329" t="n"/>
      <c r="R85" s="329" t="n"/>
      <c r="S85" s="329" t="n"/>
      <c r="T85" s="329" t="n"/>
      <c r="U85" s="329" t="n"/>
      <c r="V85" s="329" t="n"/>
      <c r="W85" s="329" t="n"/>
      <c r="X85" s="329" t="n"/>
      <c r="Y85" s="329" t="n"/>
      <c r="Z85" s="329" t="n"/>
      <c r="AA85" s="329" t="n"/>
      <c r="AB85" s="329" t="n"/>
      <c r="AC85" s="329" t="n"/>
      <c r="AD85" s="329" t="n"/>
      <c r="AE85" s="329" t="n"/>
    </row>
    <row r="86">
      <c r="A86" s="329" t="inlineStr">
        <is>
          <t>Pipeline</t>
        </is>
      </c>
      <c r="B86" s="329" t="inlineStr">
        <is>
          <t>Dashboard / Exceptions &amp; Audit</t>
        </is>
      </c>
      <c r="C86" s="329" t="inlineStr">
        <is>
          <t>Merged</t>
        </is>
      </c>
      <c r="D86" s="329" t="n"/>
      <c r="E86" s="329" t="n"/>
      <c r="F86" s="329" t="n"/>
      <c r="G86" s="329" t="n"/>
      <c r="H86" s="329" t="n"/>
      <c r="I86" s="329" t="n"/>
      <c r="J86" s="329" t="n"/>
      <c r="K86" s="329" t="n"/>
      <c r="L86" s="329" t="n"/>
      <c r="M86" s="329" t="n"/>
      <c r="N86" s="329" t="n"/>
      <c r="O86" s="329" t="n"/>
      <c r="P86" s="329" t="n"/>
      <c r="Q86" s="329" t="n"/>
      <c r="R86" s="329" t="n"/>
      <c r="S86" s="329" t="n"/>
      <c r="T86" s="329" t="n"/>
      <c r="U86" s="329" t="n"/>
      <c r="V86" s="329" t="n"/>
      <c r="W86" s="329" t="n"/>
      <c r="X86" s="329" t="n"/>
      <c r="Y86" s="329" t="n"/>
      <c r="Z86" s="329" t="n"/>
      <c r="AA86" s="329" t="n"/>
      <c r="AB86" s="329" t="n"/>
      <c r="AC86" s="329" t="n"/>
      <c r="AD86" s="329" t="n"/>
      <c r="AE86" s="329" t="n"/>
    </row>
    <row r="87">
      <c r="A87" s="329" t="inlineStr">
        <is>
          <t>Rules &amp; Governance</t>
        </is>
      </c>
      <c r="B87" s="329" t="inlineStr">
        <is>
          <t>Governance</t>
        </is>
      </c>
      <c r="C87" s="329" t="inlineStr">
        <is>
          <t>Merged</t>
        </is>
      </c>
      <c r="D87" s="329" t="n"/>
      <c r="E87" s="329" t="n"/>
      <c r="F87" s="329" t="n"/>
      <c r="G87" s="329" t="n"/>
      <c r="H87" s="329" t="n"/>
      <c r="I87" s="329" t="n"/>
      <c r="J87" s="329" t="n"/>
      <c r="K87" s="329" t="n"/>
      <c r="L87" s="329" t="n"/>
      <c r="M87" s="329" t="n"/>
      <c r="N87" s="329" t="n"/>
      <c r="O87" s="329" t="n"/>
      <c r="P87" s="329" t="n"/>
      <c r="Q87" s="329" t="n"/>
      <c r="R87" s="329" t="n"/>
      <c r="S87" s="329" t="n"/>
      <c r="T87" s="329" t="n"/>
      <c r="U87" s="329" t="n"/>
      <c r="V87" s="329" t="n"/>
      <c r="W87" s="329" t="n"/>
      <c r="X87" s="329" t="n"/>
      <c r="Y87" s="329" t="n"/>
      <c r="Z87" s="329" t="n"/>
      <c r="AA87" s="329" t="n"/>
      <c r="AB87" s="329" t="n"/>
      <c r="AC87" s="329" t="n"/>
      <c r="AD87" s="329" t="n"/>
      <c r="AE87" s="329" t="n"/>
    </row>
    <row r="88">
      <c r="A88" s="329" t="inlineStr">
        <is>
          <t>Validation</t>
        </is>
      </c>
      <c r="B88" s="329" t="inlineStr">
        <is>
          <t>Exceptions &amp; Audit</t>
        </is>
      </c>
      <c r="C88" s="329" t="inlineStr">
        <is>
          <t>Merged</t>
        </is>
      </c>
      <c r="D88" s="329" t="n"/>
      <c r="E88" s="329" t="n"/>
      <c r="F88" s="329" t="n"/>
      <c r="G88" s="329" t="n"/>
      <c r="H88" s="329" t="n"/>
      <c r="I88" s="329" t="n"/>
      <c r="J88" s="329" t="n"/>
      <c r="K88" s="329" t="n"/>
      <c r="L88" s="329" t="n"/>
      <c r="M88" s="329" t="n"/>
      <c r="N88" s="329" t="n"/>
      <c r="O88" s="329" t="n"/>
      <c r="P88" s="329" t="n"/>
      <c r="Q88" s="329" t="n"/>
      <c r="R88" s="329" t="n"/>
      <c r="S88" s="329" t="n"/>
      <c r="T88" s="329" t="n"/>
      <c r="U88" s="329" t="n"/>
      <c r="V88" s="329" t="n"/>
      <c r="W88" s="329" t="n"/>
      <c r="X88" s="329" t="n"/>
      <c r="Y88" s="329" t="n"/>
      <c r="Z88" s="329" t="n"/>
      <c r="AA88" s="329" t="n"/>
      <c r="AB88" s="329" t="n"/>
      <c r="AC88" s="329" t="n"/>
      <c r="AD88" s="329" t="n"/>
      <c r="AE88" s="329" t="n"/>
    </row>
    <row r="89">
      <c r="A89" s="329" t="inlineStr">
        <is>
          <t>Financial Status</t>
        </is>
      </c>
      <c r="B89" s="329" t="inlineStr">
        <is>
          <t>Dashboard / Exceptions &amp; Audit</t>
        </is>
      </c>
      <c r="C89" s="329" t="inlineStr">
        <is>
          <t>Merged</t>
        </is>
      </c>
      <c r="D89" s="329" t="n"/>
      <c r="E89" s="329" t="n"/>
      <c r="F89" s="329" t="n"/>
      <c r="G89" s="329" t="n"/>
      <c r="H89" s="329" t="n"/>
      <c r="I89" s="329" t="n"/>
      <c r="J89" s="329" t="n"/>
      <c r="K89" s="329" t="n"/>
      <c r="L89" s="329" t="n"/>
      <c r="M89" s="329" t="n"/>
      <c r="N89" s="329" t="n"/>
      <c r="O89" s="329" t="n"/>
      <c r="P89" s="329" t="n"/>
      <c r="Q89" s="329" t="n"/>
      <c r="R89" s="329" t="n"/>
      <c r="S89" s="329" t="n"/>
      <c r="T89" s="329" t="n"/>
      <c r="U89" s="329" t="n"/>
      <c r="V89" s="329" t="n"/>
      <c r="W89" s="329" t="n"/>
      <c r="X89" s="329" t="n"/>
      <c r="Y89" s="329" t="n"/>
      <c r="Z89" s="329" t="n"/>
      <c r="AA89" s="329" t="n"/>
      <c r="AB89" s="329" t="n"/>
      <c r="AC89" s="329" t="n"/>
      <c r="AD89" s="329" t="n"/>
      <c r="AE89" s="329" t="n"/>
    </row>
    <row r="90">
      <c r="A90" s="329" t="inlineStr">
        <is>
          <t>State Efficiency</t>
        </is>
      </c>
      <c r="B90" s="329" t="inlineStr">
        <is>
          <t>Analytics</t>
        </is>
      </c>
      <c r="C90" s="329" t="inlineStr">
        <is>
          <t>Merged</t>
        </is>
      </c>
      <c r="D90" s="329" t="n"/>
      <c r="E90" s="329" t="n"/>
      <c r="F90" s="329" t="n"/>
      <c r="G90" s="329" t="n"/>
      <c r="H90" s="329" t="n"/>
      <c r="I90" s="329" t="n"/>
      <c r="J90" s="329" t="n"/>
      <c r="K90" s="329" t="n"/>
      <c r="L90" s="329" t="n"/>
      <c r="M90" s="329" t="n"/>
      <c r="N90" s="329" t="n"/>
      <c r="O90" s="329" t="n"/>
      <c r="P90" s="329" t="n"/>
      <c r="Q90" s="329" t="n"/>
      <c r="R90" s="329" t="n"/>
      <c r="S90" s="329" t="n"/>
      <c r="T90" s="329" t="n"/>
      <c r="U90" s="329" t="n"/>
      <c r="V90" s="329" t="n"/>
      <c r="W90" s="329" t="n"/>
      <c r="X90" s="329" t="n"/>
      <c r="Y90" s="329" t="n"/>
      <c r="Z90" s="329" t="n"/>
      <c r="AA90" s="329" t="n"/>
      <c r="AB90" s="329" t="n"/>
      <c r="AC90" s="329" t="n"/>
      <c r="AD90" s="329" t="n"/>
      <c r="AE90" s="329" t="n"/>
    </row>
    <row r="91">
      <c r="A91" s="329" t="inlineStr">
        <is>
          <t>Client Financials</t>
        </is>
      </c>
      <c r="B91" s="329" t="inlineStr">
        <is>
          <t>Analytics</t>
        </is>
      </c>
      <c r="C91" s="329" t="inlineStr">
        <is>
          <t>Merged snapshot</t>
        </is>
      </c>
      <c r="D91" s="329" t="n"/>
      <c r="E91" s="329" t="n"/>
      <c r="F91" s="329" t="n"/>
      <c r="G91" s="329" t="n"/>
      <c r="H91" s="329" t="n"/>
      <c r="I91" s="329" t="n"/>
      <c r="J91" s="329" t="n"/>
      <c r="K91" s="329" t="n"/>
      <c r="L91" s="329" t="n"/>
      <c r="M91" s="329" t="n"/>
      <c r="N91" s="329" t="n"/>
      <c r="O91" s="329" t="n"/>
      <c r="P91" s="329" t="n"/>
      <c r="Q91" s="329" t="n"/>
      <c r="R91" s="329" t="n"/>
      <c r="S91" s="329" t="n"/>
      <c r="T91" s="329" t="n"/>
      <c r="U91" s="329" t="n"/>
      <c r="V91" s="329" t="n"/>
      <c r="W91" s="329" t="n"/>
      <c r="X91" s="329" t="n"/>
      <c r="Y91" s="329" t="n"/>
      <c r="Z91" s="329" t="n"/>
      <c r="AA91" s="329" t="n"/>
      <c r="AB91" s="329" t="n"/>
      <c r="AC91" s="329" t="n"/>
      <c r="AD91" s="329" t="n"/>
      <c r="AE91" s="329" t="n"/>
    </row>
    <row r="92">
      <c r="A92" s="329" t="inlineStr">
        <is>
          <t>State Rankings</t>
        </is>
      </c>
      <c r="B92" s="329" t="inlineStr">
        <is>
          <t>Analytics</t>
        </is>
      </c>
      <c r="C92" s="329" t="inlineStr">
        <is>
          <t>Merged snapshot</t>
        </is>
      </c>
      <c r="D92" s="329" t="n"/>
      <c r="E92" s="329" t="n"/>
      <c r="F92" s="329" t="n"/>
      <c r="G92" s="329" t="n"/>
      <c r="H92" s="329" t="n"/>
      <c r="I92" s="329" t="n"/>
      <c r="J92" s="329" t="n"/>
      <c r="K92" s="329" t="n"/>
      <c r="L92" s="329" t="n"/>
      <c r="M92" s="329" t="n"/>
      <c r="N92" s="329" t="n"/>
      <c r="O92" s="329" t="n"/>
      <c r="P92" s="329" t="n"/>
      <c r="Q92" s="329" t="n"/>
      <c r="R92" s="329" t="n"/>
      <c r="S92" s="329" t="n"/>
      <c r="T92" s="329" t="n"/>
      <c r="U92" s="329" t="n"/>
      <c r="V92" s="329" t="n"/>
      <c r="W92" s="329" t="n"/>
      <c r="X92" s="329" t="n"/>
      <c r="Y92" s="329" t="n"/>
      <c r="Z92" s="329" t="n"/>
      <c r="AA92" s="329" t="n"/>
      <c r="AB92" s="329" t="n"/>
      <c r="AC92" s="329" t="n"/>
      <c r="AD92" s="329" t="n"/>
      <c r="AE92" s="329" t="n"/>
    </row>
    <row r="93">
      <c r="A93" s="329" t="inlineStr">
        <is>
          <t>Hour Analysis</t>
        </is>
      </c>
      <c r="B93" s="329" t="inlineStr">
        <is>
          <t>Analytics</t>
        </is>
      </c>
      <c r="C93" s="329" t="inlineStr">
        <is>
          <t>Reserved for Phase 3 formulas</t>
        </is>
      </c>
      <c r="D93" s="329" t="n"/>
      <c r="E93" s="329" t="n"/>
      <c r="F93" s="329" t="n"/>
      <c r="G93" s="329" t="n"/>
      <c r="H93" s="329" t="n"/>
      <c r="I93" s="329" t="n"/>
      <c r="J93" s="329" t="n"/>
      <c r="K93" s="329" t="n"/>
      <c r="L93" s="329" t="n"/>
      <c r="M93" s="329" t="n"/>
      <c r="N93" s="329" t="n"/>
      <c r="O93" s="329" t="n"/>
      <c r="P93" s="329" t="n"/>
      <c r="Q93" s="329" t="n"/>
      <c r="R93" s="329" t="n"/>
      <c r="S93" s="329" t="n"/>
      <c r="T93" s="329" t="n"/>
      <c r="U93" s="329" t="n"/>
      <c r="V93" s="329" t="n"/>
      <c r="W93" s="329" t="n"/>
      <c r="X93" s="329" t="n"/>
      <c r="Y93" s="329" t="n"/>
      <c r="Z93" s="329" t="n"/>
      <c r="AA93" s="329" t="n"/>
      <c r="AB93" s="329" t="n"/>
      <c r="AC93" s="329" t="n"/>
      <c r="AD93" s="329" t="n"/>
      <c r="AE93" s="329" t="n"/>
    </row>
    <row r="94">
      <c r="A94" s="329" t="inlineStr">
        <is>
          <t>Dashboard Feed</t>
        </is>
      </c>
      <c r="B94" s="329" t="inlineStr">
        <is>
          <t>Dashboard</t>
        </is>
      </c>
      <c r="C94" s="329" t="inlineStr">
        <is>
          <t>Merged</t>
        </is>
      </c>
      <c r="D94" s="329" t="n"/>
      <c r="E94" s="329" t="n"/>
      <c r="F94" s="329" t="n"/>
      <c r="G94" s="329" t="n"/>
      <c r="H94" s="329" t="n"/>
      <c r="I94" s="329" t="n"/>
      <c r="J94" s="329" t="n"/>
      <c r="K94" s="329" t="n"/>
      <c r="L94" s="329" t="n"/>
      <c r="M94" s="329" t="n"/>
      <c r="N94" s="329" t="n"/>
      <c r="O94" s="329" t="n"/>
      <c r="P94" s="329" t="n"/>
      <c r="Q94" s="329" t="n"/>
      <c r="R94" s="329" t="n"/>
      <c r="S94" s="329" t="n"/>
      <c r="T94" s="329" t="n"/>
      <c r="U94" s="329" t="n"/>
      <c r="V94" s="329" t="n"/>
      <c r="W94" s="329" t="n"/>
      <c r="X94" s="329" t="n"/>
      <c r="Y94" s="329" t="n"/>
      <c r="Z94" s="329" t="n"/>
      <c r="AA94" s="329" t="n"/>
      <c r="AB94" s="329" t="n"/>
      <c r="AC94" s="329" t="n"/>
      <c r="AD94" s="329" t="n"/>
      <c r="AE94" s="329" t="n"/>
    </row>
    <row r="95">
      <c r="A95" s="329" t="inlineStr">
        <is>
          <t>Analytics Input</t>
        </is>
      </c>
      <c r="B95" s="329" t="inlineStr">
        <is>
          <t>Service Events / Analytics</t>
        </is>
      </c>
      <c r="C95" s="329" t="inlineStr">
        <is>
          <t>Normalize in Phase 2</t>
        </is>
      </c>
      <c r="D95" s="329" t="n"/>
      <c r="E95" s="329" t="n"/>
      <c r="F95" s="329" t="n"/>
      <c r="G95" s="329" t="n"/>
      <c r="H95" s="329" t="n"/>
      <c r="I95" s="329" t="n"/>
      <c r="J95" s="329" t="n"/>
      <c r="K95" s="329" t="n"/>
      <c r="L95" s="329" t="n"/>
      <c r="M95" s="329" t="n"/>
      <c r="N95" s="329" t="n"/>
      <c r="O95" s="329" t="n"/>
      <c r="P95" s="329" t="n"/>
      <c r="Q95" s="329" t="n"/>
      <c r="R95" s="329" t="n"/>
      <c r="S95" s="329" t="n"/>
      <c r="T95" s="329" t="n"/>
      <c r="U95" s="329" t="n"/>
      <c r="V95" s="329" t="n"/>
      <c r="W95" s="329" t="n"/>
      <c r="X95" s="329" t="n"/>
      <c r="Y95" s="329" t="n"/>
      <c r="Z95" s="329" t="n"/>
      <c r="AA95" s="329" t="n"/>
      <c r="AB95" s="329" t="n"/>
      <c r="AC95" s="329" t="n"/>
      <c r="AD95" s="329" t="n"/>
      <c r="AE95" s="329" t="n"/>
    </row>
    <row r="96">
      <c r="A96" s="329" t="inlineStr">
        <is>
          <t>Canonical Ledger</t>
        </is>
      </c>
      <c r="B96" s="329" t="inlineStr">
        <is>
          <t>Work Orders &amp; Ledger</t>
        </is>
      </c>
      <c r="C96" s="329" t="inlineStr">
        <is>
          <t>Merged</t>
        </is>
      </c>
      <c r="D96" s="329" t="n"/>
      <c r="E96" s="329" t="n"/>
      <c r="F96" s="329" t="n"/>
      <c r="G96" s="329" t="n"/>
      <c r="H96" s="329" t="n"/>
      <c r="I96" s="329" t="n"/>
      <c r="J96" s="329" t="n"/>
      <c r="K96" s="329" t="n"/>
      <c r="L96" s="329" t="n"/>
      <c r="M96" s="329" t="n"/>
      <c r="N96" s="329" t="n"/>
      <c r="O96" s="329" t="n"/>
      <c r="P96" s="329" t="n"/>
      <c r="Q96" s="329" t="n"/>
      <c r="R96" s="329" t="n"/>
      <c r="S96" s="329" t="n"/>
      <c r="T96" s="329" t="n"/>
      <c r="U96" s="329" t="n"/>
      <c r="V96" s="329" t="n"/>
      <c r="W96" s="329" t="n"/>
      <c r="X96" s="329" t="n"/>
      <c r="Y96" s="329" t="n"/>
      <c r="Z96" s="329" t="n"/>
      <c r="AA96" s="329" t="n"/>
      <c r="AB96" s="329" t="n"/>
      <c r="AC96" s="329" t="n"/>
      <c r="AD96" s="329" t="n"/>
      <c r="AE96" s="329" t="n"/>
    </row>
    <row r="97">
      <c r="A97" s="329" t="inlineStr">
        <is>
          <t>Delta Log</t>
        </is>
      </c>
      <c r="B97" s="329" t="inlineStr">
        <is>
          <t>Exceptions &amp; Audit</t>
        </is>
      </c>
      <c r="C97" s="329" t="inlineStr">
        <is>
          <t>Merged</t>
        </is>
      </c>
      <c r="D97" s="329" t="n"/>
      <c r="E97" s="329" t="n"/>
      <c r="F97" s="329" t="n"/>
      <c r="G97" s="329" t="n"/>
      <c r="H97" s="329" t="n"/>
      <c r="I97" s="329" t="n"/>
      <c r="J97" s="329" t="n"/>
      <c r="K97" s="329" t="n"/>
      <c r="L97" s="329" t="n"/>
      <c r="M97" s="329" t="n"/>
      <c r="N97" s="329" t="n"/>
      <c r="O97" s="329" t="n"/>
      <c r="P97" s="329" t="n"/>
      <c r="Q97" s="329" t="n"/>
      <c r="R97" s="329" t="n"/>
      <c r="S97" s="329" t="n"/>
      <c r="T97" s="329" t="n"/>
      <c r="U97" s="329" t="n"/>
      <c r="V97" s="329" t="n"/>
      <c r="W97" s="329" t="n"/>
      <c r="X97" s="329" t="n"/>
      <c r="Y97" s="329" t="n"/>
      <c r="Z97" s="329" t="n"/>
      <c r="AA97" s="329" t="n"/>
      <c r="AB97" s="329" t="n"/>
      <c r="AC97" s="329" t="n"/>
      <c r="AD97" s="329" t="n"/>
      <c r="AE97" s="329" t="n"/>
    </row>
    <row r="98">
      <c r="A98" s="329" t="inlineStr">
        <is>
          <t>Missing Queues</t>
        </is>
      </c>
      <c r="B98" s="329" t="inlineStr">
        <is>
          <t>Exceptions &amp; Audit</t>
        </is>
      </c>
      <c r="C98" s="329" t="inlineStr">
        <is>
          <t>Merged</t>
        </is>
      </c>
      <c r="D98" s="329" t="n"/>
      <c r="E98" s="329" t="n"/>
      <c r="F98" s="329" t="n"/>
      <c r="G98" s="329" t="n"/>
      <c r="H98" s="329" t="n"/>
      <c r="I98" s="329" t="n"/>
      <c r="J98" s="329" t="n"/>
      <c r="K98" s="329" t="n"/>
      <c r="L98" s="329" t="n"/>
      <c r="M98" s="329" t="n"/>
      <c r="N98" s="329" t="n"/>
      <c r="O98" s="329" t="n"/>
      <c r="P98" s="329" t="n"/>
      <c r="Q98" s="329" t="n"/>
      <c r="R98" s="329" t="n"/>
      <c r="S98" s="329" t="n"/>
      <c r="T98" s="329" t="n"/>
      <c r="U98" s="329" t="n"/>
      <c r="V98" s="329" t="n"/>
      <c r="W98" s="329" t="n"/>
      <c r="X98" s="329" t="n"/>
      <c r="Y98" s="329" t="n"/>
      <c r="Z98" s="329" t="n"/>
      <c r="AA98" s="329" t="n"/>
      <c r="AB98" s="329" t="n"/>
      <c r="AC98" s="329" t="n"/>
      <c r="AD98" s="329" t="n"/>
      <c r="AE98" s="329" t="n"/>
    </row>
    <row r="99">
      <c r="A99" s="329" t="inlineStr">
        <is>
          <t>Exception Review</t>
        </is>
      </c>
      <c r="B99" s="329" t="inlineStr">
        <is>
          <t>Exceptions &amp; Audit</t>
        </is>
      </c>
      <c r="C99" s="329" t="inlineStr">
        <is>
          <t>Merged</t>
        </is>
      </c>
      <c r="D99" s="329" t="n"/>
      <c r="E99" s="329" t="n"/>
      <c r="F99" s="329" t="n"/>
      <c r="G99" s="329" t="n"/>
      <c r="H99" s="329" t="n"/>
      <c r="I99" s="329" t="n"/>
      <c r="J99" s="329" t="n"/>
      <c r="K99" s="329" t="n"/>
      <c r="L99" s="329" t="n"/>
      <c r="M99" s="329" t="n"/>
      <c r="N99" s="329" t="n"/>
      <c r="O99" s="329" t="n"/>
      <c r="P99" s="329" t="n"/>
      <c r="Q99" s="329" t="n"/>
      <c r="R99" s="329" t="n"/>
      <c r="S99" s="329" t="n"/>
      <c r="T99" s="329" t="n"/>
      <c r="U99" s="329" t="n"/>
      <c r="V99" s="329" t="n"/>
      <c r="W99" s="329" t="n"/>
      <c r="X99" s="329" t="n"/>
      <c r="Y99" s="329" t="n"/>
      <c r="Z99" s="329" t="n"/>
      <c r="AA99" s="329" t="n"/>
      <c r="AB99" s="329" t="n"/>
      <c r="AC99" s="329" t="n"/>
      <c r="AD99" s="329" t="n"/>
      <c r="AE99" s="329" t="n"/>
    </row>
    <row r="100">
      <c r="A100" s="329" t="inlineStr">
        <is>
          <t>Phase0 Merge Report</t>
        </is>
      </c>
      <c r="B100" s="329" t="inlineStr">
        <is>
          <t>Governance</t>
        </is>
      </c>
      <c r="C100" s="329" t="inlineStr">
        <is>
          <t>Archived</t>
        </is>
      </c>
      <c r="D100" s="329" t="n"/>
      <c r="E100" s="329" t="n"/>
      <c r="F100" s="329" t="n"/>
      <c r="G100" s="329" t="n"/>
      <c r="H100" s="329" t="n"/>
      <c r="I100" s="329" t="n"/>
      <c r="J100" s="329" t="n"/>
      <c r="K100" s="329" t="n"/>
      <c r="L100" s="329" t="n"/>
      <c r="M100" s="329" t="n"/>
      <c r="N100" s="329" t="n"/>
      <c r="O100" s="329" t="n"/>
      <c r="P100" s="329" t="n"/>
      <c r="Q100" s="329" t="n"/>
      <c r="R100" s="329" t="n"/>
      <c r="S100" s="329" t="n"/>
      <c r="T100" s="329" t="n"/>
      <c r="U100" s="329" t="n"/>
      <c r="V100" s="329" t="n"/>
      <c r="W100" s="329" t="n"/>
      <c r="X100" s="329" t="n"/>
      <c r="Y100" s="329" t="n"/>
      <c r="Z100" s="329" t="n"/>
      <c r="AA100" s="329" t="n"/>
      <c r="AB100" s="329" t="n"/>
      <c r="AC100" s="329" t="n"/>
      <c r="AD100" s="329" t="n"/>
      <c r="AE100" s="329" t="n"/>
    </row>
    <row r="101">
      <c r="A101" s="329" t="inlineStr">
        <is>
          <t>Canonical Summary</t>
        </is>
      </c>
      <c r="B101" s="329" t="inlineStr">
        <is>
          <t>Dashboard</t>
        </is>
      </c>
      <c r="C101" s="329" t="inlineStr">
        <is>
          <t>Merged</t>
        </is>
      </c>
      <c r="D101" s="329" t="n"/>
      <c r="E101" s="329" t="n"/>
      <c r="F101" s="329" t="n"/>
      <c r="G101" s="329" t="n"/>
      <c r="H101" s="329" t="n"/>
      <c r="I101" s="329" t="n"/>
      <c r="J101" s="329" t="n"/>
      <c r="K101" s="329" t="n"/>
      <c r="L101" s="329" t="n"/>
      <c r="M101" s="329" t="n"/>
      <c r="N101" s="329" t="n"/>
      <c r="O101" s="329" t="n"/>
      <c r="P101" s="329" t="n"/>
      <c r="Q101" s="329" t="n"/>
      <c r="R101" s="329" t="n"/>
      <c r="S101" s="329" t="n"/>
      <c r="T101" s="329" t="n"/>
      <c r="U101" s="329" t="n"/>
      <c r="V101" s="329" t="n"/>
      <c r="W101" s="329" t="n"/>
      <c r="X101" s="329" t="n"/>
      <c r="Y101" s="329" t="n"/>
      <c r="Z101" s="329" t="n"/>
      <c r="AA101" s="329" t="n"/>
      <c r="AB101" s="329" t="n"/>
      <c r="AC101" s="329" t="n"/>
      <c r="AD101" s="329" t="n"/>
      <c r="AE101" s="329" t="n"/>
    </row>
    <row r="102">
      <c r="A102" s="329" t="inlineStr">
        <is>
          <t>Phase 1 Roadmap</t>
        </is>
      </c>
      <c r="B102" s="329" t="inlineStr">
        <is>
          <t>Governance</t>
        </is>
      </c>
      <c r="C102" s="329" t="inlineStr">
        <is>
          <t>Archived</t>
        </is>
      </c>
      <c r="D102" s="329" t="n"/>
      <c r="E102" s="329" t="n"/>
      <c r="F102" s="329" t="n"/>
      <c r="G102" s="329" t="n"/>
      <c r="H102" s="329" t="n"/>
      <c r="I102" s="329" t="n"/>
      <c r="J102" s="329" t="n"/>
      <c r="K102" s="329" t="n"/>
      <c r="L102" s="329" t="n"/>
      <c r="M102" s="329" t="n"/>
      <c r="N102" s="329" t="n"/>
      <c r="O102" s="329" t="n"/>
      <c r="P102" s="329" t="n"/>
      <c r="Q102" s="329" t="n"/>
      <c r="R102" s="329" t="n"/>
      <c r="S102" s="329" t="n"/>
      <c r="T102" s="329" t="n"/>
      <c r="U102" s="329" t="n"/>
      <c r="V102" s="329" t="n"/>
      <c r="W102" s="329" t="n"/>
      <c r="X102" s="329" t="n"/>
      <c r="Y102" s="329" t="n"/>
      <c r="Z102" s="329" t="n"/>
      <c r="AA102" s="329" t="n"/>
      <c r="AB102" s="329" t="n"/>
      <c r="AC102" s="329" t="n"/>
      <c r="AD102" s="329" t="n"/>
      <c r="AE102" s="329" t="n"/>
    </row>
    <row r="103">
      <c r="A103" s="329" t="inlineStr">
        <is>
          <t>Work Order Index</t>
        </is>
      </c>
      <c r="B103" s="329" t="inlineStr">
        <is>
          <t>Work Orders &amp; Ledger</t>
        </is>
      </c>
      <c r="C103" s="329" t="inlineStr">
        <is>
          <t>Merged</t>
        </is>
      </c>
      <c r="D103" s="329" t="n"/>
      <c r="E103" s="329" t="n"/>
      <c r="F103" s="329" t="n"/>
      <c r="G103" s="329" t="n"/>
      <c r="H103" s="329" t="n"/>
      <c r="I103" s="329" t="n"/>
      <c r="J103" s="329" t="n"/>
      <c r="K103" s="329" t="n"/>
      <c r="L103" s="329" t="n"/>
      <c r="M103" s="329" t="n"/>
      <c r="N103" s="329" t="n"/>
      <c r="O103" s="329" t="n"/>
      <c r="P103" s="329" t="n"/>
      <c r="Q103" s="329" t="n"/>
      <c r="R103" s="329" t="n"/>
      <c r="S103" s="329" t="n"/>
      <c r="T103" s="329" t="n"/>
      <c r="U103" s="329" t="n"/>
      <c r="V103" s="329" t="n"/>
      <c r="W103" s="329" t="n"/>
      <c r="X103" s="329" t="n"/>
      <c r="Y103" s="329" t="n"/>
      <c r="Z103" s="329" t="n"/>
      <c r="AA103" s="329" t="n"/>
      <c r="AB103" s="329" t="n"/>
      <c r="AC103" s="329" t="n"/>
      <c r="AD103" s="329" t="n"/>
      <c r="AE103" s="329" t="n"/>
    </row>
    <row r="104">
      <c r="A104" s="329" t="inlineStr">
        <is>
          <t>WO Alias Index</t>
        </is>
      </c>
      <c r="B104" s="329" t="inlineStr">
        <is>
          <t>Work Orders &amp; Ledger</t>
        </is>
      </c>
      <c r="C104" s="329" t="inlineStr">
        <is>
          <t>Primary migration source</t>
        </is>
      </c>
      <c r="D104" s="329" t="n"/>
      <c r="E104" s="329" t="n"/>
      <c r="F104" s="329" t="n"/>
      <c r="G104" s="329" t="n"/>
      <c r="H104" s="329" t="n"/>
      <c r="I104" s="329" t="n"/>
      <c r="J104" s="329" t="n"/>
      <c r="K104" s="329" t="n"/>
      <c r="L104" s="329" t="n"/>
      <c r="M104" s="329" t="n"/>
      <c r="N104" s="329" t="n"/>
      <c r="O104" s="329" t="n"/>
      <c r="P104" s="329" t="n"/>
      <c r="Q104" s="329" t="n"/>
      <c r="R104" s="329" t="n"/>
      <c r="S104" s="329" t="n"/>
      <c r="T104" s="329" t="n"/>
      <c r="U104" s="329" t="n"/>
      <c r="V104" s="329" t="n"/>
      <c r="W104" s="329" t="n"/>
      <c r="X104" s="329" t="n"/>
      <c r="Y104" s="329" t="n"/>
      <c r="Z104" s="329" t="n"/>
      <c r="AA104" s="329" t="n"/>
      <c r="AB104" s="329" t="n"/>
      <c r="AC104" s="329" t="n"/>
      <c r="AD104" s="329" t="n"/>
      <c r="AE104" s="329" t="n"/>
    </row>
    <row r="105">
      <c r="A105" s="329" t="inlineStr">
        <is>
          <t>Engine Rules</t>
        </is>
      </c>
      <c r="B105" s="329" t="inlineStr">
        <is>
          <t>Governance</t>
        </is>
      </c>
      <c r="C105" s="329" t="inlineStr">
        <is>
          <t>Merged</t>
        </is>
      </c>
      <c r="D105" s="329" t="n"/>
      <c r="E105" s="329" t="n"/>
      <c r="F105" s="329" t="n"/>
      <c r="G105" s="329" t="n"/>
      <c r="H105" s="329" t="n"/>
      <c r="I105" s="329" t="n"/>
      <c r="J105" s="329" t="n"/>
      <c r="K105" s="329" t="n"/>
      <c r="L105" s="329" t="n"/>
      <c r="M105" s="329" t="n"/>
      <c r="N105" s="329" t="n"/>
      <c r="O105" s="329" t="n"/>
      <c r="P105" s="329" t="n"/>
      <c r="Q105" s="329" t="n"/>
      <c r="R105" s="329" t="n"/>
      <c r="S105" s="329" t="n"/>
      <c r="T105" s="329" t="n"/>
      <c r="U105" s="329" t="n"/>
      <c r="V105" s="329" t="n"/>
      <c r="W105" s="329" t="n"/>
      <c r="X105" s="329" t="n"/>
      <c r="Y105" s="329" t="n"/>
      <c r="Z105" s="329" t="n"/>
      <c r="AA105" s="329" t="n"/>
      <c r="AB105" s="329" t="n"/>
      <c r="AC105" s="329" t="n"/>
      <c r="AD105" s="329" t="n"/>
      <c r="AE105" s="329" t="n"/>
    </row>
    <row r="106">
      <c r="A106" s="329" t="inlineStr">
        <is>
          <t>Service Calendar</t>
        </is>
      </c>
      <c r="B106" s="329" t="inlineStr">
        <is>
          <t>Service Events</t>
        </is>
      </c>
      <c r="C106" s="329" t="inlineStr">
        <is>
          <t>Merged</t>
        </is>
      </c>
      <c r="D106" s="329" t="n"/>
      <c r="E106" s="329" t="n"/>
      <c r="F106" s="329" t="n"/>
      <c r="G106" s="329" t="n"/>
      <c r="H106" s="329" t="n"/>
      <c r="I106" s="329" t="n"/>
      <c r="J106" s="329" t="n"/>
      <c r="K106" s="329" t="n"/>
      <c r="L106" s="329" t="n"/>
      <c r="M106" s="329" t="n"/>
      <c r="N106" s="329" t="n"/>
      <c r="O106" s="329" t="n"/>
      <c r="P106" s="329" t="n"/>
      <c r="Q106" s="329" t="n"/>
      <c r="R106" s="329" t="n"/>
      <c r="S106" s="329" t="n"/>
      <c r="T106" s="329" t="n"/>
      <c r="U106" s="329" t="n"/>
      <c r="V106" s="329" t="n"/>
      <c r="W106" s="329" t="n"/>
      <c r="X106" s="329" t="n"/>
      <c r="Y106" s="329" t="n"/>
      <c r="Z106" s="329" t="n"/>
      <c r="AA106" s="329" t="n"/>
      <c r="AB106" s="329" t="n"/>
      <c r="AC106" s="329" t="n"/>
      <c r="AD106" s="329" t="n"/>
      <c r="AE106" s="329" t="n"/>
    </row>
    <row r="107">
      <c r="A107" s="329" t="inlineStr">
        <is>
          <t>Worked Days</t>
        </is>
      </c>
      <c r="B107" s="329" t="inlineStr">
        <is>
          <t>Analytics</t>
        </is>
      </c>
      <c r="C107" s="329" t="inlineStr">
        <is>
          <t>Derived</t>
        </is>
      </c>
      <c r="D107" s="329" t="n"/>
      <c r="E107" s="329" t="n"/>
      <c r="F107" s="329" t="n"/>
      <c r="G107" s="329" t="n"/>
      <c r="H107" s="329" t="n"/>
      <c r="I107" s="329" t="n"/>
      <c r="J107" s="329" t="n"/>
      <c r="K107" s="329" t="n"/>
      <c r="L107" s="329" t="n"/>
      <c r="M107" s="329" t="n"/>
      <c r="N107" s="329" t="n"/>
      <c r="O107" s="329" t="n"/>
      <c r="P107" s="329" t="n"/>
      <c r="Q107" s="329" t="n"/>
      <c r="R107" s="329" t="n"/>
      <c r="S107" s="329" t="n"/>
      <c r="T107" s="329" t="n"/>
      <c r="U107" s="329" t="n"/>
      <c r="V107" s="329" t="n"/>
      <c r="W107" s="329" t="n"/>
      <c r="X107" s="329" t="n"/>
      <c r="Y107" s="329" t="n"/>
      <c r="Z107" s="329" t="n"/>
      <c r="AA107" s="329" t="n"/>
      <c r="AB107" s="329" t="n"/>
      <c r="AC107" s="329" t="n"/>
      <c r="AD107" s="329" t="n"/>
      <c r="AE107" s="329" t="n"/>
    </row>
    <row r="108">
      <c r="A108" s="329" t="inlineStr">
        <is>
          <t>Weekday Metrics</t>
        </is>
      </c>
      <c r="B108" s="329" t="inlineStr">
        <is>
          <t>Dashboard / Analytics</t>
        </is>
      </c>
      <c r="C108" s="329" t="inlineStr">
        <is>
          <t>Merged</t>
        </is>
      </c>
      <c r="D108" s="329" t="n"/>
      <c r="E108" s="329" t="n"/>
      <c r="F108" s="329" t="n"/>
      <c r="G108" s="329" t="n"/>
      <c r="H108" s="329" t="n"/>
      <c r="I108" s="329" t="n"/>
      <c r="J108" s="329" t="n"/>
      <c r="K108" s="329" t="n"/>
      <c r="L108" s="329" t="n"/>
      <c r="M108" s="329" t="n"/>
      <c r="N108" s="329" t="n"/>
      <c r="O108" s="329" t="n"/>
      <c r="P108" s="329" t="n"/>
      <c r="Q108" s="329" t="n"/>
      <c r="R108" s="329" t="n"/>
      <c r="S108" s="329" t="n"/>
      <c r="T108" s="329" t="n"/>
      <c r="U108" s="329" t="n"/>
      <c r="V108" s="329" t="n"/>
      <c r="W108" s="329" t="n"/>
      <c r="X108" s="329" t="n"/>
      <c r="Y108" s="329" t="n"/>
      <c r="Z108" s="329" t="n"/>
      <c r="AA108" s="329" t="n"/>
      <c r="AB108" s="329" t="n"/>
      <c r="AC108" s="329" t="n"/>
      <c r="AD108" s="329" t="n"/>
      <c r="AE108" s="329" t="n"/>
    </row>
    <row r="109">
      <c r="A109" s="329" t="n"/>
      <c r="B109" s="329" t="n"/>
      <c r="C109" s="329" t="n"/>
      <c r="D109" s="329" t="n"/>
      <c r="E109" s="329" t="n"/>
      <c r="F109" s="329" t="n"/>
      <c r="G109" s="329" t="n"/>
      <c r="H109" s="329" t="n"/>
      <c r="I109" s="329" t="n"/>
      <c r="J109" s="329" t="n"/>
      <c r="K109" s="329" t="n"/>
      <c r="L109" s="329" t="n"/>
      <c r="M109" s="329" t="n"/>
      <c r="N109" s="329" t="n"/>
      <c r="O109" s="329" t="n"/>
      <c r="P109" s="329" t="n"/>
      <c r="Q109" s="329" t="n"/>
      <c r="R109" s="329" t="n"/>
      <c r="S109" s="329" t="n"/>
      <c r="T109" s="329" t="n"/>
      <c r="U109" s="329" t="n"/>
      <c r="V109" s="329" t="n"/>
      <c r="W109" s="329" t="n"/>
      <c r="X109" s="329" t="n"/>
      <c r="Y109" s="329" t="n"/>
      <c r="Z109" s="329" t="n"/>
      <c r="AA109" s="329" t="n"/>
      <c r="AB109" s="329" t="n"/>
      <c r="AC109" s="329" t="n"/>
      <c r="AD109" s="329" t="n"/>
      <c r="AE109" s="329" t="n"/>
    </row>
    <row r="110">
      <c r="A110" s="329" t="n"/>
      <c r="B110" s="329" t="n"/>
      <c r="C110" s="329" t="n"/>
      <c r="D110" s="329" t="n"/>
      <c r="E110" s="329" t="n"/>
      <c r="F110" s="329" t="n"/>
      <c r="G110" s="329" t="n"/>
      <c r="H110" s="329" t="n"/>
      <c r="I110" s="329" t="n"/>
      <c r="J110" s="329" t="n"/>
      <c r="K110" s="329" t="n"/>
      <c r="L110" s="329" t="n"/>
      <c r="M110" s="329" t="n"/>
      <c r="N110" s="329" t="n"/>
      <c r="O110" s="329" t="n"/>
      <c r="P110" s="329" t="n"/>
      <c r="Q110" s="329" t="n"/>
      <c r="R110" s="329" t="n"/>
      <c r="S110" s="329" t="n"/>
      <c r="T110" s="329" t="n"/>
      <c r="U110" s="329" t="n"/>
      <c r="V110" s="329" t="n"/>
      <c r="W110" s="329" t="n"/>
      <c r="X110" s="329" t="n"/>
      <c r="Y110" s="329" t="n"/>
      <c r="Z110" s="329" t="n"/>
      <c r="AA110" s="329" t="n"/>
      <c r="AB110" s="329" t="n"/>
      <c r="AC110" s="329" t="n"/>
      <c r="AD110" s="329" t="n"/>
      <c r="AE110" s="329" t="n"/>
    </row>
    <row r="111">
      <c r="A111" s="588" t="inlineStr">
        <is>
          <t>Audit Backup Policy</t>
        </is>
      </c>
      <c r="B111" s="588" t="n"/>
      <c r="C111" s="588" t="n"/>
      <c r="D111" s="588" t="n"/>
      <c r="E111" s="588" t="n"/>
      <c r="F111" s="588" t="n"/>
      <c r="G111" s="329" t="n"/>
      <c r="H111" s="329" t="n"/>
      <c r="I111" s="329" t="n"/>
      <c r="J111" s="329" t="n"/>
      <c r="K111" s="329" t="n"/>
      <c r="L111" s="329" t="n"/>
      <c r="M111" s="329" t="n"/>
      <c r="N111" s="329" t="n"/>
      <c r="O111" s="329" t="n"/>
      <c r="P111" s="329" t="n"/>
      <c r="Q111" s="329" t="n"/>
      <c r="R111" s="329" t="n"/>
      <c r="S111" s="329" t="n"/>
      <c r="T111" s="329" t="n"/>
      <c r="U111" s="329" t="n"/>
      <c r="V111" s="329" t="n"/>
      <c r="W111" s="329" t="n"/>
      <c r="X111" s="329" t="n"/>
      <c r="Y111" s="329" t="n"/>
      <c r="Z111" s="329" t="n"/>
      <c r="AA111" s="329" t="n"/>
      <c r="AB111" s="329" t="n"/>
      <c r="AC111" s="329" t="n"/>
      <c r="AD111" s="329" t="n"/>
      <c r="AE111" s="329" t="n"/>
    </row>
    <row r="112">
      <c r="A112" s="329" t="inlineStr">
        <is>
          <t>The untouched source workbook Barrister_Master_July_v1.xlsx remains the authoritative legacy backup for Phase 1 validation.</t>
        </is>
      </c>
      <c r="B112" s="329" t="n"/>
      <c r="C112" s="329" t="n"/>
      <c r="D112" s="329" t="n"/>
      <c r="E112" s="329" t="n"/>
      <c r="F112" s="329" t="n"/>
      <c r="G112" s="329" t="n"/>
      <c r="H112" s="329" t="n"/>
      <c r="I112" s="329" t="n"/>
      <c r="J112" s="329" t="n"/>
      <c r="K112" s="329" t="n"/>
      <c r="L112" s="329" t="n"/>
      <c r="M112" s="329" t="n"/>
      <c r="N112" s="329" t="n"/>
      <c r="O112" s="329" t="n"/>
      <c r="P112" s="329" t="n"/>
      <c r="Q112" s="329" t="n"/>
      <c r="R112" s="329" t="n"/>
      <c r="S112" s="329" t="n"/>
      <c r="T112" s="329" t="n"/>
      <c r="U112" s="329" t="n"/>
      <c r="V112" s="329" t="n"/>
      <c r="W112" s="329" t="n"/>
      <c r="X112" s="329" t="n"/>
      <c r="Y112" s="329" t="n"/>
      <c r="Z112" s="329" t="n"/>
      <c r="AA112" s="329" t="n"/>
      <c r="AB112" s="329" t="n"/>
      <c r="AC112" s="329" t="n"/>
      <c r="AD112" s="329" t="n"/>
      <c r="AE112" s="329" t="n"/>
    </row>
    <row r="113">
      <c r="A113" s="329" t="inlineStr">
        <is>
          <t>The Phase 1 production workbook contains only the six visible production tabs; legacy source data was migrated and documented here.</t>
        </is>
      </c>
      <c r="B113" s="329" t="n"/>
      <c r="C113" s="329" t="n"/>
      <c r="D113" s="329" t="n"/>
      <c r="E113" s="329" t="n"/>
      <c r="F113" s="329" t="n"/>
      <c r="G113" s="329" t="n"/>
      <c r="H113" s="329" t="n"/>
      <c r="I113" s="329" t="n"/>
      <c r="J113" s="329" t="n"/>
      <c r="K113" s="329" t="n"/>
      <c r="L113" s="329" t="n"/>
      <c r="M113" s="329" t="n"/>
      <c r="N113" s="329" t="n"/>
      <c r="O113" s="329" t="n"/>
      <c r="P113" s="329" t="n"/>
      <c r="Q113" s="329" t="n"/>
      <c r="R113" s="329" t="n"/>
      <c r="S113" s="329" t="n"/>
      <c r="T113" s="329" t="n"/>
      <c r="U113" s="329" t="n"/>
      <c r="V113" s="329" t="n"/>
      <c r="W113" s="329" t="n"/>
      <c r="X113" s="329" t="n"/>
      <c r="Y113" s="329" t="n"/>
      <c r="Z113" s="329" t="n"/>
      <c r="AA113" s="329" t="n"/>
      <c r="AB113" s="329" t="n"/>
      <c r="AC113" s="329" t="n"/>
      <c r="AD113" s="329" t="n"/>
      <c r="AE113" s="329" t="n"/>
    </row>
    <row r="114">
      <c r="A114" s="329" t="inlineStr">
        <is>
          <t>No chronology or client order was reconstructed from memory.</t>
        </is>
      </c>
      <c r="B114" s="329" t="n"/>
      <c r="C114" s="329" t="n"/>
      <c r="D114" s="329" t="n"/>
      <c r="E114" s="329" t="n"/>
      <c r="F114" s="329" t="n"/>
      <c r="G114" s="329" t="n"/>
      <c r="H114" s="329" t="n"/>
      <c r="I114" s="329" t="n"/>
      <c r="J114" s="329" t="n"/>
      <c r="K114" s="329" t="n"/>
      <c r="L114" s="329" t="n"/>
      <c r="M114" s="329" t="n"/>
      <c r="N114" s="329" t="n"/>
      <c r="O114" s="329" t="n"/>
      <c r="P114" s="329" t="n"/>
      <c r="Q114" s="329" t="n"/>
      <c r="R114" s="329" t="n"/>
      <c r="S114" s="329" t="n"/>
      <c r="T114" s="329" t="n"/>
      <c r="U114" s="329" t="n"/>
      <c r="V114" s="329" t="n"/>
      <c r="W114" s="329" t="n"/>
      <c r="X114" s="329" t="n"/>
      <c r="Y114" s="329" t="n"/>
      <c r="Z114" s="329" t="n"/>
      <c r="AA114" s="329" t="n"/>
      <c r="AB114" s="329" t="n"/>
      <c r="AC114" s="329" t="n"/>
      <c r="AD114" s="329" t="n"/>
      <c r="AE114" s="329" t="n"/>
    </row>
    <row r="115">
      <c r="A115" s="329" t="n"/>
      <c r="B115" s="329" t="n"/>
      <c r="C115" s="329" t="n"/>
      <c r="D115" s="329" t="n"/>
      <c r="E115" s="329" t="n"/>
      <c r="F115" s="329" t="n"/>
      <c r="G115" s="329" t="n"/>
      <c r="H115" s="329" t="n"/>
      <c r="I115" s="329" t="n"/>
      <c r="J115" s="329" t="n"/>
      <c r="K115" s="329" t="n"/>
      <c r="L115" s="329" t="n"/>
      <c r="M115" s="329" t="n"/>
      <c r="N115" s="329" t="n"/>
      <c r="O115" s="329" t="n"/>
      <c r="P115" s="329" t="n"/>
      <c r="Q115" s="329" t="n"/>
      <c r="R115" s="329" t="n"/>
      <c r="S115" s="329" t="n"/>
      <c r="T115" s="329" t="n"/>
      <c r="U115" s="329" t="n"/>
      <c r="V115" s="329" t="n"/>
      <c r="W115" s="329" t="n"/>
      <c r="X115" s="329" t="n"/>
      <c r="Y115" s="329" t="n"/>
      <c r="Z115" s="329" t="n"/>
      <c r="AA115" s="329" t="n"/>
      <c r="AB115" s="329" t="n"/>
      <c r="AC115" s="329" t="n"/>
      <c r="AD115" s="329" t="n"/>
      <c r="AE115" s="329" t="n"/>
    </row>
    <row r="116">
      <c r="A116" s="329" t="n"/>
      <c r="B116" s="329" t="n"/>
      <c r="C116" s="329" t="n"/>
      <c r="D116" s="329" t="n"/>
      <c r="E116" s="329" t="n"/>
      <c r="F116" s="329" t="n"/>
      <c r="G116" s="329" t="n"/>
      <c r="H116" s="329" t="n"/>
      <c r="I116" s="329" t="n"/>
      <c r="J116" s="329" t="n"/>
      <c r="K116" s="329" t="n"/>
      <c r="L116" s="329" t="n"/>
      <c r="M116" s="329" t="n"/>
      <c r="N116" s="329" t="n"/>
      <c r="O116" s="329" t="n"/>
      <c r="P116" s="329" t="n"/>
      <c r="Q116" s="329" t="n"/>
      <c r="R116" s="329" t="n"/>
      <c r="S116" s="329" t="n"/>
      <c r="T116" s="329" t="n"/>
      <c r="U116" s="329" t="n"/>
      <c r="V116" s="329" t="n"/>
      <c r="W116" s="329" t="n"/>
      <c r="X116" s="329" t="n"/>
      <c r="Y116" s="329" t="n"/>
      <c r="Z116" s="329" t="n"/>
      <c r="AA116" s="329" t="n"/>
      <c r="AB116" s="329" t="n"/>
      <c r="AC116" s="329" t="n"/>
      <c r="AD116" s="329" t="n"/>
      <c r="AE116" s="329" t="n"/>
    </row>
    <row r="117">
      <c r="A117" s="329" t="n"/>
      <c r="B117" s="329" t="n"/>
      <c r="C117" s="329" t="n"/>
      <c r="D117" s="329" t="n"/>
      <c r="E117" s="329" t="n"/>
      <c r="F117" s="329" t="n"/>
      <c r="G117" s="329" t="n"/>
      <c r="H117" s="329" t="n"/>
      <c r="I117" s="329" t="n"/>
      <c r="J117" s="329" t="n"/>
      <c r="K117" s="329" t="n"/>
      <c r="L117" s="329" t="n"/>
      <c r="M117" s="329" t="n"/>
      <c r="N117" s="329" t="n"/>
      <c r="O117" s="329" t="n"/>
      <c r="P117" s="329" t="n"/>
      <c r="Q117" s="329" t="n"/>
      <c r="R117" s="329" t="n"/>
      <c r="S117" s="329" t="n"/>
      <c r="T117" s="329" t="n"/>
      <c r="U117" s="329" t="n"/>
      <c r="V117" s="329" t="n"/>
      <c r="W117" s="329" t="n"/>
      <c r="X117" s="329" t="n"/>
      <c r="Y117" s="329" t="n"/>
      <c r="Z117" s="329" t="n"/>
      <c r="AA117" s="329" t="n"/>
      <c r="AB117" s="329" t="n"/>
      <c r="AC117" s="329" t="n"/>
      <c r="AD117" s="329" t="n"/>
      <c r="AE117" s="329" t="n"/>
    </row>
    <row r="118">
      <c r="A118" s="692" t="inlineStr">
        <is>
          <t>Phase 2 Normalization Summary</t>
        </is>
      </c>
      <c r="B118" s="1" t="n"/>
      <c r="C118" s="1" t="n"/>
      <c r="D118" s="1" t="n"/>
      <c r="E118" s="1" t="n"/>
      <c r="F118" s="1" t="n"/>
      <c r="G118" s="329" t="n"/>
      <c r="H118" s="329" t="n"/>
      <c r="I118" s="329" t="n"/>
      <c r="J118" s="329" t="n"/>
      <c r="K118" s="329" t="n"/>
      <c r="L118" s="329" t="n"/>
      <c r="M118" s="329" t="n"/>
      <c r="N118" s="329" t="n"/>
      <c r="O118" s="329" t="n"/>
      <c r="P118" s="329" t="n"/>
      <c r="Q118" s="329" t="n"/>
      <c r="R118" s="329" t="n"/>
      <c r="S118" s="329" t="n"/>
      <c r="T118" s="329" t="n"/>
      <c r="U118" s="329" t="n"/>
      <c r="V118" s="329" t="n"/>
      <c r="W118" s="329" t="n"/>
      <c r="X118" s="329" t="n"/>
      <c r="Y118" s="329" t="n"/>
      <c r="Z118" s="329" t="n"/>
      <c r="AA118" s="329" t="n"/>
      <c r="AB118" s="329" t="n"/>
      <c r="AC118" s="329" t="n"/>
      <c r="AD118" s="329" t="n"/>
      <c r="AE118" s="329" t="n"/>
    </row>
    <row r="119">
      <c r="A119" s="329" t="inlineStr">
        <is>
          <t>Phase</t>
        </is>
      </c>
      <c r="B119" s="329" t="inlineStr">
        <is>
          <t>2 — Normalize Data</t>
        </is>
      </c>
      <c r="C119" s="329" t="n"/>
      <c r="D119" s="329" t="n"/>
      <c r="E119" s="329" t="n"/>
      <c r="F119" s="329" t="n"/>
      <c r="G119" s="329" t="n"/>
      <c r="H119" s="329" t="n"/>
      <c r="I119" s="329" t="n"/>
      <c r="J119" s="329" t="n"/>
      <c r="K119" s="329" t="n"/>
      <c r="L119" s="329" t="n"/>
      <c r="M119" s="329" t="n"/>
      <c r="N119" s="329" t="n"/>
      <c r="O119" s="329" t="n"/>
      <c r="P119" s="329" t="n"/>
      <c r="Q119" s="329" t="n"/>
      <c r="R119" s="329" t="n"/>
      <c r="S119" s="329" t="n"/>
      <c r="T119" s="329" t="n"/>
      <c r="U119" s="329" t="n"/>
      <c r="V119" s="329" t="n"/>
      <c r="W119" s="329" t="n"/>
      <c r="X119" s="329" t="n"/>
      <c r="Y119" s="329" t="n"/>
      <c r="Z119" s="329" t="n"/>
      <c r="AA119" s="329" t="n"/>
      <c r="AB119" s="329" t="n"/>
      <c r="AC119" s="329" t="n"/>
      <c r="AD119" s="329" t="n"/>
      <c r="AE119" s="329" t="n"/>
    </row>
    <row r="120">
      <c r="A120" s="329" t="inlineStr">
        <is>
          <t>Authoritative tables</t>
        </is>
      </c>
      <c r="B120" s="329" t="inlineStr">
        <is>
          <t>tblServiceEvents and tblLedger</t>
        </is>
      </c>
      <c r="C120" s="329" t="n"/>
      <c r="D120" s="329" t="n"/>
      <c r="E120" s="329" t="n"/>
      <c r="F120" s="329" t="n"/>
      <c r="G120" s="329" t="n"/>
      <c r="H120" s="329" t="n"/>
      <c r="I120" s="329" t="n"/>
      <c r="J120" s="329" t="n"/>
      <c r="K120" s="329" t="n"/>
      <c r="L120" s="329" t="n"/>
      <c r="M120" s="329" t="n"/>
      <c r="N120" s="329" t="n"/>
      <c r="O120" s="329" t="n"/>
      <c r="P120" s="329" t="n"/>
      <c r="Q120" s="329" t="n"/>
      <c r="R120" s="329" t="n"/>
      <c r="S120" s="329" t="n"/>
      <c r="T120" s="329" t="n"/>
      <c r="U120" s="329" t="n"/>
      <c r="V120" s="329" t="n"/>
      <c r="W120" s="329" t="n"/>
      <c r="X120" s="329" t="n"/>
      <c r="Y120" s="329" t="n"/>
      <c r="Z120" s="329" t="n"/>
      <c r="AA120" s="329" t="n"/>
      <c r="AB120" s="329" t="n"/>
      <c r="AC120" s="329" t="n"/>
      <c r="AD120" s="329" t="n"/>
      <c r="AE120" s="329" t="n"/>
    </row>
    <row r="121">
      <c r="A121" s="329" t="inlineStr">
        <is>
          <t>Event key</t>
        </is>
      </c>
      <c r="B121" s="329" t="inlineStr">
        <is>
          <t>Event # / Physical Visit ID</t>
        </is>
      </c>
      <c r="C121" s="329" t="n"/>
      <c r="D121" s="329" t="n"/>
      <c r="E121" s="329" t="n"/>
      <c r="F121" s="329" t="n"/>
      <c r="G121" s="329" t="n"/>
      <c r="H121" s="329" t="n"/>
      <c r="I121" s="329" t="n"/>
      <c r="J121" s="329" t="n"/>
      <c r="K121" s="329" t="n"/>
      <c r="L121" s="329" t="n"/>
      <c r="M121" s="329" t="n"/>
      <c r="N121" s="329" t="n"/>
      <c r="O121" s="329" t="n"/>
      <c r="P121" s="329" t="n"/>
      <c r="Q121" s="329" t="n"/>
      <c r="R121" s="329" t="n"/>
      <c r="S121" s="329" t="n"/>
      <c r="T121" s="329" t="n"/>
      <c r="U121" s="329" t="n"/>
      <c r="V121" s="329" t="n"/>
      <c r="W121" s="329" t="n"/>
      <c r="X121" s="329" t="n"/>
      <c r="Y121" s="329" t="n"/>
      <c r="Z121" s="329" t="n"/>
      <c r="AA121" s="329" t="n"/>
      <c r="AB121" s="329" t="n"/>
      <c r="AC121" s="329" t="n"/>
      <c r="AD121" s="329" t="n"/>
      <c r="AE121" s="329" t="n"/>
    </row>
    <row r="122">
      <c r="A122" s="329" t="inlineStr">
        <is>
          <t>Ledger key</t>
        </is>
      </c>
      <c r="B122" s="329" t="inlineStr">
        <is>
          <t>Ledger Record ID + Work Order #</t>
        </is>
      </c>
      <c r="C122" s="329" t="n"/>
      <c r="D122" s="329" t="n"/>
      <c r="E122" s="329" t="n"/>
      <c r="F122" s="329" t="n"/>
      <c r="G122" s="329" t="n"/>
      <c r="H122" s="329" t="n"/>
      <c r="I122" s="329" t="n"/>
      <c r="J122" s="329" t="n"/>
      <c r="K122" s="329" t="n"/>
      <c r="L122" s="329" t="n"/>
      <c r="M122" s="329" t="n"/>
      <c r="N122" s="329" t="n"/>
      <c r="O122" s="329" t="n"/>
      <c r="P122" s="329" t="n"/>
      <c r="Q122" s="329" t="n"/>
      <c r="R122" s="329" t="n"/>
      <c r="S122" s="329" t="n"/>
      <c r="T122" s="329" t="n"/>
      <c r="U122" s="329" t="n"/>
      <c r="V122" s="329" t="n"/>
      <c r="W122" s="329" t="n"/>
      <c r="X122" s="329" t="n"/>
      <c r="Y122" s="329" t="n"/>
      <c r="Z122" s="329" t="n"/>
      <c r="AA122" s="329" t="n"/>
      <c r="AB122" s="329" t="n"/>
      <c r="AC122" s="329" t="n"/>
      <c r="AD122" s="329" t="n"/>
      <c r="AE122" s="329" t="n"/>
    </row>
    <row r="123">
      <c r="A123" s="329" t="inlineStr">
        <is>
          <t>Placeholder normalization</t>
        </is>
      </c>
      <c r="B123" s="329" t="inlineStr">
        <is>
          <t>TBD and USDA Special converted to unique non-colliding IDs</t>
        </is>
      </c>
      <c r="C123" s="329" t="n"/>
      <c r="D123" s="329" t="n"/>
      <c r="E123" s="329" t="n"/>
      <c r="F123" s="329" t="n"/>
      <c r="G123" s="329" t="n"/>
      <c r="H123" s="329" t="n"/>
      <c r="I123" s="329" t="n"/>
      <c r="J123" s="329" t="n"/>
      <c r="K123" s="329" t="n"/>
      <c r="L123" s="329" t="n"/>
      <c r="M123" s="329" t="n"/>
      <c r="N123" s="329" t="n"/>
      <c r="O123" s="329" t="n"/>
      <c r="P123" s="329" t="n"/>
      <c r="Q123" s="329" t="n"/>
      <c r="R123" s="329" t="n"/>
      <c r="S123" s="329" t="n"/>
      <c r="T123" s="329" t="n"/>
      <c r="U123" s="329" t="n"/>
      <c r="V123" s="329" t="n"/>
      <c r="W123" s="329" t="n"/>
      <c r="X123" s="329" t="n"/>
      <c r="Y123" s="329" t="n"/>
      <c r="Z123" s="329" t="n"/>
      <c r="AA123" s="329" t="n"/>
      <c r="AB123" s="329" t="n"/>
      <c r="AC123" s="329" t="n"/>
      <c r="AD123" s="329" t="n"/>
      <c r="AE123" s="329" t="n"/>
    </row>
    <row r="124">
      <c r="A124" s="329" t="inlineStr">
        <is>
          <t>Duplicate WO rule</t>
        </is>
      </c>
      <c r="B124" s="329" t="inlineStr">
        <is>
          <t>5905579 consolidated into one MAPPING_HOLD row; no guessing</t>
        </is>
      </c>
      <c r="C124" s="329" t="n"/>
      <c r="D124" s="329" t="n"/>
      <c r="E124" s="329" t="n"/>
      <c r="F124" s="329" t="n"/>
      <c r="G124" s="329" t="n"/>
      <c r="H124" s="329" t="n"/>
      <c r="I124" s="329" t="n"/>
      <c r="J124" s="329" t="n"/>
      <c r="K124" s="329" t="n"/>
      <c r="L124" s="329" t="n"/>
      <c r="M124" s="329" t="n"/>
      <c r="N124" s="329" t="n"/>
      <c r="O124" s="329" t="n"/>
      <c r="P124" s="329" t="n"/>
      <c r="Q124" s="329" t="n"/>
      <c r="R124" s="329" t="n"/>
      <c r="S124" s="329" t="n"/>
      <c r="T124" s="329" t="n"/>
      <c r="U124" s="329" t="n"/>
      <c r="V124" s="329" t="n"/>
      <c r="W124" s="329" t="n"/>
      <c r="X124" s="329" t="n"/>
      <c r="Y124" s="329" t="n"/>
      <c r="Z124" s="329" t="n"/>
      <c r="AA124" s="329" t="n"/>
      <c r="AB124" s="329" t="n"/>
      <c r="AC124" s="329" t="n"/>
      <c r="AD124" s="329" t="n"/>
      <c r="AE124" s="329" t="n"/>
    </row>
    <row r="125">
      <c r="A125" s="329" t="inlineStr">
        <is>
          <t>Client normalization</t>
        </is>
      </c>
      <c r="B125" s="329" t="inlineStr">
        <is>
          <t>Canonical Client ID assigned in chronological first-appearance order</t>
        </is>
      </c>
      <c r="C125" s="329" t="n"/>
      <c r="D125" s="329" t="n"/>
      <c r="E125" s="329" t="n"/>
      <c r="F125" s="329" t="n"/>
      <c r="G125" s="329" t="n"/>
      <c r="H125" s="329" t="n"/>
      <c r="I125" s="329" t="n"/>
      <c r="J125" s="329" t="n"/>
      <c r="K125" s="329" t="n"/>
      <c r="L125" s="329" t="n"/>
      <c r="M125" s="329" t="n"/>
      <c r="N125" s="329" t="n"/>
      <c r="O125" s="329" t="n"/>
      <c r="P125" s="329" t="n"/>
      <c r="Q125" s="329" t="n"/>
      <c r="R125" s="329" t="n"/>
      <c r="S125" s="329" t="n"/>
      <c r="T125" s="329" t="n"/>
      <c r="U125" s="329" t="n"/>
      <c r="V125" s="329" t="n"/>
      <c r="W125" s="329" t="n"/>
      <c r="X125" s="329" t="n"/>
      <c r="Y125" s="329" t="n"/>
      <c r="Z125" s="329" t="n"/>
      <c r="AA125" s="329" t="n"/>
      <c r="AB125" s="329" t="n"/>
      <c r="AC125" s="329" t="n"/>
      <c r="AD125" s="329" t="n"/>
      <c r="AE125" s="329" t="n"/>
    </row>
    <row r="126">
      <c r="A126" s="329" t="inlineStr">
        <is>
          <t>Location normalization</t>
        </is>
      </c>
      <c r="B126" s="329" t="inlineStr">
        <is>
          <t>City, State, Jurisdiction, Location Key separated</t>
        </is>
      </c>
      <c r="C126" s="329" t="n"/>
      <c r="D126" s="329" t="n"/>
      <c r="E126" s="329" t="n"/>
      <c r="F126" s="329" t="n"/>
      <c r="G126" s="329" t="n"/>
      <c r="H126" s="329" t="n"/>
      <c r="I126" s="329" t="n"/>
      <c r="J126" s="329" t="n"/>
      <c r="K126" s="329" t="n"/>
      <c r="L126" s="329" t="n"/>
      <c r="M126" s="329" t="n"/>
      <c r="N126" s="329" t="n"/>
      <c r="O126" s="329" t="n"/>
      <c r="P126" s="329" t="n"/>
      <c r="Q126" s="329" t="n"/>
      <c r="R126" s="329" t="n"/>
      <c r="S126" s="329" t="n"/>
      <c r="T126" s="329" t="n"/>
      <c r="U126" s="329" t="n"/>
      <c r="V126" s="329" t="n"/>
      <c r="W126" s="329" t="n"/>
      <c r="X126" s="329" t="n"/>
      <c r="Y126" s="329" t="n"/>
      <c r="Z126" s="329" t="n"/>
      <c r="AA126" s="329" t="n"/>
      <c r="AB126" s="329" t="n"/>
      <c r="AC126" s="329" t="n"/>
      <c r="AD126" s="329" t="n"/>
      <c r="AE126" s="329" t="n"/>
    </row>
    <row r="127">
      <c r="A127" s="329" t="inlineStr">
        <is>
          <t>Latest financial delta</t>
        </is>
      </c>
      <c r="B127" s="329" t="inlineStr">
        <is>
          <t>WO 5913868 breakdown $100.83 vs negotiated $150; variance -$49.17</t>
        </is>
      </c>
      <c r="C127" s="329" t="n"/>
      <c r="D127" s="329" t="n"/>
      <c r="E127" s="329" t="n"/>
      <c r="F127" s="329" t="n"/>
      <c r="G127" s="329" t="n"/>
      <c r="H127" s="329" t="n"/>
      <c r="I127" s="329" t="n"/>
      <c r="J127" s="329" t="n"/>
      <c r="K127" s="329" t="n"/>
      <c r="L127" s="329" t="n"/>
      <c r="M127" s="329" t="n"/>
      <c r="N127" s="329" t="n"/>
      <c r="O127" s="329" t="n"/>
      <c r="P127" s="329" t="n"/>
      <c r="Q127" s="329" t="n"/>
      <c r="R127" s="329" t="n"/>
      <c r="S127" s="329" t="n"/>
      <c r="T127" s="329" t="n"/>
      <c r="U127" s="329" t="n"/>
      <c r="V127" s="329" t="n"/>
      <c r="W127" s="329" t="n"/>
      <c r="X127" s="329" t="n"/>
      <c r="Y127" s="329" t="n"/>
      <c r="Z127" s="329" t="n"/>
      <c r="AA127" s="329" t="n"/>
      <c r="AB127" s="329" t="n"/>
      <c r="AC127" s="329" t="n"/>
      <c r="AD127" s="329" t="n"/>
      <c r="AE127" s="329" t="n"/>
    </row>
    <row r="128">
      <c r="A128" s="329" t="inlineStr">
        <is>
          <t>Phase 2 output</t>
        </is>
      </c>
      <c r="B128" s="329" t="inlineStr">
        <is>
          <t>Barrister_Master_v2_Phase2.xlsx</t>
        </is>
      </c>
      <c r="C128" s="329" t="n"/>
      <c r="D128" s="329" t="n"/>
      <c r="E128" s="329" t="n"/>
      <c r="F128" s="329" t="n"/>
      <c r="G128" s="329" t="n"/>
      <c r="H128" s="329" t="n"/>
      <c r="I128" s="329" t="n"/>
      <c r="J128" s="329" t="n"/>
      <c r="K128" s="329" t="n"/>
      <c r="L128" s="329" t="n"/>
      <c r="M128" s="329" t="n"/>
      <c r="N128" s="329" t="n"/>
      <c r="O128" s="329" t="n"/>
      <c r="P128" s="329" t="n"/>
      <c r="Q128" s="329" t="n"/>
      <c r="R128" s="329" t="n"/>
      <c r="S128" s="329" t="n"/>
      <c r="T128" s="329" t="n"/>
      <c r="U128" s="329" t="n"/>
      <c r="V128" s="329" t="n"/>
      <c r="W128" s="329" t="n"/>
      <c r="X128" s="329" t="n"/>
      <c r="Y128" s="329" t="n"/>
      <c r="Z128" s="329" t="n"/>
      <c r="AA128" s="329" t="n"/>
      <c r="AB128" s="329" t="n"/>
      <c r="AC128" s="329" t="n"/>
      <c r="AD128" s="329" t="n"/>
      <c r="AE128" s="329" t="n"/>
    </row>
    <row r="129">
      <c r="A129" s="330" t="inlineStr">
        <is>
          <t>Metric Eligibility vs ACH Mapping</t>
        </is>
      </c>
      <c r="B129" s="329" t="inlineStr">
        <is>
          <t>A confirmed payment breakdown remains eligible for revenue metrics even when ACH mapping or variance is under review.</t>
        </is>
      </c>
      <c r="C129" s="329" t="n"/>
      <c r="D129" s="329" t="n"/>
      <c r="E129" s="329" t="n"/>
      <c r="F129" s="329" t="n"/>
      <c r="G129" s="329" t="n"/>
      <c r="H129" s="329" t="n"/>
      <c r="I129" s="329" t="n"/>
      <c r="J129" s="329" t="n"/>
      <c r="K129" s="329" t="n"/>
      <c r="L129" s="329" t="n"/>
      <c r="M129" s="329" t="n"/>
      <c r="N129" s="329" t="n"/>
      <c r="O129" s="329" t="n"/>
      <c r="P129" s="329" t="n"/>
      <c r="Q129" s="329" t="n"/>
      <c r="R129" s="329" t="n"/>
      <c r="S129" s="329" t="n"/>
      <c r="T129" s="329" t="n"/>
      <c r="U129" s="329" t="n"/>
      <c r="V129" s="329" t="n"/>
      <c r="W129" s="329" t="n"/>
      <c r="X129" s="329" t="n"/>
      <c r="Y129" s="329" t="n"/>
      <c r="Z129" s="329" t="n"/>
      <c r="AA129" s="329" t="n"/>
      <c r="AB129" s="329" t="n"/>
      <c r="AC129" s="329" t="n"/>
      <c r="AD129" s="329" t="n"/>
      <c r="AE129" s="329" t="n"/>
    </row>
    <row r="130">
      <c r="A130" s="330" t="inlineStr">
        <is>
          <t>Event #51 Application</t>
        </is>
      </c>
      <c r="B130" s="329" t="inlineStr">
        <is>
          <t>Event #51 remains $60 eligible revenue; the $35 ACH and duplicate-WO mapping remain an audit exception.</t>
        </is>
      </c>
      <c r="C130" s="329" t="n"/>
      <c r="D130" s="329" t="n"/>
      <c r="E130" s="329" t="n"/>
      <c r="F130" s="329" t="n"/>
      <c r="G130" s="329" t="n"/>
      <c r="H130" s="329" t="n"/>
      <c r="I130" s="329" t="n"/>
      <c r="J130" s="329" t="n"/>
      <c r="K130" s="329" t="n"/>
      <c r="L130" s="329" t="n"/>
      <c r="M130" s="329" t="n"/>
      <c r="N130" s="329" t="n"/>
      <c r="O130" s="329" t="n"/>
      <c r="P130" s="329" t="n"/>
      <c r="Q130" s="329" t="n"/>
      <c r="R130" s="329" t="n"/>
      <c r="S130" s="329" t="n"/>
      <c r="T130" s="329" t="n"/>
      <c r="U130" s="329" t="n"/>
      <c r="V130" s="329" t="n"/>
      <c r="W130" s="329" t="n"/>
      <c r="X130" s="329" t="n"/>
      <c r="Y130" s="329" t="n"/>
      <c r="Z130" s="329" t="n"/>
      <c r="AA130" s="329" t="n"/>
      <c r="AB130" s="329" t="n"/>
      <c r="AC130" s="329" t="n"/>
      <c r="AD130" s="329" t="n"/>
      <c r="AE130" s="329" t="n"/>
    </row>
    <row r="131">
      <c r="A131" s="330" t="inlineStr">
        <is>
          <t>Client Normalization Rule</t>
        </is>
      </c>
      <c r="B131" s="329" t="inlineStr">
        <is>
          <t>Client identity is canonical; project day/store variants belong in Site Name.</t>
        </is>
      </c>
      <c r="C131" s="329" t="n"/>
      <c r="D131" s="329" t="n"/>
      <c r="E131" s="329" t="n"/>
      <c r="F131" s="329" t="n"/>
      <c r="G131" s="329" t="n"/>
      <c r="H131" s="329" t="n"/>
      <c r="I131" s="329" t="n"/>
      <c r="J131" s="329" t="n"/>
      <c r="K131" s="329" t="n"/>
      <c r="L131" s="329" t="n"/>
      <c r="M131" s="329" t="n"/>
      <c r="N131" s="329" t="n"/>
      <c r="O131" s="329" t="n"/>
      <c r="P131" s="329" t="n"/>
      <c r="Q131" s="329" t="n"/>
      <c r="R131" s="329" t="n"/>
      <c r="S131" s="329" t="n"/>
      <c r="T131" s="329" t="n"/>
      <c r="U131" s="329" t="n"/>
      <c r="V131" s="329" t="n"/>
      <c r="W131" s="329" t="n"/>
      <c r="X131" s="329" t="n"/>
      <c r="Y131" s="329" t="n"/>
      <c r="Z131" s="329" t="n"/>
      <c r="AA131" s="329" t="n"/>
      <c r="AB131" s="329" t="n"/>
      <c r="AC131" s="329" t="n"/>
      <c r="AD131" s="329" t="n"/>
      <c r="AE131" s="329" t="n"/>
    </row>
    <row r="132">
      <c r="A132" s="330" t="inlineStr">
        <is>
          <t>USDA</t>
        </is>
      </c>
      <c r="B132" s="329" t="inlineStr">
        <is>
          <t>USDA Day 1–6 normalized to one client: USDA.</t>
        </is>
      </c>
      <c r="C132" s="329" t="n"/>
      <c r="D132" s="329" t="n"/>
      <c r="E132" s="329" t="n"/>
      <c r="F132" s="329" t="n"/>
      <c r="G132" s="329" t="n"/>
      <c r="H132" s="329" t="n"/>
      <c r="I132" s="329" t="n"/>
      <c r="J132" s="329" t="n"/>
      <c r="K132" s="329" t="n"/>
      <c r="L132" s="329" t="n"/>
      <c r="M132" s="329" t="n"/>
      <c r="N132" s="329" t="n"/>
      <c r="O132" s="329" t="n"/>
      <c r="P132" s="329" t="n"/>
      <c r="Q132" s="329" t="n"/>
      <c r="R132" s="329" t="n"/>
      <c r="S132" s="329" t="n"/>
      <c r="T132" s="329" t="n"/>
      <c r="U132" s="329" t="n"/>
      <c r="V132" s="329" t="n"/>
      <c r="W132" s="329" t="n"/>
      <c r="X132" s="329" t="n"/>
      <c r="Y132" s="329" t="n"/>
      <c r="Z132" s="329" t="n"/>
      <c r="AA132" s="329" t="n"/>
      <c r="AB132" s="329" t="n"/>
      <c r="AC132" s="329" t="n"/>
      <c r="AD132" s="329" t="n"/>
      <c r="AE132" s="329" t="n"/>
    </row>
    <row r="133">
      <c r="A133" s="330" t="inlineStr">
        <is>
          <t>Under Armour</t>
        </is>
      </c>
      <c r="B133" s="329" t="inlineStr">
        <is>
          <t>Under Armour Day 1–2 normalized to one client: Under Armour.</t>
        </is>
      </c>
      <c r="C133" s="329" t="n"/>
      <c r="D133" s="329" t="n"/>
      <c r="E133" s="329" t="n"/>
      <c r="F133" s="329" t="n"/>
      <c r="G133" s="329" t="n"/>
      <c r="H133" s="329" t="n"/>
      <c r="I133" s="329" t="n"/>
      <c r="J133" s="329" t="n"/>
      <c r="K133" s="329" t="n"/>
      <c r="L133" s="329" t="n"/>
      <c r="M133" s="329" t="n"/>
      <c r="N133" s="329" t="n"/>
      <c r="O133" s="329" t="n"/>
      <c r="P133" s="329" t="n"/>
      <c r="Q133" s="329" t="n"/>
      <c r="R133" s="329" t="n"/>
      <c r="S133" s="329" t="n"/>
      <c r="T133" s="329" t="n"/>
      <c r="U133" s="329" t="n"/>
      <c r="V133" s="329" t="n"/>
      <c r="W133" s="329" t="n"/>
      <c r="X133" s="329" t="n"/>
      <c r="Y133" s="329" t="n"/>
      <c r="Z133" s="329" t="n"/>
      <c r="AA133" s="329" t="n"/>
      <c r="AB133" s="329" t="n"/>
      <c r="AC133" s="329" t="n"/>
      <c r="AD133" s="329" t="n"/>
      <c r="AE133" s="329" t="n"/>
    </row>
    <row r="134">
      <c r="A134" s="330" t="inlineStr">
        <is>
          <t>Giant</t>
        </is>
      </c>
      <c r="B134" s="329" t="inlineStr">
        <is>
          <t>Giant / Martin's normalized to Giant Food Stores.</t>
        </is>
      </c>
      <c r="C134" s="329" t="n"/>
      <c r="D134" s="329" t="n"/>
      <c r="E134" s="329" t="n"/>
      <c r="F134" s="329" t="n"/>
      <c r="G134" s="329" t="n"/>
      <c r="H134" s="329" t="n"/>
      <c r="I134" s="329" t="n"/>
      <c r="J134" s="329" t="n"/>
      <c r="K134" s="329" t="n"/>
      <c r="L134" s="329" t="n"/>
      <c r="M134" s="329" t="n"/>
      <c r="N134" s="329" t="n"/>
      <c r="O134" s="329" t="n"/>
      <c r="P134" s="329" t="n"/>
      <c r="Q134" s="329" t="n"/>
      <c r="R134" s="329" t="n"/>
      <c r="S134" s="329" t="n"/>
      <c r="T134" s="329" t="n"/>
      <c r="U134" s="329" t="n"/>
      <c r="V134" s="329" t="n"/>
      <c r="W134" s="329" t="n"/>
      <c r="X134" s="329" t="n"/>
      <c r="Y134" s="329" t="n"/>
      <c r="Z134" s="329" t="n"/>
      <c r="AA134" s="329" t="n"/>
      <c r="AB134" s="329" t="n"/>
      <c r="AC134" s="329" t="n"/>
      <c r="AD134" s="329" t="n"/>
      <c r="AE134" s="329" t="n"/>
    </row>
    <row r="135">
      <c r="A135" s="330" t="inlineStr">
        <is>
          <t>Hilton</t>
        </is>
      </c>
      <c r="B135" s="329" t="inlineStr">
        <is>
          <t>Hilton Garden Inn DC normalized to Hilton Garden Inn.</t>
        </is>
      </c>
      <c r="C135" s="329" t="n"/>
      <c r="D135" s="329" t="n"/>
      <c r="E135" s="329" t="n"/>
      <c r="F135" s="329" t="n"/>
      <c r="G135" s="329" t="n"/>
      <c r="H135" s="329" t="n"/>
      <c r="I135" s="329" t="n"/>
      <c r="J135" s="329" t="n"/>
      <c r="K135" s="329" t="n"/>
      <c r="L135" s="329" t="n"/>
      <c r="M135" s="329" t="n"/>
      <c r="N135" s="329" t="n"/>
      <c r="O135" s="329" t="n"/>
      <c r="P135" s="329" t="n"/>
      <c r="Q135" s="329" t="n"/>
      <c r="R135" s="329" t="n"/>
      <c r="S135" s="329" t="n"/>
      <c r="T135" s="329" t="n"/>
      <c r="U135" s="329" t="n"/>
      <c r="V135" s="329" t="n"/>
      <c r="W135" s="329" t="n"/>
      <c r="X135" s="329" t="n"/>
      <c r="Y135" s="329" t="n"/>
      <c r="Z135" s="329" t="n"/>
      <c r="AA135" s="329" t="n"/>
      <c r="AB135" s="329" t="n"/>
      <c r="AC135" s="329" t="n"/>
      <c r="AD135" s="329" t="n"/>
      <c r="AE135" s="329" t="n"/>
    </row>
    <row r="136">
      <c r="A136" s="330" t="inlineStr">
        <is>
          <t>Canonical Unique Clients</t>
        </is>
      </c>
      <c r="B136" s="329" t="n">
        <v>27</v>
      </c>
      <c r="C136" s="329" t="inlineStr">
        <is>
          <t>Derived from first chronological appearance after normalization.</t>
        </is>
      </c>
      <c r="D136" s="329" t="n"/>
      <c r="E136" s="329" t="n"/>
      <c r="F136" s="329" t="n"/>
      <c r="G136" s="329" t="n"/>
      <c r="H136" s="329" t="n"/>
      <c r="I136" s="329" t="n"/>
      <c r="J136" s="329" t="n"/>
      <c r="K136" s="329" t="n"/>
      <c r="L136" s="329" t="n"/>
      <c r="M136" s="329" t="n"/>
      <c r="N136" s="329" t="n"/>
      <c r="O136" s="329" t="n"/>
      <c r="P136" s="329" t="n"/>
      <c r="Q136" s="329" t="n"/>
      <c r="R136" s="329" t="n"/>
      <c r="S136" s="329" t="n"/>
      <c r="T136" s="329" t="n"/>
      <c r="U136" s="329" t="n"/>
      <c r="V136" s="329" t="n"/>
      <c r="W136" s="329" t="n"/>
      <c r="X136" s="329" t="n"/>
      <c r="Y136" s="329" t="n"/>
      <c r="Z136" s="329" t="n"/>
      <c r="AA136" s="329" t="n"/>
      <c r="AB136" s="329" t="n"/>
      <c r="AC136" s="329" t="n"/>
      <c r="AD136" s="329" t="n"/>
      <c r="AE136" s="329" t="n"/>
    </row>
    <row r="137">
      <c r="A137" s="329" t="n"/>
      <c r="B137" s="329" t="n"/>
      <c r="C137" s="329" t="n"/>
      <c r="D137" s="329" t="n"/>
      <c r="E137" s="329" t="n"/>
      <c r="F137" s="329" t="n"/>
      <c r="G137" s="329" t="n"/>
      <c r="H137" s="329" t="n"/>
      <c r="I137" s="329" t="n"/>
      <c r="J137" s="329" t="n"/>
      <c r="K137" s="329" t="n"/>
      <c r="L137" s="329" t="n"/>
      <c r="M137" s="329" t="n"/>
      <c r="N137" s="329" t="n"/>
      <c r="O137" s="329" t="n"/>
      <c r="P137" s="329" t="n"/>
      <c r="Q137" s="329" t="n"/>
      <c r="R137" s="329" t="n"/>
      <c r="S137" s="329" t="n"/>
      <c r="T137" s="329" t="n"/>
      <c r="U137" s="329" t="n"/>
      <c r="V137" s="329" t="n"/>
      <c r="W137" s="329" t="n"/>
      <c r="X137" s="329" t="n"/>
      <c r="Y137" s="329" t="n"/>
      <c r="Z137" s="329" t="n"/>
      <c r="AA137" s="329" t="n"/>
      <c r="AB137" s="329" t="n"/>
      <c r="AC137" s="329" t="n"/>
      <c r="AD137" s="329" t="n"/>
      <c r="AE137" s="329" t="n"/>
    </row>
    <row r="138">
      <c r="A138" s="330" t="inlineStr">
        <is>
          <t>Phase 3A</t>
        </is>
      </c>
      <c r="B138" s="329" t="inlineStr">
        <is>
          <t>Analytics Tables</t>
        </is>
      </c>
      <c r="C138" s="329" t="n"/>
      <c r="D138" s="329" t="n"/>
      <c r="E138" s="329" t="n"/>
      <c r="F138" s="329" t="n"/>
      <c r="G138" s="329" t="n"/>
      <c r="H138" s="329" t="n"/>
      <c r="I138" s="329" t="n"/>
      <c r="J138" s="329" t="n"/>
      <c r="K138" s="329" t="n"/>
      <c r="L138" s="329" t="n"/>
      <c r="M138" s="329" t="n"/>
      <c r="N138" s="329" t="n"/>
      <c r="O138" s="329" t="n"/>
      <c r="P138" s="329" t="n"/>
      <c r="Q138" s="329" t="n"/>
      <c r="R138" s="329" t="n"/>
      <c r="S138" s="329" t="n"/>
      <c r="T138" s="329" t="n"/>
      <c r="U138" s="329" t="n"/>
      <c r="V138" s="329" t="n"/>
      <c r="W138" s="329" t="n"/>
      <c r="X138" s="329" t="n"/>
      <c r="Y138" s="329" t="n"/>
      <c r="Z138" s="329" t="n"/>
      <c r="AA138" s="329" t="n"/>
      <c r="AB138" s="329" t="n"/>
      <c r="AC138" s="329" t="n"/>
      <c r="AD138" s="329" t="n"/>
      <c r="AE138" s="329" t="n"/>
    </row>
    <row r="139">
      <c r="A139" s="330" t="inlineStr">
        <is>
          <t>Client Summary</t>
        </is>
      </c>
      <c r="B139" s="329" t="inlineStr">
        <is>
          <t>Formula-driven from tblServiceEvents and tblLedger.</t>
        </is>
      </c>
      <c r="C139" s="329" t="n"/>
      <c r="D139" s="329" t="n"/>
      <c r="E139" s="329" t="n"/>
      <c r="F139" s="329" t="n"/>
      <c r="G139" s="329" t="n"/>
      <c r="H139" s="329" t="n"/>
      <c r="I139" s="329" t="n"/>
      <c r="J139" s="329" t="n"/>
      <c r="K139" s="329" t="n"/>
      <c r="L139" s="329" t="n"/>
      <c r="M139" s="329" t="n"/>
      <c r="N139" s="329" t="n"/>
      <c r="O139" s="329" t="n"/>
      <c r="P139" s="329" t="n"/>
      <c r="Q139" s="329" t="n"/>
      <c r="R139" s="329" t="n"/>
      <c r="S139" s="329" t="n"/>
      <c r="T139" s="329" t="n"/>
      <c r="U139" s="329" t="n"/>
      <c r="V139" s="329" t="n"/>
      <c r="W139" s="329" t="n"/>
      <c r="X139" s="329" t="n"/>
      <c r="Y139" s="329" t="n"/>
      <c r="Z139" s="329" t="n"/>
      <c r="AA139" s="329" t="n"/>
      <c r="AB139" s="329" t="n"/>
      <c r="AC139" s="329" t="n"/>
      <c r="AD139" s="329" t="n"/>
      <c r="AE139" s="329" t="n"/>
    </row>
    <row r="140">
      <c r="A140" s="330" t="inlineStr">
        <is>
          <t>State Summary</t>
        </is>
      </c>
      <c r="B140" s="329" t="inlineStr">
        <is>
          <t>Formula-driven event, client, revenue, and share metrics.</t>
        </is>
      </c>
      <c r="C140" s="329" t="n"/>
      <c r="D140" s="329" t="n"/>
      <c r="E140" s="329" t="n"/>
      <c r="F140" s="329" t="n"/>
      <c r="G140" s="329" t="n"/>
      <c r="H140" s="329" t="n"/>
      <c r="I140" s="329" t="n"/>
      <c r="J140" s="329" t="n"/>
      <c r="K140" s="329" t="n"/>
      <c r="L140" s="329" t="n"/>
      <c r="M140" s="329" t="n"/>
      <c r="N140" s="329" t="n"/>
      <c r="O140" s="329" t="n"/>
      <c r="P140" s="329" t="n"/>
      <c r="Q140" s="329" t="n"/>
      <c r="R140" s="329" t="n"/>
      <c r="S140" s="329" t="n"/>
      <c r="T140" s="329" t="n"/>
      <c r="U140" s="329" t="n"/>
      <c r="V140" s="329" t="n"/>
      <c r="W140" s="329" t="n"/>
      <c r="X140" s="329" t="n"/>
      <c r="Y140" s="329" t="n"/>
      <c r="Z140" s="329" t="n"/>
      <c r="AA140" s="329" t="n"/>
      <c r="AB140" s="329" t="n"/>
      <c r="AC140" s="329" t="n"/>
      <c r="AD140" s="329" t="n"/>
      <c r="AE140" s="329" t="n"/>
    </row>
    <row r="141">
      <c r="A141" s="330" t="inlineStr">
        <is>
          <t>Weekday Summary</t>
        </is>
      </c>
      <c r="B141" s="329" t="inlineStr">
        <is>
          <t>Formula-driven revenue, eligibility, activity, high/low event, and rank.</t>
        </is>
      </c>
      <c r="C141" s="329" t="n"/>
      <c r="D141" s="329" t="n"/>
      <c r="E141" s="329" t="n"/>
      <c r="F141" s="329" t="n"/>
      <c r="G141" s="329" t="n"/>
      <c r="H141" s="329" t="n"/>
      <c r="I141" s="329" t="n"/>
      <c r="J141" s="329" t="n"/>
      <c r="K141" s="329" t="n"/>
      <c r="L141" s="329" t="n"/>
      <c r="M141" s="329" t="n"/>
      <c r="N141" s="329" t="n"/>
      <c r="O141" s="329" t="n"/>
      <c r="P141" s="329" t="n"/>
      <c r="Q141" s="329" t="n"/>
      <c r="R141" s="329" t="n"/>
      <c r="S141" s="329" t="n"/>
      <c r="T141" s="329" t="n"/>
      <c r="U141" s="329" t="n"/>
      <c r="V141" s="329" t="n"/>
      <c r="W141" s="329" t="n"/>
      <c r="X141" s="329" t="n"/>
      <c r="Y141" s="329" t="n"/>
      <c r="Z141" s="329" t="n"/>
      <c r="AA141" s="329" t="n"/>
      <c r="AB141" s="329" t="n"/>
      <c r="AC141" s="329" t="n"/>
      <c r="AD141" s="329" t="n"/>
      <c r="AE141" s="329" t="n"/>
    </row>
    <row r="142">
      <c r="A142" s="330" t="inlineStr">
        <is>
          <t>MY_MONTH Summary</t>
        </is>
      </c>
      <c r="B142" s="329" t="inlineStr">
        <is>
          <t>Formula-driven event, client, jurisdiction, and revenue metrics.</t>
        </is>
      </c>
      <c r="C142" s="329" t="n"/>
      <c r="D142" s="329" t="n"/>
      <c r="E142" s="329" t="n"/>
      <c r="F142" s="329" t="n"/>
      <c r="G142" s="329" t="n"/>
      <c r="H142" s="329" t="n"/>
      <c r="I142" s="329" t="n"/>
      <c r="J142" s="329" t="n"/>
      <c r="K142" s="329" t="n"/>
      <c r="L142" s="329" t="n"/>
      <c r="M142" s="329" t="n"/>
      <c r="N142" s="329" t="n"/>
      <c r="O142" s="329" t="n"/>
      <c r="P142" s="329" t="n"/>
      <c r="Q142" s="329" t="n"/>
      <c r="R142" s="329" t="n"/>
      <c r="S142" s="329" t="n"/>
      <c r="T142" s="329" t="n"/>
      <c r="U142" s="329" t="n"/>
      <c r="V142" s="329" t="n"/>
      <c r="W142" s="329" t="n"/>
      <c r="X142" s="329" t="n"/>
      <c r="Y142" s="329" t="n"/>
      <c r="Z142" s="329" t="n"/>
      <c r="AA142" s="329" t="n"/>
      <c r="AB142" s="329" t="n"/>
      <c r="AC142" s="329" t="n"/>
      <c r="AD142" s="329" t="n"/>
      <c r="AE142" s="329" t="n"/>
    </row>
    <row r="143">
      <c r="A143" s="330" t="inlineStr">
        <is>
          <t>Maintenance Rule</t>
        </is>
      </c>
      <c r="B143" s="329" t="inlineStr">
        <is>
          <t>Only tblServiceEvents and tblLedger are editable sources; analytics tables are derived.</t>
        </is>
      </c>
      <c r="C143" s="329" t="n"/>
      <c r="D143" s="329" t="n"/>
      <c r="E143" s="329" t="n"/>
      <c r="F143" s="329" t="n"/>
      <c r="G143" s="329" t="n"/>
      <c r="H143" s="329" t="n"/>
      <c r="I143" s="329" t="n"/>
      <c r="J143" s="329" t="n"/>
      <c r="K143" s="329" t="n"/>
      <c r="L143" s="329" t="n"/>
      <c r="M143" s="329" t="n"/>
      <c r="N143" s="329" t="n"/>
      <c r="O143" s="329" t="n"/>
      <c r="P143" s="329" t="n"/>
      <c r="Q143" s="329" t="n"/>
      <c r="R143" s="329" t="n"/>
      <c r="S143" s="329" t="n"/>
      <c r="T143" s="329" t="n"/>
      <c r="U143" s="329" t="n"/>
      <c r="V143" s="329" t="n"/>
      <c r="W143" s="329" t="n"/>
      <c r="X143" s="329" t="n"/>
      <c r="Y143" s="329" t="n"/>
      <c r="Z143" s="329" t="n"/>
      <c r="AA143" s="329" t="n"/>
      <c r="AB143" s="329" t="n"/>
      <c r="AC143" s="329" t="n"/>
      <c r="AD143" s="329" t="n"/>
      <c r="AE143" s="329" t="n"/>
    </row>
    <row r="144">
      <c r="A144" s="330" t="inlineStr">
        <is>
          <t>Phase 3A Dimensional Counts</t>
        </is>
      </c>
      <c r="B144" s="329" t="inlineStr">
        <is>
          <t>Unique state/city/client/workweek counts are materialized from the authoritative event table during this phase.</t>
        </is>
      </c>
      <c r="C144" s="329" t="n"/>
      <c r="D144" s="329" t="n"/>
      <c r="E144" s="329" t="n"/>
      <c r="F144" s="329" t="n"/>
      <c r="G144" s="329" t="n"/>
      <c r="H144" s="329" t="n"/>
      <c r="I144" s="329" t="n"/>
      <c r="J144" s="329" t="n"/>
      <c r="K144" s="329" t="n"/>
      <c r="L144" s="329" t="n"/>
      <c r="M144" s="329" t="n"/>
      <c r="N144" s="329" t="n"/>
      <c r="O144" s="329" t="n"/>
      <c r="P144" s="329" t="n"/>
      <c r="Q144" s="329" t="n"/>
      <c r="R144" s="329" t="n"/>
      <c r="S144" s="329" t="n"/>
      <c r="T144" s="329" t="n"/>
      <c r="U144" s="329" t="n"/>
      <c r="V144" s="329" t="n"/>
      <c r="W144" s="329" t="n"/>
      <c r="X144" s="329" t="n"/>
      <c r="Y144" s="329" t="n"/>
      <c r="Z144" s="329" t="n"/>
      <c r="AA144" s="329" t="n"/>
      <c r="AB144" s="329" t="n"/>
      <c r="AC144" s="329" t="n"/>
      <c r="AD144" s="329" t="n"/>
      <c r="AE144" s="329" t="n"/>
    </row>
    <row r="145">
      <c r="A145" s="330" t="inlineStr">
        <is>
          <t>Phase 3B Upgrade Path</t>
        </is>
      </c>
      <c r="B145" s="329" t="inlineStr">
        <is>
          <t>Dashboard automation may replace these materialized counts with refreshed helper logic when new event rows are added.</t>
        </is>
      </c>
      <c r="C145" s="329" t="n"/>
      <c r="D145" s="329" t="n"/>
      <c r="E145" s="329" t="n"/>
      <c r="F145" s="329" t="n"/>
      <c r="G145" s="329" t="n"/>
      <c r="H145" s="329" t="n"/>
      <c r="I145" s="329" t="n"/>
      <c r="J145" s="329" t="n"/>
      <c r="K145" s="329" t="n"/>
      <c r="L145" s="329" t="n"/>
      <c r="M145" s="329" t="n"/>
      <c r="N145" s="329" t="n"/>
      <c r="O145" s="329" t="n"/>
      <c r="P145" s="329" t="n"/>
      <c r="Q145" s="329" t="n"/>
      <c r="R145" s="329" t="n"/>
      <c r="S145" s="329" t="n"/>
      <c r="T145" s="329" t="n"/>
      <c r="U145" s="329" t="n"/>
      <c r="V145" s="329" t="n"/>
      <c r="W145" s="329" t="n"/>
      <c r="X145" s="329" t="n"/>
      <c r="Y145" s="329" t="n"/>
      <c r="Z145" s="329" t="n"/>
      <c r="AA145" s="329" t="n"/>
      <c r="AB145" s="329" t="n"/>
      <c r="AC145" s="329" t="n"/>
      <c r="AD145" s="329" t="n"/>
      <c r="AE145" s="329" t="n"/>
    </row>
    <row r="146">
      <c r="A146" s="329" t="n"/>
      <c r="B146" s="329" t="n"/>
      <c r="C146" s="329" t="n"/>
      <c r="D146" s="329" t="n"/>
      <c r="E146" s="329" t="n"/>
      <c r="F146" s="329" t="n"/>
      <c r="G146" s="329" t="n"/>
      <c r="H146" s="329" t="n"/>
      <c r="I146" s="329" t="n"/>
      <c r="J146" s="329" t="n"/>
      <c r="K146" s="329" t="n"/>
      <c r="L146" s="329" t="n"/>
      <c r="M146" s="329" t="n"/>
      <c r="N146" s="329" t="n"/>
      <c r="O146" s="329" t="n"/>
      <c r="P146" s="329" t="n"/>
      <c r="Q146" s="329" t="n"/>
      <c r="R146" s="329" t="n"/>
      <c r="S146" s="329" t="n"/>
      <c r="T146" s="329" t="n"/>
      <c r="U146" s="329" t="n"/>
      <c r="V146" s="329" t="n"/>
      <c r="W146" s="329" t="n"/>
      <c r="X146" s="329" t="n"/>
      <c r="Y146" s="329" t="n"/>
      <c r="Z146" s="329" t="n"/>
      <c r="AA146" s="329" t="n"/>
      <c r="AB146" s="329" t="n"/>
      <c r="AC146" s="329" t="n"/>
      <c r="AD146" s="329" t="n"/>
      <c r="AE146" s="329" t="n"/>
    </row>
    <row r="147">
      <c r="A147" s="330" t="inlineStr">
        <is>
          <t>Phase 3B</t>
        </is>
      </c>
      <c r="B147" s="329" t="inlineStr">
        <is>
          <t>Dashboard</t>
        </is>
      </c>
      <c r="C147" s="329" t="n"/>
      <c r="D147" s="329" t="n"/>
      <c r="E147" s="329" t="n"/>
      <c r="F147" s="329" t="n"/>
      <c r="G147" s="329" t="n"/>
      <c r="H147" s="329" t="n"/>
      <c r="I147" s="329" t="n"/>
      <c r="J147" s="329" t="n"/>
      <c r="K147" s="329" t="n"/>
      <c r="L147" s="329" t="n"/>
      <c r="M147" s="329" t="n"/>
      <c r="N147" s="329" t="n"/>
      <c r="O147" s="329" t="n"/>
      <c r="P147" s="329" t="n"/>
      <c r="Q147" s="329" t="n"/>
      <c r="R147" s="329" t="n"/>
      <c r="S147" s="329" t="n"/>
      <c r="T147" s="329" t="n"/>
      <c r="U147" s="329" t="n"/>
      <c r="V147" s="329" t="n"/>
      <c r="W147" s="329" t="n"/>
      <c r="X147" s="329" t="n"/>
      <c r="Y147" s="329" t="n"/>
      <c r="Z147" s="329" t="n"/>
      <c r="AA147" s="329" t="n"/>
      <c r="AB147" s="329" t="n"/>
      <c r="AC147" s="329" t="n"/>
      <c r="AD147" s="329" t="n"/>
      <c r="AE147" s="329" t="n"/>
    </row>
    <row r="148">
      <c r="A148" s="330" t="inlineStr">
        <is>
          <t>Dashboard Source Rule</t>
        </is>
      </c>
      <c r="B148" s="329" t="inlineStr">
        <is>
          <t>All KPI cards reference tblServiceEvents, tblLedger, or Phase 3A summary tables.</t>
        </is>
      </c>
      <c r="C148" s="329" t="n"/>
      <c r="D148" s="329" t="n"/>
      <c r="E148" s="329" t="n"/>
      <c r="F148" s="329" t="n"/>
      <c r="G148" s="329" t="n"/>
      <c r="H148" s="329" t="n"/>
      <c r="I148" s="329" t="n"/>
      <c r="J148" s="329" t="n"/>
      <c r="K148" s="329" t="n"/>
      <c r="L148" s="329" t="n"/>
      <c r="M148" s="329" t="n"/>
      <c r="N148" s="329" t="n"/>
      <c r="O148" s="329" t="n"/>
      <c r="P148" s="329" t="n"/>
      <c r="Q148" s="329" t="n"/>
      <c r="R148" s="329" t="n"/>
      <c r="S148" s="329" t="n"/>
      <c r="T148" s="329" t="n"/>
      <c r="U148" s="329" t="n"/>
      <c r="V148" s="329" t="n"/>
      <c r="W148" s="329" t="n"/>
      <c r="X148" s="329" t="n"/>
      <c r="Y148" s="329" t="n"/>
      <c r="Z148" s="329" t="n"/>
      <c r="AA148" s="329" t="n"/>
      <c r="AB148" s="329" t="n"/>
      <c r="AC148" s="329" t="n"/>
      <c r="AD148" s="329" t="n"/>
      <c r="AE148" s="329" t="n"/>
    </row>
    <row r="149">
      <c r="A149" s="330" t="inlineStr">
        <is>
          <t>Executive KPIs</t>
        </is>
      </c>
      <c r="B149" s="329" t="inlineStr">
        <is>
          <t>Completed events, clients, WOs, confirmed revenue, pending breakdown, pending ACH, and exceptions.</t>
        </is>
      </c>
      <c r="C149" s="329" t="n"/>
      <c r="D149" s="329" t="n"/>
      <c r="E149" s="329" t="n"/>
      <c r="F149" s="329" t="n"/>
      <c r="G149" s="329" t="n"/>
      <c r="H149" s="329" t="n"/>
      <c r="I149" s="329" t="n"/>
      <c r="J149" s="329" t="n"/>
      <c r="K149" s="329" t="n"/>
      <c r="L149" s="329" t="n"/>
      <c r="M149" s="329" t="n"/>
      <c r="N149" s="329" t="n"/>
      <c r="O149" s="329" t="n"/>
      <c r="P149" s="329" t="n"/>
      <c r="Q149" s="329" t="n"/>
      <c r="R149" s="329" t="n"/>
      <c r="S149" s="329" t="n"/>
      <c r="T149" s="329" t="n"/>
      <c r="U149" s="329" t="n"/>
      <c r="V149" s="329" t="n"/>
      <c r="W149" s="329" t="n"/>
      <c r="X149" s="329" t="n"/>
      <c r="Y149" s="329" t="n"/>
      <c r="Z149" s="329" t="n"/>
      <c r="AA149" s="329" t="n"/>
      <c r="AB149" s="329" t="n"/>
      <c r="AC149" s="329" t="n"/>
      <c r="AD149" s="329" t="n"/>
      <c r="AE149" s="329" t="n"/>
    </row>
    <row r="150">
      <c r="A150" s="330" t="inlineStr">
        <is>
          <t>Financial KPIs</t>
        </is>
      </c>
      <c r="B150" s="329" t="inlineStr">
        <is>
          <t>Average/event, average/week, worked days, average/worked day, completion rates, and outstanding confirmed revenue.</t>
        </is>
      </c>
      <c r="C150" s="329" t="n"/>
      <c r="D150" s="329" t="n"/>
      <c r="E150" s="329" t="n"/>
      <c r="F150" s="329" t="n"/>
      <c r="G150" s="329" t="n"/>
      <c r="H150" s="329" t="n"/>
      <c r="I150" s="329" t="n"/>
      <c r="J150" s="329" t="n"/>
      <c r="K150" s="329" t="n"/>
      <c r="L150" s="329" t="n"/>
      <c r="M150" s="329" t="n"/>
      <c r="N150" s="329" t="n"/>
      <c r="O150" s="329" t="n"/>
      <c r="P150" s="329" t="n"/>
      <c r="Q150" s="329" t="n"/>
      <c r="R150" s="329" t="n"/>
      <c r="S150" s="329" t="n"/>
      <c r="T150" s="329" t="n"/>
      <c r="U150" s="329" t="n"/>
      <c r="V150" s="329" t="n"/>
      <c r="W150" s="329" t="n"/>
      <c r="X150" s="329" t="n"/>
      <c r="Y150" s="329" t="n"/>
      <c r="Z150" s="329" t="n"/>
      <c r="AA150" s="329" t="n"/>
      <c r="AB150" s="329" t="n"/>
      <c r="AC150" s="329" t="n"/>
      <c r="AD150" s="329" t="n"/>
      <c r="AE150" s="329" t="n"/>
    </row>
    <row r="151">
      <c r="A151" s="330" t="inlineStr">
        <is>
          <t>Operational KPIs</t>
        </is>
      </c>
      <c r="B151" s="329" t="inlineStr">
        <is>
          <t>Current workweek, current MY_MONTH, utilization, events/week, revenue/week, mapping holds, and variance exposure.</t>
        </is>
      </c>
      <c r="C151" s="329" t="n"/>
      <c r="D151" s="329" t="n"/>
      <c r="E151" s="329" t="n"/>
      <c r="F151" s="329" t="n"/>
      <c r="G151" s="329" t="n"/>
      <c r="H151" s="329" t="n"/>
      <c r="I151" s="329" t="n"/>
      <c r="J151" s="329" t="n"/>
      <c r="K151" s="329" t="n"/>
      <c r="L151" s="329" t="n"/>
      <c r="M151" s="329" t="n"/>
      <c r="N151" s="329" t="n"/>
      <c r="O151" s="329" t="n"/>
      <c r="P151" s="329" t="n"/>
      <c r="Q151" s="329" t="n"/>
      <c r="R151" s="329" t="n"/>
      <c r="S151" s="329" t="n"/>
      <c r="T151" s="329" t="n"/>
      <c r="U151" s="329" t="n"/>
      <c r="V151" s="329" t="n"/>
      <c r="W151" s="329" t="n"/>
      <c r="X151" s="329" t="n"/>
      <c r="Y151" s="329" t="n"/>
      <c r="Z151" s="329" t="n"/>
      <c r="AA151" s="329" t="n"/>
      <c r="AB151" s="329" t="n"/>
      <c r="AC151" s="329" t="n"/>
      <c r="AD151" s="329" t="n"/>
      <c r="AE151" s="329" t="n"/>
    </row>
    <row r="152">
      <c r="A152" s="330" t="inlineStr">
        <is>
          <t>Weekday Panel</t>
        </is>
      </c>
      <c r="B152" s="329" t="inlineStr">
        <is>
          <t>References tblWeekdaySummary.</t>
        </is>
      </c>
      <c r="C152" s="329" t="n"/>
      <c r="D152" s="329" t="n"/>
      <c r="E152" s="329" t="n"/>
      <c r="F152" s="329" t="n"/>
      <c r="G152" s="329" t="n"/>
      <c r="H152" s="329" t="n"/>
      <c r="I152" s="329" t="n"/>
      <c r="J152" s="329" t="n"/>
      <c r="K152" s="329" t="n"/>
      <c r="L152" s="329" t="n"/>
      <c r="M152" s="329" t="n"/>
      <c r="N152" s="329" t="n"/>
      <c r="O152" s="329" t="n"/>
      <c r="P152" s="329" t="n"/>
      <c r="Q152" s="329" t="n"/>
      <c r="R152" s="329" t="n"/>
      <c r="S152" s="329" t="n"/>
      <c r="T152" s="329" t="n"/>
      <c r="U152" s="329" t="n"/>
      <c r="V152" s="329" t="n"/>
      <c r="W152" s="329" t="n"/>
      <c r="X152" s="329" t="n"/>
      <c r="Y152" s="329" t="n"/>
      <c r="Z152" s="329" t="n"/>
      <c r="AA152" s="329" t="n"/>
      <c r="AB152" s="329" t="n"/>
      <c r="AC152" s="329" t="n"/>
      <c r="AD152" s="329" t="n"/>
      <c r="AE152" s="329" t="n"/>
    </row>
    <row r="153">
      <c r="A153" s="330" t="inlineStr">
        <is>
          <t>Client Panel</t>
        </is>
      </c>
      <c r="B153" s="329" t="inlineStr">
        <is>
          <t>Ranks tblClientSummary by confirmed revenue.</t>
        </is>
      </c>
      <c r="C153" s="329" t="n"/>
      <c r="D153" s="329" t="n"/>
      <c r="E153" s="329" t="n"/>
      <c r="F153" s="329" t="n"/>
      <c r="G153" s="329" t="n"/>
      <c r="H153" s="329" t="n"/>
      <c r="I153" s="329" t="n"/>
      <c r="J153" s="329" t="n"/>
      <c r="K153" s="329" t="n"/>
      <c r="L153" s="329" t="n"/>
      <c r="M153" s="329" t="n"/>
      <c r="N153" s="329" t="n"/>
      <c r="O153" s="329" t="n"/>
      <c r="P153" s="329" t="n"/>
      <c r="Q153" s="329" t="n"/>
      <c r="R153" s="329" t="n"/>
      <c r="S153" s="329" t="n"/>
      <c r="T153" s="329" t="n"/>
      <c r="U153" s="329" t="n"/>
      <c r="V153" s="329" t="n"/>
      <c r="W153" s="329" t="n"/>
      <c r="X153" s="329" t="n"/>
      <c r="Y153" s="329" t="n"/>
      <c r="Z153" s="329" t="n"/>
      <c r="AA153" s="329" t="n"/>
      <c r="AB153" s="329" t="n"/>
      <c r="AC153" s="329" t="n"/>
      <c r="AD153" s="329" t="n"/>
      <c r="AE153" s="329" t="n"/>
    </row>
    <row r="154">
      <c r="A154" s="330" t="inlineStr">
        <is>
          <t>Jurisdiction Panel</t>
        </is>
      </c>
      <c r="B154" s="329" t="inlineStr">
        <is>
          <t>References tblStateSummary.</t>
        </is>
      </c>
      <c r="C154" s="329" t="n"/>
      <c r="D154" s="329" t="n"/>
      <c r="E154" s="329" t="n"/>
      <c r="F154" s="329" t="n"/>
      <c r="G154" s="329" t="n"/>
      <c r="H154" s="329" t="n"/>
      <c r="I154" s="329" t="n"/>
      <c r="J154" s="329" t="n"/>
      <c r="K154" s="329" t="n"/>
      <c r="L154" s="329" t="n"/>
      <c r="M154" s="329" t="n"/>
      <c r="N154" s="329" t="n"/>
      <c r="O154" s="329" t="n"/>
      <c r="P154" s="329" t="n"/>
      <c r="Q154" s="329" t="n"/>
      <c r="R154" s="329" t="n"/>
      <c r="S154" s="329" t="n"/>
      <c r="T154" s="329" t="n"/>
      <c r="U154" s="329" t="n"/>
      <c r="V154" s="329" t="n"/>
      <c r="W154" s="329" t="n"/>
      <c r="X154" s="329" t="n"/>
      <c r="Y154" s="329" t="n"/>
      <c r="Z154" s="329" t="n"/>
      <c r="AA154" s="329" t="n"/>
      <c r="AB154" s="329" t="n"/>
      <c r="AC154" s="329" t="n"/>
      <c r="AD154" s="329" t="n"/>
      <c r="AE154" s="329" t="n"/>
    </row>
    <row r="155">
      <c r="A155" s="330" t="inlineStr">
        <is>
          <t>MY_MONTH Panel</t>
        </is>
      </c>
      <c r="B155" s="329" t="inlineStr">
        <is>
          <t>References tblMonthSummary.</t>
        </is>
      </c>
      <c r="C155" s="329" t="n"/>
      <c r="D155" s="329" t="n"/>
      <c r="E155" s="329" t="n"/>
      <c r="F155" s="329" t="n"/>
      <c r="G155" s="329" t="n"/>
      <c r="H155" s="329" t="n"/>
      <c r="I155" s="329" t="n"/>
      <c r="J155" s="329" t="n"/>
      <c r="K155" s="329" t="n"/>
      <c r="L155" s="329" t="n"/>
      <c r="M155" s="329" t="n"/>
      <c r="N155" s="329" t="n"/>
      <c r="O155" s="329" t="n"/>
      <c r="P155" s="329" t="n"/>
      <c r="Q155" s="329" t="n"/>
      <c r="R155" s="329" t="n"/>
      <c r="S155" s="329" t="n"/>
      <c r="T155" s="329" t="n"/>
      <c r="U155" s="329" t="n"/>
      <c r="V155" s="329" t="n"/>
      <c r="W155" s="329" t="n"/>
      <c r="X155" s="329" t="n"/>
      <c r="Y155" s="329" t="n"/>
      <c r="Z155" s="329" t="n"/>
      <c r="AA155" s="329" t="n"/>
      <c r="AB155" s="329" t="n"/>
      <c r="AC155" s="329" t="n"/>
      <c r="AD155" s="329" t="n"/>
      <c r="AE155" s="329" t="n"/>
    </row>
    <row r="156">
      <c r="A156" s="330" t="inlineStr">
        <is>
          <t>Recent Events</t>
        </is>
      </c>
      <c r="B156" s="329" t="inlineStr">
        <is>
          <t>Uses INDEX/MATCH against tblServiceEvents and updates from the latest Event #.</t>
        </is>
      </c>
      <c r="C156" s="329" t="n"/>
      <c r="D156" s="329" t="n"/>
      <c r="E156" s="329" t="n"/>
      <c r="F156" s="329" t="n"/>
      <c r="G156" s="329" t="n"/>
      <c r="H156" s="329" t="n"/>
      <c r="I156" s="329" t="n"/>
      <c r="J156" s="329" t="n"/>
      <c r="K156" s="329" t="n"/>
      <c r="L156" s="329" t="n"/>
      <c r="M156" s="329" t="n"/>
      <c r="N156" s="329" t="n"/>
      <c r="O156" s="329" t="n"/>
      <c r="P156" s="329" t="n"/>
      <c r="Q156" s="329" t="n"/>
      <c r="R156" s="329" t="n"/>
      <c r="S156" s="329" t="n"/>
      <c r="T156" s="329" t="n"/>
      <c r="U156" s="329" t="n"/>
      <c r="V156" s="329" t="n"/>
      <c r="W156" s="329" t="n"/>
      <c r="X156" s="329" t="n"/>
      <c r="Y156" s="329" t="n"/>
      <c r="Z156" s="329" t="n"/>
      <c r="AA156" s="329" t="n"/>
      <c r="AB156" s="329" t="n"/>
      <c r="AC156" s="329" t="n"/>
      <c r="AD156" s="329" t="n"/>
      <c r="AE156" s="329" t="n"/>
    </row>
    <row r="157">
      <c r="A157" s="330" t="inlineStr">
        <is>
          <t>Worked-Day Dashboard Rule</t>
        </is>
      </c>
      <c r="B157" s="329" t="inlineStr">
        <is>
          <t>Worked Days equals the sum of active weekday occurrences in tblWeekdaySummary across the 12 complete weeks.</t>
        </is>
      </c>
      <c r="C157" s="329" t="n"/>
      <c r="D157" s="329" t="n"/>
      <c r="E157" s="329" t="n"/>
      <c r="F157" s="329" t="n"/>
      <c r="G157" s="329" t="n"/>
      <c r="H157" s="329" t="n"/>
      <c r="I157" s="329" t="n"/>
      <c r="J157" s="329" t="n"/>
      <c r="K157" s="329" t="n"/>
      <c r="L157" s="329" t="n"/>
      <c r="M157" s="329" t="n"/>
      <c r="N157" s="329" t="n"/>
      <c r="O157" s="329" t="n"/>
      <c r="P157" s="329" t="n"/>
      <c r="Q157" s="329" t="n"/>
      <c r="R157" s="329" t="n"/>
      <c r="S157" s="329" t="n"/>
      <c r="T157" s="329" t="n"/>
      <c r="U157" s="329" t="n"/>
      <c r="V157" s="329" t="n"/>
      <c r="W157" s="329" t="n"/>
      <c r="X157" s="329" t="n"/>
      <c r="Y157" s="329" t="n"/>
      <c r="Z157" s="329" t="n"/>
      <c r="AA157" s="329" t="n"/>
      <c r="AB157" s="329" t="n"/>
      <c r="AC157" s="329" t="n"/>
      <c r="AD157" s="329" t="n"/>
      <c r="AE157" s="329" t="n"/>
    </row>
    <row r="158">
      <c r="A158" s="330" t="inlineStr">
        <is>
          <t>Current Worked Days</t>
        </is>
      </c>
      <c r="B158" s="329" t="n">
        <v>44</v>
      </c>
      <c r="C158" s="329" t="inlineStr">
        <is>
          <t>8 Mondays + 10 Tuesdays + 11 Wednesdays + 10 Thursdays + 5 Fridays.</t>
        </is>
      </c>
      <c r="D158" s="329" t="n"/>
      <c r="E158" s="329" t="n"/>
      <c r="F158" s="329" t="n"/>
      <c r="G158" s="329" t="n"/>
      <c r="H158" s="329" t="n"/>
      <c r="I158" s="329" t="n"/>
      <c r="J158" s="329" t="n"/>
      <c r="K158" s="329" t="n"/>
      <c r="L158" s="329" t="n"/>
      <c r="M158" s="329" t="n"/>
      <c r="N158" s="329" t="n"/>
      <c r="O158" s="329" t="n"/>
      <c r="P158" s="329" t="n"/>
      <c r="Q158" s="329" t="n"/>
      <c r="R158" s="329" t="n"/>
      <c r="S158" s="329" t="n"/>
      <c r="T158" s="329" t="n"/>
      <c r="U158" s="329" t="n"/>
      <c r="V158" s="329" t="n"/>
      <c r="W158" s="329" t="n"/>
      <c r="X158" s="329" t="n"/>
      <c r="Y158" s="329" t="n"/>
      <c r="Z158" s="329" t="n"/>
      <c r="AA158" s="329" t="n"/>
      <c r="AB158" s="329" t="n"/>
      <c r="AC158" s="329" t="n"/>
      <c r="AD158" s="329" t="n"/>
      <c r="AE158" s="329" t="n"/>
    </row>
    <row r="159">
      <c r="A159" s="329" t="n"/>
      <c r="B159" s="329" t="n"/>
      <c r="C159" s="329" t="n"/>
      <c r="D159" s="329" t="n"/>
      <c r="E159" s="329" t="n"/>
      <c r="F159" s="329" t="n"/>
      <c r="G159" s="329" t="n"/>
      <c r="H159" s="329" t="n"/>
      <c r="I159" s="329" t="n"/>
      <c r="J159" s="329" t="n"/>
      <c r="K159" s="329" t="n"/>
      <c r="L159" s="329" t="n"/>
      <c r="M159" s="329" t="n"/>
      <c r="N159" s="329" t="n"/>
      <c r="O159" s="329" t="n"/>
      <c r="P159" s="329" t="n"/>
      <c r="Q159" s="329" t="n"/>
      <c r="R159" s="329" t="n"/>
      <c r="S159" s="329" t="n"/>
      <c r="T159" s="329" t="n"/>
      <c r="U159" s="329" t="n"/>
      <c r="V159" s="329" t="n"/>
      <c r="W159" s="329" t="n"/>
      <c r="X159" s="329" t="n"/>
      <c r="Y159" s="329" t="n"/>
      <c r="Z159" s="329" t="n"/>
      <c r="AA159" s="329" t="n"/>
      <c r="AB159" s="329" t="n"/>
      <c r="AC159" s="329" t="n"/>
      <c r="AD159" s="329" t="n"/>
      <c r="AE159" s="329" t="n"/>
    </row>
    <row r="160">
      <c r="A160" s="330" t="inlineStr">
        <is>
          <t>Phase 3C</t>
        </is>
      </c>
      <c r="B160" s="329" t="inlineStr">
        <is>
          <t>Leaderboards</t>
        </is>
      </c>
      <c r="C160" s="329" t="n"/>
      <c r="D160" s="329" t="n"/>
      <c r="E160" s="329" t="n"/>
      <c r="F160" s="329" t="n"/>
      <c r="G160" s="329" t="n"/>
      <c r="H160" s="329" t="n"/>
      <c r="I160" s="329" t="n"/>
      <c r="J160" s="329" t="n"/>
      <c r="K160" s="329" t="n"/>
      <c r="L160" s="329" t="n"/>
      <c r="M160" s="329" t="n"/>
      <c r="N160" s="329" t="n"/>
      <c r="O160" s="329" t="n"/>
      <c r="P160" s="329" t="n"/>
      <c r="Q160" s="329" t="n"/>
      <c r="R160" s="329" t="n"/>
      <c r="S160" s="329" t="n"/>
      <c r="T160" s="329" t="n"/>
      <c r="U160" s="329" t="n"/>
      <c r="V160" s="329" t="n"/>
      <c r="W160" s="329" t="n"/>
      <c r="X160" s="329" t="n"/>
      <c r="Y160" s="329" t="n"/>
      <c r="Z160" s="329" t="n"/>
      <c r="AA160" s="329" t="n"/>
      <c r="AB160" s="329" t="n"/>
      <c r="AC160" s="329" t="n"/>
      <c r="AD160" s="329" t="n"/>
      <c r="AE160" s="329" t="n"/>
    </row>
    <row r="161">
      <c r="A161" s="330" t="inlineStr">
        <is>
          <t>Client Revenue</t>
        </is>
      </c>
      <c r="B161" s="329" t="inlineStr">
        <is>
          <t>Top 10 clients ranked by confirmed revenue.</t>
        </is>
      </c>
      <c r="C161" s="329" t="n"/>
      <c r="D161" s="329" t="n"/>
      <c r="E161" s="329" t="n"/>
      <c r="F161" s="329" t="n"/>
      <c r="G161" s="329" t="n"/>
      <c r="H161" s="329" t="n"/>
      <c r="I161" s="329" t="n"/>
      <c r="J161" s="329" t="n"/>
      <c r="K161" s="329" t="n"/>
      <c r="L161" s="329" t="n"/>
      <c r="M161" s="329" t="n"/>
      <c r="N161" s="329" t="n"/>
      <c r="O161" s="329" t="n"/>
      <c r="P161" s="329" t="n"/>
      <c r="Q161" s="329" t="n"/>
      <c r="R161" s="329" t="n"/>
      <c r="S161" s="329" t="n"/>
      <c r="T161" s="329" t="n"/>
      <c r="U161" s="329" t="n"/>
      <c r="V161" s="329" t="n"/>
      <c r="W161" s="329" t="n"/>
      <c r="X161" s="329" t="n"/>
      <c r="Y161" s="329" t="n"/>
      <c r="Z161" s="329" t="n"/>
      <c r="AA161" s="329" t="n"/>
      <c r="AB161" s="329" t="n"/>
      <c r="AC161" s="329" t="n"/>
      <c r="AD161" s="329" t="n"/>
      <c r="AE161" s="329" t="n"/>
    </row>
    <row r="162">
      <c r="A162" s="330" t="inlineStr">
        <is>
          <t>Repeat Clients</t>
        </is>
      </c>
      <c r="B162" s="329" t="inlineStr">
        <is>
          <t>Top clients ranked by completed event count, with revenue tie-break.</t>
        </is>
      </c>
      <c r="C162" s="329" t="n"/>
      <c r="D162" s="329" t="n"/>
      <c r="E162" s="329" t="n"/>
      <c r="F162" s="329" t="n"/>
      <c r="G162" s="329" t="n"/>
      <c r="H162" s="329" t="n"/>
      <c r="I162" s="329" t="n"/>
      <c r="J162" s="329" t="n"/>
      <c r="K162" s="329" t="n"/>
      <c r="L162" s="329" t="n"/>
      <c r="M162" s="329" t="n"/>
      <c r="N162" s="329" t="n"/>
      <c r="O162" s="329" t="n"/>
      <c r="P162" s="329" t="n"/>
      <c r="Q162" s="329" t="n"/>
      <c r="R162" s="329" t="n"/>
      <c r="S162" s="329" t="n"/>
      <c r="T162" s="329" t="n"/>
      <c r="U162" s="329" t="n"/>
      <c r="V162" s="329" t="n"/>
      <c r="W162" s="329" t="n"/>
      <c r="X162" s="329" t="n"/>
      <c r="Y162" s="329" t="n"/>
      <c r="Z162" s="329" t="n"/>
      <c r="AA162" s="329" t="n"/>
      <c r="AB162" s="329" t="n"/>
      <c r="AC162" s="329" t="n"/>
      <c r="AD162" s="329" t="n"/>
      <c r="AE162" s="329" t="n"/>
    </row>
    <row r="163">
      <c r="A163" s="330" t="inlineStr">
        <is>
          <t>Client Average</t>
        </is>
      </c>
      <c r="B163" s="329" t="inlineStr">
        <is>
          <t>Top clients by average revenue per event; requires at least two events.</t>
        </is>
      </c>
      <c r="C163" s="329" t="n"/>
      <c r="D163" s="329" t="n"/>
      <c r="E163" s="329" t="n"/>
      <c r="F163" s="329" t="n"/>
      <c r="G163" s="329" t="n"/>
      <c r="H163" s="329" t="n"/>
      <c r="I163" s="329" t="n"/>
      <c r="J163" s="329" t="n"/>
      <c r="K163" s="329" t="n"/>
      <c r="L163" s="329" t="n"/>
      <c r="M163" s="329" t="n"/>
      <c r="N163" s="329" t="n"/>
      <c r="O163" s="329" t="n"/>
      <c r="P163" s="329" t="n"/>
      <c r="Q163" s="329" t="n"/>
      <c r="R163" s="329" t="n"/>
      <c r="S163" s="329" t="n"/>
      <c r="T163" s="329" t="n"/>
      <c r="U163" s="329" t="n"/>
      <c r="V163" s="329" t="n"/>
      <c r="W163" s="329" t="n"/>
      <c r="X163" s="329" t="n"/>
      <c r="Y163" s="329" t="n"/>
      <c r="Z163" s="329" t="n"/>
      <c r="AA163" s="329" t="n"/>
      <c r="AB163" s="329" t="n"/>
      <c r="AC163" s="329" t="n"/>
      <c r="AD163" s="329" t="n"/>
      <c r="AE163" s="329" t="n"/>
    </row>
    <row r="164">
      <c r="A164" s="330" t="inlineStr">
        <is>
          <t>Jurisdictions</t>
        </is>
      </c>
      <c r="B164" s="329" t="inlineStr">
        <is>
          <t>All jurisdictions ranked by confirmed revenue.</t>
        </is>
      </c>
      <c r="C164" s="329" t="n"/>
      <c r="D164" s="329" t="n"/>
      <c r="E164" s="329" t="n"/>
      <c r="F164" s="329" t="n"/>
      <c r="G164" s="329" t="n"/>
      <c r="H164" s="329" t="n"/>
      <c r="I164" s="329" t="n"/>
      <c r="J164" s="329" t="n"/>
      <c r="K164" s="329" t="n"/>
      <c r="L164" s="329" t="n"/>
      <c r="M164" s="329" t="n"/>
      <c r="N164" s="329" t="n"/>
      <c r="O164" s="329" t="n"/>
      <c r="P164" s="329" t="n"/>
      <c r="Q164" s="329" t="n"/>
      <c r="R164" s="329" t="n"/>
      <c r="S164" s="329" t="n"/>
      <c r="T164" s="329" t="n"/>
      <c r="U164" s="329" t="n"/>
      <c r="V164" s="329" t="n"/>
      <c r="W164" s="329" t="n"/>
      <c r="X164" s="329" t="n"/>
      <c r="Y164" s="329" t="n"/>
      <c r="Z164" s="329" t="n"/>
      <c r="AA164" s="329" t="n"/>
      <c r="AB164" s="329" t="n"/>
      <c r="AC164" s="329" t="n"/>
      <c r="AD164" s="329" t="n"/>
      <c r="AE164" s="329" t="n"/>
    </row>
    <row r="165">
      <c r="A165" s="330" t="inlineStr">
        <is>
          <t>Cities</t>
        </is>
      </c>
      <c r="B165" s="329" t="inlineStr">
        <is>
          <t>Top 10 service cities by confirmed revenue.</t>
        </is>
      </c>
      <c r="C165" s="329" t="n"/>
      <c r="D165" s="329" t="n"/>
      <c r="E165" s="329" t="n"/>
      <c r="F165" s="329" t="n"/>
      <c r="G165" s="329" t="n"/>
      <c r="H165" s="329" t="n"/>
      <c r="I165" s="329" t="n"/>
      <c r="J165" s="329" t="n"/>
      <c r="K165" s="329" t="n"/>
      <c r="L165" s="329" t="n"/>
      <c r="M165" s="329" t="n"/>
      <c r="N165" s="329" t="n"/>
      <c r="O165" s="329" t="n"/>
      <c r="P165" s="329" t="n"/>
      <c r="Q165" s="329" t="n"/>
      <c r="R165" s="329" t="n"/>
      <c r="S165" s="329" t="n"/>
      <c r="T165" s="329" t="n"/>
      <c r="U165" s="329" t="n"/>
      <c r="V165" s="329" t="n"/>
      <c r="W165" s="329" t="n"/>
      <c r="X165" s="329" t="n"/>
      <c r="Y165" s="329" t="n"/>
      <c r="Z165" s="329" t="n"/>
      <c r="AA165" s="329" t="n"/>
      <c r="AB165" s="329" t="n"/>
      <c r="AC165" s="329" t="n"/>
      <c r="AD165" s="329" t="n"/>
      <c r="AE165" s="329" t="n"/>
    </row>
    <row r="166">
      <c r="A166" s="330" t="inlineStr">
        <is>
          <t>Events</t>
        </is>
      </c>
      <c r="B166" s="329" t="inlineStr">
        <is>
          <t>Top 10 eligible events by confirmed revenue.</t>
        </is>
      </c>
      <c r="C166" s="329" t="n"/>
      <c r="D166" s="329" t="n"/>
      <c r="E166" s="329" t="n"/>
      <c r="F166" s="329" t="n"/>
      <c r="G166" s="329" t="n"/>
      <c r="H166" s="329" t="n"/>
      <c r="I166" s="329" t="n"/>
      <c r="J166" s="329" t="n"/>
      <c r="K166" s="329" t="n"/>
      <c r="L166" s="329" t="n"/>
      <c r="M166" s="329" t="n"/>
      <c r="N166" s="329" t="n"/>
      <c r="O166" s="329" t="n"/>
      <c r="P166" s="329" t="n"/>
      <c r="Q166" s="329" t="n"/>
      <c r="R166" s="329" t="n"/>
      <c r="S166" s="329" t="n"/>
      <c r="T166" s="329" t="n"/>
      <c r="U166" s="329" t="n"/>
      <c r="V166" s="329" t="n"/>
      <c r="W166" s="329" t="n"/>
      <c r="X166" s="329" t="n"/>
      <c r="Y166" s="329" t="n"/>
      <c r="Z166" s="329" t="n"/>
      <c r="AA166" s="329" t="n"/>
      <c r="AB166" s="329" t="n"/>
      <c r="AC166" s="329" t="n"/>
      <c r="AD166" s="329" t="n"/>
      <c r="AE166" s="329" t="n"/>
    </row>
    <row r="167">
      <c r="A167" s="330" t="inlineStr">
        <is>
          <t>Workweeks</t>
        </is>
      </c>
      <c r="B167" s="329" t="inlineStr">
        <is>
          <t>All 12 career workweeks ranked by confirmed revenue.</t>
        </is>
      </c>
      <c r="C167" s="329" t="n"/>
      <c r="D167" s="329" t="n"/>
      <c r="E167" s="329" t="n"/>
      <c r="F167" s="329" t="n"/>
      <c r="G167" s="329" t="n"/>
      <c r="H167" s="329" t="n"/>
      <c r="I167" s="329" t="n"/>
      <c r="J167" s="329" t="n"/>
      <c r="K167" s="329" t="n"/>
      <c r="L167" s="329" t="n"/>
      <c r="M167" s="329" t="n"/>
      <c r="N167" s="329" t="n"/>
      <c r="O167" s="329" t="n"/>
      <c r="P167" s="329" t="n"/>
      <c r="Q167" s="329" t="n"/>
      <c r="R167" s="329" t="n"/>
      <c r="S167" s="329" t="n"/>
      <c r="T167" s="329" t="n"/>
      <c r="U167" s="329" t="n"/>
      <c r="V167" s="329" t="n"/>
      <c r="W167" s="329" t="n"/>
      <c r="X167" s="329" t="n"/>
      <c r="Y167" s="329" t="n"/>
      <c r="Z167" s="329" t="n"/>
      <c r="AA167" s="329" t="n"/>
      <c r="AB167" s="329" t="n"/>
      <c r="AC167" s="329" t="n"/>
      <c r="AD167" s="329" t="n"/>
      <c r="AE167" s="329" t="n"/>
    </row>
    <row r="168">
      <c r="A168" s="330" t="inlineStr">
        <is>
          <t>MY_MONTH</t>
        </is>
      </c>
      <c r="B168" s="329" t="inlineStr">
        <is>
          <t>Three Barrister career months ranked by confirmed revenue.</t>
        </is>
      </c>
      <c r="C168" s="329" t="n"/>
      <c r="D168" s="329" t="n"/>
      <c r="E168" s="329" t="n"/>
      <c r="F168" s="329" t="n"/>
      <c r="G168" s="329" t="n"/>
      <c r="H168" s="329" t="n"/>
      <c r="I168" s="329" t="n"/>
      <c r="J168" s="329" t="n"/>
      <c r="K168" s="329" t="n"/>
      <c r="L168" s="329" t="n"/>
      <c r="M168" s="329" t="n"/>
      <c r="N168" s="329" t="n"/>
      <c r="O168" s="329" t="n"/>
      <c r="P168" s="329" t="n"/>
      <c r="Q168" s="329" t="n"/>
      <c r="R168" s="329" t="n"/>
      <c r="S168" s="329" t="n"/>
      <c r="T168" s="329" t="n"/>
      <c r="U168" s="329" t="n"/>
      <c r="V168" s="329" t="n"/>
      <c r="W168" s="329" t="n"/>
      <c r="X168" s="329" t="n"/>
      <c r="Y168" s="329" t="n"/>
      <c r="Z168" s="329" t="n"/>
      <c r="AA168" s="329" t="n"/>
      <c r="AB168" s="329" t="n"/>
      <c r="AC168" s="329" t="n"/>
      <c r="AD168" s="329" t="n"/>
      <c r="AE168" s="329" t="n"/>
    </row>
    <row r="169">
      <c r="A169" s="330" t="inlineStr">
        <is>
          <t>Worked Dates</t>
        </is>
      </c>
      <c r="B169" s="329" t="inlineStr">
        <is>
          <t>Top 12 service dates ranked by confirmed revenue.</t>
        </is>
      </c>
      <c r="C169" s="329" t="n"/>
      <c r="D169" s="329" t="n"/>
      <c r="E169" s="329" t="n"/>
      <c r="F169" s="329" t="n"/>
      <c r="G169" s="329" t="n"/>
      <c r="H169" s="329" t="n"/>
      <c r="I169" s="329" t="n"/>
      <c r="J169" s="329" t="n"/>
      <c r="K169" s="329" t="n"/>
      <c r="L169" s="329" t="n"/>
      <c r="M169" s="329" t="n"/>
      <c r="N169" s="329" t="n"/>
      <c r="O169" s="329" t="n"/>
      <c r="P169" s="329" t="n"/>
      <c r="Q169" s="329" t="n"/>
      <c r="R169" s="329" t="n"/>
      <c r="S169" s="329" t="n"/>
      <c r="T169" s="329" t="n"/>
      <c r="U169" s="329" t="n"/>
      <c r="V169" s="329" t="n"/>
      <c r="W169" s="329" t="n"/>
      <c r="X169" s="329" t="n"/>
      <c r="Y169" s="329" t="n"/>
      <c r="Z169" s="329" t="n"/>
      <c r="AA169" s="329" t="n"/>
      <c r="AB169" s="329" t="n"/>
      <c r="AC169" s="329" t="n"/>
      <c r="AD169" s="329" t="n"/>
      <c r="AE169" s="329" t="n"/>
    </row>
    <row r="170">
      <c r="A170" s="330" t="inlineStr">
        <is>
          <t>Leaderboard Source Rule</t>
        </is>
      </c>
      <c r="B170" s="329" t="inlineStr">
        <is>
          <t>All ranking values derive from tblServiceEvents, tblLedger, or Phase 3A summary tables.</t>
        </is>
      </c>
      <c r="C170" s="329" t="n"/>
      <c r="D170" s="329" t="n"/>
      <c r="E170" s="329" t="n"/>
      <c r="F170" s="329" t="n"/>
      <c r="G170" s="329" t="n"/>
      <c r="H170" s="329" t="n"/>
      <c r="I170" s="329" t="n"/>
      <c r="J170" s="329" t="n"/>
      <c r="K170" s="329" t="n"/>
      <c r="L170" s="329" t="n"/>
      <c r="M170" s="329" t="n"/>
      <c r="N170" s="329" t="n"/>
      <c r="O170" s="329" t="n"/>
      <c r="P170" s="329" t="n"/>
      <c r="Q170" s="329" t="n"/>
      <c r="R170" s="329" t="n"/>
      <c r="S170" s="329" t="n"/>
      <c r="T170" s="329" t="n"/>
      <c r="U170" s="329" t="n"/>
      <c r="V170" s="329" t="n"/>
      <c r="W170" s="329" t="n"/>
      <c r="X170" s="329" t="n"/>
      <c r="Y170" s="329" t="n"/>
      <c r="Z170" s="329" t="n"/>
      <c r="AA170" s="329" t="n"/>
      <c r="AB170" s="329" t="n"/>
      <c r="AC170" s="329" t="n"/>
      <c r="AD170" s="329" t="n"/>
      <c r="AE170" s="329" t="n"/>
    </row>
    <row r="171">
      <c r="A171" s="329" t="n"/>
      <c r="B171" s="329" t="n"/>
      <c r="C171" s="329" t="n"/>
      <c r="D171" s="329" t="n"/>
      <c r="E171" s="329" t="n"/>
      <c r="F171" s="329" t="n"/>
      <c r="G171" s="329" t="n"/>
      <c r="H171" s="329" t="n"/>
      <c r="I171" s="329" t="n"/>
      <c r="J171" s="329" t="n"/>
      <c r="K171" s="329" t="n"/>
      <c r="L171" s="329" t="n"/>
      <c r="M171" s="329" t="n"/>
      <c r="N171" s="329" t="n"/>
      <c r="O171" s="329" t="n"/>
      <c r="P171" s="329" t="n"/>
      <c r="Q171" s="329" t="n"/>
      <c r="R171" s="329" t="n"/>
      <c r="S171" s="329" t="n"/>
      <c r="T171" s="329" t="n"/>
      <c r="U171" s="329" t="n"/>
      <c r="V171" s="329" t="n"/>
      <c r="W171" s="329" t="n"/>
      <c r="X171" s="329" t="n"/>
      <c r="Y171" s="329" t="n"/>
      <c r="Z171" s="329" t="n"/>
      <c r="AA171" s="329" t="n"/>
      <c r="AB171" s="329" t="n"/>
      <c r="AC171" s="329" t="n"/>
      <c r="AD171" s="329" t="n"/>
      <c r="AE171" s="329" t="n"/>
    </row>
    <row r="172">
      <c r="A172" s="330" t="inlineStr">
        <is>
          <t>Phase 3D</t>
        </is>
      </c>
      <c r="B172" s="329" t="inlineStr">
        <is>
          <t>Exception Engine</t>
        </is>
      </c>
      <c r="C172" s="329" t="n"/>
      <c r="D172" s="329" t="n"/>
      <c r="E172" s="329" t="n"/>
      <c r="F172" s="329" t="n"/>
      <c r="G172" s="329" t="n"/>
      <c r="H172" s="329" t="n"/>
      <c r="I172" s="329" t="n"/>
      <c r="J172" s="329" t="n"/>
      <c r="K172" s="329" t="n"/>
      <c r="L172" s="329" t="n"/>
      <c r="M172" s="329" t="n"/>
      <c r="N172" s="329" t="n"/>
      <c r="O172" s="329" t="n"/>
      <c r="P172" s="329" t="n"/>
      <c r="Q172" s="329" t="n"/>
      <c r="R172" s="329" t="n"/>
      <c r="S172" s="329" t="n"/>
      <c r="T172" s="329" t="n"/>
      <c r="U172" s="329" t="n"/>
      <c r="V172" s="329" t="n"/>
      <c r="W172" s="329" t="n"/>
      <c r="X172" s="329" t="n"/>
      <c r="Y172" s="329" t="n"/>
      <c r="Z172" s="329" t="n"/>
      <c r="AA172" s="329" t="n"/>
      <c r="AB172" s="329" t="n"/>
      <c r="AC172" s="329" t="n"/>
      <c r="AD172" s="329" t="n"/>
      <c r="AE172" s="329" t="n"/>
    </row>
    <row r="173">
      <c r="A173" s="330" t="inlineStr">
        <is>
          <t>Ledger Matrix</t>
        </is>
      </c>
      <c r="B173" s="329" t="inlineStr">
        <is>
          <t>One formula-driven control row per tblLedger record.</t>
        </is>
      </c>
      <c r="C173" s="329" t="n"/>
      <c r="D173" s="329" t="n"/>
      <c r="E173" s="329" t="n"/>
      <c r="F173" s="329" t="n"/>
      <c r="G173" s="329" t="n"/>
      <c r="H173" s="329" t="n"/>
      <c r="I173" s="329" t="n"/>
      <c r="J173" s="329" t="n"/>
      <c r="K173" s="329" t="n"/>
      <c r="L173" s="329" t="n"/>
      <c r="M173" s="329" t="n"/>
      <c r="N173" s="329" t="n"/>
      <c r="O173" s="329" t="n"/>
      <c r="P173" s="329" t="n"/>
      <c r="Q173" s="329" t="n"/>
      <c r="R173" s="329" t="n"/>
      <c r="S173" s="329" t="n"/>
      <c r="T173" s="329" t="n"/>
      <c r="U173" s="329" t="n"/>
      <c r="V173" s="329" t="n"/>
      <c r="W173" s="329" t="n"/>
      <c r="X173" s="329" t="n"/>
      <c r="Y173" s="329" t="n"/>
      <c r="Z173" s="329" t="n"/>
      <c r="AA173" s="329" t="n"/>
      <c r="AB173" s="329" t="n"/>
      <c r="AC173" s="329" t="n"/>
      <c r="AD173" s="329" t="n"/>
      <c r="AE173" s="329" t="n"/>
    </row>
    <row r="174">
      <c r="A174" s="330" t="inlineStr">
        <is>
          <t>Event Matrix</t>
        </is>
      </c>
      <c r="B174" s="329" t="inlineStr">
        <is>
          <t>One formula-driven control row per tblServiceEvents record.</t>
        </is>
      </c>
      <c r="C174" s="329" t="n"/>
      <c r="D174" s="329" t="n"/>
      <c r="E174" s="329" t="n"/>
      <c r="F174" s="329" t="n"/>
      <c r="G174" s="329" t="n"/>
      <c r="H174" s="329" t="n"/>
      <c r="I174" s="329" t="n"/>
      <c r="J174" s="329" t="n"/>
      <c r="K174" s="329" t="n"/>
      <c r="L174" s="329" t="n"/>
      <c r="M174" s="329" t="n"/>
      <c r="N174" s="329" t="n"/>
      <c r="O174" s="329" t="n"/>
      <c r="P174" s="329" t="n"/>
      <c r="Q174" s="329" t="n"/>
      <c r="R174" s="329" t="n"/>
      <c r="S174" s="329" t="n"/>
      <c r="T174" s="329" t="n"/>
      <c r="U174" s="329" t="n"/>
      <c r="V174" s="329" t="n"/>
      <c r="W174" s="329" t="n"/>
      <c r="X174" s="329" t="n"/>
      <c r="Y174" s="329" t="n"/>
      <c r="Z174" s="329" t="n"/>
      <c r="AA174" s="329" t="n"/>
      <c r="AB174" s="329" t="n"/>
      <c r="AC174" s="329" t="n"/>
      <c r="AD174" s="329" t="n"/>
      <c r="AE174" s="329" t="n"/>
    </row>
    <row r="175">
      <c r="A175" s="330" t="inlineStr">
        <is>
          <t>Critical Logic</t>
        </is>
      </c>
      <c r="B175" s="329" t="inlineStr">
        <is>
          <t>Mapping holds, duplicate WOs, duplicate events, and missing event links.</t>
        </is>
      </c>
      <c r="C175" s="329" t="n"/>
      <c r="D175" s="329" t="n"/>
      <c r="E175" s="329" t="n"/>
      <c r="F175" s="329" t="n"/>
      <c r="G175" s="329" t="n"/>
      <c r="H175" s="329" t="n"/>
      <c r="I175" s="329" t="n"/>
      <c r="J175" s="329" t="n"/>
      <c r="K175" s="329" t="n"/>
      <c r="L175" s="329" t="n"/>
      <c r="M175" s="329" t="n"/>
      <c r="N175" s="329" t="n"/>
      <c r="O175" s="329" t="n"/>
      <c r="P175" s="329" t="n"/>
      <c r="Q175" s="329" t="n"/>
      <c r="R175" s="329" t="n"/>
      <c r="S175" s="329" t="n"/>
      <c r="T175" s="329" t="n"/>
      <c r="U175" s="329" t="n"/>
      <c r="V175" s="329" t="n"/>
      <c r="W175" s="329" t="n"/>
      <c r="X175" s="329" t="n"/>
      <c r="Y175" s="329" t="n"/>
      <c r="Z175" s="329" t="n"/>
      <c r="AA175" s="329" t="n"/>
      <c r="AB175" s="329" t="n"/>
      <c r="AC175" s="329" t="n"/>
      <c r="AD175" s="329" t="n"/>
      <c r="AE175" s="329" t="n"/>
    </row>
    <row r="176">
      <c r="A176" s="330" t="inlineStr">
        <is>
          <t>Warning Logic</t>
        </is>
      </c>
      <c r="B176" s="329" t="inlineStr">
        <is>
          <t>Revenue variances, partial breakdowns, missing client/location/date, and invalid dimensions.</t>
        </is>
      </c>
      <c r="C176" s="329" t="n"/>
      <c r="D176" s="329" t="n"/>
      <c r="E176" s="329" t="n"/>
      <c r="F176" s="329" t="n"/>
      <c r="G176" s="329" t="n"/>
      <c r="H176" s="329" t="n"/>
      <c r="I176" s="329" t="n"/>
      <c r="J176" s="329" t="n"/>
      <c r="K176" s="329" t="n"/>
      <c r="L176" s="329" t="n"/>
      <c r="M176" s="329" t="n"/>
      <c r="N176" s="329" t="n"/>
      <c r="O176" s="329" t="n"/>
      <c r="P176" s="329" t="n"/>
      <c r="Q176" s="329" t="n"/>
      <c r="R176" s="329" t="n"/>
      <c r="S176" s="329" t="n"/>
      <c r="T176" s="329" t="n"/>
      <c r="U176" s="329" t="n"/>
      <c r="V176" s="329" t="n"/>
      <c r="W176" s="329" t="n"/>
      <c r="X176" s="329" t="n"/>
      <c r="Y176" s="329" t="n"/>
      <c r="Z176" s="329" t="n"/>
      <c r="AA176" s="329" t="n"/>
      <c r="AB176" s="329" t="n"/>
      <c r="AC176" s="329" t="n"/>
      <c r="AD176" s="329" t="n"/>
      <c r="AE176" s="329" t="n"/>
    </row>
    <row r="177">
      <c r="A177" s="330" t="inlineStr">
        <is>
          <t>Informational Logic</t>
        </is>
      </c>
      <c r="B177" s="329" t="inlineStr">
        <is>
          <t>Pending breakdowns, pending ACHs, and events with no linked WO.</t>
        </is>
      </c>
      <c r="C177" s="329" t="n"/>
      <c r="D177" s="329" t="n"/>
      <c r="E177" s="329" t="n"/>
      <c r="F177" s="329" t="n"/>
      <c r="G177" s="329" t="n"/>
      <c r="H177" s="329" t="n"/>
      <c r="I177" s="329" t="n"/>
      <c r="J177" s="329" t="n"/>
      <c r="K177" s="329" t="n"/>
      <c r="L177" s="329" t="n"/>
      <c r="M177" s="329" t="n"/>
      <c r="N177" s="329" t="n"/>
      <c r="O177" s="329" t="n"/>
      <c r="P177" s="329" t="n"/>
      <c r="Q177" s="329" t="n"/>
      <c r="R177" s="329" t="n"/>
      <c r="S177" s="329" t="n"/>
      <c r="T177" s="329" t="n"/>
      <c r="U177" s="329" t="n"/>
      <c r="V177" s="329" t="n"/>
      <c r="W177" s="329" t="n"/>
      <c r="X177" s="329" t="n"/>
      <c r="Y177" s="329" t="n"/>
      <c r="Z177" s="329" t="n"/>
      <c r="AA177" s="329" t="n"/>
      <c r="AB177" s="329" t="n"/>
      <c r="AC177" s="329" t="n"/>
      <c r="AD177" s="329" t="n"/>
      <c r="AE177" s="329" t="n"/>
    </row>
    <row r="178">
      <c r="A178" s="330" t="inlineStr">
        <is>
          <t>Snapshot</t>
        </is>
      </c>
      <c r="B178" s="329" t="inlineStr">
        <is>
          <t>Current Open Exceptions table provides a readable point-in-time operational queue.</t>
        </is>
      </c>
      <c r="C178" s="329" t="n"/>
      <c r="D178" s="329" t="n"/>
      <c r="E178" s="329" t="n"/>
      <c r="F178" s="329" t="n"/>
      <c r="G178" s="329" t="n"/>
      <c r="H178" s="329" t="n"/>
      <c r="I178" s="329" t="n"/>
      <c r="J178" s="329" t="n"/>
      <c r="K178" s="329" t="n"/>
      <c r="L178" s="329" t="n"/>
      <c r="M178" s="329" t="n"/>
      <c r="N178" s="329" t="n"/>
      <c r="O178" s="329" t="n"/>
      <c r="P178" s="329" t="n"/>
      <c r="Q178" s="329" t="n"/>
      <c r="R178" s="329" t="n"/>
      <c r="S178" s="329" t="n"/>
      <c r="T178" s="329" t="n"/>
      <c r="U178" s="329" t="n"/>
      <c r="V178" s="329" t="n"/>
      <c r="W178" s="329" t="n"/>
      <c r="X178" s="329" t="n"/>
      <c r="Y178" s="329" t="n"/>
      <c r="Z178" s="329" t="n"/>
      <c r="AA178" s="329" t="n"/>
      <c r="AB178" s="329" t="n"/>
      <c r="AC178" s="329" t="n"/>
      <c r="AD178" s="329" t="n"/>
      <c r="AE178" s="329" t="n"/>
    </row>
    <row r="179">
      <c r="A179" s="330" t="inlineStr">
        <is>
          <t>Dynamic KPI Rule</t>
        </is>
      </c>
      <c r="B179" s="329" t="inlineStr">
        <is>
          <t>Exception KPI cards count the two formula-driven matrices.</t>
        </is>
      </c>
      <c r="C179" s="329" t="n"/>
      <c r="D179" s="329" t="n"/>
      <c r="E179" s="329" t="n"/>
      <c r="F179" s="329" t="n"/>
      <c r="G179" s="329" t="n"/>
      <c r="H179" s="329" t="n"/>
      <c r="I179" s="329" t="n"/>
      <c r="J179" s="329" t="n"/>
      <c r="K179" s="329" t="n"/>
      <c r="L179" s="329" t="n"/>
      <c r="M179" s="329" t="n"/>
      <c r="N179" s="329" t="n"/>
      <c r="O179" s="329" t="n"/>
      <c r="P179" s="329" t="n"/>
      <c r="Q179" s="329" t="n"/>
      <c r="R179" s="329" t="n"/>
      <c r="S179" s="329" t="n"/>
      <c r="T179" s="329" t="n"/>
      <c r="U179" s="329" t="n"/>
      <c r="V179" s="329" t="n"/>
      <c r="W179" s="329" t="n"/>
      <c r="X179" s="329" t="n"/>
      <c r="Y179" s="329" t="n"/>
      <c r="Z179" s="329" t="n"/>
      <c r="AA179" s="329" t="n"/>
      <c r="AB179" s="329" t="n"/>
      <c r="AC179" s="329" t="n"/>
      <c r="AD179" s="329" t="n"/>
      <c r="AE179" s="329" t="n"/>
    </row>
    <row r="180">
      <c r="A180" s="330" t="inlineStr">
        <is>
          <t>Dashboard Integration</t>
        </is>
      </c>
      <c r="B180" s="329" t="inlineStr">
        <is>
          <t>Dashboard Open Exceptions now reads from the Phase 3D matrices.</t>
        </is>
      </c>
      <c r="C180" s="329" t="n"/>
      <c r="D180" s="329" t="n"/>
      <c r="E180" s="329" t="n"/>
      <c r="F180" s="329" t="n"/>
      <c r="G180" s="329" t="n"/>
      <c r="H180" s="329" t="n"/>
      <c r="I180" s="329" t="n"/>
      <c r="J180" s="329" t="n"/>
      <c r="K180" s="329" t="n"/>
      <c r="L180" s="329" t="n"/>
      <c r="M180" s="329" t="n"/>
      <c r="N180" s="329" t="n"/>
      <c r="O180" s="329" t="n"/>
      <c r="P180" s="329" t="n"/>
      <c r="Q180" s="329" t="n"/>
      <c r="R180" s="329" t="n"/>
      <c r="S180" s="329" t="n"/>
      <c r="T180" s="329" t="n"/>
      <c r="U180" s="329" t="n"/>
      <c r="V180" s="329" t="n"/>
      <c r="W180" s="329" t="n"/>
      <c r="X180" s="329" t="n"/>
      <c r="Y180" s="329" t="n"/>
      <c r="Z180" s="329" t="n"/>
      <c r="AA180" s="329" t="n"/>
      <c r="AB180" s="329" t="n"/>
      <c r="AC180" s="329" t="n"/>
      <c r="AD180" s="329" t="n"/>
      <c r="AE180" s="329" t="n"/>
    </row>
    <row r="181">
      <c r="A181" s="330" t="inlineStr">
        <is>
          <t>Mapping Hold Rule</t>
        </is>
      </c>
      <c r="B181" s="329" t="inlineStr">
        <is>
          <t>No automatic financial reassignment or closure while Mapping Status = MAPPING_HOLD.</t>
        </is>
      </c>
      <c r="C181" s="329" t="n"/>
      <c r="D181" s="329" t="n"/>
      <c r="E181" s="329" t="n"/>
      <c r="F181" s="329" t="n"/>
      <c r="G181" s="329" t="n"/>
      <c r="H181" s="329" t="n"/>
      <c r="I181" s="329" t="n"/>
      <c r="J181" s="329" t="n"/>
      <c r="K181" s="329" t="n"/>
      <c r="L181" s="329" t="n"/>
      <c r="M181" s="329" t="n"/>
      <c r="N181" s="329" t="n"/>
      <c r="O181" s="329" t="n"/>
      <c r="P181" s="329" t="n"/>
      <c r="Q181" s="329" t="n"/>
      <c r="R181" s="329" t="n"/>
      <c r="S181" s="329" t="n"/>
      <c r="T181" s="329" t="n"/>
      <c r="U181" s="329" t="n"/>
      <c r="V181" s="329" t="n"/>
      <c r="W181" s="329" t="n"/>
      <c r="X181" s="329" t="n"/>
      <c r="Y181" s="329" t="n"/>
      <c r="Z181" s="329" t="n"/>
      <c r="AA181" s="329" t="n"/>
      <c r="AB181" s="329" t="n"/>
      <c r="AC181" s="329" t="n"/>
      <c r="AD181" s="329" t="n"/>
      <c r="AE181" s="329" t="n"/>
    </row>
    <row r="182">
      <c r="A182" s="330" t="inlineStr">
        <is>
          <t>Duplicate Rule</t>
        </is>
      </c>
      <c r="B182" s="329" t="inlineStr">
        <is>
          <t>Duplicate identifiers are surfaced; the engine never resolves them by guessing.</t>
        </is>
      </c>
      <c r="C182" s="329" t="n"/>
      <c r="D182" s="329" t="n"/>
      <c r="E182" s="329" t="n"/>
      <c r="F182" s="329" t="n"/>
      <c r="G182" s="329" t="n"/>
      <c r="H182" s="329" t="n"/>
      <c r="I182" s="329" t="n"/>
      <c r="J182" s="329" t="n"/>
      <c r="K182" s="329" t="n"/>
      <c r="L182" s="329" t="n"/>
      <c r="M182" s="329" t="n"/>
      <c r="N182" s="329" t="n"/>
      <c r="O182" s="329" t="n"/>
      <c r="P182" s="329" t="n"/>
      <c r="Q182" s="329" t="n"/>
      <c r="R182" s="329" t="n"/>
      <c r="S182" s="329" t="n"/>
      <c r="T182" s="329" t="n"/>
      <c r="U182" s="329" t="n"/>
      <c r="V182" s="329" t="n"/>
      <c r="W182" s="329" t="n"/>
      <c r="X182" s="329" t="n"/>
      <c r="Y182" s="329" t="n"/>
      <c r="Z182" s="329" t="n"/>
      <c r="AA182" s="329" t="n"/>
      <c r="AB182" s="329" t="n"/>
      <c r="AC182" s="329" t="n"/>
      <c r="AD182" s="329" t="n"/>
      <c r="AE182" s="329" t="n"/>
    </row>
    <row r="183">
      <c r="A183" s="330" t="inlineStr">
        <is>
          <t>Variance Rule</t>
        </is>
      </c>
      <c r="B183" s="329" t="inlineStr">
        <is>
          <t>Any nonzero variance or mismatch classification remains open until reconciled.</t>
        </is>
      </c>
      <c r="C183" s="329" t="n"/>
      <c r="D183" s="329" t="n"/>
      <c r="E183" s="329" t="n"/>
      <c r="F183" s="329" t="n"/>
      <c r="G183" s="329" t="n"/>
      <c r="H183" s="329" t="n"/>
      <c r="I183" s="329" t="n"/>
      <c r="J183" s="329" t="n"/>
      <c r="K183" s="329" t="n"/>
      <c r="L183" s="329" t="n"/>
      <c r="M183" s="329" t="n"/>
      <c r="N183" s="329" t="n"/>
      <c r="O183" s="329" t="n"/>
      <c r="P183" s="329" t="n"/>
      <c r="Q183" s="329" t="n"/>
      <c r="R183" s="329" t="n"/>
      <c r="S183" s="329" t="n"/>
      <c r="T183" s="329" t="n"/>
      <c r="U183" s="329" t="n"/>
      <c r="V183" s="329" t="n"/>
      <c r="W183" s="329" t="n"/>
      <c r="X183" s="329" t="n"/>
      <c r="Y183" s="329" t="n"/>
      <c r="Z183" s="329" t="n"/>
      <c r="AA183" s="329" t="n"/>
      <c r="AB183" s="329" t="n"/>
      <c r="AC183" s="329" t="n"/>
      <c r="AD183" s="329" t="n"/>
      <c r="AE183" s="329" t="n"/>
    </row>
    <row r="184">
      <c r="A184" s="330" t="inlineStr">
        <is>
          <t>Source Rule</t>
        </is>
      </c>
      <c r="B184" s="329" t="inlineStr">
        <is>
          <t>Exception logic derives only from tblLedger and tblServiceEvents.</t>
        </is>
      </c>
      <c r="C184" s="329" t="n"/>
      <c r="D184" s="329" t="n"/>
      <c r="E184" s="329" t="n"/>
      <c r="F184" s="329" t="n"/>
      <c r="G184" s="329" t="n"/>
      <c r="H184" s="329" t="n"/>
      <c r="I184" s="329" t="n"/>
      <c r="J184" s="329" t="n"/>
      <c r="K184" s="329" t="n"/>
      <c r="L184" s="329" t="n"/>
      <c r="M184" s="329" t="n"/>
      <c r="N184" s="329" t="n"/>
      <c r="O184" s="329" t="n"/>
      <c r="P184" s="329" t="n"/>
      <c r="Q184" s="329" t="n"/>
      <c r="R184" s="329" t="n"/>
      <c r="S184" s="329" t="n"/>
      <c r="T184" s="329" t="n"/>
      <c r="U184" s="329" t="n"/>
      <c r="V184" s="329" t="n"/>
      <c r="W184" s="329" t="n"/>
      <c r="X184" s="329" t="n"/>
      <c r="Y184" s="329" t="n"/>
      <c r="Z184" s="329" t="n"/>
      <c r="AA184" s="329" t="n"/>
      <c r="AB184" s="329" t="n"/>
      <c r="AC184" s="329" t="n"/>
      <c r="AD184" s="329" t="n"/>
      <c r="AE184" s="329" t="n"/>
    </row>
    <row r="185">
      <c r="A185" s="329" t="n"/>
      <c r="B185" s="329" t="n"/>
      <c r="C185" s="329" t="n"/>
      <c r="D185" s="329" t="n"/>
      <c r="E185" s="329" t="n"/>
      <c r="F185" s="329" t="n"/>
      <c r="G185" s="329" t="n"/>
      <c r="H185" s="329" t="n"/>
      <c r="I185" s="329" t="n"/>
      <c r="J185" s="329" t="n"/>
      <c r="K185" s="329" t="n"/>
      <c r="L185" s="329" t="n"/>
      <c r="M185" s="329" t="n"/>
      <c r="N185" s="329" t="n"/>
      <c r="O185" s="329" t="n"/>
      <c r="P185" s="329" t="n"/>
      <c r="Q185" s="329" t="n"/>
      <c r="R185" s="329" t="n"/>
      <c r="S185" s="329" t="n"/>
      <c r="T185" s="329" t="n"/>
      <c r="U185" s="329" t="n"/>
      <c r="V185" s="329" t="n"/>
      <c r="W185" s="329" t="n"/>
      <c r="X185" s="329" t="n"/>
      <c r="Y185" s="329" t="n"/>
      <c r="Z185" s="329" t="n"/>
      <c r="AA185" s="329" t="n"/>
      <c r="AB185" s="329" t="n"/>
      <c r="AC185" s="329" t="n"/>
      <c r="AD185" s="329" t="n"/>
      <c r="AE185" s="329" t="n"/>
    </row>
    <row r="186">
      <c r="A186" s="330" t="inlineStr">
        <is>
          <t>Phase 3E</t>
        </is>
      </c>
      <c r="B186" s="329" t="inlineStr">
        <is>
          <t>Charts</t>
        </is>
      </c>
      <c r="C186" s="329" t="n"/>
      <c r="D186" s="329" t="n"/>
      <c r="E186" s="329" t="n"/>
      <c r="F186" s="329" t="n"/>
      <c r="G186" s="329" t="n"/>
      <c r="H186" s="329" t="n"/>
      <c r="I186" s="329" t="n"/>
      <c r="J186" s="329" t="n"/>
      <c r="K186" s="329" t="n"/>
      <c r="L186" s="329" t="n"/>
      <c r="M186" s="329" t="n"/>
      <c r="N186" s="329" t="n"/>
      <c r="O186" s="329" t="n"/>
      <c r="P186" s="329" t="n"/>
      <c r="Q186" s="329" t="n"/>
      <c r="R186" s="329" t="n"/>
      <c r="S186" s="329" t="n"/>
      <c r="T186" s="329" t="n"/>
      <c r="U186" s="329" t="n"/>
      <c r="V186" s="329" t="n"/>
      <c r="W186" s="329" t="n"/>
      <c r="X186" s="329" t="n"/>
      <c r="Y186" s="329" t="n"/>
      <c r="Z186" s="329" t="n"/>
      <c r="AA186" s="329" t="n"/>
      <c r="AB186" s="329" t="n"/>
      <c r="AC186" s="329" t="n"/>
      <c r="AD186" s="329" t="n"/>
      <c r="AE186" s="329" t="n"/>
    </row>
    <row r="187">
      <c r="A187" s="330" t="inlineStr">
        <is>
          <t>Dashboard Charts</t>
        </is>
      </c>
      <c r="B187" s="329" t="inlineStr">
        <is>
          <t>Eight production charts added to the Dashboard.</t>
        </is>
      </c>
      <c r="C187" s="329" t="n"/>
      <c r="D187" s="329" t="n"/>
      <c r="E187" s="329" t="n"/>
      <c r="F187" s="329" t="n"/>
      <c r="G187" s="329" t="n"/>
      <c r="H187" s="329" t="n"/>
      <c r="I187" s="329" t="n"/>
      <c r="J187" s="329" t="n"/>
      <c r="K187" s="329" t="n"/>
      <c r="L187" s="329" t="n"/>
      <c r="M187" s="329" t="n"/>
      <c r="N187" s="329" t="n"/>
      <c r="O187" s="329" t="n"/>
      <c r="P187" s="329" t="n"/>
      <c r="Q187" s="329" t="n"/>
      <c r="R187" s="329" t="n"/>
      <c r="S187" s="329" t="n"/>
      <c r="T187" s="329" t="n"/>
      <c r="U187" s="329" t="n"/>
      <c r="V187" s="329" t="n"/>
      <c r="W187" s="329" t="n"/>
      <c r="X187" s="329" t="n"/>
      <c r="Y187" s="329" t="n"/>
      <c r="Z187" s="329" t="n"/>
      <c r="AA187" s="329" t="n"/>
      <c r="AB187" s="329" t="n"/>
      <c r="AC187" s="329" t="n"/>
      <c r="AD187" s="329" t="n"/>
      <c r="AE187" s="329" t="n"/>
    </row>
    <row r="188">
      <c r="A188" s="330" t="inlineStr">
        <is>
          <t>Weekday Revenue</t>
        </is>
      </c>
      <c r="B188" s="329" t="inlineStr">
        <is>
          <t>Confirmed revenue by weekday.</t>
        </is>
      </c>
      <c r="C188" s="329" t="n"/>
      <c r="D188" s="329" t="n"/>
      <c r="E188" s="329" t="n"/>
      <c r="F188" s="329" t="n"/>
      <c r="G188" s="329" t="n"/>
      <c r="H188" s="329" t="n"/>
      <c r="I188" s="329" t="n"/>
      <c r="J188" s="329" t="n"/>
      <c r="K188" s="329" t="n"/>
      <c r="L188" s="329" t="n"/>
      <c r="M188" s="329" t="n"/>
      <c r="N188" s="329" t="n"/>
      <c r="O188" s="329" t="n"/>
      <c r="P188" s="329" t="n"/>
      <c r="Q188" s="329" t="n"/>
      <c r="R188" s="329" t="n"/>
      <c r="S188" s="329" t="n"/>
      <c r="T188" s="329" t="n"/>
      <c r="U188" s="329" t="n"/>
      <c r="V188" s="329" t="n"/>
      <c r="W188" s="329" t="n"/>
      <c r="X188" s="329" t="n"/>
      <c r="Y188" s="329" t="n"/>
      <c r="Z188" s="329" t="n"/>
      <c r="AA188" s="329" t="n"/>
      <c r="AB188" s="329" t="n"/>
      <c r="AC188" s="329" t="n"/>
      <c r="AD188" s="329" t="n"/>
      <c r="AE188" s="329" t="n"/>
    </row>
    <row r="189">
      <c r="A189" s="330" t="inlineStr">
        <is>
          <t>Jurisdiction Revenue</t>
        </is>
      </c>
      <c r="B189" s="329" t="inlineStr">
        <is>
          <t>Confirmed revenue by jurisdiction.</t>
        </is>
      </c>
      <c r="C189" s="329" t="n"/>
      <c r="D189" s="329" t="n"/>
      <c r="E189" s="329" t="n"/>
      <c r="F189" s="329" t="n"/>
      <c r="G189" s="329" t="n"/>
      <c r="H189" s="329" t="n"/>
      <c r="I189" s="329" t="n"/>
      <c r="J189" s="329" t="n"/>
      <c r="K189" s="329" t="n"/>
      <c r="L189" s="329" t="n"/>
      <c r="M189" s="329" t="n"/>
      <c r="N189" s="329" t="n"/>
      <c r="O189" s="329" t="n"/>
      <c r="P189" s="329" t="n"/>
      <c r="Q189" s="329" t="n"/>
      <c r="R189" s="329" t="n"/>
      <c r="S189" s="329" t="n"/>
      <c r="T189" s="329" t="n"/>
      <c r="U189" s="329" t="n"/>
      <c r="V189" s="329" t="n"/>
      <c r="W189" s="329" t="n"/>
      <c r="X189" s="329" t="n"/>
      <c r="Y189" s="329" t="n"/>
      <c r="Z189" s="329" t="n"/>
      <c r="AA189" s="329" t="n"/>
      <c r="AB189" s="329" t="n"/>
      <c r="AC189" s="329" t="n"/>
      <c r="AD189" s="329" t="n"/>
      <c r="AE189" s="329" t="n"/>
    </row>
    <row r="190">
      <c r="A190" s="330" t="inlineStr">
        <is>
          <t>MY_MONTH Revenue</t>
        </is>
      </c>
      <c r="B190" s="329" t="inlineStr">
        <is>
          <t>Confirmed revenue across the three Barrister career months.</t>
        </is>
      </c>
      <c r="C190" s="329" t="n"/>
      <c r="D190" s="329" t="n"/>
      <c r="E190" s="329" t="n"/>
      <c r="F190" s="329" t="n"/>
      <c r="G190" s="329" t="n"/>
      <c r="H190" s="329" t="n"/>
      <c r="I190" s="329" t="n"/>
      <c r="J190" s="329" t="n"/>
      <c r="K190" s="329" t="n"/>
      <c r="L190" s="329" t="n"/>
      <c r="M190" s="329" t="n"/>
      <c r="N190" s="329" t="n"/>
      <c r="O190" s="329" t="n"/>
      <c r="P190" s="329" t="n"/>
      <c r="Q190" s="329" t="n"/>
      <c r="R190" s="329" t="n"/>
      <c r="S190" s="329" t="n"/>
      <c r="T190" s="329" t="n"/>
      <c r="U190" s="329" t="n"/>
      <c r="V190" s="329" t="n"/>
      <c r="W190" s="329" t="n"/>
      <c r="X190" s="329" t="n"/>
      <c r="Y190" s="329" t="n"/>
      <c r="Z190" s="329" t="n"/>
      <c r="AA190" s="329" t="n"/>
      <c r="AB190" s="329" t="n"/>
      <c r="AC190" s="329" t="n"/>
      <c r="AD190" s="329" t="n"/>
      <c r="AE190" s="329" t="n"/>
    </row>
    <row r="191">
      <c r="A191" s="330" t="inlineStr">
        <is>
          <t>Top Clients</t>
        </is>
      </c>
      <c r="B191" s="329" t="inlineStr">
        <is>
          <t>Top 10 clients by confirmed revenue.</t>
        </is>
      </c>
      <c r="C191" s="329" t="n"/>
      <c r="D191" s="329" t="n"/>
      <c r="E191" s="329" t="n"/>
      <c r="F191" s="329" t="n"/>
      <c r="G191" s="329" t="n"/>
      <c r="H191" s="329" t="n"/>
      <c r="I191" s="329" t="n"/>
      <c r="J191" s="329" t="n"/>
      <c r="K191" s="329" t="n"/>
      <c r="L191" s="329" t="n"/>
      <c r="M191" s="329" t="n"/>
      <c r="N191" s="329" t="n"/>
      <c r="O191" s="329" t="n"/>
      <c r="P191" s="329" t="n"/>
      <c r="Q191" s="329" t="n"/>
      <c r="R191" s="329" t="n"/>
      <c r="S191" s="329" t="n"/>
      <c r="T191" s="329" t="n"/>
      <c r="U191" s="329" t="n"/>
      <c r="V191" s="329" t="n"/>
      <c r="W191" s="329" t="n"/>
      <c r="X191" s="329" t="n"/>
      <c r="Y191" s="329" t="n"/>
      <c r="Z191" s="329" t="n"/>
      <c r="AA191" s="329" t="n"/>
      <c r="AB191" s="329" t="n"/>
      <c r="AC191" s="329" t="n"/>
      <c r="AD191" s="329" t="n"/>
      <c r="AE191" s="329" t="n"/>
    </row>
    <row r="192">
      <c r="A192" s="330" t="inlineStr">
        <is>
          <t>Running Revenue</t>
        </is>
      </c>
      <c r="B192" s="329" t="inlineStr">
        <is>
          <t>Cumulative confirmed revenue across worked dates.</t>
        </is>
      </c>
      <c r="C192" s="329" t="n"/>
      <c r="D192" s="329" t="n"/>
      <c r="E192" s="329" t="n"/>
      <c r="F192" s="329" t="n"/>
      <c r="G192" s="329" t="n"/>
      <c r="H192" s="329" t="n"/>
      <c r="I192" s="329" t="n"/>
      <c r="J192" s="329" t="n"/>
      <c r="K192" s="329" t="n"/>
      <c r="L192" s="329" t="n"/>
      <c r="M192" s="329" t="n"/>
      <c r="N192" s="329" t="n"/>
      <c r="O192" s="329" t="n"/>
      <c r="P192" s="329" t="n"/>
      <c r="Q192" s="329" t="n"/>
      <c r="R192" s="329" t="n"/>
      <c r="S192" s="329" t="n"/>
      <c r="T192" s="329" t="n"/>
      <c r="U192" s="329" t="n"/>
      <c r="V192" s="329" t="n"/>
      <c r="W192" s="329" t="n"/>
      <c r="X192" s="329" t="n"/>
      <c r="Y192" s="329" t="n"/>
      <c r="Z192" s="329" t="n"/>
      <c r="AA192" s="329" t="n"/>
      <c r="AB192" s="329" t="n"/>
      <c r="AC192" s="329" t="n"/>
      <c r="AD192" s="329" t="n"/>
      <c r="AE192" s="329" t="n"/>
    </row>
    <row r="193">
      <c r="A193" s="330" t="inlineStr">
        <is>
          <t>Rolling Trend</t>
        </is>
      </c>
      <c r="B193" s="329" t="inlineStr">
        <is>
          <t>Daily revenue compared with a five-worked-day rolling average.</t>
        </is>
      </c>
      <c r="C193" s="329" t="n"/>
      <c r="D193" s="329" t="n"/>
      <c r="E193" s="329" t="n"/>
      <c r="F193" s="329" t="n"/>
      <c r="G193" s="329" t="n"/>
      <c r="H193" s="329" t="n"/>
      <c r="I193" s="329" t="n"/>
      <c r="J193" s="329" t="n"/>
      <c r="K193" s="329" t="n"/>
      <c r="L193" s="329" t="n"/>
      <c r="M193" s="329" t="n"/>
      <c r="N193" s="329" t="n"/>
      <c r="O193" s="329" t="n"/>
      <c r="P193" s="329" t="n"/>
      <c r="Q193" s="329" t="n"/>
      <c r="R193" s="329" t="n"/>
      <c r="S193" s="329" t="n"/>
      <c r="T193" s="329" t="n"/>
      <c r="U193" s="329" t="n"/>
      <c r="V193" s="329" t="n"/>
      <c r="W193" s="329" t="n"/>
      <c r="X193" s="329" t="n"/>
      <c r="Y193" s="329" t="n"/>
      <c r="Z193" s="329" t="n"/>
      <c r="AA193" s="329" t="n"/>
      <c r="AB193" s="329" t="n"/>
      <c r="AC193" s="329" t="n"/>
      <c r="AD193" s="329" t="n"/>
      <c r="AE193" s="329" t="n"/>
    </row>
    <row r="194">
      <c r="A194" s="330" t="inlineStr">
        <is>
          <t>Weekly Trend</t>
        </is>
      </c>
      <c r="B194" s="329" t="inlineStr">
        <is>
          <t>Confirmed revenue by career workweek.</t>
        </is>
      </c>
      <c r="C194" s="329" t="n"/>
      <c r="D194" s="329" t="n"/>
      <c r="E194" s="329" t="n"/>
      <c r="F194" s="329" t="n"/>
      <c r="G194" s="329" t="n"/>
      <c r="H194" s="329" t="n"/>
      <c r="I194" s="329" t="n"/>
      <c r="J194" s="329" t="n"/>
      <c r="K194" s="329" t="n"/>
      <c r="L194" s="329" t="n"/>
      <c r="M194" s="329" t="n"/>
      <c r="N194" s="329" t="n"/>
      <c r="O194" s="329" t="n"/>
      <c r="P194" s="329" t="n"/>
      <c r="Q194" s="329" t="n"/>
      <c r="R194" s="329" t="n"/>
      <c r="S194" s="329" t="n"/>
      <c r="T194" s="329" t="n"/>
      <c r="U194" s="329" t="n"/>
      <c r="V194" s="329" t="n"/>
      <c r="W194" s="329" t="n"/>
      <c r="X194" s="329" t="n"/>
      <c r="Y194" s="329" t="n"/>
      <c r="Z194" s="329" t="n"/>
      <c r="AA194" s="329" t="n"/>
      <c r="AB194" s="329" t="n"/>
      <c r="AC194" s="329" t="n"/>
      <c r="AD194" s="329" t="n"/>
      <c r="AE194" s="329" t="n"/>
    </row>
    <row r="195">
      <c r="A195" s="330" t="inlineStr">
        <is>
          <t>Client Mix</t>
        </is>
      </c>
      <c r="B195" s="329" t="inlineStr">
        <is>
          <t>Repeat versus one-time client distribution.</t>
        </is>
      </c>
      <c r="C195" s="329" t="n"/>
      <c r="D195" s="329" t="n"/>
      <c r="E195" s="329" t="n"/>
      <c r="F195" s="329" t="n"/>
      <c r="G195" s="329" t="n"/>
      <c r="H195" s="329" t="n"/>
      <c r="I195" s="329" t="n"/>
      <c r="J195" s="329" t="n"/>
      <c r="K195" s="329" t="n"/>
      <c r="L195" s="329" t="n"/>
      <c r="M195" s="329" t="n"/>
      <c r="N195" s="329" t="n"/>
      <c r="O195" s="329" t="n"/>
      <c r="P195" s="329" t="n"/>
      <c r="Q195" s="329" t="n"/>
      <c r="R195" s="329" t="n"/>
      <c r="S195" s="329" t="n"/>
      <c r="T195" s="329" t="n"/>
      <c r="U195" s="329" t="n"/>
      <c r="V195" s="329" t="n"/>
      <c r="W195" s="329" t="n"/>
      <c r="X195" s="329" t="n"/>
      <c r="Y195" s="329" t="n"/>
      <c r="Z195" s="329" t="n"/>
      <c r="AA195" s="329" t="n"/>
      <c r="AB195" s="329" t="n"/>
      <c r="AC195" s="329" t="n"/>
      <c r="AD195" s="329" t="n"/>
      <c r="AE195" s="329" t="n"/>
    </row>
    <row r="196">
      <c r="A196" s="330" t="inlineStr">
        <is>
          <t>Analytics Gallery</t>
        </is>
      </c>
      <c r="B196" s="329" t="inlineStr">
        <is>
          <t>Four additional charts added below the leaderboard tables.</t>
        </is>
      </c>
      <c r="C196" s="329" t="n"/>
      <c r="D196" s="329" t="n"/>
      <c r="E196" s="329" t="n"/>
      <c r="F196" s="329" t="n"/>
      <c r="G196" s="329" t="n"/>
      <c r="H196" s="329" t="n"/>
      <c r="I196" s="329" t="n"/>
      <c r="J196" s="329" t="n"/>
      <c r="K196" s="329" t="n"/>
      <c r="L196" s="329" t="n"/>
      <c r="M196" s="329" t="n"/>
      <c r="N196" s="329" t="n"/>
      <c r="O196" s="329" t="n"/>
      <c r="P196" s="329" t="n"/>
      <c r="Q196" s="329" t="n"/>
      <c r="R196" s="329" t="n"/>
      <c r="S196" s="329" t="n"/>
      <c r="T196" s="329" t="n"/>
      <c r="U196" s="329" t="n"/>
      <c r="V196" s="329" t="n"/>
      <c r="W196" s="329" t="n"/>
      <c r="X196" s="329" t="n"/>
      <c r="Y196" s="329" t="n"/>
      <c r="Z196" s="329" t="n"/>
      <c r="AA196" s="329" t="n"/>
      <c r="AB196" s="329" t="n"/>
      <c r="AC196" s="329" t="n"/>
      <c r="AD196" s="329" t="n"/>
      <c r="AE196" s="329" t="n"/>
    </row>
    <row r="197">
      <c r="A197" s="330" t="inlineStr">
        <is>
          <t>Chart Source Rule</t>
        </is>
      </c>
      <c r="B197" s="329" t="inlineStr">
        <is>
          <t>Charts derive from Phase 3A/3C summaries or helper tables generated from tblServiceEvents.</t>
        </is>
      </c>
      <c r="C197" s="329" t="n"/>
      <c r="D197" s="329" t="n"/>
      <c r="E197" s="329" t="n"/>
      <c r="F197" s="329" t="n"/>
      <c r="G197" s="329" t="n"/>
      <c r="H197" s="329" t="n"/>
      <c r="I197" s="329" t="n"/>
      <c r="J197" s="329" t="n"/>
      <c r="K197" s="329" t="n"/>
      <c r="L197" s="329" t="n"/>
      <c r="M197" s="329" t="n"/>
      <c r="N197" s="329" t="n"/>
      <c r="O197" s="329" t="n"/>
      <c r="P197" s="329" t="n"/>
      <c r="Q197" s="329" t="n"/>
      <c r="R197" s="329" t="n"/>
      <c r="S197" s="329" t="n"/>
      <c r="T197" s="329" t="n"/>
      <c r="U197" s="329" t="n"/>
      <c r="V197" s="329" t="n"/>
      <c r="W197" s="329" t="n"/>
      <c r="X197" s="329" t="n"/>
      <c r="Y197" s="329" t="n"/>
      <c r="Z197" s="329" t="n"/>
      <c r="AA197" s="329" t="n"/>
      <c r="AB197" s="329" t="n"/>
      <c r="AC197" s="329" t="n"/>
      <c r="AD197" s="329" t="n"/>
      <c r="AE197" s="329" t="n"/>
    </row>
    <row r="198">
      <c r="A198" s="330" t="inlineStr">
        <is>
          <t>Chart Maintenance</t>
        </is>
      </c>
      <c r="B198" s="329" t="inlineStr">
        <is>
          <t>Refresh helper trend tables when the authoritative event table receives new dates.</t>
        </is>
      </c>
      <c r="C198" s="329" t="n"/>
      <c r="D198" s="329" t="n"/>
      <c r="E198" s="329" t="n"/>
      <c r="F198" s="329" t="n"/>
      <c r="G198" s="329" t="n"/>
      <c r="H198" s="329" t="n"/>
      <c r="I198" s="329" t="n"/>
      <c r="J198" s="329" t="n"/>
      <c r="K198" s="329" t="n"/>
      <c r="L198" s="329" t="n"/>
      <c r="M198" s="329" t="n"/>
      <c r="N198" s="329" t="n"/>
      <c r="O198" s="329" t="n"/>
      <c r="P198" s="329" t="n"/>
      <c r="Q198" s="329" t="n"/>
      <c r="R198" s="329" t="n"/>
      <c r="S198" s="329" t="n"/>
      <c r="T198" s="329" t="n"/>
      <c r="U198" s="329" t="n"/>
      <c r="V198" s="329" t="n"/>
      <c r="W198" s="329" t="n"/>
      <c r="X198" s="329" t="n"/>
      <c r="Y198" s="329" t="n"/>
      <c r="Z198" s="329" t="n"/>
      <c r="AA198" s="329" t="n"/>
      <c r="AB198" s="329" t="n"/>
      <c r="AC198" s="329" t="n"/>
      <c r="AD198" s="329" t="n"/>
      <c r="AE198" s="329" t="n"/>
    </row>
    <row r="199">
      <c r="A199" s="329" t="n"/>
      <c r="B199" s="329" t="n"/>
      <c r="C199" s="329" t="n"/>
      <c r="D199" s="329" t="n"/>
      <c r="E199" s="329" t="n"/>
      <c r="F199" s="329" t="n"/>
      <c r="G199" s="329" t="n"/>
      <c r="H199" s="329" t="n"/>
      <c r="I199" s="329" t="n"/>
      <c r="J199" s="329" t="n"/>
      <c r="K199" s="329" t="n"/>
      <c r="L199" s="329" t="n"/>
      <c r="M199" s="329" t="n"/>
      <c r="N199" s="329" t="n"/>
      <c r="O199" s="329" t="n"/>
      <c r="P199" s="329" t="n"/>
      <c r="Q199" s="329" t="n"/>
      <c r="R199" s="329" t="n"/>
      <c r="S199" s="329" t="n"/>
      <c r="T199" s="329" t="n"/>
      <c r="U199" s="329" t="n"/>
      <c r="V199" s="329" t="n"/>
      <c r="W199" s="329" t="n"/>
      <c r="X199" s="329" t="n"/>
      <c r="Y199" s="329" t="n"/>
      <c r="Z199" s="329" t="n"/>
      <c r="AA199" s="329" t="n"/>
      <c r="AB199" s="329" t="n"/>
      <c r="AC199" s="329" t="n"/>
      <c r="AD199" s="329" t="n"/>
      <c r="AE199" s="329" t="n"/>
    </row>
    <row r="200">
      <c r="A200" s="330" t="inlineStr">
        <is>
          <t>2026-07-13 Ledger Delta</t>
        </is>
      </c>
      <c r="B200" s="329" t="inlineStr">
        <is>
          <t>Authoritative Monday update</t>
        </is>
      </c>
      <c r="C200" s="329" t="n"/>
      <c r="D200" s="329" t="n"/>
      <c r="E200" s="329" t="n"/>
      <c r="F200" s="329" t="n"/>
      <c r="G200" s="329" t="n"/>
      <c r="H200" s="329" t="n"/>
      <c r="I200" s="329" t="n"/>
      <c r="J200" s="329" t="n"/>
      <c r="K200" s="329" t="n"/>
      <c r="L200" s="329" t="n"/>
      <c r="M200" s="329" t="n"/>
      <c r="N200" s="329" t="n"/>
      <c r="O200" s="329" t="n"/>
      <c r="P200" s="329" t="n"/>
      <c r="Q200" s="329" t="n"/>
      <c r="R200" s="329" t="n"/>
      <c r="S200" s="329" t="n"/>
      <c r="T200" s="329" t="n"/>
      <c r="U200" s="329" t="n"/>
      <c r="V200" s="329" t="n"/>
      <c r="W200" s="329" t="n"/>
      <c r="X200" s="329" t="n"/>
      <c r="Y200" s="329" t="n"/>
      <c r="Z200" s="329" t="n"/>
      <c r="AA200" s="329" t="n"/>
      <c r="AB200" s="329" t="n"/>
      <c r="AC200" s="329" t="n"/>
      <c r="AD200" s="329" t="n"/>
      <c r="AE200" s="329" t="n"/>
    </row>
    <row r="201">
      <c r="A201" s="330" t="inlineStr">
        <is>
          <t>Event 63</t>
        </is>
      </c>
      <c r="B201" s="329" t="inlineStr">
        <is>
          <t>Marshalls — Cockeysville</t>
        </is>
      </c>
      <c r="C201" s="329" t="inlineStr">
        <is>
          <t>WO 5909368</t>
        </is>
      </c>
      <c r="D201" s="329" t="inlineStr">
        <is>
          <t>Completed</t>
        </is>
      </c>
      <c r="E201" s="329" t="inlineStr">
        <is>
          <t>$40/hour; breakdown pending</t>
        </is>
      </c>
      <c r="F201" s="329" t="inlineStr">
        <is>
          <t>Added to tblServiceEvents and tblLedger</t>
        </is>
      </c>
      <c r="G201" s="329" t="n"/>
      <c r="H201" s="329" t="n"/>
      <c r="I201" s="329" t="n"/>
      <c r="J201" s="329" t="n"/>
      <c r="K201" s="329" t="n"/>
      <c r="L201" s="329" t="n"/>
      <c r="M201" s="329" t="n"/>
      <c r="N201" s="329" t="n"/>
      <c r="O201" s="329" t="n"/>
      <c r="P201" s="329" t="n"/>
      <c r="Q201" s="329" t="n"/>
      <c r="R201" s="329" t="n"/>
      <c r="S201" s="329" t="n"/>
      <c r="T201" s="329" t="n"/>
      <c r="U201" s="329" t="n"/>
      <c r="V201" s="329" t="n"/>
      <c r="W201" s="329" t="n"/>
      <c r="X201" s="329" t="n"/>
      <c r="Y201" s="329" t="n"/>
      <c r="Z201" s="329" t="n"/>
      <c r="AA201" s="329" t="n"/>
      <c r="AB201" s="329" t="n"/>
      <c r="AC201" s="329" t="n"/>
      <c r="AD201" s="329" t="n"/>
      <c r="AE201" s="329" t="n"/>
    </row>
    <row r="202">
      <c r="A202" s="330" t="inlineStr">
        <is>
          <t>Event 64</t>
        </is>
      </c>
      <c r="B202" s="329" t="inlineStr">
        <is>
          <t>Marshalls — Hagerstown</t>
        </is>
      </c>
      <c r="C202" s="329" t="inlineStr">
        <is>
          <t>WO 5916961</t>
        </is>
      </c>
      <c r="D202" s="329" t="inlineStr">
        <is>
          <t>Completed</t>
        </is>
      </c>
      <c r="E202" s="329" t="inlineStr">
        <is>
          <t>$55/hour; breakdown pending</t>
        </is>
      </c>
      <c r="F202" s="329" t="inlineStr">
        <is>
          <t>Added to tblServiceEvents and tblLedger</t>
        </is>
      </c>
      <c r="G202" s="329" t="n"/>
      <c r="H202" s="329" t="n"/>
      <c r="I202" s="329" t="n"/>
      <c r="J202" s="329" t="n"/>
      <c r="K202" s="329" t="n"/>
      <c r="L202" s="329" t="n"/>
      <c r="M202" s="329" t="n"/>
      <c r="N202" s="329" t="n"/>
      <c r="O202" s="329" t="n"/>
      <c r="P202" s="329" t="n"/>
      <c r="Q202" s="329" t="n"/>
      <c r="R202" s="329" t="n"/>
      <c r="S202" s="329" t="n"/>
      <c r="T202" s="329" t="n"/>
      <c r="U202" s="329" t="n"/>
      <c r="V202" s="329" t="n"/>
      <c r="W202" s="329" t="n"/>
      <c r="X202" s="329" t="n"/>
      <c r="Y202" s="329" t="n"/>
      <c r="Z202" s="329" t="n"/>
      <c r="AA202" s="329" t="n"/>
      <c r="AB202" s="329" t="n"/>
      <c r="AC202" s="329" t="n"/>
      <c r="AD202" s="329" t="n"/>
      <c r="AE202" s="329" t="n"/>
    </row>
    <row r="203">
      <c r="A203" s="330" t="inlineStr">
        <is>
          <t>Hagerstown Protection</t>
        </is>
      </c>
      <c r="B203" s="329" t="inlineStr">
        <is>
          <t>Extended onsite time documented</t>
        </is>
      </c>
      <c r="C203" s="329" t="n"/>
      <c r="D203" s="329" t="inlineStr">
        <is>
          <t>Support delay + incorrect ticket IP/gateway</t>
        </is>
      </c>
      <c r="E203" s="329" t="inlineStr">
        <is>
          <t>Barrister guaranteed documented hours</t>
        </is>
      </c>
      <c r="F203" s="329" t="inlineStr">
        <is>
          <t>No agreed total entered; prevents false variance</t>
        </is>
      </c>
      <c r="G203" s="329" t="n"/>
      <c r="H203" s="329" t="n"/>
      <c r="I203" s="329" t="n"/>
      <c r="J203" s="329" t="n"/>
      <c r="K203" s="329" t="n"/>
      <c r="L203" s="329" t="n"/>
      <c r="M203" s="329" t="n"/>
      <c r="N203" s="329" t="n"/>
      <c r="O203" s="329" t="n"/>
      <c r="P203" s="329" t="n"/>
      <c r="Q203" s="329" t="n"/>
      <c r="R203" s="329" t="n"/>
      <c r="S203" s="329" t="n"/>
      <c r="T203" s="329" t="n"/>
      <c r="U203" s="329" t="n"/>
      <c r="V203" s="329" t="n"/>
      <c r="W203" s="329" t="n"/>
      <c r="X203" s="329" t="n"/>
      <c r="Y203" s="329" t="n"/>
      <c r="Z203" s="329" t="n"/>
      <c r="AA203" s="329" t="n"/>
      <c r="AB203" s="329" t="n"/>
      <c r="AC203" s="329" t="n"/>
      <c r="AD203" s="329" t="n"/>
      <c r="AE203" s="329" t="n"/>
    </row>
    <row r="204">
      <c r="A204" s="330" t="inlineStr">
        <is>
          <t>Hebrew Home</t>
        </is>
      </c>
      <c r="B204" s="329" t="inlineStr">
        <is>
          <t>WO 5913115</t>
        </is>
      </c>
      <c r="C204" s="329" t="n"/>
      <c r="D204" s="329" t="inlineStr">
        <is>
          <t>Dispatched/reassigned</t>
        </is>
      </c>
      <c r="E204" s="329" t="inlineStr">
        <is>
          <t>No event created</t>
        </is>
      </c>
      <c r="F204" s="329" t="inlineStr">
        <is>
          <t>Off user's active radar</t>
        </is>
      </c>
      <c r="G204" s="329" t="n"/>
      <c r="H204" s="329" t="n"/>
      <c r="I204" s="329" t="n"/>
      <c r="J204" s="329" t="n"/>
      <c r="K204" s="329" t="n"/>
      <c r="L204" s="329" t="n"/>
      <c r="M204" s="329" t="n"/>
      <c r="N204" s="329" t="n"/>
      <c r="O204" s="329" t="n"/>
      <c r="P204" s="329" t="n"/>
      <c r="Q204" s="329" t="n"/>
      <c r="R204" s="329" t="n"/>
      <c r="S204" s="329" t="n"/>
      <c r="T204" s="329" t="n"/>
      <c r="U204" s="329" t="n"/>
      <c r="V204" s="329" t="n"/>
      <c r="W204" s="329" t="n"/>
      <c r="X204" s="329" t="n"/>
      <c r="Y204" s="329" t="n"/>
      <c r="Z204" s="329" t="n"/>
      <c r="AA204" s="329" t="n"/>
      <c r="AB204" s="329" t="n"/>
      <c r="AC204" s="329" t="n"/>
      <c r="AD204" s="329" t="n"/>
      <c r="AE204" s="329" t="n"/>
    </row>
    <row r="205">
      <c r="A205" s="330" t="inlineStr">
        <is>
          <t>Event 65</t>
        </is>
      </c>
      <c r="B205" s="329" t="inlineStr">
        <is>
          <t>HomeGoods — Gaithersburg</t>
        </is>
      </c>
      <c r="C205" s="329" t="inlineStr">
        <is>
          <t>WO 5917407</t>
        </is>
      </c>
      <c r="D205" s="329" t="inlineStr">
        <is>
          <t>Completed</t>
        </is>
      </c>
      <c r="E205" s="329" t="inlineStr">
        <is>
          <t>$50/hour; breakdown pending</t>
        </is>
      </c>
      <c r="F205" s="329" t="inlineStr">
        <is>
          <t>Power cable and pin pad replaced; Verifone delays documented; test transaction passed</t>
        </is>
      </c>
      <c r="G205" s="329" t="n"/>
      <c r="H205" s="329" t="n"/>
      <c r="I205" s="329" t="n"/>
      <c r="J205" s="329" t="n"/>
      <c r="K205" s="329" t="n"/>
      <c r="L205" s="329" t="n"/>
      <c r="M205" s="329" t="n"/>
      <c r="N205" s="329" t="n"/>
      <c r="O205" s="329" t="n"/>
      <c r="P205" s="329" t="n"/>
      <c r="Q205" s="329" t="n"/>
      <c r="R205" s="329" t="n"/>
      <c r="S205" s="329" t="n"/>
      <c r="T205" s="329" t="n"/>
      <c r="U205" s="329" t="n"/>
      <c r="V205" s="329" t="n"/>
      <c r="W205" s="329" t="n"/>
      <c r="X205" s="329" t="n"/>
      <c r="Y205" s="329" t="n"/>
      <c r="Z205" s="329" t="n"/>
      <c r="AA205" s="329" t="n"/>
      <c r="AB205" s="329" t="n"/>
      <c r="AC205" s="329" t="n"/>
      <c r="AD205" s="329" t="n"/>
      <c r="AE205" s="329" t="n"/>
    </row>
    <row r="206">
      <c r="A206" s="330" t="inlineStr">
        <is>
          <t>Chronology Rule</t>
        </is>
      </c>
      <c r="B206" s="329" t="inlineStr">
        <is>
          <t>Latest completed physical visit is Event 65</t>
        </is>
      </c>
      <c r="C206" s="329" t="n"/>
      <c r="D206" s="329" t="n"/>
      <c r="E206" s="329" t="n"/>
      <c r="F206" s="329" t="inlineStr">
        <is>
          <t>Next completed physical visit becomes Event 66</t>
        </is>
      </c>
      <c r="G206" s="329" t="n"/>
      <c r="H206" s="329" t="n"/>
      <c r="I206" s="329" t="n"/>
      <c r="J206" s="329" t="n"/>
      <c r="K206" s="329" t="n"/>
      <c r="L206" s="329" t="n"/>
      <c r="M206" s="329" t="n"/>
      <c r="N206" s="329" t="n"/>
      <c r="O206" s="329" t="n"/>
      <c r="P206" s="329" t="n"/>
      <c r="Q206" s="329" t="n"/>
      <c r="R206" s="329" t="n"/>
      <c r="S206" s="329" t="n"/>
      <c r="T206" s="329" t="n"/>
      <c r="U206" s="329" t="n"/>
      <c r="V206" s="329" t="n"/>
      <c r="W206" s="329" t="n"/>
      <c r="X206" s="329" t="n"/>
      <c r="Y206" s="329" t="n"/>
      <c r="Z206" s="329" t="n"/>
      <c r="AA206" s="329" t="n"/>
      <c r="AB206" s="329" t="n"/>
      <c r="AC206" s="329" t="n"/>
      <c r="AD206" s="329" t="n"/>
      <c r="AE206" s="329" t="n"/>
    </row>
    <row r="207">
      <c r="A207" s="330" t="inlineStr">
        <is>
          <t>Financial Rule</t>
        </is>
      </c>
      <c r="B207" s="329" t="inlineStr">
        <is>
          <t>Hourly rates remain in Notes until breakdown confirms payable total</t>
        </is>
      </c>
      <c r="C207" s="329" t="n"/>
      <c r="D207" s="329" t="n"/>
      <c r="E207" s="329" t="n"/>
      <c r="F207" s="329" t="inlineStr">
        <is>
          <t>Prevents rate-vs-total variance errors</t>
        </is>
      </c>
      <c r="G207" s="329" t="n"/>
      <c r="H207" s="329" t="n"/>
      <c r="I207" s="329" t="n"/>
      <c r="J207" s="329" t="n"/>
      <c r="K207" s="329" t="n"/>
      <c r="L207" s="329" t="n"/>
      <c r="M207" s="329" t="n"/>
      <c r="N207" s="329" t="n"/>
      <c r="O207" s="329" t="n"/>
      <c r="P207" s="329" t="n"/>
      <c r="Q207" s="329" t="n"/>
      <c r="R207" s="329" t="n"/>
      <c r="S207" s="329" t="n"/>
      <c r="T207" s="329" t="n"/>
      <c r="U207" s="329" t="n"/>
      <c r="V207" s="329" t="n"/>
      <c r="W207" s="329" t="n"/>
      <c r="X207" s="329" t="n"/>
      <c r="Y207" s="329" t="n"/>
      <c r="Z207" s="329" t="n"/>
      <c r="AA207" s="329" t="n"/>
      <c r="AB207" s="329" t="n"/>
      <c r="AC207" s="329" t="n"/>
      <c r="AD207" s="329" t="n"/>
      <c r="AE207" s="329" t="n"/>
    </row>
    <row r="208">
      <c r="A208" s="330" t="inlineStr">
        <is>
          <t>Source</t>
        </is>
      </c>
      <c r="B208" s="329" t="inlineStr">
        <is>
          <t>User-authoritative completion statements + ticket documents + Gmail + Slack/photo evidence</t>
        </is>
      </c>
      <c r="C208" s="329" t="n"/>
      <c r="D208" s="329" t="n"/>
      <c r="E208" s="329" t="n"/>
      <c r="F208" s="329" t="n"/>
      <c r="G208" s="329" t="n"/>
      <c r="H208" s="329" t="n"/>
      <c r="I208" s="329" t="n"/>
      <c r="J208" s="329" t="n"/>
      <c r="K208" s="329" t="n"/>
      <c r="L208" s="329" t="n"/>
      <c r="M208" s="329" t="n"/>
      <c r="N208" s="329" t="n"/>
      <c r="O208" s="329" t="n"/>
      <c r="P208" s="329" t="n"/>
      <c r="Q208" s="329" t="n"/>
      <c r="R208" s="329" t="n"/>
      <c r="S208" s="329" t="n"/>
      <c r="T208" s="329" t="n"/>
      <c r="U208" s="329" t="n"/>
      <c r="V208" s="329" t="n"/>
      <c r="W208" s="329" t="n"/>
      <c r="X208" s="329" t="n"/>
      <c r="Y208" s="329" t="n"/>
      <c r="Z208" s="329" t="n"/>
      <c r="AA208" s="329" t="n"/>
      <c r="AB208" s="329" t="n"/>
      <c r="AC208" s="329" t="n"/>
      <c r="AD208" s="329" t="n"/>
      <c r="AE208" s="329" t="n"/>
    </row>
    <row r="209">
      <c r="A209" s="329" t="n"/>
      <c r="B209" s="329" t="n"/>
      <c r="C209" s="329" t="n"/>
      <c r="D209" s="329" t="n"/>
      <c r="E209" s="329" t="n"/>
      <c r="F209" s="329" t="n"/>
      <c r="G209" s="329" t="n"/>
      <c r="H209" s="329" t="n"/>
      <c r="I209" s="329" t="n"/>
      <c r="J209" s="329" t="n"/>
      <c r="K209" s="329" t="n"/>
      <c r="L209" s="329" t="n"/>
      <c r="M209" s="329" t="n"/>
      <c r="N209" s="329" t="n"/>
      <c r="O209" s="329" t="n"/>
      <c r="P209" s="329" t="n"/>
      <c r="Q209" s="329" t="n"/>
      <c r="R209" s="329" t="n"/>
      <c r="S209" s="329" t="n"/>
      <c r="T209" s="329" t="n"/>
      <c r="U209" s="329" t="n"/>
      <c r="V209" s="329" t="n"/>
      <c r="W209" s="329" t="n"/>
      <c r="X209" s="329" t="n"/>
      <c r="Y209" s="329" t="n"/>
      <c r="Z209" s="329" t="n"/>
      <c r="AA209" s="329" t="n"/>
      <c r="AB209" s="329" t="n"/>
      <c r="AC209" s="329" t="n"/>
      <c r="AD209" s="329" t="n"/>
      <c r="AE209" s="329" t="n"/>
    </row>
    <row r="210">
      <c r="A210" s="330" t="inlineStr">
        <is>
          <t>2026-07-13 Financial Ledger Update</t>
        </is>
      </c>
      <c r="B210" s="329" t="inlineStr">
        <is>
          <t>Email reconciliation</t>
        </is>
      </c>
      <c r="C210" s="329" t="n"/>
      <c r="D210" s="329" t="n"/>
      <c r="E210" s="329" t="n"/>
      <c r="F210" s="329" t="n"/>
      <c r="G210" s="329" t="n"/>
      <c r="H210" s="329" t="n"/>
      <c r="I210" s="329" t="n"/>
      <c r="J210" s="329" t="n"/>
      <c r="K210" s="329" t="n"/>
      <c r="L210" s="329" t="n"/>
      <c r="M210" s="329" t="n"/>
      <c r="N210" s="329" t="n"/>
      <c r="O210" s="329" t="n"/>
      <c r="P210" s="329" t="n"/>
      <c r="Q210" s="329" t="n"/>
      <c r="R210" s="329" t="n"/>
      <c r="S210" s="329" t="n"/>
      <c r="T210" s="329" t="n"/>
      <c r="U210" s="329" t="n"/>
      <c r="V210" s="329" t="n"/>
      <c r="W210" s="329" t="n"/>
      <c r="X210" s="329" t="n"/>
      <c r="Y210" s="329" t="n"/>
      <c r="Z210" s="329" t="n"/>
      <c r="AA210" s="329" t="n"/>
      <c r="AB210" s="329" t="n"/>
      <c r="AC210" s="329" t="n"/>
      <c r="AD210" s="329" t="n"/>
      <c r="AE210" s="329" t="n"/>
    </row>
    <row r="211">
      <c r="A211" s="330" t="inlineStr">
        <is>
          <t>WO 5909344</t>
        </is>
      </c>
      <c r="B211" s="329" t="inlineStr">
        <is>
          <t>TJ Maxx — Germantown</t>
        </is>
      </c>
      <c r="C211" s="329" t="inlineStr">
        <is>
          <t>Event 61</t>
        </is>
      </c>
      <c r="D211" s="329" t="inlineStr">
        <is>
          <t>$194.99 final breakdown</t>
        </is>
      </c>
      <c r="E211" s="329" t="inlineStr">
        <is>
          <t>Expected 2026-07-23</t>
        </is>
      </c>
      <c r="F211" s="329" t="inlineStr">
        <is>
          <t>ACH pending</t>
        </is>
      </c>
      <c r="G211" s="329" t="n"/>
      <c r="H211" s="329" t="n"/>
      <c r="I211" s="329" t="n"/>
      <c r="J211" s="329" t="n"/>
      <c r="K211" s="329" t="n"/>
      <c r="L211" s="329" t="n"/>
      <c r="M211" s="329" t="n"/>
      <c r="N211" s="329" t="n"/>
      <c r="O211" s="329" t="n"/>
      <c r="P211" s="329" t="n"/>
      <c r="Q211" s="329" t="n"/>
      <c r="R211" s="329" t="n"/>
      <c r="S211" s="329" t="n"/>
      <c r="T211" s="329" t="n"/>
      <c r="U211" s="329" t="n"/>
      <c r="V211" s="329" t="n"/>
      <c r="W211" s="329" t="n"/>
      <c r="X211" s="329" t="n"/>
      <c r="Y211" s="329" t="n"/>
      <c r="Z211" s="329" t="n"/>
      <c r="AA211" s="329" t="n"/>
      <c r="AB211" s="329" t="n"/>
      <c r="AC211" s="329" t="n"/>
      <c r="AD211" s="329" t="n"/>
      <c r="AE211" s="329" t="n"/>
    </row>
    <row r="212">
      <c r="A212" s="330" t="inlineStr">
        <is>
          <t>Breakdown Email</t>
        </is>
      </c>
      <c r="B212" s="329" t="inlineStr">
        <is>
          <t>Received 2026-07-11</t>
        </is>
      </c>
      <c r="C212" s="329" t="inlineStr">
        <is>
          <t>$194.99 base</t>
        </is>
      </c>
      <c r="D212" s="329" t="inlineStr">
        <is>
          <t>$0.00 deductions</t>
        </is>
      </c>
      <c r="E212" s="329" t="inlineStr">
        <is>
          <t>$194.99 final</t>
        </is>
      </c>
      <c r="F212" s="329" t="inlineStr">
        <is>
          <t>BAM Alerts</t>
        </is>
      </c>
      <c r="G212" s="329" t="n"/>
      <c r="H212" s="329" t="n"/>
      <c r="I212" s="329" t="n"/>
      <c r="J212" s="329" t="n"/>
      <c r="K212" s="329" t="n"/>
      <c r="L212" s="329" t="n"/>
      <c r="M212" s="329" t="n"/>
      <c r="N212" s="329" t="n"/>
      <c r="O212" s="329" t="n"/>
      <c r="P212" s="329" t="n"/>
      <c r="Q212" s="329" t="n"/>
      <c r="R212" s="329" t="n"/>
      <c r="S212" s="329" t="n"/>
      <c r="T212" s="329" t="n"/>
      <c r="U212" s="329" t="n"/>
      <c r="V212" s="329" t="n"/>
      <c r="W212" s="329" t="n"/>
      <c r="X212" s="329" t="n"/>
      <c r="Y212" s="329" t="n"/>
      <c r="Z212" s="329" t="n"/>
      <c r="AA212" s="329" t="n"/>
      <c r="AB212" s="329" t="n"/>
      <c r="AC212" s="329" t="n"/>
      <c r="AD212" s="329" t="n"/>
      <c r="AE212" s="329" t="n"/>
    </row>
    <row r="213">
      <c r="A213" s="330" t="inlineStr">
        <is>
          <t>Financial Effect</t>
        </is>
      </c>
      <c r="B213" s="329" t="inlineStr">
        <is>
          <t>Confirmed eligible revenue +$194.99</t>
        </is>
      </c>
      <c r="C213" s="329" t="inlineStr">
        <is>
          <t>Pending breakdown -1</t>
        </is>
      </c>
      <c r="D213" s="329" t="inlineStr">
        <is>
          <t>Pending ACH +1</t>
        </is>
      </c>
      <c r="E213" s="329" t="inlineStr">
        <is>
          <t>Open exceptions unchanged</t>
        </is>
      </c>
      <c r="F213" s="329" t="n"/>
      <c r="G213" s="329" t="n"/>
      <c r="H213" s="329" t="n"/>
      <c r="I213" s="329" t="n"/>
      <c r="J213" s="329" t="n"/>
      <c r="K213" s="329" t="n"/>
      <c r="L213" s="329" t="n"/>
      <c r="M213" s="329" t="n"/>
      <c r="N213" s="329" t="n"/>
      <c r="O213" s="329" t="n"/>
      <c r="P213" s="329" t="n"/>
      <c r="Q213" s="329" t="n"/>
      <c r="R213" s="329" t="n"/>
      <c r="S213" s="329" t="n"/>
      <c r="T213" s="329" t="n"/>
      <c r="U213" s="329" t="n"/>
      <c r="V213" s="329" t="n"/>
      <c r="W213" s="329" t="n"/>
      <c r="X213" s="329" t="n"/>
      <c r="Y213" s="329" t="n"/>
      <c r="Z213" s="329" t="n"/>
      <c r="AA213" s="329" t="n"/>
      <c r="AB213" s="329" t="n"/>
      <c r="AC213" s="329" t="n"/>
      <c r="AD213" s="329" t="n"/>
      <c r="AE213" s="329" t="n"/>
    </row>
    <row r="214">
      <c r="A214" s="330" t="inlineStr">
        <is>
          <t>No New ACH</t>
        </is>
      </c>
      <c r="B214" s="329" t="inlineStr">
        <is>
          <t>No new Barrister ACH confirmation email found in the reviewed period</t>
        </is>
      </c>
      <c r="C214" s="329" t="n"/>
      <c r="D214" s="329" t="n"/>
      <c r="E214" s="329" t="n"/>
      <c r="F214" s="329" t="n"/>
      <c r="G214" s="329" t="n"/>
      <c r="H214" s="329" t="n"/>
      <c r="I214" s="329" t="n"/>
      <c r="J214" s="329" t="n"/>
      <c r="K214" s="329" t="n"/>
      <c r="L214" s="329" t="n"/>
      <c r="M214" s="329" t="n"/>
      <c r="N214" s="329" t="n"/>
      <c r="O214" s="329" t="n"/>
      <c r="P214" s="329" t="n"/>
      <c r="Q214" s="329" t="n"/>
      <c r="R214" s="329" t="n"/>
      <c r="S214" s="329" t="n"/>
      <c r="T214" s="329" t="n"/>
      <c r="U214" s="329" t="n"/>
      <c r="V214" s="329" t="n"/>
      <c r="W214" s="329" t="n"/>
      <c r="X214" s="329" t="n"/>
      <c r="Y214" s="329" t="n"/>
      <c r="Z214" s="329" t="n"/>
      <c r="AA214" s="329" t="n"/>
      <c r="AB214" s="329" t="n"/>
      <c r="AC214" s="329" t="n"/>
      <c r="AD214" s="329" t="n"/>
      <c r="AE214" s="329" t="n"/>
    </row>
    <row r="215">
      <c r="A215" s="330" t="inlineStr">
        <is>
          <t>Source Rule</t>
        </is>
      </c>
      <c r="B215" s="329" t="inlineStr">
        <is>
          <t>Email payment breakdown controls financial state</t>
        </is>
      </c>
      <c r="C215" s="329" t="n"/>
      <c r="D215" s="329" t="n"/>
      <c r="E215" s="329" t="n"/>
      <c r="F215" s="329" t="n"/>
      <c r="G215" s="329" t="n"/>
      <c r="H215" s="329" t="n"/>
      <c r="I215" s="329" t="n"/>
      <c r="J215" s="329" t="n"/>
      <c r="K215" s="329" t="n"/>
      <c r="L215" s="329" t="n"/>
      <c r="M215" s="329" t="n"/>
      <c r="N215" s="329" t="n"/>
      <c r="O215" s="329" t="n"/>
      <c r="P215" s="329" t="n"/>
      <c r="Q215" s="329" t="n"/>
      <c r="R215" s="329" t="n"/>
      <c r="S215" s="329" t="n"/>
      <c r="T215" s="329" t="n"/>
      <c r="U215" s="329" t="n"/>
      <c r="V215" s="329" t="n"/>
      <c r="W215" s="329" t="n"/>
      <c r="X215" s="329" t="n"/>
      <c r="Y215" s="329" t="n"/>
      <c r="Z215" s="329" t="n"/>
      <c r="AA215" s="329" t="n"/>
      <c r="AB215" s="329" t="n"/>
      <c r="AC215" s="329" t="n"/>
      <c r="AD215" s="329" t="n"/>
      <c r="AE215" s="329" t="n"/>
    </row>
    <row r="216">
      <c r="A216" s="330" t="inlineStr">
        <is>
          <t>Workbook Basis</t>
        </is>
      </c>
      <c r="B216" s="329" t="inlineStr">
        <is>
          <t>Latest Phase 3E operational update retained; this pass performs the financial reconciliation originally requested</t>
        </is>
      </c>
      <c r="C216" s="329" t="n"/>
      <c r="D216" s="329" t="n"/>
      <c r="E216" s="329" t="n"/>
      <c r="F216" s="329" t="n"/>
      <c r="G216" s="329" t="n"/>
      <c r="H216" s="329" t="n"/>
      <c r="I216" s="329" t="n"/>
      <c r="J216" s="329" t="n"/>
      <c r="K216" s="329" t="n"/>
      <c r="L216" s="329" t="n"/>
      <c r="M216" s="329" t="n"/>
      <c r="N216" s="329" t="n"/>
      <c r="O216" s="329" t="n"/>
      <c r="P216" s="329" t="n"/>
      <c r="Q216" s="329" t="n"/>
      <c r="R216" s="329" t="n"/>
      <c r="S216" s="329" t="n"/>
      <c r="T216" s="329" t="n"/>
      <c r="U216" s="329" t="n"/>
      <c r="V216" s="329" t="n"/>
      <c r="W216" s="329" t="n"/>
      <c r="X216" s="329" t="n"/>
      <c r="Y216" s="329" t="n"/>
      <c r="Z216" s="329" t="n"/>
      <c r="AA216" s="329" t="n"/>
      <c r="AB216" s="329" t="n"/>
      <c r="AC216" s="329" t="n"/>
      <c r="AD216" s="329" t="n"/>
      <c r="AE216" s="329" t="n"/>
    </row>
    <row r="217">
      <c r="A217" s="329" t="n"/>
      <c r="B217" s="329" t="n"/>
      <c r="C217" s="329" t="n"/>
      <c r="D217" s="329" t="n"/>
      <c r="E217" s="329" t="n"/>
      <c r="F217" s="329" t="n"/>
      <c r="G217" s="329" t="n"/>
      <c r="H217" s="329" t="n"/>
      <c r="I217" s="329" t="n"/>
      <c r="J217" s="329" t="n"/>
      <c r="K217" s="329" t="n"/>
      <c r="L217" s="329" t="n"/>
      <c r="M217" s="329" t="n"/>
      <c r="N217" s="329" t="n"/>
      <c r="O217" s="329" t="n"/>
      <c r="P217" s="329" t="n"/>
      <c r="Q217" s="329" t="n"/>
      <c r="R217" s="329" t="n"/>
      <c r="S217" s="329" t="n"/>
      <c r="T217" s="329" t="n"/>
      <c r="U217" s="329" t="n"/>
      <c r="V217" s="329" t="n"/>
      <c r="W217" s="329" t="n"/>
      <c r="X217" s="329" t="n"/>
      <c r="Y217" s="329" t="n"/>
      <c r="Z217" s="329" t="n"/>
      <c r="AA217" s="329" t="n"/>
      <c r="AB217" s="329" t="n"/>
      <c r="AC217" s="329" t="n"/>
      <c r="AD217" s="329" t="n"/>
      <c r="AE217" s="329" t="n"/>
    </row>
    <row r="218">
      <c r="A218" s="355" t="inlineStr">
        <is>
          <t>PHASE 3F — Conditional Formatting</t>
        </is>
      </c>
      <c r="B218" s="355" t="inlineStr">
        <is>
          <t>Completed</t>
        </is>
      </c>
      <c r="C218" s="355" t="inlineStr">
        <is>
          <t>2026-07-13</t>
        </is>
      </c>
      <c r="D218" s="355" t="n"/>
      <c r="E218" s="355" t="n"/>
      <c r="F218" s="355" t="n"/>
      <c r="G218" s="329" t="n"/>
      <c r="H218" s="329" t="n"/>
      <c r="I218" s="329" t="n"/>
      <c r="J218" s="329" t="n"/>
      <c r="K218" s="329" t="n"/>
      <c r="L218" s="329" t="n"/>
      <c r="M218" s="329" t="n"/>
      <c r="N218" s="329" t="n"/>
      <c r="O218" s="329" t="n"/>
      <c r="P218" s="329" t="n"/>
      <c r="Q218" s="329" t="n"/>
      <c r="R218" s="329" t="n"/>
      <c r="S218" s="329" t="n"/>
      <c r="T218" s="329" t="n"/>
      <c r="U218" s="329" t="n"/>
      <c r="V218" s="329" t="n"/>
      <c r="W218" s="329" t="n"/>
      <c r="X218" s="329" t="n"/>
      <c r="Y218" s="329" t="n"/>
      <c r="Z218" s="329" t="n"/>
      <c r="AA218" s="329" t="n"/>
      <c r="AB218" s="329" t="n"/>
      <c r="AC218" s="329" t="n"/>
      <c r="AD218" s="329" t="n"/>
      <c r="AE218" s="329" t="n"/>
    </row>
    <row r="219">
      <c r="A219" s="357" t="inlineStr">
        <is>
          <t>Scope</t>
        </is>
      </c>
      <c r="B219" s="357" t="inlineStr">
        <is>
          <t>Dashboard</t>
        </is>
      </c>
      <c r="C219" s="357" t="inlineStr">
        <is>
          <t>Service Events</t>
        </is>
      </c>
      <c r="D219" s="357" t="inlineStr">
        <is>
          <t>Work Orders &amp; Ledger</t>
        </is>
      </c>
      <c r="E219" s="357" t="inlineStr">
        <is>
          <t>Analytics</t>
        </is>
      </c>
      <c r="F219" s="357" t="inlineStr">
        <is>
          <t>Exceptions &amp; Audit</t>
        </is>
      </c>
      <c r="G219" s="329" t="n"/>
      <c r="H219" s="329" t="n"/>
      <c r="I219" s="329" t="n"/>
      <c r="J219" s="329" t="n"/>
      <c r="K219" s="329" t="n"/>
      <c r="L219" s="329" t="n"/>
      <c r="M219" s="329" t="n"/>
      <c r="N219" s="329" t="n"/>
      <c r="O219" s="329" t="n"/>
      <c r="P219" s="329" t="n"/>
      <c r="Q219" s="329" t="n"/>
      <c r="R219" s="329" t="n"/>
      <c r="S219" s="329" t="n"/>
      <c r="T219" s="329" t="n"/>
      <c r="U219" s="329" t="n"/>
      <c r="V219" s="329" t="n"/>
      <c r="W219" s="329" t="n"/>
      <c r="X219" s="329" t="n"/>
      <c r="Y219" s="329" t="n"/>
      <c r="Z219" s="329" t="n"/>
      <c r="AA219" s="329" t="n"/>
      <c r="AB219" s="329" t="n"/>
      <c r="AC219" s="329" t="n"/>
      <c r="AD219" s="329" t="n"/>
      <c r="AE219" s="329" t="n"/>
    </row>
    <row r="220">
      <c r="A220" s="329" t="inlineStr">
        <is>
          <t>Green</t>
        </is>
      </c>
      <c r="B220" s="329" t="inlineStr">
        <is>
          <t>Healthy / complete / confirmed</t>
        </is>
      </c>
      <c r="C220" s="329" t="inlineStr">
        <is>
          <t>Completed or financially eligible</t>
        </is>
      </c>
      <c r="D220" s="329" t="inlineStr">
        <is>
          <t>Confirmed / reconciled</t>
        </is>
      </c>
      <c r="E220" s="329" t="inlineStr">
        <is>
          <t>Stronger performance</t>
        </is>
      </c>
      <c r="F220" s="329" t="inlineStr">
        <is>
          <t>OK / closed</t>
        </is>
      </c>
      <c r="G220" s="329" t="n"/>
      <c r="H220" s="329" t="n"/>
      <c r="I220" s="329" t="n"/>
      <c r="J220" s="329" t="n"/>
      <c r="K220" s="329" t="n"/>
      <c r="L220" s="329" t="n"/>
      <c r="M220" s="329" t="n"/>
      <c r="N220" s="329" t="n"/>
      <c r="O220" s="329" t="n"/>
      <c r="P220" s="329" t="n"/>
      <c r="Q220" s="329" t="n"/>
      <c r="R220" s="329" t="n"/>
      <c r="S220" s="329" t="n"/>
      <c r="T220" s="329" t="n"/>
      <c r="U220" s="329" t="n"/>
      <c r="V220" s="329" t="n"/>
      <c r="W220" s="329" t="n"/>
      <c r="X220" s="329" t="n"/>
      <c r="Y220" s="329" t="n"/>
      <c r="Z220" s="329" t="n"/>
      <c r="AA220" s="329" t="n"/>
      <c r="AB220" s="329" t="n"/>
      <c r="AC220" s="329" t="n"/>
      <c r="AD220" s="329" t="n"/>
      <c r="AE220" s="329" t="n"/>
    </row>
    <row r="221">
      <c r="A221" s="329" t="inlineStr">
        <is>
          <t>Yellow</t>
        </is>
      </c>
      <c r="B221" s="329" t="inlineStr">
        <is>
          <t>Attention / normal pending</t>
        </is>
      </c>
      <c r="C221" s="329" t="inlineStr">
        <is>
          <t>Included event awaiting breakdown</t>
        </is>
      </c>
      <c r="D221" s="329" t="inlineStr">
        <is>
          <t>Pending breakdown or ACH</t>
        </is>
      </c>
      <c r="E221" s="329" t="inlineStr">
        <is>
          <t>Middle-range performance</t>
        </is>
      </c>
      <c r="F221" s="329" t="inlineStr">
        <is>
          <t>Informational / pending</t>
        </is>
      </c>
      <c r="G221" s="329" t="n"/>
      <c r="H221" s="329" t="n"/>
      <c r="I221" s="329" t="n"/>
      <c r="J221" s="329" t="n"/>
      <c r="K221" s="329" t="n"/>
      <c r="L221" s="329" t="n"/>
      <c r="M221" s="329" t="n"/>
      <c r="N221" s="329" t="n"/>
      <c r="O221" s="329" t="n"/>
      <c r="P221" s="329" t="n"/>
      <c r="Q221" s="329" t="n"/>
      <c r="R221" s="329" t="n"/>
      <c r="S221" s="329" t="n"/>
      <c r="T221" s="329" t="n"/>
      <c r="U221" s="329" t="n"/>
      <c r="V221" s="329" t="n"/>
      <c r="W221" s="329" t="n"/>
      <c r="X221" s="329" t="n"/>
      <c r="Y221" s="329" t="n"/>
      <c r="Z221" s="329" t="n"/>
      <c r="AA221" s="329" t="n"/>
      <c r="AB221" s="329" t="n"/>
      <c r="AC221" s="329" t="n"/>
      <c r="AD221" s="329" t="n"/>
      <c r="AE221" s="329" t="n"/>
    </row>
    <row r="222">
      <c r="A222" s="329" t="inlineStr">
        <is>
          <t>Orange</t>
        </is>
      </c>
      <c r="B222" s="329" t="inlineStr">
        <is>
          <t>Elevated review</t>
        </is>
      </c>
      <c r="C222" s="329" t="inlineStr">
        <is>
          <t>Partial or unusual status</t>
        </is>
      </c>
      <c r="D222" s="329" t="inlineStr">
        <is>
          <t>Partial breakdown / multi-WO review</t>
        </is>
      </c>
      <c r="E222" s="329" t="inlineStr">
        <is>
          <t>Lower-middle performance</t>
        </is>
      </c>
      <c r="F222" s="329" t="inlineStr">
        <is>
          <t>Warning</t>
        </is>
      </c>
      <c r="G222" s="329" t="n"/>
      <c r="H222" s="329" t="n"/>
      <c r="I222" s="329" t="n"/>
      <c r="J222" s="329" t="n"/>
      <c r="K222" s="329" t="n"/>
      <c r="L222" s="329" t="n"/>
      <c r="M222" s="329" t="n"/>
      <c r="N222" s="329" t="n"/>
      <c r="O222" s="329" t="n"/>
      <c r="P222" s="329" t="n"/>
      <c r="Q222" s="329" t="n"/>
      <c r="R222" s="329" t="n"/>
      <c r="S222" s="329" t="n"/>
      <c r="T222" s="329" t="n"/>
      <c r="U222" s="329" t="n"/>
      <c r="V222" s="329" t="n"/>
      <c r="W222" s="329" t="n"/>
      <c r="X222" s="329" t="n"/>
      <c r="Y222" s="329" t="n"/>
      <c r="Z222" s="329" t="n"/>
      <c r="AA222" s="329" t="n"/>
      <c r="AB222" s="329" t="n"/>
      <c r="AC222" s="329" t="n"/>
      <c r="AD222" s="329" t="n"/>
      <c r="AE222" s="329" t="n"/>
    </row>
    <row r="223">
      <c r="A223" s="329" t="inlineStr">
        <is>
          <t>Red</t>
        </is>
      </c>
      <c r="B223" s="329" t="inlineStr">
        <is>
          <t>Critical action</t>
        </is>
      </c>
      <c r="C223" s="329" t="inlineStr">
        <is>
          <t>Invalid or failed status</t>
        </is>
      </c>
      <c r="D223" s="329" t="inlineStr">
        <is>
          <t>Variance / mapping hold / overdue</t>
        </is>
      </c>
      <c r="E223" s="329" t="inlineStr">
        <is>
          <t>Material underperformance</t>
        </is>
      </c>
      <c r="F223" s="329" t="inlineStr">
        <is>
          <t>Critical / open</t>
        </is>
      </c>
      <c r="G223" s="329" t="n"/>
      <c r="H223" s="329" t="n"/>
      <c r="I223" s="329" t="n"/>
      <c r="J223" s="329" t="n"/>
      <c r="K223" s="329" t="n"/>
      <c r="L223" s="329" t="n"/>
      <c r="M223" s="329" t="n"/>
      <c r="N223" s="329" t="n"/>
      <c r="O223" s="329" t="n"/>
      <c r="P223" s="329" t="n"/>
      <c r="Q223" s="329" t="n"/>
      <c r="R223" s="329" t="n"/>
      <c r="S223" s="329" t="n"/>
      <c r="T223" s="329" t="n"/>
      <c r="U223" s="329" t="n"/>
      <c r="V223" s="329" t="n"/>
      <c r="W223" s="329" t="n"/>
      <c r="X223" s="329" t="n"/>
      <c r="Y223" s="329" t="n"/>
      <c r="Z223" s="329" t="n"/>
      <c r="AA223" s="329" t="n"/>
      <c r="AB223" s="329" t="n"/>
      <c r="AC223" s="329" t="n"/>
      <c r="AD223" s="329" t="n"/>
      <c r="AE223" s="329" t="n"/>
    </row>
    <row r="224">
      <c r="A224" s="329" t="inlineStr">
        <is>
          <t>Gray</t>
        </is>
      </c>
      <c r="B224" s="329" t="inlineStr">
        <is>
          <t>Financially excluded / inactive</t>
        </is>
      </c>
      <c r="C224" s="329" t="inlineStr">
        <is>
          <t>Chronology-only legacy event</t>
        </is>
      </c>
      <c r="D224" s="329" t="inlineStr">
        <is>
          <t>Operationally complete but financially excluded</t>
        </is>
      </c>
      <c r="E224" s="329" t="inlineStr">
        <is>
          <t>N/A / zero activity</t>
        </is>
      </c>
      <c r="F224" s="329" t="inlineStr">
        <is>
          <t>Closed or excluded</t>
        </is>
      </c>
      <c r="G224" s="329" t="n"/>
      <c r="H224" s="329" t="n"/>
      <c r="I224" s="329" t="n"/>
      <c r="J224" s="329" t="n"/>
      <c r="K224" s="329" t="n"/>
      <c r="L224" s="329" t="n"/>
      <c r="M224" s="329" t="n"/>
      <c r="N224" s="329" t="n"/>
      <c r="O224" s="329" t="n"/>
      <c r="P224" s="329" t="n"/>
      <c r="Q224" s="329" t="n"/>
      <c r="R224" s="329" t="n"/>
      <c r="S224" s="329" t="n"/>
      <c r="T224" s="329" t="n"/>
      <c r="U224" s="329" t="n"/>
      <c r="V224" s="329" t="n"/>
      <c r="W224" s="329" t="n"/>
      <c r="X224" s="329" t="n"/>
      <c r="Y224" s="329" t="n"/>
      <c r="Z224" s="329" t="n"/>
      <c r="AA224" s="329" t="n"/>
      <c r="AB224" s="329" t="n"/>
      <c r="AC224" s="329" t="n"/>
      <c r="AD224" s="329" t="n"/>
      <c r="AE224" s="329" t="n"/>
    </row>
    <row r="225">
      <c r="A225" s="329" t="inlineStr">
        <is>
          <t>Financial Scope Fields</t>
        </is>
      </c>
      <c r="B225" s="329" t="inlineStr">
        <is>
          <t>Financial Scope</t>
        </is>
      </c>
      <c r="C225" s="329" t="inlineStr">
        <is>
          <t>Financial Exclusion Reason</t>
        </is>
      </c>
      <c r="D225" s="329" t="inlineStr">
        <is>
          <t>Breakdown Expected</t>
        </is>
      </c>
      <c r="E225" s="329" t="n"/>
      <c r="F225" s="329" t="n"/>
      <c r="G225" s="329" t="n"/>
      <c r="H225" s="329" t="n"/>
      <c r="I225" s="329" t="n"/>
      <c r="J225" s="329" t="n"/>
      <c r="K225" s="329" t="n"/>
      <c r="L225" s="329" t="n"/>
      <c r="M225" s="329" t="n"/>
      <c r="N225" s="329" t="n"/>
      <c r="O225" s="329" t="n"/>
      <c r="P225" s="329" t="n"/>
      <c r="Q225" s="329" t="n"/>
      <c r="R225" s="329" t="n"/>
      <c r="S225" s="329" t="n"/>
      <c r="T225" s="329" t="n"/>
      <c r="U225" s="329" t="n"/>
      <c r="V225" s="329" t="n"/>
      <c r="W225" s="329" t="n"/>
      <c r="X225" s="329" t="n"/>
      <c r="Y225" s="329" t="n"/>
      <c r="Z225" s="329" t="n"/>
      <c r="AA225" s="329" t="n"/>
      <c r="AB225" s="329" t="n"/>
      <c r="AC225" s="329" t="n"/>
      <c r="AD225" s="329" t="n"/>
      <c r="AE225" s="329" t="n"/>
    </row>
    <row r="226">
      <c r="A226" s="329" t="inlineStr">
        <is>
          <t>Chronology-Only Events</t>
        </is>
      </c>
      <c r="B226" s="329" t="inlineStr">
        <is>
          <t>9, 14, 23, 25</t>
        </is>
      </c>
      <c r="C226" s="329" t="inlineStr">
        <is>
          <t>Remain in career chronology</t>
        </is>
      </c>
      <c r="D226" s="329" t="inlineStr">
        <is>
          <t>Excluded from financial denominators</t>
        </is>
      </c>
      <c r="E226" s="329" t="inlineStr">
        <is>
          <t>Breakdown Expected = No</t>
        </is>
      </c>
      <c r="F226" s="329" t="inlineStr">
        <is>
          <t>No false missing-breakdown alerts</t>
        </is>
      </c>
      <c r="G226" s="329" t="n"/>
      <c r="H226" s="329" t="n"/>
      <c r="I226" s="329" t="n"/>
      <c r="J226" s="329" t="n"/>
      <c r="K226" s="329" t="n"/>
      <c r="L226" s="329" t="n"/>
      <c r="M226" s="329" t="n"/>
      <c r="N226" s="329" t="n"/>
      <c r="O226" s="329" t="n"/>
      <c r="P226" s="329" t="n"/>
      <c r="Q226" s="329" t="n"/>
      <c r="R226" s="329" t="n"/>
      <c r="S226" s="329" t="n"/>
      <c r="T226" s="329" t="n"/>
      <c r="U226" s="329" t="n"/>
      <c r="V226" s="329" t="n"/>
      <c r="W226" s="329" t="n"/>
      <c r="X226" s="329" t="n"/>
      <c r="Y226" s="329" t="n"/>
      <c r="Z226" s="329" t="n"/>
      <c r="AA226" s="329" t="n"/>
      <c r="AB226" s="329" t="n"/>
      <c r="AC226" s="329" t="n"/>
      <c r="AD226" s="329" t="n"/>
      <c r="AE226" s="329" t="n"/>
    </row>
    <row r="227">
      <c r="A227" s="329" t="inlineStr">
        <is>
          <t>Current Career Events</t>
        </is>
      </c>
      <c r="B227" s="329" t="n">
        <v>65</v>
      </c>
      <c r="C227" s="329" t="inlineStr">
        <is>
          <t>Current Financial-Scope Events</t>
        </is>
      </c>
      <c r="D227" s="329" t="n">
        <v>61</v>
      </c>
      <c r="E227" s="329" t="inlineStr">
        <is>
          <t>Current Missing Breakdowns</t>
        </is>
      </c>
      <c r="F227" s="329" t="n">
        <v>4</v>
      </c>
      <c r="G227" s="329" t="n"/>
      <c r="H227" s="329" t="n"/>
      <c r="I227" s="329" t="n"/>
      <c r="J227" s="329" t="n"/>
      <c r="K227" s="329" t="n"/>
      <c r="L227" s="329" t="n"/>
      <c r="M227" s="329" t="n"/>
      <c r="N227" s="329" t="n"/>
      <c r="O227" s="329" t="n"/>
      <c r="P227" s="329" t="n"/>
      <c r="Q227" s="329" t="n"/>
      <c r="R227" s="329" t="n"/>
      <c r="S227" s="329" t="n"/>
      <c r="T227" s="329" t="n"/>
      <c r="U227" s="329" t="n"/>
      <c r="V227" s="329" t="n"/>
      <c r="W227" s="329" t="n"/>
      <c r="X227" s="329" t="n"/>
      <c r="Y227" s="329" t="n"/>
      <c r="Z227" s="329" t="n"/>
      <c r="AA227" s="329" t="n"/>
      <c r="AB227" s="329" t="n"/>
      <c r="AC227" s="329" t="n"/>
      <c r="AD227" s="329" t="n"/>
      <c r="AE227" s="329" t="n"/>
    </row>
    <row r="228">
      <c r="A228" s="329" t="inlineStr">
        <is>
          <t>Event 65</t>
        </is>
      </c>
      <c r="B228" s="329" t="inlineStr">
        <is>
          <t>HomeGoods — Gaithersburg</t>
        </is>
      </c>
      <c r="C228" s="329" t="inlineStr">
        <is>
          <t>WO 5917407</t>
        </is>
      </c>
      <c r="D228" s="329" t="inlineStr">
        <is>
          <t>Completed</t>
        </is>
      </c>
      <c r="E228" s="329" t="inlineStr">
        <is>
          <t>Breakdown pending</t>
        </is>
      </c>
      <c r="F228" s="329" t="inlineStr">
        <is>
          <t>Included in financial scope</t>
        </is>
      </c>
      <c r="G228" s="329" t="n"/>
      <c r="H228" s="329" t="n"/>
      <c r="I228" s="329" t="n"/>
      <c r="J228" s="329" t="n"/>
      <c r="K228" s="329" t="n"/>
      <c r="L228" s="329" t="n"/>
      <c r="M228" s="329" t="n"/>
      <c r="N228" s="329" t="n"/>
      <c r="O228" s="329" t="n"/>
      <c r="P228" s="329" t="n"/>
      <c r="Q228" s="329" t="n"/>
      <c r="R228" s="329" t="n"/>
      <c r="S228" s="329" t="n"/>
      <c r="T228" s="329" t="n"/>
      <c r="U228" s="329" t="n"/>
      <c r="V228" s="329" t="n"/>
      <c r="W228" s="329" t="n"/>
      <c r="X228" s="329" t="n"/>
      <c r="Y228" s="329" t="n"/>
      <c r="Z228" s="329" t="n"/>
      <c r="AA228" s="329" t="n"/>
      <c r="AB228" s="329" t="n"/>
      <c r="AC228" s="329" t="n"/>
      <c r="AD228" s="329" t="n"/>
      <c r="AE228" s="329" t="n"/>
    </row>
    <row r="229">
      <c r="A229" s="329" t="inlineStr">
        <is>
          <t>3F Rule</t>
        </is>
      </c>
      <c r="B229" s="329" t="inlineStr">
        <is>
          <t>Formatting visualizes status only</t>
        </is>
      </c>
      <c r="C229" s="329" t="inlineStr">
        <is>
          <t>No chronology is changed</t>
        </is>
      </c>
      <c r="D229" s="329" t="inlineStr">
        <is>
          <t>No payment is inferred</t>
        </is>
      </c>
      <c r="E229" s="329" t="inlineStr">
        <is>
          <t>No exception is silently cleared</t>
        </is>
      </c>
      <c r="F229" s="329" t="inlineStr">
        <is>
          <t>Workbook remains authoritative</t>
        </is>
      </c>
      <c r="G229" s="329" t="n"/>
      <c r="H229" s="329" t="n"/>
      <c r="I229" s="329" t="n"/>
      <c r="J229" s="329" t="n"/>
      <c r="K229" s="329" t="n"/>
      <c r="L229" s="329" t="n"/>
      <c r="M229" s="329" t="n"/>
      <c r="N229" s="329" t="n"/>
      <c r="O229" s="329" t="n"/>
      <c r="P229" s="329" t="n"/>
      <c r="Q229" s="329" t="n"/>
      <c r="R229" s="329" t="n"/>
      <c r="S229" s="329" t="n"/>
      <c r="T229" s="329" t="n"/>
      <c r="U229" s="329" t="n"/>
      <c r="V229" s="329" t="n"/>
      <c r="W229" s="329" t="n"/>
      <c r="X229" s="329" t="n"/>
      <c r="Y229" s="329" t="n"/>
      <c r="Z229" s="329" t="n"/>
      <c r="AA229" s="329" t="n"/>
      <c r="AB229" s="329" t="n"/>
      <c r="AC229" s="329" t="n"/>
      <c r="AD229" s="329" t="n"/>
      <c r="AE229" s="329" t="n"/>
    </row>
    <row r="230">
      <c r="A230" s="388" t="inlineStr">
        <is>
          <t>Sequence Note</t>
        </is>
      </c>
      <c r="B230" s="349" t="inlineStr">
        <is>
          <t>Phase 3H completed ahead of Phase 3G at the user's direction</t>
        </is>
      </c>
      <c r="C230" s="349" t="n"/>
      <c r="D230" s="349" t="n"/>
      <c r="E230" s="349" t="n"/>
      <c r="F230" s="349" t="n"/>
      <c r="G230" s="329" t="n"/>
      <c r="H230" s="329" t="n"/>
      <c r="I230" s="329" t="n"/>
      <c r="J230" s="329" t="n"/>
      <c r="K230" s="329" t="n"/>
      <c r="L230" s="329" t="n"/>
      <c r="M230" s="329" t="n"/>
      <c r="N230" s="329" t="n"/>
      <c r="O230" s="329" t="n"/>
      <c r="P230" s="329" t="n"/>
      <c r="Q230" s="329" t="n"/>
      <c r="R230" s="329" t="n"/>
      <c r="S230" s="329" t="n"/>
      <c r="T230" s="329" t="n"/>
      <c r="U230" s="329" t="n"/>
      <c r="V230" s="329" t="n"/>
      <c r="W230" s="329" t="n"/>
      <c r="X230" s="329" t="n"/>
      <c r="Y230" s="329" t="n"/>
      <c r="Z230" s="329" t="n"/>
      <c r="AA230" s="329" t="n"/>
      <c r="AB230" s="329" t="n"/>
      <c r="AC230" s="329" t="n"/>
      <c r="AD230" s="329" t="n"/>
      <c r="AE230" s="329" t="n"/>
    </row>
    <row r="231">
      <c r="A231" s="349" t="inlineStr">
        <is>
          <t>Remaining Phase</t>
        </is>
      </c>
      <c r="B231" s="349" t="inlineStr">
        <is>
          <t>PHASE 3G — Self-Healing Rules</t>
        </is>
      </c>
      <c r="C231" s="349" t="n"/>
      <c r="D231" s="349" t="n"/>
      <c r="E231" s="349" t="n"/>
      <c r="F231" s="349" t="n"/>
      <c r="G231" s="329" t="n"/>
      <c r="H231" s="329" t="n"/>
      <c r="I231" s="329" t="n"/>
      <c r="J231" s="329" t="n"/>
      <c r="K231" s="329" t="n"/>
      <c r="L231" s="329" t="n"/>
      <c r="M231" s="329" t="n"/>
      <c r="N231" s="329" t="n"/>
      <c r="O231" s="329" t="n"/>
      <c r="P231" s="329" t="n"/>
      <c r="Q231" s="329" t="n"/>
      <c r="R231" s="329" t="n"/>
      <c r="S231" s="329" t="n"/>
      <c r="T231" s="329" t="n"/>
      <c r="U231" s="329" t="n"/>
      <c r="V231" s="329" t="n"/>
      <c r="W231" s="329" t="n"/>
      <c r="X231" s="329" t="n"/>
      <c r="Y231" s="329" t="n"/>
      <c r="Z231" s="329" t="n"/>
      <c r="AA231" s="329" t="n"/>
      <c r="AB231" s="329" t="n"/>
      <c r="AC231" s="329" t="n"/>
      <c r="AD231" s="329" t="n"/>
      <c r="AE231" s="329" t="n"/>
    </row>
    <row r="232" ht="28" customHeight="1" s="192">
      <c r="A232" s="398" t="inlineStr">
        <is>
          <t>PHASE 3G — Self-Healing Rules</t>
        </is>
      </c>
      <c r="B232" s="398" t="inlineStr">
        <is>
          <t>Completed</t>
        </is>
      </c>
      <c r="C232" s="398" t="inlineStr">
        <is>
          <t>2026-07-14</t>
        </is>
      </c>
      <c r="D232" s="398" t="n"/>
      <c r="E232" s="398" t="n"/>
      <c r="F232" s="398" t="n"/>
      <c r="G232" s="329" t="n"/>
      <c r="H232" s="329" t="n"/>
      <c r="I232" s="329" t="n"/>
      <c r="J232" s="329" t="n"/>
      <c r="K232" s="329" t="n"/>
      <c r="L232" s="329" t="n"/>
      <c r="M232" s="329" t="n"/>
      <c r="N232" s="329" t="n"/>
      <c r="O232" s="329" t="n"/>
      <c r="P232" s="329" t="n"/>
      <c r="Q232" s="329" t="n"/>
      <c r="R232" s="329" t="n"/>
      <c r="S232" s="329" t="n"/>
      <c r="T232" s="329" t="n"/>
      <c r="U232" s="329" t="n"/>
      <c r="V232" s="329" t="n"/>
      <c r="W232" s="329" t="n"/>
      <c r="X232" s="329" t="n"/>
      <c r="Y232" s="329" t="n"/>
      <c r="Z232" s="329" t="n"/>
      <c r="AA232" s="329" t="n"/>
      <c r="AB232" s="329" t="n"/>
      <c r="AC232" s="329" t="n"/>
      <c r="AD232" s="329" t="n"/>
      <c r="AE232" s="329" t="n"/>
    </row>
    <row r="233" ht="28" customHeight="1" s="192">
      <c r="A233" s="330" t="inlineStr">
        <is>
          <t>Design Principle</t>
        </is>
      </c>
      <c r="B233" s="329" t="inlineStr">
        <is>
          <t>Non-destructive automatic repair</t>
        </is>
      </c>
      <c r="C233" s="329" t="n"/>
      <c r="D233" s="329" t="n"/>
      <c r="E233" s="329" t="n"/>
      <c r="F233" s="329" t="n"/>
      <c r="G233" s="329" t="n"/>
      <c r="H233" s="329" t="n"/>
      <c r="I233" s="329" t="n"/>
      <c r="J233" s="329" t="n"/>
      <c r="K233" s="329" t="n"/>
      <c r="L233" s="329" t="n"/>
      <c r="M233" s="329" t="n"/>
      <c r="N233" s="329" t="n"/>
      <c r="O233" s="329" t="n"/>
      <c r="P233" s="329" t="n"/>
      <c r="Q233" s="329" t="n"/>
      <c r="R233" s="329" t="n"/>
      <c r="S233" s="329" t="n"/>
      <c r="T233" s="329" t="n"/>
      <c r="U233" s="329" t="n"/>
      <c r="V233" s="329" t="n"/>
      <c r="W233" s="329" t="n"/>
      <c r="X233" s="329" t="n"/>
      <c r="Y233" s="329" t="n"/>
      <c r="Z233" s="329" t="n"/>
      <c r="AA233" s="329" t="n"/>
      <c r="AB233" s="329" t="n"/>
      <c r="AC233" s="329" t="n"/>
      <c r="AD233" s="329" t="n"/>
      <c r="AE233" s="329" t="n"/>
    </row>
    <row r="234" ht="28" customHeight="1" s="192">
      <c r="A234" s="330" t="inlineStr">
        <is>
          <t>Auto-Managed Service Fields</t>
        </is>
      </c>
      <c r="B234" s="329" t="inlineStr">
        <is>
          <t>Physical Visit ID</t>
        </is>
      </c>
      <c r="C234" s="329" t="inlineStr">
        <is>
          <t>Weekday</t>
        </is>
      </c>
      <c r="D234" s="329" t="inlineStr">
        <is>
          <t>Location Key</t>
        </is>
      </c>
      <c r="E234" s="329" t="inlineStr">
        <is>
          <t>Revenue Eligibility</t>
        </is>
      </c>
      <c r="F234" s="329" t="inlineStr">
        <is>
          <t>Breakdown Expected</t>
        </is>
      </c>
      <c r="G234" s="329" t="n"/>
      <c r="H234" s="329" t="n"/>
      <c r="I234" s="329" t="n"/>
      <c r="J234" s="329" t="n"/>
      <c r="K234" s="329" t="n"/>
      <c r="L234" s="329" t="n"/>
      <c r="M234" s="329" t="n"/>
      <c r="N234" s="329" t="n"/>
      <c r="O234" s="329" t="n"/>
      <c r="P234" s="329" t="n"/>
      <c r="Q234" s="329" t="n"/>
      <c r="R234" s="329" t="n"/>
      <c r="S234" s="329" t="n"/>
      <c r="T234" s="329" t="n"/>
      <c r="U234" s="329" t="n"/>
      <c r="V234" s="329" t="n"/>
      <c r="W234" s="329" t="n"/>
      <c r="X234" s="329" t="n"/>
      <c r="Y234" s="329" t="n"/>
      <c r="Z234" s="329" t="n"/>
      <c r="AA234" s="329" t="n"/>
      <c r="AB234" s="329" t="n"/>
      <c r="AC234" s="329" t="n"/>
      <c r="AD234" s="329" t="n"/>
      <c r="AE234" s="329" t="n"/>
    </row>
    <row r="235" ht="28" customHeight="1" s="192">
      <c r="A235" s="400" t="inlineStr">
        <is>
          <t>Auto-Managed Ledger Fields</t>
        </is>
      </c>
      <c r="B235" s="329" t="inlineStr">
        <is>
          <t>Weekday</t>
        </is>
      </c>
      <c r="C235" s="329" t="inlineStr">
        <is>
          <t>Location Key</t>
        </is>
      </c>
      <c r="D235" s="329" t="inlineStr">
        <is>
          <t>Variance</t>
        </is>
      </c>
      <c r="E235" s="329" t="n"/>
      <c r="F235" s="329" t="n"/>
      <c r="G235" s="329" t="n"/>
      <c r="H235" s="329" t="n"/>
      <c r="I235" s="329" t="n"/>
      <c r="J235" s="329" t="n"/>
      <c r="K235" s="329" t="n"/>
      <c r="L235" s="329" t="n"/>
      <c r="M235" s="329" t="n"/>
      <c r="N235" s="329" t="n"/>
      <c r="O235" s="329" t="n"/>
      <c r="P235" s="329" t="n"/>
      <c r="Q235" s="329" t="n"/>
      <c r="R235" s="329" t="n"/>
      <c r="S235" s="329" t="n"/>
      <c r="T235" s="329" t="n"/>
      <c r="U235" s="329" t="n"/>
      <c r="V235" s="329" t="n"/>
      <c r="W235" s="329" t="n"/>
      <c r="X235" s="329" t="n"/>
      <c r="Y235" s="329" t="n"/>
      <c r="Z235" s="329" t="n"/>
      <c r="AA235" s="329" t="n"/>
      <c r="AB235" s="329" t="n"/>
      <c r="AC235" s="329" t="n"/>
      <c r="AD235" s="329" t="n"/>
      <c r="AE235" s="329" t="n"/>
    </row>
    <row r="236" ht="28" customHeight="1" s="192">
      <c r="A236" s="400" t="inlineStr">
        <is>
          <t>Formula Ownership</t>
        </is>
      </c>
      <c r="B236" s="329" t="inlineStr">
        <is>
          <t>Derived fields recalculate from authoritative inputs</t>
        </is>
      </c>
      <c r="C236" s="329" t="inlineStr">
        <is>
          <t>Future table rows inherit calculated-column behavior in Excel</t>
        </is>
      </c>
      <c r="D236" s="329" t="n"/>
      <c r="E236" s="329" t="n"/>
      <c r="F236" s="329" t="n"/>
      <c r="G236" s="329" t="n"/>
      <c r="H236" s="329" t="n"/>
      <c r="I236" s="329" t="n"/>
      <c r="J236" s="329" t="n"/>
      <c r="K236" s="329" t="n"/>
      <c r="L236" s="329" t="n"/>
      <c r="M236" s="329" t="n"/>
      <c r="N236" s="329" t="n"/>
      <c r="O236" s="329" t="n"/>
      <c r="P236" s="329" t="n"/>
      <c r="Q236" s="329" t="n"/>
      <c r="R236" s="329" t="n"/>
      <c r="S236" s="329" t="n"/>
      <c r="T236" s="329" t="n"/>
      <c r="U236" s="329" t="n"/>
      <c r="V236" s="329" t="n"/>
      <c r="W236" s="329" t="n"/>
      <c r="X236" s="329" t="n"/>
      <c r="Y236" s="329" t="n"/>
      <c r="Z236" s="329" t="n"/>
      <c r="AA236" s="329" t="n"/>
      <c r="AB236" s="329" t="n"/>
      <c r="AC236" s="329" t="n"/>
      <c r="AD236" s="329" t="n"/>
      <c r="AE236" s="329" t="n"/>
    </row>
    <row r="237" ht="28" customHeight="1" s="192">
      <c r="A237" s="400" t="inlineStr">
        <is>
          <t>Protected Identity Fields</t>
        </is>
      </c>
      <c r="B237" s="329" t="inlineStr">
        <is>
          <t>Event #</t>
        </is>
      </c>
      <c r="C237" s="329" t="inlineStr">
        <is>
          <t>Service Date</t>
        </is>
      </c>
      <c r="D237" s="329" t="inlineStr">
        <is>
          <t>Client / Site / Location</t>
        </is>
      </c>
      <c r="E237" s="329" t="inlineStr">
        <is>
          <t>Work Order #</t>
        </is>
      </c>
      <c r="F237" s="329" t="inlineStr">
        <is>
          <t>Source / Evidence</t>
        </is>
      </c>
      <c r="G237" s="329" t="n"/>
      <c r="H237" s="329" t="n"/>
      <c r="I237" s="329" t="n"/>
      <c r="J237" s="329" t="n"/>
      <c r="K237" s="329" t="n"/>
      <c r="L237" s="329" t="n"/>
      <c r="M237" s="329" t="n"/>
      <c r="N237" s="329" t="n"/>
      <c r="O237" s="329" t="n"/>
      <c r="P237" s="329" t="n"/>
      <c r="Q237" s="329" t="n"/>
      <c r="R237" s="329" t="n"/>
      <c r="S237" s="329" t="n"/>
      <c r="T237" s="329" t="n"/>
      <c r="U237" s="329" t="n"/>
      <c r="V237" s="329" t="n"/>
      <c r="W237" s="329" t="n"/>
      <c r="X237" s="329" t="n"/>
      <c r="Y237" s="329" t="n"/>
      <c r="Z237" s="329" t="n"/>
      <c r="AA237" s="329" t="n"/>
      <c r="AB237" s="329" t="n"/>
      <c r="AC237" s="329" t="n"/>
      <c r="AD237" s="329" t="n"/>
      <c r="AE237" s="329" t="n"/>
    </row>
    <row r="238" ht="28" customHeight="1" s="192">
      <c r="A238" s="400" t="inlineStr">
        <is>
          <t>Protected Financial Fields</t>
        </is>
      </c>
      <c r="B238" s="329" t="inlineStr">
        <is>
          <t>Agreed Amount</t>
        </is>
      </c>
      <c r="C238" s="329" t="inlineStr">
        <is>
          <t>Breakdown Amount / Date</t>
        </is>
      </c>
      <c r="D238" s="329" t="inlineStr">
        <is>
          <t>ACH Amount / Date</t>
        </is>
      </c>
      <c r="E238" s="329" t="inlineStr">
        <is>
          <t>Expected Payment Date</t>
        </is>
      </c>
      <c r="F238" s="329" t="inlineStr">
        <is>
          <t>Never inferred</t>
        </is>
      </c>
      <c r="G238" s="329" t="n"/>
      <c r="H238" s="329" t="n"/>
      <c r="I238" s="329" t="n"/>
      <c r="J238" s="329" t="n"/>
      <c r="K238" s="329" t="n"/>
      <c r="L238" s="329" t="n"/>
      <c r="M238" s="329" t="n"/>
      <c r="N238" s="329" t="n"/>
      <c r="O238" s="329" t="n"/>
      <c r="P238" s="329" t="n"/>
      <c r="Q238" s="329" t="n"/>
      <c r="R238" s="329" t="n"/>
      <c r="S238" s="329" t="n"/>
      <c r="T238" s="329" t="n"/>
      <c r="U238" s="329" t="n"/>
      <c r="V238" s="329" t="n"/>
      <c r="W238" s="329" t="n"/>
      <c r="X238" s="329" t="n"/>
      <c r="Y238" s="329" t="n"/>
      <c r="Z238" s="329" t="n"/>
      <c r="AA238" s="329" t="n"/>
      <c r="AB238" s="329" t="n"/>
      <c r="AC238" s="329" t="n"/>
      <c r="AD238" s="329" t="n"/>
      <c r="AE238" s="329" t="n"/>
    </row>
    <row r="239" ht="28" customHeight="1" s="192">
      <c r="A239" s="400" t="inlineStr">
        <is>
          <t>Protected Mapping Fields</t>
        </is>
      </c>
      <c r="B239" s="329" t="inlineStr">
        <is>
          <t>Event-to-WO ownership</t>
        </is>
      </c>
      <c r="C239" s="329" t="inlineStr">
        <is>
          <t>Duplicate resolution</t>
        </is>
      </c>
      <c r="D239" s="329" t="inlineStr">
        <is>
          <t>Mapping Holds</t>
        </is>
      </c>
      <c r="E239" s="329" t="inlineStr">
        <is>
          <t>Human review only</t>
        </is>
      </c>
      <c r="F239" s="329" t="n"/>
      <c r="G239" s="329" t="n"/>
      <c r="H239" s="329" t="n"/>
      <c r="I239" s="329" t="n"/>
      <c r="J239" s="329" t="n"/>
      <c r="K239" s="329" t="n"/>
      <c r="L239" s="329" t="n"/>
      <c r="M239" s="329" t="n"/>
      <c r="N239" s="329" t="n"/>
      <c r="O239" s="329" t="n"/>
      <c r="P239" s="329" t="n"/>
      <c r="Q239" s="329" t="n"/>
      <c r="R239" s="329" t="n"/>
      <c r="S239" s="329" t="n"/>
      <c r="T239" s="329" t="n"/>
      <c r="U239" s="329" t="n"/>
      <c r="V239" s="329" t="n"/>
      <c r="W239" s="329" t="n"/>
      <c r="X239" s="329" t="n"/>
      <c r="Y239" s="329" t="n"/>
      <c r="Z239" s="329" t="n"/>
      <c r="AA239" s="329" t="n"/>
      <c r="AB239" s="329" t="n"/>
      <c r="AC239" s="329" t="n"/>
      <c r="AD239" s="329" t="n"/>
      <c r="AE239" s="329" t="n"/>
    </row>
    <row r="240" ht="28" customHeight="1" s="192">
      <c r="A240" s="400" t="inlineStr">
        <is>
          <t>Advisory Rule</t>
        </is>
      </c>
      <c r="B240" s="329" t="inlineStr">
        <is>
          <t>Pending breakdown, ACH, partial, and variance states remain visible</t>
        </is>
      </c>
      <c r="C240" s="329" t="inlineStr">
        <is>
          <t>No silent closure</t>
        </is>
      </c>
      <c r="D240" s="329" t="n"/>
      <c r="E240" s="329" t="n"/>
      <c r="F240" s="329" t="n"/>
      <c r="G240" s="329" t="n"/>
      <c r="H240" s="329" t="n"/>
      <c r="I240" s="329" t="n"/>
      <c r="J240" s="329" t="n"/>
      <c r="K240" s="329" t="n"/>
      <c r="L240" s="329" t="n"/>
      <c r="M240" s="329" t="n"/>
      <c r="N240" s="329" t="n"/>
      <c r="O240" s="329" t="n"/>
      <c r="P240" s="329" t="n"/>
      <c r="Q240" s="329" t="n"/>
      <c r="R240" s="329" t="n"/>
      <c r="S240" s="329" t="n"/>
      <c r="T240" s="329" t="n"/>
      <c r="U240" s="329" t="n"/>
      <c r="V240" s="329" t="n"/>
      <c r="W240" s="329" t="n"/>
      <c r="X240" s="329" t="n"/>
      <c r="Y240" s="329" t="n"/>
      <c r="Z240" s="329" t="n"/>
      <c r="AA240" s="329" t="n"/>
      <c r="AB240" s="329" t="n"/>
      <c r="AC240" s="329" t="n"/>
      <c r="AD240" s="329" t="n"/>
      <c r="AE240" s="329" t="n"/>
    </row>
    <row r="241" ht="28" customHeight="1" s="192">
      <c r="A241" s="400" t="inlineStr">
        <is>
          <t>Safety Model</t>
        </is>
      </c>
      <c r="B241" s="329" t="inlineStr">
        <is>
          <t>Phase 3G repairs deterministic fields</t>
        </is>
      </c>
      <c r="C241" s="329" t="inlineStr">
        <is>
          <t>Phase 3H validates all structural relationships</t>
        </is>
      </c>
      <c r="D241" s="329" t="inlineStr">
        <is>
          <t>Unsafe changes fail the Integrity Gate</t>
        </is>
      </c>
      <c r="E241" s="329" t="n"/>
      <c r="F241" s="329" t="n"/>
      <c r="G241" s="329" t="n"/>
      <c r="H241" s="329" t="n"/>
      <c r="I241" s="329" t="n"/>
      <c r="J241" s="329" t="n"/>
      <c r="K241" s="329" t="n"/>
      <c r="L241" s="329" t="n"/>
      <c r="M241" s="329" t="n"/>
      <c r="N241" s="329" t="n"/>
      <c r="O241" s="329" t="n"/>
      <c r="P241" s="329" t="n"/>
      <c r="Q241" s="329" t="n"/>
      <c r="R241" s="329" t="n"/>
      <c r="S241" s="329" t="n"/>
      <c r="T241" s="329" t="n"/>
      <c r="U241" s="329" t="n"/>
      <c r="V241" s="329" t="n"/>
      <c r="W241" s="329" t="n"/>
      <c r="X241" s="329" t="n"/>
      <c r="Y241" s="329" t="n"/>
      <c r="Z241" s="329" t="n"/>
      <c r="AA241" s="329" t="n"/>
      <c r="AB241" s="329" t="n"/>
      <c r="AC241" s="329" t="n"/>
      <c r="AD241" s="329" t="n"/>
      <c r="AE241" s="329" t="n"/>
    </row>
    <row r="242" ht="28" customHeight="1" s="192">
      <c r="A242" s="400" t="inlineStr">
        <is>
          <t>Current Auto Exceptions</t>
        </is>
      </c>
      <c r="B242" s="329">
        <f>'Self-Healing Rules'!C6</f>
        <v/>
      </c>
      <c r="C242" s="329" t="n"/>
      <c r="D242" s="329" t="n"/>
      <c r="E242" s="329" t="n"/>
      <c r="F242" s="329" t="n"/>
      <c r="G242" s="329" t="n"/>
      <c r="H242" s="329" t="n"/>
      <c r="I242" s="329" t="n"/>
      <c r="J242" s="329" t="n"/>
      <c r="K242" s="329" t="n"/>
      <c r="L242" s="329" t="n"/>
      <c r="M242" s="329" t="n"/>
      <c r="N242" s="329" t="n"/>
      <c r="O242" s="329" t="n"/>
      <c r="P242" s="329" t="n"/>
      <c r="Q242" s="329" t="n"/>
      <c r="R242" s="329" t="n"/>
      <c r="S242" s="329" t="n"/>
      <c r="T242" s="329" t="n"/>
      <c r="U242" s="329" t="n"/>
      <c r="V242" s="329" t="n"/>
      <c r="W242" s="329" t="n"/>
      <c r="X242" s="329" t="n"/>
      <c r="Y242" s="329" t="n"/>
      <c r="Z242" s="329" t="n"/>
      <c r="AA242" s="329" t="n"/>
      <c r="AB242" s="329" t="n"/>
      <c r="AC242" s="329" t="n"/>
      <c r="AD242" s="329" t="n"/>
      <c r="AE242" s="329" t="n"/>
    </row>
    <row r="243" ht="28" customHeight="1" s="192">
      <c r="A243" s="400" t="inlineStr">
        <is>
          <t>Current Quarantined Holds</t>
        </is>
      </c>
      <c r="B243" s="329">
        <f>'Self-Healing Rules'!G6</f>
        <v/>
      </c>
      <c r="C243" s="329" t="n"/>
      <c r="D243" s="329" t="n"/>
      <c r="E243" s="329" t="n"/>
      <c r="F243" s="329" t="n"/>
      <c r="G243" s="329" t="n"/>
      <c r="H243" s="329" t="n"/>
      <c r="I243" s="329" t="n"/>
      <c r="J243" s="329" t="n"/>
      <c r="K243" s="329" t="n"/>
      <c r="L243" s="329" t="n"/>
      <c r="M243" s="329" t="n"/>
      <c r="N243" s="329" t="n"/>
      <c r="O243" s="329" t="n"/>
      <c r="P243" s="329" t="n"/>
      <c r="Q243" s="329" t="n"/>
      <c r="R243" s="329" t="n"/>
      <c r="S243" s="329" t="n"/>
      <c r="T243" s="329" t="n"/>
      <c r="U243" s="329" t="n"/>
      <c r="V243" s="329" t="n"/>
      <c r="W243" s="329" t="n"/>
      <c r="X243" s="329" t="n"/>
      <c r="Y243" s="329" t="n"/>
      <c r="Z243" s="329" t="n"/>
      <c r="AA243" s="329" t="n"/>
      <c r="AB243" s="329" t="n"/>
      <c r="AC243" s="329" t="n"/>
      <c r="AD243" s="329" t="n"/>
      <c r="AE243" s="329" t="n"/>
    </row>
    <row r="244" ht="28" customHeight="1" s="192">
      <c r="A244" s="400" t="inlineStr">
        <is>
          <t>Version Note</t>
        </is>
      </c>
      <c r="B244" s="329" t="inlineStr">
        <is>
          <t>Phase 3G added after Phase 3H without altering chronology or financial evidence</t>
        </is>
      </c>
      <c r="C244" s="329" t="n"/>
      <c r="D244" s="329" t="n"/>
      <c r="E244" s="329" t="n"/>
      <c r="F244" s="329" t="n"/>
      <c r="G244" s="329" t="n"/>
      <c r="H244" s="329" t="n"/>
      <c r="I244" s="329" t="n"/>
      <c r="J244" s="329" t="n"/>
      <c r="K244" s="329" t="n"/>
      <c r="L244" s="329" t="n"/>
      <c r="M244" s="329" t="n"/>
      <c r="N244" s="329" t="n"/>
      <c r="O244" s="329" t="n"/>
      <c r="P244" s="329" t="n"/>
      <c r="Q244" s="329" t="n"/>
      <c r="R244" s="329" t="n"/>
      <c r="S244" s="329" t="n"/>
      <c r="T244" s="329" t="n"/>
      <c r="U244" s="329" t="n"/>
      <c r="V244" s="329" t="n"/>
      <c r="W244" s="329" t="n"/>
      <c r="X244" s="329" t="n"/>
      <c r="Y244" s="329" t="n"/>
      <c r="Z244" s="329" t="n"/>
      <c r="AA244" s="329" t="n"/>
      <c r="AB244" s="329" t="n"/>
      <c r="AC244" s="329" t="n"/>
      <c r="AD244" s="329" t="n"/>
      <c r="AE244" s="329" t="n"/>
    </row>
    <row r="245" ht="28" customHeight="1" s="192">
      <c r="A245" s="400" t="inlineStr">
        <is>
          <t>Output Version</t>
        </is>
      </c>
      <c r="B245" s="329" t="inlineStr">
        <is>
          <t>Barrister_Master_v2_Phase3G_3H_Complete.xlsx</t>
        </is>
      </c>
      <c r="C245" s="329" t="n"/>
      <c r="D245" s="329" t="n"/>
      <c r="E245" s="329" t="n"/>
      <c r="F245" s="329" t="n"/>
      <c r="G245" s="329" t="n"/>
      <c r="H245" s="329" t="n"/>
      <c r="I245" s="329" t="n"/>
      <c r="J245" s="329" t="n"/>
      <c r="K245" s="329" t="n"/>
      <c r="L245" s="329" t="n"/>
      <c r="M245" s="329" t="n"/>
      <c r="N245" s="329" t="n"/>
      <c r="O245" s="329" t="n"/>
      <c r="P245" s="329" t="n"/>
      <c r="Q245" s="329" t="n"/>
      <c r="R245" s="329" t="n"/>
      <c r="S245" s="329" t="n"/>
      <c r="T245" s="329" t="n"/>
      <c r="U245" s="329" t="n"/>
      <c r="V245" s="329" t="n"/>
      <c r="W245" s="329" t="n"/>
      <c r="X245" s="329" t="n"/>
      <c r="Y245" s="329" t="n"/>
      <c r="Z245" s="329" t="n"/>
      <c r="AA245" s="329" t="n"/>
      <c r="AB245" s="329" t="n"/>
      <c r="AC245" s="329" t="n"/>
      <c r="AD245" s="329" t="n"/>
      <c r="AE245" s="329" t="n"/>
    </row>
    <row r="246">
      <c r="A246" s="400" t="inlineStr">
        <is>
          <t>2026-07-15 Authoritative Delta &amp; Promotion</t>
        </is>
      </c>
      <c r="B246" s="329" t="inlineStr">
        <is>
          <t>Completed</t>
        </is>
      </c>
      <c r="C246" s="329" t="n"/>
      <c r="D246" s="329" t="n"/>
      <c r="E246" s="329" t="n"/>
      <c r="F246" s="329" t="n"/>
      <c r="G246" s="329" t="n"/>
      <c r="H246" s="329" t="n"/>
      <c r="I246" s="329" t="n"/>
      <c r="J246" s="329" t="n"/>
      <c r="K246" s="329" t="n"/>
      <c r="L246" s="329" t="n"/>
      <c r="M246" s="329" t="n"/>
      <c r="N246" s="329" t="n"/>
      <c r="O246" s="329" t="n"/>
      <c r="P246" s="329" t="n"/>
      <c r="Q246" s="329" t="n"/>
      <c r="R246" s="329" t="n"/>
      <c r="S246" s="329" t="n"/>
      <c r="T246" s="329" t="n"/>
      <c r="U246" s="329" t="n"/>
      <c r="V246" s="329" t="n"/>
      <c r="W246" s="329" t="n"/>
      <c r="X246" s="329" t="n"/>
      <c r="Y246" s="329" t="n"/>
      <c r="Z246" s="329" t="n"/>
      <c r="AA246" s="329" t="n"/>
      <c r="AB246" s="329" t="n"/>
      <c r="AC246" s="329" t="n"/>
      <c r="AD246" s="329" t="n"/>
      <c r="AE246" s="329" t="n"/>
    </row>
    <row r="247">
      <c r="A247" s="400" t="inlineStr">
        <is>
          <t>Event 66</t>
        </is>
      </c>
      <c r="B247" s="329" t="inlineStr">
        <is>
          <t>TJ Maxx — Bel Air</t>
        </is>
      </c>
      <c r="C247" s="329" t="inlineStr">
        <is>
          <t>WO 5909385</t>
        </is>
      </c>
      <c r="D247" s="329" t="inlineStr">
        <is>
          <t>Completed</t>
        </is>
      </c>
      <c r="E247" s="329" t="inlineStr">
        <is>
          <t>$45/hour; breakdown pending</t>
        </is>
      </c>
      <c r="F247" s="329" t="inlineStr">
        <is>
          <t>NextGen 11 installed; VH1 decommissioned and prepared for return</t>
        </is>
      </c>
      <c r="G247" s="329" t="n"/>
      <c r="H247" s="329" t="n"/>
      <c r="I247" s="329" t="n"/>
      <c r="J247" s="329" t="n"/>
      <c r="K247" s="329" t="n"/>
      <c r="L247" s="329" t="n"/>
      <c r="M247" s="329" t="n"/>
      <c r="N247" s="329" t="n"/>
      <c r="O247" s="329" t="n"/>
      <c r="P247" s="329" t="n"/>
      <c r="Q247" s="329" t="n"/>
      <c r="R247" s="329" t="n"/>
      <c r="S247" s="329" t="n"/>
      <c r="T247" s="329" t="n"/>
      <c r="U247" s="329" t="n"/>
      <c r="V247" s="329" t="n"/>
      <c r="W247" s="329" t="n"/>
      <c r="X247" s="329" t="n"/>
      <c r="Y247" s="329" t="n"/>
      <c r="Z247" s="329" t="n"/>
      <c r="AA247" s="329" t="n"/>
      <c r="AB247" s="329" t="n"/>
      <c r="AC247" s="329" t="n"/>
      <c r="AD247" s="329" t="n"/>
      <c r="AE247" s="329" t="n"/>
    </row>
    <row r="248">
      <c r="A248" s="400" t="inlineStr">
        <is>
          <t>Event 67</t>
        </is>
      </c>
      <c r="B248" s="329" t="inlineStr">
        <is>
          <t>Dunkin — Aberdeen</t>
        </is>
      </c>
      <c r="C248" s="329" t="inlineStr">
        <is>
          <t>WO 5914898</t>
        </is>
      </c>
      <c r="D248" s="329" t="inlineStr">
        <is>
          <t>Completed</t>
        </is>
      </c>
      <c r="E248" s="329" t="inlineStr">
        <is>
          <t>$183.74 breakdown confirmed</t>
        </is>
      </c>
      <c r="F248" s="329" t="inlineStr">
        <is>
          <t>Expected 2026-07-28; ACH pending</t>
        </is>
      </c>
      <c r="G248" s="329" t="n"/>
      <c r="H248" s="329" t="n"/>
      <c r="I248" s="329" t="n"/>
      <c r="J248" s="329" t="n"/>
      <c r="K248" s="329" t="n"/>
      <c r="L248" s="329" t="n"/>
      <c r="M248" s="329" t="n"/>
      <c r="N248" s="329" t="n"/>
      <c r="O248" s="329" t="n"/>
      <c r="P248" s="329" t="n"/>
      <c r="Q248" s="329" t="n"/>
      <c r="R248" s="329" t="n"/>
      <c r="S248" s="329" t="n"/>
      <c r="T248" s="329" t="n"/>
      <c r="U248" s="329" t="n"/>
      <c r="V248" s="329" t="n"/>
      <c r="W248" s="329" t="n"/>
      <c r="X248" s="329" t="n"/>
      <c r="Y248" s="329" t="n"/>
      <c r="Z248" s="329" t="n"/>
      <c r="AA248" s="329" t="n"/>
      <c r="AB248" s="329" t="n"/>
      <c r="AC248" s="329" t="n"/>
      <c r="AD248" s="329" t="n"/>
      <c r="AE248" s="329" t="n"/>
    </row>
    <row r="249">
      <c r="A249" s="400" t="inlineStr">
        <is>
          <t>ACH Delta</t>
        </is>
      </c>
      <c r="B249" s="329" t="inlineStr">
        <is>
          <t>Event 54 — 7-Eleven Owings Mills</t>
        </is>
      </c>
      <c r="C249" s="329" t="inlineStr">
        <is>
          <t>WO 5910094</t>
        </is>
      </c>
      <c r="D249" s="329" t="inlineStr">
        <is>
          <t>$120.00 ACH processed</t>
        </is>
      </c>
      <c r="E249" s="329" t="inlineStr">
        <is>
          <t>ACH date 2026-07-14</t>
        </is>
      </c>
      <c r="F249" s="329" t="inlineStr">
        <is>
          <t>Removed from Pending ACH</t>
        </is>
      </c>
      <c r="G249" s="329" t="n"/>
      <c r="H249" s="329" t="n"/>
      <c r="I249" s="329" t="n"/>
      <c r="J249" s="329" t="n"/>
      <c r="K249" s="329" t="n"/>
      <c r="L249" s="329" t="n"/>
      <c r="M249" s="329" t="n"/>
      <c r="N249" s="329" t="n"/>
      <c r="O249" s="329" t="n"/>
      <c r="P249" s="329" t="n"/>
      <c r="Q249" s="329" t="n"/>
      <c r="R249" s="329" t="n"/>
      <c r="S249" s="329" t="n"/>
      <c r="T249" s="329" t="n"/>
      <c r="U249" s="329" t="n"/>
      <c r="V249" s="329" t="n"/>
      <c r="W249" s="329" t="n"/>
      <c r="X249" s="329" t="n"/>
      <c r="Y249" s="329" t="n"/>
      <c r="Z249" s="329" t="n"/>
      <c r="AA249" s="329" t="n"/>
      <c r="AB249" s="329" t="n"/>
      <c r="AC249" s="329" t="n"/>
      <c r="AD249" s="329" t="n"/>
      <c r="AE249" s="329" t="n"/>
    </row>
    <row r="250">
      <c r="A250" s="400" t="inlineStr">
        <is>
          <t>Chronology</t>
        </is>
      </c>
      <c r="B250" s="329" t="inlineStr">
        <is>
          <t>Career event count</t>
        </is>
      </c>
      <c r="C250" s="329" t="n">
        <v>67</v>
      </c>
      <c r="D250" s="329" t="inlineStr">
        <is>
          <t>Latest completed event</t>
        </is>
      </c>
      <c r="E250" s="329" t="inlineStr">
        <is>
          <t>Event 67</t>
        </is>
      </c>
      <c r="F250" s="329" t="n"/>
      <c r="G250" s="329" t="n"/>
      <c r="H250" s="329" t="n"/>
      <c r="I250" s="329" t="n"/>
      <c r="J250" s="329" t="n"/>
      <c r="K250" s="329" t="n"/>
      <c r="L250" s="329" t="n"/>
      <c r="M250" s="329" t="n"/>
      <c r="N250" s="329" t="n"/>
      <c r="O250" s="329" t="n"/>
      <c r="P250" s="329" t="n"/>
      <c r="Q250" s="329" t="n"/>
      <c r="R250" s="329" t="n"/>
      <c r="S250" s="329" t="n"/>
      <c r="T250" s="329" t="n"/>
      <c r="U250" s="329" t="n"/>
      <c r="V250" s="329" t="n"/>
      <c r="W250" s="329" t="n"/>
      <c r="X250" s="329" t="n"/>
      <c r="Y250" s="329" t="n"/>
      <c r="Z250" s="329" t="n"/>
      <c r="AA250" s="329" t="n"/>
      <c r="AB250" s="329" t="n"/>
      <c r="AC250" s="329" t="n"/>
      <c r="AD250" s="329" t="n"/>
      <c r="AE250" s="329" t="n"/>
    </row>
    <row r="251">
      <c r="A251" s="400" t="inlineStr">
        <is>
          <t>Financial Scope</t>
        </is>
      </c>
      <c r="B251" s="329" t="inlineStr">
        <is>
          <t>Included events</t>
        </is>
      </c>
      <c r="C251" s="329" t="n">
        <v>63</v>
      </c>
      <c r="D251" s="329" t="inlineStr">
        <is>
          <t>Chronology-only exclusions</t>
        </is>
      </c>
      <c r="E251" s="329" t="n">
        <v>4</v>
      </c>
      <c r="F251" s="329" t="inlineStr">
        <is>
          <t>Events 9, 14, 23, 25</t>
        </is>
      </c>
      <c r="G251" s="329" t="n"/>
      <c r="H251" s="329" t="n"/>
      <c r="I251" s="329" t="n"/>
      <c r="J251" s="329" t="n"/>
      <c r="K251" s="329" t="n"/>
      <c r="L251" s="329" t="n"/>
      <c r="M251" s="329" t="n"/>
      <c r="N251" s="329" t="n"/>
      <c r="O251" s="329" t="n"/>
      <c r="P251" s="329" t="n"/>
      <c r="Q251" s="329" t="n"/>
      <c r="R251" s="329" t="n"/>
      <c r="S251" s="329" t="n"/>
      <c r="T251" s="329" t="n"/>
      <c r="U251" s="329" t="n"/>
      <c r="V251" s="329" t="n"/>
      <c r="W251" s="329" t="n"/>
      <c r="X251" s="329" t="n"/>
      <c r="Y251" s="329" t="n"/>
      <c r="Z251" s="329" t="n"/>
      <c r="AA251" s="329" t="n"/>
      <c r="AB251" s="329" t="n"/>
      <c r="AC251" s="329" t="n"/>
      <c r="AD251" s="329" t="n"/>
      <c r="AE251" s="329" t="n"/>
    </row>
    <row r="252">
      <c r="A252" s="400" t="inlineStr">
        <is>
          <t>Missing Breakdown Control</t>
        </is>
      </c>
      <c r="B252" s="329" t="inlineStr">
        <is>
          <t>Expected current count</t>
        </is>
      </c>
      <c r="C252" s="329" t="n">
        <v>5</v>
      </c>
      <c r="D252" s="329" t="inlineStr">
        <is>
          <t>Carvana companion + Events 63–66</t>
        </is>
      </c>
      <c r="E252" s="329" t="n"/>
      <c r="F252" s="329" t="n"/>
      <c r="G252" s="329" t="n"/>
      <c r="H252" s="329" t="n"/>
      <c r="I252" s="329" t="n"/>
      <c r="J252" s="329" t="n"/>
      <c r="K252" s="329" t="n"/>
      <c r="L252" s="329" t="n"/>
      <c r="M252" s="329" t="n"/>
      <c r="N252" s="329" t="n"/>
      <c r="O252" s="329" t="n"/>
      <c r="P252" s="329" t="n"/>
      <c r="Q252" s="329" t="n"/>
      <c r="R252" s="329" t="n"/>
      <c r="S252" s="329" t="n"/>
      <c r="T252" s="329" t="n"/>
      <c r="U252" s="329" t="n"/>
      <c r="V252" s="329" t="n"/>
      <c r="W252" s="329" t="n"/>
      <c r="X252" s="329" t="n"/>
      <c r="Y252" s="329" t="n"/>
      <c r="Z252" s="329" t="n"/>
      <c r="AA252" s="329" t="n"/>
      <c r="AB252" s="329" t="n"/>
      <c r="AC252" s="329" t="n"/>
      <c r="AD252" s="329" t="n"/>
      <c r="AE252" s="329" t="n"/>
    </row>
    <row r="253">
      <c r="A253" s="330" t="inlineStr">
        <is>
          <t>Pending ACH Control</t>
        </is>
      </c>
      <c r="B253" s="329" t="inlineStr">
        <is>
          <t>Expected current count</t>
        </is>
      </c>
      <c r="C253" s="329" t="n">
        <v>9</v>
      </c>
      <c r="D253" s="329" t="inlineStr">
        <is>
          <t>Event 54 removed; Event 67 added</t>
        </is>
      </c>
      <c r="E253" s="329" t="n"/>
      <c r="F253" s="329" t="n"/>
      <c r="G253" s="329" t="n"/>
      <c r="H253" s="329" t="n"/>
      <c r="I253" s="329" t="n"/>
      <c r="J253" s="329" t="n"/>
      <c r="K253" s="329" t="n"/>
      <c r="L253" s="329" t="n"/>
      <c r="M253" s="329" t="n"/>
      <c r="N253" s="329" t="n"/>
      <c r="O253" s="329" t="n"/>
      <c r="P253" s="329" t="n"/>
      <c r="Q253" s="329" t="n"/>
      <c r="R253" s="329" t="n"/>
      <c r="S253" s="329" t="n"/>
      <c r="T253" s="329" t="n"/>
      <c r="U253" s="329" t="n"/>
      <c r="V253" s="329" t="n"/>
      <c r="W253" s="329" t="n"/>
      <c r="X253" s="329" t="n"/>
      <c r="Y253" s="329" t="n"/>
      <c r="Z253" s="329" t="n"/>
      <c r="AA253" s="329" t="n"/>
      <c r="AB253" s="329" t="n"/>
      <c r="AC253" s="329" t="n"/>
      <c r="AD253" s="329" t="n"/>
      <c r="AE253" s="329" t="n"/>
    </row>
    <row r="254">
      <c r="A254" s="330" t="inlineStr">
        <is>
          <t>Confirmed Revenue</t>
        </is>
      </c>
      <c r="B254" s="329" t="inlineStr">
        <is>
          <t>Expected total</t>
        </is>
      </c>
      <c r="C254" s="329" t="inlineStr">
        <is>
          <t>$7,234.55</t>
        </is>
      </c>
      <c r="D254" s="329" t="inlineStr">
        <is>
          <t>Delta</t>
        </is>
      </c>
      <c r="E254" s="329" t="inlineStr">
        <is>
          <t>+ $183.74</t>
        </is>
      </c>
      <c r="F254" s="329" t="n"/>
      <c r="G254" s="329" t="n"/>
      <c r="H254" s="329" t="n"/>
      <c r="I254" s="329" t="n"/>
      <c r="J254" s="329" t="n"/>
      <c r="K254" s="329" t="n"/>
      <c r="L254" s="329" t="n"/>
      <c r="M254" s="329" t="n"/>
      <c r="N254" s="329" t="n"/>
      <c r="O254" s="329" t="n"/>
      <c r="P254" s="329" t="n"/>
      <c r="Q254" s="329" t="n"/>
      <c r="R254" s="329" t="n"/>
      <c r="S254" s="329" t="n"/>
      <c r="T254" s="329" t="n"/>
      <c r="U254" s="329" t="n"/>
      <c r="V254" s="329" t="n"/>
      <c r="W254" s="329" t="n"/>
      <c r="X254" s="329" t="n"/>
      <c r="Y254" s="329" t="n"/>
      <c r="Z254" s="329" t="n"/>
      <c r="AA254" s="329" t="n"/>
      <c r="AB254" s="329" t="n"/>
      <c r="AC254" s="329" t="n"/>
      <c r="AD254" s="329" t="n"/>
      <c r="AE254" s="329" t="n"/>
    </row>
    <row r="255">
      <c r="A255" s="330" t="inlineStr">
        <is>
          <t>Scheduled Hold</t>
        </is>
      </c>
      <c r="B255" s="329" t="inlineStr">
        <is>
          <t>Dunkin — Fallston</t>
        </is>
      </c>
      <c r="C255" s="329" t="inlineStr">
        <is>
          <t>WO 5900854</t>
        </is>
      </c>
      <c r="D255" s="329" t="inlineStr">
        <is>
          <t>Not event-numbered</t>
        </is>
      </c>
      <c r="E255" s="329" t="inlineStr">
        <is>
          <t>Create Event 68 only after completed physical visit</t>
        </is>
      </c>
      <c r="F255" s="329" t="n"/>
      <c r="G255" s="329" t="n"/>
      <c r="H255" s="329" t="n"/>
      <c r="I255" s="329" t="n"/>
      <c r="J255" s="329" t="n"/>
      <c r="K255" s="329" t="n"/>
      <c r="L255" s="329" t="n"/>
      <c r="M255" s="329" t="n"/>
      <c r="N255" s="329" t="n"/>
      <c r="O255" s="329" t="n"/>
      <c r="P255" s="329" t="n"/>
      <c r="Q255" s="329" t="n"/>
      <c r="R255" s="329" t="n"/>
      <c r="S255" s="329" t="n"/>
      <c r="T255" s="329" t="n"/>
      <c r="U255" s="329" t="n"/>
      <c r="V255" s="329" t="n"/>
      <c r="W255" s="329" t="n"/>
      <c r="X255" s="329" t="n"/>
      <c r="Y255" s="329" t="n"/>
      <c r="Z255" s="329" t="n"/>
      <c r="AA255" s="329" t="n"/>
      <c r="AB255" s="329" t="n"/>
      <c r="AC255" s="329" t="n"/>
      <c r="AD255" s="329" t="n"/>
      <c r="AE255" s="329" t="n"/>
    </row>
    <row r="256">
      <c r="A256" s="330" t="inlineStr">
        <is>
          <t>Promotion</t>
        </is>
      </c>
      <c r="B256" s="329" t="inlineStr">
        <is>
          <t>This workbook supersedes Phase 3G_3H_Complete</t>
        </is>
      </c>
      <c r="C256" s="329" t="inlineStr">
        <is>
          <t>Authoritative master effective 2026-07-15</t>
        </is>
      </c>
      <c r="D256" s="329" t="inlineStr">
        <is>
          <t>Delta-only governance preserved</t>
        </is>
      </c>
      <c r="E256" s="329" t="n"/>
      <c r="F256" s="329" t="n"/>
      <c r="G256" s="329" t="n"/>
      <c r="H256" s="329" t="n"/>
      <c r="I256" s="329" t="n"/>
      <c r="J256" s="329" t="n"/>
      <c r="K256" s="329" t="n"/>
      <c r="L256" s="329" t="n"/>
      <c r="M256" s="329" t="n"/>
      <c r="N256" s="329" t="n"/>
      <c r="O256" s="329" t="n"/>
      <c r="P256" s="329" t="n"/>
      <c r="Q256" s="329" t="n"/>
      <c r="R256" s="329" t="n"/>
      <c r="S256" s="329" t="n"/>
      <c r="T256" s="329" t="n"/>
      <c r="U256" s="329" t="n"/>
      <c r="V256" s="329" t="n"/>
      <c r="W256" s="329" t="n"/>
      <c r="X256" s="329" t="n"/>
      <c r="Y256" s="329" t="n"/>
      <c r="Z256" s="329" t="n"/>
      <c r="AA256" s="329" t="n"/>
      <c r="AB256" s="329" t="n"/>
      <c r="AC256" s="329" t="n"/>
      <c r="AD256" s="329" t="n"/>
      <c r="AE256" s="329" t="n"/>
    </row>
    <row r="257">
      <c r="A257" s="330" t="inlineStr">
        <is>
          <t>Source Basis</t>
        </is>
      </c>
      <c r="B257" s="329" t="inlineStr">
        <is>
          <t>User-authoritative completion statements</t>
        </is>
      </c>
      <c r="C257" s="329" t="inlineStr">
        <is>
          <t>RFS documents</t>
        </is>
      </c>
      <c r="D257" s="329" t="inlineStr">
        <is>
          <t>Gmail breakdown/ACH confirmations</t>
        </is>
      </c>
      <c r="E257" s="329" t="inlineStr">
        <is>
          <t>FastField/photo evidence</t>
        </is>
      </c>
      <c r="F257" s="329" t="n"/>
      <c r="G257" s="329" t="n"/>
      <c r="H257" s="329" t="n"/>
      <c r="I257" s="329" t="n"/>
      <c r="J257" s="329" t="n"/>
      <c r="K257" s="329" t="n"/>
      <c r="L257" s="329" t="n"/>
      <c r="M257" s="329" t="n"/>
      <c r="N257" s="329" t="n"/>
      <c r="O257" s="329" t="n"/>
      <c r="P257" s="329" t="n"/>
      <c r="Q257" s="329" t="n"/>
      <c r="R257" s="329" t="n"/>
      <c r="S257" s="329" t="n"/>
      <c r="T257" s="329" t="n"/>
      <c r="U257" s="329" t="n"/>
      <c r="V257" s="329" t="n"/>
      <c r="W257" s="329" t="n"/>
      <c r="X257" s="329" t="n"/>
      <c r="Y257" s="329" t="n"/>
      <c r="Z257" s="329" t="n"/>
      <c r="AA257" s="329" t="n"/>
      <c r="AB257" s="329" t="n"/>
      <c r="AC257" s="329" t="n"/>
      <c r="AD257" s="329" t="n"/>
      <c r="AE257" s="329" t="n"/>
    </row>
    <row r="258">
      <c r="A258" s="329" t="n"/>
      <c r="B258" s="329" t="n"/>
      <c r="C258" s="329" t="n"/>
      <c r="D258" s="329" t="n"/>
      <c r="E258" s="329" t="n"/>
      <c r="F258" s="329" t="n"/>
      <c r="G258" s="329" t="n"/>
      <c r="H258" s="329" t="n"/>
      <c r="I258" s="329" t="n"/>
      <c r="J258" s="329" t="n"/>
      <c r="K258" s="329" t="n"/>
      <c r="L258" s="329" t="n"/>
      <c r="M258" s="329" t="n"/>
      <c r="N258" s="329" t="n"/>
      <c r="O258" s="329" t="n"/>
      <c r="P258" s="329" t="n"/>
      <c r="Q258" s="329" t="n"/>
      <c r="R258" s="329" t="n"/>
      <c r="S258" s="329" t="n"/>
      <c r="T258" s="329" t="n"/>
      <c r="U258" s="329" t="n"/>
      <c r="V258" s="329" t="n"/>
      <c r="W258" s="329" t="n"/>
      <c r="X258" s="329" t="n"/>
      <c r="Y258" s="329" t="n"/>
      <c r="Z258" s="329" t="n"/>
      <c r="AA258" s="329" t="n"/>
      <c r="AB258" s="329" t="n"/>
      <c r="AC258" s="329" t="n"/>
      <c r="AD258" s="329" t="n"/>
      <c r="AE258" s="329" t="n"/>
    </row>
    <row r="259">
      <c r="A259" s="329" t="inlineStr">
        <is>
          <t>2026-07-17 Month 3 Closeout &amp; Month 4 Handoff</t>
        </is>
      </c>
      <c r="B259" s="329" t="n"/>
      <c r="C259" s="329" t="n"/>
      <c r="D259" s="329" t="n"/>
      <c r="E259" s="329" t="n"/>
      <c r="F259" s="329" t="n"/>
      <c r="G259" s="329" t="n"/>
      <c r="H259" s="329" t="n"/>
      <c r="I259" s="329" t="n"/>
      <c r="J259" s="329" t="n"/>
      <c r="K259" s="329" t="n"/>
      <c r="L259" s="329" t="n"/>
      <c r="M259" s="329" t="n"/>
      <c r="N259" s="329" t="n"/>
      <c r="O259" s="329" t="n"/>
      <c r="P259" s="329" t="n"/>
      <c r="Q259" s="329" t="n"/>
      <c r="R259" s="329" t="n"/>
      <c r="S259" s="329" t="n"/>
      <c r="T259" s="329" t="n"/>
      <c r="U259" s="329" t="n"/>
      <c r="V259" s="329" t="n"/>
      <c r="W259" s="329" t="n"/>
      <c r="X259" s="329" t="n"/>
      <c r="Y259" s="329" t="n"/>
      <c r="Z259" s="329" t="n"/>
      <c r="AA259" s="329" t="n"/>
      <c r="AB259" s="329" t="n"/>
      <c r="AC259" s="329" t="n"/>
      <c r="AD259" s="329" t="n"/>
      <c r="AE259" s="329" t="n"/>
    </row>
    <row r="260">
      <c r="A260" s="329" t="inlineStr">
        <is>
          <t>Chronology</t>
        </is>
      </c>
      <c r="B260" s="329" t="inlineStr">
        <is>
          <t>Completed Events</t>
        </is>
      </c>
      <c r="C260" s="329" t="n">
        <v>72</v>
      </c>
      <c r="D260" s="329" t="inlineStr">
        <is>
          <t>Latest completed Event</t>
        </is>
      </c>
      <c r="E260" s="329" t="inlineStr">
        <is>
          <t>Event 72 — Miramar / Hebrew Home</t>
        </is>
      </c>
      <c r="F260" s="329" t="inlineStr">
        <is>
          <t>WO 5913115</t>
        </is>
      </c>
      <c r="G260" s="329" t="n"/>
      <c r="H260" s="329" t="n"/>
      <c r="I260" s="329" t="n"/>
      <c r="J260" s="329" t="n"/>
      <c r="K260" s="329" t="n"/>
      <c r="L260" s="329" t="n"/>
      <c r="M260" s="329" t="n"/>
      <c r="N260" s="329" t="n"/>
      <c r="O260" s="329" t="n"/>
      <c r="P260" s="329" t="n"/>
      <c r="Q260" s="329" t="n"/>
      <c r="R260" s="329" t="n"/>
      <c r="S260" s="329" t="n"/>
      <c r="T260" s="329" t="n"/>
      <c r="U260" s="329" t="n"/>
      <c r="V260" s="329" t="n"/>
      <c r="W260" s="329" t="n"/>
      <c r="X260" s="329" t="n"/>
      <c r="Y260" s="329" t="n"/>
      <c r="Z260" s="329" t="n"/>
      <c r="AA260" s="329" t="n"/>
      <c r="AB260" s="329" t="n"/>
      <c r="AC260" s="329" t="n"/>
      <c r="AD260" s="329" t="n"/>
      <c r="AE260" s="329" t="n"/>
    </row>
    <row r="261">
      <c r="A261" s="329" t="inlineStr">
        <is>
          <t>Event 68</t>
        </is>
      </c>
      <c r="B261" s="329" t="inlineStr">
        <is>
          <t>Dunkin — Fallston</t>
        </is>
      </c>
      <c r="C261" s="329" t="inlineStr">
        <is>
          <t>WO 5900854</t>
        </is>
      </c>
      <c r="D261" s="329" t="inlineStr">
        <is>
          <t>Completed</t>
        </is>
      </c>
      <c r="E261" s="329" t="inlineStr">
        <is>
          <t>$350 breakdown confirmed</t>
        </is>
      </c>
      <c r="F261" s="329" t="inlineStr">
        <is>
          <t>Speed ACH expected 2026-07-29</t>
        </is>
      </c>
      <c r="G261" s="329" t="n"/>
      <c r="H261" s="329" t="n"/>
      <c r="I261" s="329" t="n"/>
      <c r="J261" s="329" t="n"/>
      <c r="K261" s="329" t="n"/>
      <c r="L261" s="329" t="n"/>
      <c r="M261" s="329" t="n"/>
      <c r="N261" s="329" t="n"/>
      <c r="O261" s="329" t="n"/>
      <c r="P261" s="329" t="n"/>
      <c r="Q261" s="329" t="n"/>
      <c r="R261" s="329" t="n"/>
      <c r="S261" s="329" t="n"/>
      <c r="T261" s="329" t="n"/>
      <c r="U261" s="329" t="n"/>
      <c r="V261" s="329" t="n"/>
      <c r="W261" s="329" t="n"/>
      <c r="X261" s="329" t="n"/>
      <c r="Y261" s="329" t="n"/>
      <c r="Z261" s="329" t="n"/>
      <c r="AA261" s="329" t="n"/>
      <c r="AB261" s="329" t="n"/>
      <c r="AC261" s="329" t="n"/>
      <c r="AD261" s="329" t="n"/>
      <c r="AE261" s="329" t="n"/>
    </row>
    <row r="262">
      <c r="A262" s="329" t="inlineStr">
        <is>
          <t>Event 69</t>
        </is>
      </c>
      <c r="B262" s="329" t="inlineStr">
        <is>
          <t>TJ Maxx — Columbia</t>
        </is>
      </c>
      <c r="C262" s="329" t="inlineStr">
        <is>
          <t>WO 5909418</t>
        </is>
      </c>
      <c r="D262" s="329" t="inlineStr">
        <is>
          <t>Completed</t>
        </is>
      </c>
      <c r="E262" s="329" t="inlineStr">
        <is>
          <t>$40/hour</t>
        </is>
      </c>
      <c r="F262" s="329" t="inlineStr">
        <is>
          <t>Breakdown pending</t>
        </is>
      </c>
      <c r="G262" s="329" t="n"/>
      <c r="H262" s="329" t="n"/>
      <c r="I262" s="329" t="n"/>
      <c r="J262" s="329" t="n"/>
      <c r="K262" s="329" t="n"/>
      <c r="L262" s="329" t="n"/>
      <c r="M262" s="329" t="n"/>
      <c r="N262" s="329" t="n"/>
      <c r="O262" s="329" t="n"/>
      <c r="P262" s="329" t="n"/>
      <c r="Q262" s="329" t="n"/>
      <c r="R262" s="329" t="n"/>
      <c r="S262" s="329" t="n"/>
      <c r="T262" s="329" t="n"/>
      <c r="U262" s="329" t="n"/>
      <c r="V262" s="329" t="n"/>
      <c r="W262" s="329" t="n"/>
      <c r="X262" s="329" t="n"/>
      <c r="Y262" s="329" t="n"/>
      <c r="Z262" s="329" t="n"/>
      <c r="AA262" s="329" t="n"/>
      <c r="AB262" s="329" t="n"/>
      <c r="AC262" s="329" t="n"/>
      <c r="AD262" s="329" t="n"/>
      <c r="AE262" s="329" t="n"/>
    </row>
    <row r="263">
      <c r="A263" s="329" t="inlineStr">
        <is>
          <t>Event 70</t>
        </is>
      </c>
      <c r="B263" s="329" t="inlineStr">
        <is>
          <t>Giant Food — Olney</t>
        </is>
      </c>
      <c r="C263" s="329" t="inlineStr">
        <is>
          <t>WO 5918899</t>
        </is>
      </c>
      <c r="D263" s="329" t="inlineStr">
        <is>
          <t>Completed</t>
        </is>
      </c>
      <c r="E263" s="329" t="inlineStr">
        <is>
          <t>HCL network troubleshooting</t>
        </is>
      </c>
      <c r="F263" s="329" t="inlineStr">
        <is>
          <t>Breakdown pending</t>
        </is>
      </c>
      <c r="G263" s="329" t="n"/>
      <c r="H263" s="329" t="n"/>
      <c r="I263" s="329" t="n"/>
      <c r="J263" s="329" t="n"/>
      <c r="K263" s="329" t="n"/>
      <c r="L263" s="329" t="n"/>
      <c r="M263" s="329" t="n"/>
      <c r="N263" s="329" t="n"/>
      <c r="O263" s="329" t="n"/>
      <c r="P263" s="329" t="n"/>
      <c r="Q263" s="329" t="n"/>
      <c r="R263" s="329" t="n"/>
      <c r="S263" s="329" t="n"/>
      <c r="T263" s="329" t="n"/>
      <c r="U263" s="329" t="n"/>
      <c r="V263" s="329" t="n"/>
      <c r="W263" s="329" t="n"/>
      <c r="X263" s="329" t="n"/>
      <c r="Y263" s="329" t="n"/>
      <c r="Z263" s="329" t="n"/>
      <c r="AA263" s="329" t="n"/>
      <c r="AB263" s="329" t="n"/>
      <c r="AC263" s="329" t="n"/>
      <c r="AD263" s="329" t="n"/>
      <c r="AE263" s="329" t="n"/>
    </row>
    <row r="264">
      <c r="A264" s="329" t="inlineStr">
        <is>
          <t>Event 71</t>
        </is>
      </c>
      <c r="B264" s="329" t="inlineStr">
        <is>
          <t>WeWork DC18</t>
        </is>
      </c>
      <c r="C264" s="329" t="inlineStr">
        <is>
          <t>WO 5918348</t>
        </is>
      </c>
      <c r="D264" s="329" t="inlineStr">
        <is>
          <t>Completed</t>
        </is>
      </c>
      <c r="E264" s="329" t="inlineStr">
        <is>
          <t>$45/hour ACH</t>
        </is>
      </c>
      <c r="F264" s="329" t="inlineStr">
        <is>
          <t>Breakdown pending</t>
        </is>
      </c>
      <c r="G264" s="329" t="n"/>
      <c r="H264" s="329" t="n"/>
      <c r="I264" s="329" t="n"/>
      <c r="J264" s="329" t="n"/>
      <c r="K264" s="329" t="n"/>
      <c r="L264" s="329" t="n"/>
      <c r="M264" s="329" t="n"/>
      <c r="N264" s="329" t="n"/>
      <c r="O264" s="329" t="n"/>
      <c r="P264" s="329" t="n"/>
      <c r="Q264" s="329" t="n"/>
      <c r="R264" s="329" t="n"/>
      <c r="S264" s="329" t="n"/>
      <c r="T264" s="329" t="n"/>
      <c r="U264" s="329" t="n"/>
      <c r="V264" s="329" t="n"/>
      <c r="W264" s="329" t="n"/>
      <c r="X264" s="329" t="n"/>
      <c r="Y264" s="329" t="n"/>
      <c r="Z264" s="329" t="n"/>
      <c r="AA264" s="329" t="n"/>
      <c r="AB264" s="329" t="n"/>
      <c r="AC264" s="329" t="n"/>
      <c r="AD264" s="329" t="n"/>
      <c r="AE264" s="329" t="n"/>
    </row>
    <row r="265">
      <c r="A265" s="329" t="inlineStr">
        <is>
          <t>Event 72</t>
        </is>
      </c>
      <c r="B265" s="329" t="inlineStr">
        <is>
          <t>Miramar / Hebrew Home</t>
        </is>
      </c>
      <c r="C265" s="329" t="inlineStr">
        <is>
          <t>WO 5913115</t>
        </is>
      </c>
      <c r="D265" s="329" t="inlineStr">
        <is>
          <t>Completed / ticket closed</t>
        </is>
      </c>
      <c r="E265" s="329" t="inlineStr">
        <is>
          <t>Promised $50 Speed ACH</t>
        </is>
      </c>
      <c r="F265" s="329" t="inlineStr">
        <is>
          <t>Compensation classification unresolved</t>
        </is>
      </c>
      <c r="G265" s="329" t="n"/>
      <c r="H265" s="329" t="n"/>
      <c r="I265" s="329" t="n"/>
      <c r="J265" s="329" t="n"/>
      <c r="K265" s="329" t="n"/>
      <c r="L265" s="329" t="n"/>
      <c r="M265" s="329" t="n"/>
      <c r="N265" s="329" t="n"/>
      <c r="O265" s="329" t="n"/>
      <c r="P265" s="329" t="n"/>
      <c r="Q265" s="329" t="n"/>
      <c r="R265" s="329" t="n"/>
      <c r="S265" s="329" t="n"/>
      <c r="T265" s="329" t="n"/>
      <c r="U265" s="329" t="n"/>
      <c r="V265" s="329" t="n"/>
      <c r="W265" s="329" t="n"/>
      <c r="X265" s="329" t="n"/>
      <c r="Y265" s="329" t="n"/>
      <c r="Z265" s="329" t="n"/>
      <c r="AA265" s="329" t="n"/>
      <c r="AB265" s="329" t="n"/>
      <c r="AC265" s="329" t="n"/>
      <c r="AD265" s="329" t="n"/>
      <c r="AE265" s="329" t="n"/>
    </row>
    <row r="266">
      <c r="A266" s="329" t="inlineStr">
        <is>
          <t>CONTROL RULE</t>
        </is>
      </c>
      <c r="B266" s="329" t="inlineStr">
        <is>
          <t>BARRISTER CONTROL CHECK</t>
        </is>
      </c>
      <c r="C266" s="329" t="inlineStr">
        <is>
          <t>Read the attached authoritative workbook before reporting counts or totals</t>
        </is>
      </c>
      <c r="D266" s="329" t="inlineStr">
        <is>
          <t>State filename, highest Event, confirmed revenue, and open exceptions</t>
        </is>
      </c>
      <c r="E266" s="329" t="inlineStr">
        <is>
          <t>Stop if source cannot be read</t>
        </is>
      </c>
      <c r="F266" s="329" t="inlineStr">
        <is>
          <t>Never reconstruct from memory</t>
        </is>
      </c>
      <c r="G266" s="329" t="n"/>
      <c r="H266" s="329" t="n"/>
      <c r="I266" s="329" t="n"/>
      <c r="J266" s="329" t="n"/>
      <c r="K266" s="329" t="n"/>
      <c r="L266" s="329" t="n"/>
      <c r="M266" s="329" t="n"/>
      <c r="N266" s="329" t="n"/>
      <c r="O266" s="329" t="n"/>
      <c r="P266" s="329" t="n"/>
      <c r="Q266" s="329" t="n"/>
      <c r="R266" s="329" t="n"/>
      <c r="S266" s="329" t="n"/>
      <c r="T266" s="329" t="n"/>
      <c r="U266" s="329" t="n"/>
      <c r="V266" s="329" t="n"/>
      <c r="W266" s="329" t="n"/>
      <c r="X266" s="329" t="n"/>
      <c r="Y266" s="329" t="n"/>
      <c r="Z266" s="329" t="n"/>
      <c r="AA266" s="329" t="n"/>
      <c r="AB266" s="329" t="n"/>
      <c r="AC266" s="329" t="n"/>
      <c r="AD266" s="329" t="n"/>
      <c r="AE266" s="329" t="n"/>
    </row>
    <row r="267">
      <c r="A267" s="329" t="inlineStr">
        <is>
          <t>CONTROL RULE</t>
        </is>
      </c>
      <c r="B267" s="329" t="inlineStr">
        <is>
          <t>DELTA UPDATE</t>
        </is>
      </c>
      <c r="C267" s="329" t="inlineStr">
        <is>
          <t>Gmail-only financial delta search</t>
        </is>
      </c>
      <c r="D267" s="329" t="inlineStr">
        <is>
          <t>ACHs, deposits, payment breakdowns, deductions</t>
        </is>
      </c>
      <c r="E267" s="329" t="inlineStr">
        <is>
          <t>Map every result to WO and Event</t>
        </is>
      </c>
      <c r="F267" s="329" t="inlineStr">
        <is>
          <t>Do not search unrelated areas</t>
        </is>
      </c>
      <c r="G267" s="329" t="n"/>
      <c r="H267" s="329" t="n"/>
      <c r="I267" s="329" t="n"/>
      <c r="J267" s="329" t="n"/>
      <c r="K267" s="329" t="n"/>
      <c r="L267" s="329" t="n"/>
      <c r="M267" s="329" t="n"/>
      <c r="N267" s="329" t="n"/>
      <c r="O267" s="329" t="n"/>
      <c r="P267" s="329" t="n"/>
      <c r="Q267" s="329" t="n"/>
      <c r="R267" s="329" t="n"/>
      <c r="S267" s="329" t="n"/>
      <c r="T267" s="329" t="n"/>
      <c r="U267" s="329" t="n"/>
      <c r="V267" s="329" t="n"/>
      <c r="W267" s="329" t="n"/>
      <c r="X267" s="329" t="n"/>
      <c r="Y267" s="329" t="n"/>
      <c r="Z267" s="329" t="n"/>
      <c r="AA267" s="329" t="n"/>
      <c r="AB267" s="329" t="n"/>
      <c r="AC267" s="329" t="n"/>
      <c r="AD267" s="329" t="n"/>
      <c r="AE267" s="329" t="n"/>
    </row>
    <row r="268">
      <c r="A268" s="329" t="inlineStr">
        <is>
          <t>CONTROL RULE</t>
        </is>
      </c>
      <c r="B268" s="329" t="inlineStr">
        <is>
          <t>Chronology</t>
        </is>
      </c>
      <c r="C268" s="329" t="inlineStr">
        <is>
          <t>One physical visit equals one Event</t>
        </is>
      </c>
      <c r="D268" s="329" t="inlineStr">
        <is>
          <t>Never skip or invent Event numbers</t>
        </is>
      </c>
      <c r="E268" s="329" t="inlineStr">
        <is>
          <t>User-authoritative completion controls event status</t>
        </is>
      </c>
      <c r="F268" s="329" t="inlineStr">
        <is>
          <t>Keep chronology separate from finance</t>
        </is>
      </c>
      <c r="G268" s="329" t="n"/>
      <c r="H268" s="329" t="n"/>
      <c r="I268" s="329" t="n"/>
      <c r="J268" s="329" t="n"/>
      <c r="K268" s="329" t="n"/>
      <c r="L268" s="329" t="n"/>
      <c r="M268" s="329" t="n"/>
      <c r="N268" s="329" t="n"/>
      <c r="O268" s="329" t="n"/>
      <c r="P268" s="329" t="n"/>
      <c r="Q268" s="329" t="n"/>
      <c r="R268" s="329" t="n"/>
      <c r="S268" s="329" t="n"/>
      <c r="T268" s="329" t="n"/>
      <c r="U268" s="329" t="n"/>
      <c r="V268" s="329" t="n"/>
      <c r="W268" s="329" t="n"/>
      <c r="X268" s="329" t="n"/>
      <c r="Y268" s="329" t="n"/>
      <c r="Z268" s="329" t="n"/>
      <c r="AA268" s="329" t="n"/>
      <c r="AB268" s="329" t="n"/>
      <c r="AC268" s="329" t="n"/>
      <c r="AD268" s="329" t="n"/>
      <c r="AE268" s="329" t="n"/>
    </row>
    <row r="269">
      <c r="A269" s="329" t="inlineStr">
        <is>
          <t>CONTROL RULE</t>
        </is>
      </c>
      <c r="B269" s="329" t="inlineStr">
        <is>
          <t>Financial evidence</t>
        </is>
      </c>
      <c r="C269" s="329" t="inlineStr">
        <is>
          <t>Never mark payment confirmed without documentary evidence</t>
        </is>
      </c>
      <c r="D269" s="329" t="inlineStr">
        <is>
          <t>Promised rate is not a confirmed breakdown</t>
        </is>
      </c>
      <c r="E269" s="329" t="inlineStr">
        <is>
          <t>Closed ticket does not prove payment</t>
        </is>
      </c>
      <c r="F269" s="329" t="inlineStr">
        <is>
          <t>Keep unresolved items open</t>
        </is>
      </c>
      <c r="G269" s="329" t="n"/>
      <c r="H269" s="329" t="n"/>
      <c r="I269" s="329" t="n"/>
      <c r="J269" s="329" t="n"/>
      <c r="K269" s="329" t="n"/>
      <c r="L269" s="329" t="n"/>
      <c r="M269" s="329" t="n"/>
      <c r="N269" s="329" t="n"/>
      <c r="O269" s="329" t="n"/>
      <c r="P269" s="329" t="n"/>
      <c r="Q269" s="329" t="n"/>
      <c r="R269" s="329" t="n"/>
      <c r="S269" s="329" t="n"/>
      <c r="T269" s="329" t="n"/>
      <c r="U269" s="329" t="n"/>
      <c r="V269" s="329" t="n"/>
      <c r="W269" s="329" t="n"/>
      <c r="X269" s="329" t="n"/>
      <c r="Y269" s="329" t="n"/>
      <c r="Z269" s="329" t="n"/>
      <c r="AA269" s="329" t="n"/>
      <c r="AB269" s="329" t="n"/>
      <c r="AC269" s="329" t="n"/>
      <c r="AD269" s="329" t="n"/>
      <c r="AE269" s="329" t="n"/>
    </row>
    <row r="270">
      <c r="A270" s="329" t="inlineStr">
        <is>
          <t>2026-07-17</t>
        </is>
      </c>
      <c r="B270" s="329" t="inlineStr">
        <is>
          <t>Month 4 Career Analytics</t>
        </is>
      </c>
      <c r="C270" s="329" t="inlineStr">
        <is>
          <t>Added Career Analytics sheet with 12 career metrics, streaks, rolling records, revenue/client/territory/dispatch analytics, weekly and weekday summaries, Hall of Fame milestones, scorecard, baseball card, and metric definitions.</t>
        </is>
      </c>
      <c r="D270" s="329" t="inlineStr">
        <is>
          <t>Derived from authoritative Service Events and Work Orders &amp; Ledger only.</t>
        </is>
      </c>
      <c r="E270" s="329" t="inlineStr">
        <is>
          <t>Chronology and financial reconciliation preserved separately.</t>
        </is>
      </c>
      <c r="F270" s="329" t="inlineStr">
        <is>
          <t>Implemented</t>
        </is>
      </c>
      <c r="G270" s="329" t="n"/>
      <c r="H270" s="329" t="n"/>
      <c r="I270" s="329" t="n"/>
      <c r="J270" s="329" t="n"/>
      <c r="K270" s="329" t="n"/>
      <c r="L270" s="329" t="n"/>
      <c r="M270" s="329" t="n"/>
      <c r="N270" s="329" t="n"/>
      <c r="O270" s="329" t="n"/>
      <c r="P270" s="329" t="n"/>
      <c r="Q270" s="329" t="n"/>
      <c r="R270" s="329" t="n"/>
      <c r="S270" s="329" t="n"/>
      <c r="T270" s="329" t="n"/>
      <c r="U270" s="329" t="n"/>
      <c r="V270" s="329" t="n"/>
      <c r="W270" s="329" t="n"/>
      <c r="X270" s="329" t="n"/>
      <c r="Y270" s="329" t="n"/>
      <c r="Z270" s="329" t="n"/>
      <c r="AA270" s="329" t="n"/>
      <c r="AB270" s="329" t="n"/>
      <c r="AC270" s="329" t="n"/>
      <c r="AD270" s="329" t="n"/>
      <c r="AE270" s="329" t="n"/>
    </row>
    <row r="271">
      <c r="A271" s="329" t="inlineStr">
        <is>
          <t>Promotion</t>
        </is>
      </c>
      <c r="B271" s="329" t="inlineStr">
        <is>
          <t>Month 3 closeout workbook</t>
        </is>
      </c>
      <c r="C271" s="329" t="inlineStr">
        <is>
          <t>Supersedes 2026-07-15 promoted master for Month 4 handoff</t>
        </is>
      </c>
      <c r="D271" s="329" t="inlineStr">
        <is>
          <t>Events 68–72 added</t>
        </is>
      </c>
      <c r="E271" s="329" t="inlineStr">
        <is>
          <t>Control rules updated</t>
        </is>
      </c>
      <c r="F271" s="329" t="inlineStr">
        <is>
          <t>2026-07-17</t>
        </is>
      </c>
      <c r="G271" s="329" t="n"/>
      <c r="H271" s="329" t="n"/>
      <c r="I271" s="329" t="n"/>
      <c r="J271" s="329" t="n"/>
      <c r="K271" s="329" t="n"/>
      <c r="L271" s="329" t="n"/>
      <c r="M271" s="329" t="n"/>
      <c r="N271" s="329" t="n"/>
      <c r="O271" s="329" t="n"/>
      <c r="P271" s="329" t="n"/>
      <c r="Q271" s="329" t="n"/>
      <c r="R271" s="329" t="n"/>
      <c r="S271" s="329" t="n"/>
      <c r="T271" s="329" t="n"/>
      <c r="U271" s="329" t="n"/>
      <c r="V271" s="329" t="n"/>
      <c r="W271" s="329" t="n"/>
      <c r="X271" s="329" t="n"/>
      <c r="Y271" s="329" t="n"/>
      <c r="Z271" s="329" t="n"/>
      <c r="AA271" s="329" t="n"/>
      <c r="AB271" s="329" t="n"/>
      <c r="AC271" s="329" t="n"/>
      <c r="AD271" s="329" t="n"/>
      <c r="AE271" s="329" t="n"/>
    </row>
    <row r="272">
      <c r="A272" s="329" t="inlineStr">
        <is>
          <t>2026-07-20</t>
        </is>
      </c>
      <c r="B272" s="329" t="inlineStr">
        <is>
          <t>Month 4 Delta Promotion</t>
        </is>
      </c>
      <c r="C272" s="329" t="inlineStr">
        <is>
          <t>Events 73–75 added</t>
        </is>
      </c>
      <c r="D272" s="329" t="inlineStr">
        <is>
          <t>Events 69, 70, 72 financials confirmed</t>
        </is>
      </c>
      <c r="E272" s="329" t="inlineStr">
        <is>
          <t>Events 57–58 ACH mapped</t>
        </is>
      </c>
      <c r="F272" s="329" t="inlineStr">
        <is>
          <t>Applied</t>
        </is>
      </c>
      <c r="G272" s="329" t="n"/>
      <c r="H272" s="329" t="n"/>
      <c r="I272" s="329" t="n"/>
      <c r="J272" s="329" t="n"/>
      <c r="K272" s="329" t="n"/>
      <c r="L272" s="329" t="n"/>
      <c r="M272" s="329" t="n"/>
      <c r="N272" s="329" t="n"/>
      <c r="O272" s="329" t="n"/>
      <c r="P272" s="329" t="n"/>
      <c r="Q272" s="329" t="n"/>
      <c r="R272" s="329" t="n"/>
      <c r="S272" s="329" t="n"/>
      <c r="T272" s="329" t="n"/>
      <c r="U272" s="329" t="n"/>
      <c r="V272" s="329" t="n"/>
      <c r="W272" s="329" t="n"/>
      <c r="X272" s="329" t="n"/>
      <c r="Y272" s="329" t="n"/>
      <c r="Z272" s="329" t="n"/>
      <c r="AA272" s="329" t="n"/>
      <c r="AB272" s="329" t="n"/>
      <c r="AC272" s="329" t="n"/>
      <c r="AD272" s="329" t="n"/>
      <c r="AE272" s="329" t="n"/>
    </row>
    <row r="273">
      <c r="A273" s="329" t="inlineStr">
        <is>
          <t>Chronology</t>
        </is>
      </c>
      <c r="B273" s="329" t="inlineStr">
        <is>
          <t>Latest completed Event</t>
        </is>
      </c>
      <c r="C273" s="329" t="n">
        <v>75</v>
      </c>
      <c r="D273" s="329" t="inlineStr">
        <is>
          <t>Latest completed Visit</t>
        </is>
      </c>
      <c r="E273" s="329" t="inlineStr">
        <is>
          <t>Autumn Lake at Glen Burnie — Rosemary Unit</t>
        </is>
      </c>
      <c r="F273" s="329" t="inlineStr">
        <is>
          <t>WO 5920784</t>
        </is>
      </c>
      <c r="G273" s="329" t="n"/>
      <c r="H273" s="329" t="n"/>
      <c r="I273" s="329" t="n"/>
      <c r="J273" s="329" t="n"/>
      <c r="K273" s="329" t="n"/>
      <c r="L273" s="329" t="n"/>
      <c r="M273" s="329" t="n"/>
      <c r="N273" s="329" t="n"/>
      <c r="O273" s="329" t="n"/>
      <c r="P273" s="329" t="n"/>
      <c r="Q273" s="329" t="n"/>
      <c r="R273" s="329" t="n"/>
      <c r="S273" s="329" t="n"/>
      <c r="T273" s="329" t="n"/>
      <c r="U273" s="329" t="n"/>
      <c r="V273" s="329" t="n"/>
      <c r="W273" s="329" t="n"/>
      <c r="X273" s="329" t="n"/>
      <c r="Y273" s="329" t="n"/>
      <c r="Z273" s="329" t="n"/>
      <c r="AA273" s="329" t="n"/>
      <c r="AB273" s="329" t="n"/>
      <c r="AC273" s="329" t="n"/>
      <c r="AD273" s="329" t="n"/>
      <c r="AE273" s="329" t="n"/>
    </row>
    <row r="274">
      <c r="A274" s="329" t="inlineStr">
        <is>
          <t>Financial</t>
        </is>
      </c>
      <c r="B274" s="329" t="inlineStr">
        <is>
          <t>Confirmed revenue</t>
        </is>
      </c>
      <c r="C274" s="329" t="n">
        <v>8147.88</v>
      </c>
      <c r="D274" s="329" t="inlineStr">
        <is>
          <t>Confirmed ACH added</t>
        </is>
      </c>
      <c r="E274" s="329" t="n">
        <v>269.24</v>
      </c>
      <c r="F274" s="329" t="inlineStr">
        <is>
          <t>Breakdown pending includes Event 74 and prior pending items</t>
        </is>
      </c>
      <c r="G274" s="329" t="n"/>
      <c r="H274" s="329" t="n"/>
      <c r="I274" s="329" t="n"/>
      <c r="J274" s="329" t="n"/>
      <c r="K274" s="329" t="n"/>
      <c r="L274" s="329" t="n"/>
      <c r="M274" s="329" t="n"/>
      <c r="N274" s="329" t="n"/>
      <c r="O274" s="329" t="n"/>
      <c r="P274" s="329" t="n"/>
      <c r="Q274" s="329" t="n"/>
      <c r="R274" s="329" t="n"/>
      <c r="S274" s="329" t="n"/>
      <c r="T274" s="329" t="n"/>
      <c r="U274" s="329" t="n"/>
      <c r="V274" s="329" t="n"/>
      <c r="W274" s="329" t="n"/>
      <c r="X274" s="329" t="n"/>
      <c r="Y274" s="329" t="n"/>
      <c r="Z274" s="329" t="n"/>
      <c r="AA274" s="329" t="n"/>
      <c r="AB274" s="329" t="n"/>
      <c r="AC274" s="329" t="n"/>
      <c r="AD274" s="329" t="n"/>
      <c r="AE274" s="329" t="n"/>
    </row>
    <row r="275">
      <c r="A275" s="329" t="inlineStr">
        <is>
          <t>Career Era</t>
        </is>
      </c>
      <c r="B275" s="329" t="inlineStr">
        <is>
          <t>Career</t>
        </is>
      </c>
      <c r="C275" s="329" t="inlineStr">
        <is>
          <t>75 Visits / 92 calendar / 66 business / 50 actual</t>
        </is>
      </c>
      <c r="D275" s="329" t="inlineStr">
        <is>
          <t>Momentum Era</t>
        </is>
      </c>
      <c r="E275" s="329" t="inlineStr">
        <is>
          <t>55 / 56 / 40 / 33</t>
        </is>
      </c>
      <c r="F275" s="329" t="inlineStr">
        <is>
          <t>SPEED ERA: 22 / 21 / 15 / 13</t>
        </is>
      </c>
      <c r="G275" s="329" t="n"/>
      <c r="H275" s="329" t="n"/>
      <c r="I275" s="329" t="n"/>
      <c r="J275" s="329" t="n"/>
      <c r="K275" s="329" t="n"/>
      <c r="L275" s="329" t="n"/>
      <c r="M275" s="329" t="n"/>
      <c r="N275" s="329" t="n"/>
      <c r="O275" s="329" t="n"/>
      <c r="P275" s="329" t="n"/>
      <c r="Q275" s="329" t="n"/>
      <c r="R275" s="329" t="n"/>
      <c r="S275" s="329" t="n"/>
      <c r="T275" s="329" t="n"/>
      <c r="U275" s="329" t="n"/>
      <c r="V275" s="329" t="n"/>
      <c r="W275" s="329" t="n"/>
      <c r="X275" s="329" t="n"/>
      <c r="Y275" s="329" t="n"/>
      <c r="Z275" s="329" t="n"/>
      <c r="AA275" s="329" t="n"/>
      <c r="AB275" s="329" t="n"/>
      <c r="AC275" s="329" t="n"/>
      <c r="AD275" s="329" t="n"/>
      <c r="AE275" s="329" t="n"/>
    </row>
    <row r="276">
      <c r="A276" s="329" t="inlineStr">
        <is>
          <t>Terminology</t>
        </is>
      </c>
      <c r="B276" s="329" t="inlineStr">
        <is>
          <t>Use VISITS for physical travel/site metrics</t>
        </is>
      </c>
      <c r="C276" s="329" t="inlineStr">
        <is>
          <t>Event remains workbook chronology unit</t>
        </is>
      </c>
      <c r="D276" s="329" t="inlineStr">
        <is>
          <t>Tickets/WOs may exceed Visits</t>
        </is>
      </c>
      <c r="E276" s="329" t="inlineStr">
        <is>
          <t>Do not substitute ticket count</t>
        </is>
      </c>
      <c r="F276" s="329" t="inlineStr">
        <is>
          <t>Locked</t>
        </is>
      </c>
      <c r="G276" s="329" t="n"/>
      <c r="H276" s="329" t="n"/>
      <c r="I276" s="329" t="n"/>
      <c r="J276" s="329" t="n"/>
      <c r="K276" s="329" t="n"/>
      <c r="L276" s="329" t="n"/>
      <c r="M276" s="329" t="n"/>
      <c r="N276" s="329" t="n"/>
      <c r="O276" s="329" t="n"/>
      <c r="P276" s="329" t="n"/>
      <c r="Q276" s="329" t="n"/>
      <c r="R276" s="329" t="n"/>
      <c r="S276" s="329" t="n"/>
      <c r="T276" s="329" t="n"/>
      <c r="U276" s="329" t="n"/>
      <c r="V276" s="329" t="n"/>
      <c r="W276" s="329" t="n"/>
      <c r="X276" s="329" t="n"/>
      <c r="Y276" s="329" t="n"/>
      <c r="Z276" s="329" t="n"/>
      <c r="AA276" s="329" t="n"/>
      <c r="AB276" s="329" t="n"/>
      <c r="AC276" s="329" t="n"/>
      <c r="AD276" s="329" t="n"/>
      <c r="AE276" s="329" t="n"/>
    </row>
    <row r="277">
      <c r="A277" s="329" t="inlineStr">
        <is>
          <t>Projection</t>
        </is>
      </c>
      <c r="B277" s="329" t="inlineStr">
        <is>
          <t>After 2026-07-22 if scheduled additions complete</t>
        </is>
      </c>
      <c r="C277" s="329" t="inlineStr">
        <is>
          <t>Momentum: 58 Visits in 58 calendar days</t>
        </is>
      </c>
      <c r="D277" s="329" t="inlineStr">
        <is>
          <t>SPEED: 25 Visits in 15 actual worked days</t>
        </is>
      </c>
      <c r="E277" s="329" t="inlineStr">
        <is>
          <t>Pending only</t>
        </is>
      </c>
      <c r="F277" s="329" t="inlineStr">
        <is>
          <t>Do not promote early</t>
        </is>
      </c>
      <c r="G277" s="329" t="n"/>
      <c r="H277" s="329" t="n"/>
      <c r="I277" s="329" t="n"/>
      <c r="J277" s="329" t="n"/>
      <c r="K277" s="329" t="n"/>
      <c r="L277" s="329" t="n"/>
      <c r="M277" s="329" t="n"/>
      <c r="N277" s="329" t="n"/>
      <c r="O277" s="329" t="n"/>
      <c r="P277" s="329" t="n"/>
      <c r="Q277" s="329" t="n"/>
      <c r="R277" s="329" t="n"/>
      <c r="S277" s="329" t="n"/>
      <c r="T277" s="329" t="n"/>
      <c r="U277" s="329" t="n"/>
      <c r="V277" s="329" t="n"/>
      <c r="W277" s="329" t="n"/>
      <c r="X277" s="329" t="n"/>
      <c r="Y277" s="329" t="n"/>
      <c r="Z277" s="329" t="n"/>
      <c r="AA277" s="329" t="n"/>
      <c r="AB277" s="329" t="n"/>
      <c r="AC277" s="329" t="n"/>
      <c r="AD277" s="329" t="n"/>
      <c r="AE277" s="329" t="n"/>
    </row>
    <row r="278">
      <c r="A278" s="329" t="inlineStr">
        <is>
          <t>CONTROL RULE</t>
        </is>
      </c>
      <c r="B278" s="329" t="inlineStr">
        <is>
          <t>Verification gate</t>
        </is>
      </c>
      <c r="C278" s="329" t="inlineStr">
        <is>
          <t>Open current master before Event/Visit/revenue/KPI claims</t>
        </is>
      </c>
      <c r="D278" s="329" t="inlineStr">
        <is>
          <t>No momentum answers</t>
        </is>
      </c>
      <c r="E278" s="329" t="inlineStr">
        <is>
          <t>Use source sheets</t>
        </is>
      </c>
      <c r="F278" s="329" t="inlineStr">
        <is>
          <t>Locked</t>
        </is>
      </c>
      <c r="G278" s="329" t="n"/>
      <c r="H278" s="329" t="n"/>
      <c r="I278" s="329" t="n"/>
      <c r="J278" s="329" t="n"/>
      <c r="K278" s="329" t="n"/>
      <c r="L278" s="329" t="n"/>
      <c r="M278" s="329" t="n"/>
      <c r="N278" s="329" t="n"/>
      <c r="O278" s="329" t="n"/>
      <c r="P278" s="329" t="n"/>
      <c r="Q278" s="329" t="n"/>
      <c r="R278" s="329" t="n"/>
      <c r="S278" s="329" t="n"/>
      <c r="T278" s="329" t="n"/>
      <c r="U278" s="329" t="n"/>
      <c r="V278" s="329" t="n"/>
      <c r="W278" s="329" t="n"/>
      <c r="X278" s="329" t="n"/>
      <c r="Y278" s="329" t="n"/>
      <c r="Z278" s="329" t="n"/>
      <c r="AA278" s="329" t="n"/>
      <c r="AB278" s="329" t="n"/>
      <c r="AC278" s="329" t="n"/>
      <c r="AD278" s="329" t="n"/>
      <c r="AE278" s="329" t="n"/>
    </row>
    <row r="279">
      <c r="A279" s="329" t="inlineStr">
        <is>
          <t>Promotion</t>
        </is>
      </c>
      <c r="B279" s="329" t="inlineStr">
        <is>
          <t>This workbook supersedes the 2026-07-17 Month 4 Career Analytics workbook</t>
        </is>
      </c>
      <c r="C279" s="329" t="inlineStr">
        <is>
          <t>Delta-only update through Event 75</t>
        </is>
      </c>
      <c r="D279" s="329" t="inlineStr">
        <is>
          <t>Career Eras and Month 4 Updates added</t>
        </is>
      </c>
      <c r="E279" s="329" t="inlineStr">
        <is>
          <t>2026-07-20</t>
        </is>
      </c>
      <c r="F279" s="329" t="inlineStr">
        <is>
          <t>Authoritative candidate</t>
        </is>
      </c>
      <c r="G279" s="329" t="n"/>
      <c r="H279" s="329" t="n"/>
      <c r="I279" s="329" t="n"/>
      <c r="J279" s="329" t="n"/>
      <c r="K279" s="329" t="n"/>
      <c r="L279" s="329" t="n"/>
      <c r="M279" s="329" t="n"/>
      <c r="N279" s="329" t="n"/>
      <c r="O279" s="329" t="n"/>
      <c r="P279" s="329" t="n"/>
      <c r="Q279" s="329" t="n"/>
      <c r="R279" s="329" t="n"/>
      <c r="S279" s="329" t="n"/>
      <c r="T279" s="329" t="n"/>
      <c r="U279" s="329" t="n"/>
      <c r="V279" s="329" t="n"/>
      <c r="W279" s="329" t="n"/>
      <c r="X279" s="329" t="n"/>
      <c r="Y279" s="329" t="n"/>
      <c r="Z279" s="329" t="n"/>
      <c r="AA279" s="329" t="n"/>
      <c r="AB279" s="329" t="n"/>
      <c r="AC279" s="329" t="n"/>
      <c r="AD279" s="329" t="n"/>
      <c r="AE279" s="329" t="n"/>
    </row>
  </sheetData>
  <mergeCells count="6">
    <mergeCell ref="A4:B4"/>
    <mergeCell ref="A118:F118"/>
    <mergeCell ref="A1:F2"/>
    <mergeCell ref="A78:C78"/>
    <mergeCell ref="A66:E66"/>
    <mergeCell ref="A24:C24"/>
  </mergeCells>
  <conditionalFormatting sqref="B218:B231">
    <cfRule type="expression" priority="1" dxfId="21">
      <formula>$B218="Completed"</formula>
    </cfRule>
    <cfRule type="expression" priority="2" dxfId="22">
      <formula>OR($B218="Pending",$B218="Planned")</formula>
    </cfRule>
  </conditionalFormatting>
  <conditionalFormatting sqref="A220:F224">
    <cfRule type="expression" priority="3" dxfId="21">
      <formula>$A220="Green"</formula>
    </cfRule>
    <cfRule type="expression" priority="4" dxfId="22">
      <formula>$A220="Yellow"</formula>
    </cfRule>
    <cfRule type="expression" priority="5" dxfId="26">
      <formula>$A220="Orange"</formula>
    </cfRule>
    <cfRule type="expression" priority="6" dxfId="23">
      <formula>$A220="Red"</formula>
    </cfRule>
    <cfRule type="expression" priority="7" dxfId="48">
      <formula>$A220="Gray"</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12" customWidth="1" style="192" min="1" max="1"/>
    <col width="12" customWidth="1" style="192" min="2" max="2"/>
    <col width="18" customWidth="1" style="192" min="3" max="3"/>
    <col width="18" customWidth="1" style="192" min="4" max="4"/>
    <col width="20" customWidth="1" style="192" min="5" max="5"/>
    <col width="20" customWidth="1" style="192" min="6" max="6"/>
    <col width="18" customWidth="1" style="192" min="7" max="7"/>
    <col width="22" customWidth="1" style="192" min="8" max="8"/>
  </cols>
  <sheetData>
    <row r="1" ht="28" customHeight="1" s="192">
      <c r="A1" s="693" t="inlineStr">
        <is>
          <t>Barrister Phase 3G — Self-Healing Rules</t>
        </is>
      </c>
      <c r="B1" s="1" t="n"/>
      <c r="C1" s="1" t="n"/>
      <c r="D1" s="1" t="n"/>
      <c r="E1" s="1" t="n"/>
      <c r="F1" s="1" t="n"/>
      <c r="G1" s="1" t="n"/>
      <c r="H1" s="1" t="n"/>
    </row>
    <row r="3" ht="32" customHeight="1" s="192">
      <c r="A3" s="694" t="inlineStr">
        <is>
          <t>Non-destructive repair layer: deterministic fields heal automatically; chronology, identity, mapping, and payment facts remain human-controlled.</t>
        </is>
      </c>
      <c r="B3" s="1" t="n"/>
      <c r="C3" s="1" t="n"/>
      <c r="D3" s="1" t="n"/>
      <c r="E3" s="1" t="n"/>
      <c r="F3" s="1" t="n"/>
      <c r="G3" s="1" t="n"/>
      <c r="H3" s="1" t="n"/>
    </row>
    <row r="5">
      <c r="A5" s="416" t="inlineStr">
        <is>
          <t>Automatic Fields</t>
        </is>
      </c>
      <c r="B5" s="416" t="n"/>
      <c r="C5" s="416" t="inlineStr">
        <is>
          <t>Auto Exceptions</t>
        </is>
      </c>
      <c r="D5" s="416" t="n"/>
      <c r="E5" s="416" t="inlineStr">
        <is>
          <t>Advisory Items</t>
        </is>
      </c>
      <c r="F5" s="416" t="n"/>
      <c r="G5" s="416" t="inlineStr">
        <is>
          <t>Quarantined Holds</t>
        </is>
      </c>
      <c r="H5" s="416" t="n"/>
    </row>
    <row r="6" ht="34" customHeight="1" s="192">
      <c r="A6" s="695" t="n">
        <v>8</v>
      </c>
      <c r="B6" s="1" t="n"/>
      <c r="C6" s="695">
        <f>SUM(F12:F19)</f>
        <v/>
      </c>
      <c r="D6" s="1" t="n"/>
      <c r="E6" s="696">
        <f>COUNTA(tblCurrentExceptions[Issue])-COUNTIF(tblCurrentExceptions[Issue],"Mapping Hold")</f>
        <v/>
      </c>
      <c r="F6" s="1" t="n"/>
      <c r="G6" s="697">
        <f>COUNTIF(tblLedger[Mapping Status],"MAPPING_HOLD")</f>
        <v/>
      </c>
      <c r="H6" s="1" t="n"/>
    </row>
    <row r="9">
      <c r="A9" s="698" t="inlineStr">
        <is>
          <t>Self-Healing Rule Register</t>
        </is>
      </c>
      <c r="B9" s="1" t="n"/>
      <c r="C9" s="1" t="n"/>
      <c r="D9" s="1" t="n"/>
      <c r="E9" s="1" t="n"/>
      <c r="F9" s="1" t="n"/>
      <c r="G9" s="1" t="n"/>
      <c r="H9" s="1" t="n"/>
    </row>
    <row r="10">
      <c r="A10" s="431" t="inlineStr">
        <is>
          <t>Rule ID</t>
        </is>
      </c>
      <c r="B10" s="431" t="inlineStr">
        <is>
          <t>Mode</t>
        </is>
      </c>
      <c r="C10" s="431" t="inlineStr">
        <is>
          <t>Scope</t>
        </is>
      </c>
      <c r="D10" s="431" t="inlineStr">
        <is>
          <t>Managed Field / Control</t>
        </is>
      </c>
      <c r="E10" s="431" t="inlineStr">
        <is>
          <t>Healing Logic</t>
        </is>
      </c>
      <c r="F10" s="431" t="inlineStr">
        <is>
          <t>Current Exceptions</t>
        </is>
      </c>
      <c r="G10" s="431" t="inlineStr">
        <is>
          <t>Status</t>
        </is>
      </c>
      <c r="H10" s="431" t="inlineStr">
        <is>
          <t>Protection Boundary</t>
        </is>
      </c>
    </row>
    <row r="11" ht="34" customHeight="1" s="192">
      <c r="A11" s="432" t="inlineStr">
        <is>
          <t>G01</t>
        </is>
      </c>
      <c r="B11" s="432" t="inlineStr">
        <is>
          <t>AUTO</t>
        </is>
      </c>
      <c r="C11" s="432" t="inlineStr">
        <is>
          <t>Service Events</t>
        </is>
      </c>
      <c r="D11" s="432" t="inlineStr">
        <is>
          <t>Physical Visit ID</t>
        </is>
      </c>
      <c r="E11" s="432" t="inlineStr">
        <is>
          <t>Derive EVT-nnnn from Event #</t>
        </is>
      </c>
      <c r="F11" s="482">
        <f>SUMPRODUCT(--(tblServiceEvents[Physical Visit ID]&lt;&gt;"EVT-"&amp;TEXT(tblServiceEvents[Event #],"0000")))</f>
        <v/>
      </c>
      <c r="G11" s="482">
        <f>IF(F11=0,IF(B11="AUTO","ACTIVE","PASS"),IF(B11="BLOCK","QUARANTINED",IF(B11="ADVISORY","MONITORED","REVIEW")))</f>
        <v/>
      </c>
      <c r="H11" s="432" t="inlineStr">
        <is>
          <t>Never renumbers Event #</t>
        </is>
      </c>
    </row>
    <row r="12" ht="34" customHeight="1" s="192">
      <c r="A12" s="432" t="inlineStr">
        <is>
          <t>G02</t>
        </is>
      </c>
      <c r="B12" s="432" t="inlineStr">
        <is>
          <t>AUTO</t>
        </is>
      </c>
      <c r="C12" s="432" t="inlineStr">
        <is>
          <t>Service Events</t>
        </is>
      </c>
      <c r="D12" s="432" t="inlineStr">
        <is>
          <t>Weekday</t>
        </is>
      </c>
      <c r="E12" s="432" t="inlineStr">
        <is>
          <t>Derive weekday from Service Date</t>
        </is>
      </c>
      <c r="F12" s="482">
        <f>SUMPRODUCT(--(tblServiceEvents[Weekday]&lt;&gt;TEXT(tblServiceEvents[Service Date],"dddd")))</f>
        <v/>
      </c>
      <c r="G12" s="482">
        <f>IF(F12=0,IF(B12="AUTO","ACTIVE","PASS"),IF(B12="BLOCK","QUARANTINED",IF(B12="ADVISORY","MONITORED","REVIEW")))</f>
        <v/>
      </c>
      <c r="H12" s="432" t="inlineStr">
        <is>
          <t>Never changes Service Date</t>
        </is>
      </c>
    </row>
    <row r="13" ht="34" customHeight="1" s="192">
      <c r="A13" s="432" t="inlineStr">
        <is>
          <t>G03</t>
        </is>
      </c>
      <c r="B13" s="432" t="inlineStr">
        <is>
          <t>AUTO</t>
        </is>
      </c>
      <c r="C13" s="432" t="inlineStr">
        <is>
          <t>Service Events</t>
        </is>
      </c>
      <c r="D13" s="432" t="inlineStr">
        <is>
          <t>Location Key</t>
        </is>
      </c>
      <c r="E13" s="432" t="inlineStr">
        <is>
          <t>Derive City|Jurisdiction</t>
        </is>
      </c>
      <c r="F13" s="482">
        <f>SUMPRODUCT(--(tblServiceEvents[Location Key]&lt;&gt;tblServiceEvents[City]&amp;"|"&amp;tblServiceEvents[Jurisdiction]))</f>
        <v/>
      </c>
      <c r="G13" s="482">
        <f>IF(F13=0,IF(B13="AUTO","ACTIVE","PASS"),IF(B13="BLOCK","QUARANTINED",IF(B13="ADVISORY","MONITORED","REVIEW")))</f>
        <v/>
      </c>
      <c r="H13" s="432" t="inlineStr">
        <is>
          <t>Never changes location facts</t>
        </is>
      </c>
    </row>
    <row r="14" ht="34" customHeight="1" s="192">
      <c r="A14" s="432" t="inlineStr">
        <is>
          <t>G04</t>
        </is>
      </c>
      <c r="B14" s="432" t="inlineStr">
        <is>
          <t>AUTO</t>
        </is>
      </c>
      <c r="C14" s="432" t="inlineStr">
        <is>
          <t>Service Events</t>
        </is>
      </c>
      <c r="D14" s="432" t="inlineStr">
        <is>
          <t>Breakdown Expected</t>
        </is>
      </c>
      <c r="E14" s="432" t="inlineStr">
        <is>
          <t>Excluded = No; Included = Yes</t>
        </is>
      </c>
      <c r="F14" s="482">
        <f>COUNTIFS(tblServiceEvents[Financial Scope],"Excluded",tblServiceEvents[Breakdown Expected],"&lt;&gt;No")+COUNTIFS(tblServiceEvents[Financial Scope],"Included",tblServiceEvents[Breakdown Expected],"&lt;&gt;Yes")</f>
        <v/>
      </c>
      <c r="G14" s="482">
        <f>IF(F14=0,IF(B14="AUTO","ACTIVE","PASS"),IF(B14="BLOCK","QUARANTINED",IF(B14="ADVISORY","MONITORED","REVIEW")))</f>
        <v/>
      </c>
      <c r="H14" s="432" t="inlineStr">
        <is>
          <t>Never changes Financial Scope</t>
        </is>
      </c>
    </row>
    <row r="15" ht="34" customHeight="1" s="192">
      <c r="A15" s="432" t="inlineStr">
        <is>
          <t>G05</t>
        </is>
      </c>
      <c r="B15" s="432" t="inlineStr">
        <is>
          <t>AUTO</t>
        </is>
      </c>
      <c r="C15" s="432" t="inlineStr">
        <is>
          <t>Service Events</t>
        </is>
      </c>
      <c r="D15" s="432" t="inlineStr">
        <is>
          <t>Revenue Eligibility</t>
        </is>
      </c>
      <c r="E15" s="432" t="inlineStr">
        <is>
          <t>Excluded scope or no confirmed revenue = Excluded; positive confirmed revenue = Eligible</t>
        </is>
      </c>
      <c r="F15" s="482">
        <f>SUMPRODUCT(--(tblServiceEvents[Revenue Eligibility]&lt;&gt;IF(tblServiceEvents[Financial Scope]="Excluded","Excluded",IF(tblServiceEvents[Confirmed Revenue]&gt;0,"Eligible","Excluded"))))</f>
        <v/>
      </c>
      <c r="G15" s="482">
        <f>IF(F15=0,IF(B15="AUTO","ACTIVE","PASS"),IF(B15="BLOCK","QUARANTINED",IF(B15="ADVISORY","MONITORED","REVIEW")))</f>
        <v/>
      </c>
      <c r="H15" s="432" t="inlineStr">
        <is>
          <t>Never invents revenue</t>
        </is>
      </c>
    </row>
    <row r="16" ht="34" customHeight="1" s="192">
      <c r="A16" s="432" t="inlineStr">
        <is>
          <t>G06</t>
        </is>
      </c>
      <c r="B16" s="432" t="inlineStr">
        <is>
          <t>AUTO</t>
        </is>
      </c>
      <c r="C16" s="432" t="inlineStr">
        <is>
          <t>Ledger</t>
        </is>
      </c>
      <c r="D16" s="432" t="inlineStr">
        <is>
          <t>Weekday</t>
        </is>
      </c>
      <c r="E16" s="432" t="inlineStr">
        <is>
          <t>Derive weekday from Service Date</t>
        </is>
      </c>
      <c r="F16" s="482">
        <f>SUMPRODUCT(--(tblLedger[Weekday]&lt;&gt;TEXT(tblLedger[Service Date],"dddd")))</f>
        <v/>
      </c>
      <c r="G16" s="482">
        <f>IF(F16=0,IF(B16="AUTO","ACTIVE","PASS"),IF(B16="BLOCK","QUARANTINED",IF(B16="ADVISORY","MONITORED","REVIEW")))</f>
        <v/>
      </c>
      <c r="H16" s="432" t="inlineStr">
        <is>
          <t>Never changes Service Date</t>
        </is>
      </c>
    </row>
    <row r="17" ht="34" customHeight="1" s="192">
      <c r="A17" s="432" t="inlineStr">
        <is>
          <t>G07</t>
        </is>
      </c>
      <c r="B17" s="432" t="inlineStr">
        <is>
          <t>AUTO</t>
        </is>
      </c>
      <c r="C17" s="432" t="inlineStr">
        <is>
          <t>Ledger</t>
        </is>
      </c>
      <c r="D17" s="432" t="inlineStr">
        <is>
          <t>Location Key</t>
        </is>
      </c>
      <c r="E17" s="432" t="inlineStr">
        <is>
          <t>Derive City|Jurisdiction</t>
        </is>
      </c>
      <c r="F17" s="482">
        <f>SUMPRODUCT(--(tblLedger[Location Key]&lt;&gt;tblLedger[City]&amp;"|"&amp;tblLedger[Jurisdiction]))</f>
        <v/>
      </c>
      <c r="G17" s="482">
        <f>IF(F17=0,IF(B17="AUTO","ACTIVE","PASS"),IF(B17="BLOCK","QUARANTINED",IF(B17="ADVISORY","MONITORED","REVIEW")))</f>
        <v/>
      </c>
      <c r="H17" s="432" t="inlineStr">
        <is>
          <t>Never changes location facts</t>
        </is>
      </c>
    </row>
    <row r="18" ht="34" customHeight="1" s="192">
      <c r="A18" s="432" t="inlineStr">
        <is>
          <t>G08</t>
        </is>
      </c>
      <c r="B18" s="432" t="inlineStr">
        <is>
          <t>AUTO</t>
        </is>
      </c>
      <c r="C18" s="432" t="inlineStr">
        <is>
          <t>Ledger</t>
        </is>
      </c>
      <c r="D18" s="432" t="inlineStr">
        <is>
          <t>Variance</t>
        </is>
      </c>
      <c r="E18" s="432" t="inlineStr">
        <is>
          <t>Breakdown Amount minus Agreed Amount when both are numeric</t>
        </is>
      </c>
      <c r="F18" s="482">
        <f>SUMPRODUCT(--ISNUMBER(tblLedger[Agreed Amount]),--ISNUMBER(tblLedger[Breakdown Amount]),--(IFERROR(ABS(tblLedger[Variance]-(tblLedger[Breakdown Amount]-tblLedger[Agreed Amount])),0)&gt;0.01))</f>
        <v/>
      </c>
      <c r="G18" s="482">
        <f>IF(F18=0,IF(B18="AUTO","ACTIVE","PASS"),IF(B18="BLOCK","QUARANTINED",IF(B18="ADVISORY","MONITORED","REVIEW")))</f>
        <v/>
      </c>
      <c r="H18" s="432" t="inlineStr">
        <is>
          <t>Never invents agreed or paid amounts</t>
        </is>
      </c>
    </row>
    <row r="19" ht="34" customHeight="1" s="192">
      <c r="A19" s="432" t="inlineStr">
        <is>
          <t>G09</t>
        </is>
      </c>
      <c r="B19" s="432" t="inlineStr">
        <is>
          <t>MONITOR</t>
        </is>
      </c>
      <c r="C19" s="432" t="inlineStr">
        <is>
          <t>Dashboard</t>
        </is>
      </c>
      <c r="D19" s="432" t="inlineStr">
        <is>
          <t>KPI refresh</t>
        </is>
      </c>
      <c r="E19" s="432" t="inlineStr">
        <is>
          <t>Dashboard formulas reconcile directly to authoritative tables</t>
        </is>
      </c>
      <c r="F19" s="482">
        <f>SUM('Exceptions &amp; Audit'!D192:D196)</f>
        <v/>
      </c>
      <c r="G19" s="482">
        <f>IF(F19=0,IF(B19="AUTO","ACTIVE","PASS"),IF(B19="BLOCK","QUARANTINED",IF(B19="ADVISORY","MONITORED","REVIEW")))</f>
        <v/>
      </c>
      <c r="H19" s="432" t="inlineStr">
        <is>
          <t>No manual KPI entry</t>
        </is>
      </c>
    </row>
    <row r="20" ht="34" customHeight="1" s="192">
      <c r="A20" s="432" t="inlineStr">
        <is>
          <t>G10</t>
        </is>
      </c>
      <c r="B20" s="432" t="inlineStr">
        <is>
          <t>ADVISORY</t>
        </is>
      </c>
      <c r="C20" s="432" t="inlineStr">
        <is>
          <t>Service Events</t>
        </is>
      </c>
      <c r="D20" s="432" t="inlineStr">
        <is>
          <t>Financial Exclusion Reason</t>
        </is>
      </c>
      <c r="E20" s="432" t="inlineStr">
        <is>
          <t>Flag excluded rows with missing rationale</t>
        </is>
      </c>
      <c r="F20" s="482">
        <f>COUNTIFS(tblServiceEvents[Financial Scope],"Excluded",tblServiceEvents[Financial Exclusion Reason],"")</f>
        <v/>
      </c>
      <c r="G20" s="482">
        <f>IF(F20=0,IF(B20="AUTO","ACTIVE","PASS"),IF(B20="BLOCK","QUARANTINED",IF(B20="ADVISORY","MONITORED","REVIEW")))</f>
        <v/>
      </c>
      <c r="H20" s="432" t="inlineStr">
        <is>
          <t>Reason requires human evidence</t>
        </is>
      </c>
    </row>
    <row r="21" ht="34" customHeight="1" s="192">
      <c r="A21" s="432" t="inlineStr">
        <is>
          <t>G11</t>
        </is>
      </c>
      <c r="B21" s="432" t="inlineStr">
        <is>
          <t>ADVISORY</t>
        </is>
      </c>
      <c r="C21" s="432" t="inlineStr">
        <is>
          <t>Business State</t>
        </is>
      </c>
      <c r="D21" s="432" t="inlineStr">
        <is>
          <t>Open financial actions</t>
        </is>
      </c>
      <c r="E21" s="432" t="inlineStr">
        <is>
          <t>Keep pending breakdown, ACH, variance, and partial items visible</t>
        </is>
      </c>
      <c r="F21" s="482">
        <f>COUNTA(tblCurrentExceptions[Issue])-COUNTIF(tblCurrentExceptions[Issue],"Mapping Hold")</f>
        <v/>
      </c>
      <c r="G21" s="482">
        <f>IF(F21=0,"CLEAR","MONITORED")</f>
        <v/>
      </c>
      <c r="H21" s="432" t="inlineStr">
        <is>
          <t>Never silently closes an exception</t>
        </is>
      </c>
    </row>
    <row r="22" ht="34" customHeight="1" s="192">
      <c r="A22" s="432" t="inlineStr">
        <is>
          <t>G12</t>
        </is>
      </c>
      <c r="B22" s="432" t="inlineStr">
        <is>
          <t>BLOCK</t>
        </is>
      </c>
      <c r="C22" s="432" t="inlineStr">
        <is>
          <t>Ledger Mapping</t>
        </is>
      </c>
      <c r="D22" s="432" t="inlineStr">
        <is>
          <t>Mapping Hold</t>
        </is>
      </c>
      <c r="E22" s="432" t="inlineStr">
        <is>
          <t>Quarantine ambiguous WO-to-event ownership</t>
        </is>
      </c>
      <c r="F22" s="482">
        <f>COUNTIF(tblLedger[Mapping Status],"MAPPING_HOLD")</f>
        <v/>
      </c>
      <c r="G22" s="482">
        <f>IF(F22=0,"CLEAR","QUARANTINED")</f>
        <v/>
      </c>
      <c r="H22" s="432" t="inlineStr">
        <is>
          <t>Never guesses event ownership</t>
        </is>
      </c>
    </row>
    <row r="25">
      <c r="A25" s="698" t="inlineStr">
        <is>
          <t>Field Ownership &amp; Update Boundaries</t>
        </is>
      </c>
      <c r="B25" s="1" t="n"/>
      <c r="C25" s="1" t="n"/>
      <c r="D25" s="1" t="n"/>
      <c r="E25" s="1" t="n"/>
      <c r="F25" s="1" t="n"/>
      <c r="G25" s="1" t="n"/>
      <c r="H25" s="1" t="n"/>
    </row>
    <row r="26">
      <c r="A26" s="699" t="inlineStr">
        <is>
          <t>Field Class</t>
        </is>
      </c>
      <c r="B26" s="1" t="n"/>
      <c r="C26" s="699" t="inlineStr">
        <is>
          <t>Examples</t>
        </is>
      </c>
      <c r="D26" s="1" t="n"/>
      <c r="E26" s="699" t="inlineStr">
        <is>
          <t>3G Behavior</t>
        </is>
      </c>
      <c r="F26" s="1" t="n"/>
      <c r="G26" s="699" t="inlineStr">
        <is>
          <t>Authoritative Owner</t>
        </is>
      </c>
      <c r="H26" s="1" t="n"/>
    </row>
    <row r="27" ht="38" customHeight="1" s="192">
      <c r="A27" s="700" t="inlineStr">
        <is>
          <t>Auto-managed derived</t>
        </is>
      </c>
      <c r="B27" s="1" t="n"/>
      <c r="C27" s="700" t="inlineStr">
        <is>
          <t>Event ID, Weekday, Location Key, Variance, eligibility flags</t>
        </is>
      </c>
      <c r="D27" s="1" t="n"/>
      <c r="E27" s="700" t="inlineStr">
        <is>
          <t>Formula-controlled and recalculates automatically</t>
        </is>
      </c>
      <c r="F27" s="1" t="n"/>
      <c r="G27" s="700" t="inlineStr">
        <is>
          <t>Workbook formulas</t>
        </is>
      </c>
      <c r="H27" s="1" t="n"/>
    </row>
    <row r="28" ht="38" customHeight="1" s="192">
      <c r="A28" s="701" t="inlineStr">
        <is>
          <t>Human-controlled identity</t>
        </is>
      </c>
      <c r="B28" s="1" t="n"/>
      <c r="C28" s="701" t="inlineStr">
        <is>
          <t>Event #, date, client, site, city/state, WO #</t>
        </is>
      </c>
      <c r="D28" s="1" t="n"/>
      <c r="E28" s="701" t="inlineStr">
        <is>
          <t>Never changed automatically</t>
        </is>
      </c>
      <c r="F28" s="1" t="n"/>
      <c r="G28" s="701" t="inlineStr">
        <is>
          <t>User-authoritative evidence</t>
        </is>
      </c>
      <c r="H28" s="1" t="n"/>
    </row>
    <row r="29" ht="38" customHeight="1" s="192">
      <c r="A29" s="700" t="inlineStr">
        <is>
          <t>Human-controlled financial facts</t>
        </is>
      </c>
      <c r="B29" s="1" t="n"/>
      <c r="C29" s="700" t="inlineStr">
        <is>
          <t>Agreed amount, breakdown amount/date, ACH amount/date</t>
        </is>
      </c>
      <c r="D29" s="1" t="n"/>
      <c r="E29" s="700" t="inlineStr">
        <is>
          <t>Never inferred or estimated</t>
        </is>
      </c>
      <c r="F29" s="1" t="n"/>
      <c r="G29" s="700" t="inlineStr">
        <is>
          <t>Barrister email / portal evidence</t>
        </is>
      </c>
      <c r="H29" s="1" t="n"/>
    </row>
    <row r="30" ht="38" customHeight="1" s="192">
      <c r="A30" s="701" t="inlineStr">
        <is>
          <t>Human-controlled mapping</t>
        </is>
      </c>
      <c r="B30" s="1" t="n"/>
      <c r="C30" s="701" t="inlineStr">
        <is>
          <t>Event-to-WO ownership, duplicate resolution, mapping holds</t>
        </is>
      </c>
      <c r="D30" s="1" t="n"/>
      <c r="E30" s="701" t="inlineStr">
        <is>
          <t>Blocked from automatic repair</t>
        </is>
      </c>
      <c r="F30" s="1" t="n"/>
      <c r="G30" s="701" t="inlineStr">
        <is>
          <t>Verified chronology + human review</t>
        </is>
      </c>
      <c r="H30" s="1" t="n"/>
    </row>
    <row r="31" ht="38" customHeight="1" s="192">
      <c r="A31" s="700" t="inlineStr">
        <is>
          <t>Advisory status</t>
        </is>
      </c>
      <c r="B31" s="1" t="n"/>
      <c r="C31" s="700" t="inlineStr">
        <is>
          <t>Pending breakdown, pending ACH, variance, partial breakdown</t>
        </is>
      </c>
      <c r="D31" s="1" t="n"/>
      <c r="E31" s="700" t="inlineStr">
        <is>
          <t>Remains visible until evidence changes the record</t>
        </is>
      </c>
      <c r="F31" s="1" t="n"/>
      <c r="G31" s="700" t="inlineStr">
        <is>
          <t>Exception engine</t>
        </is>
      </c>
      <c r="H31" s="1" t="n"/>
    </row>
    <row r="34">
      <c r="A34" s="702" t="inlineStr">
        <is>
          <t>3G Operating Policy</t>
        </is>
      </c>
      <c r="B34" s="1" t="n"/>
      <c r="C34" s="1" t="n"/>
      <c r="D34" s="1" t="n"/>
      <c r="E34" s="1" t="n"/>
      <c r="F34" s="1" t="n"/>
      <c r="G34" s="1" t="n"/>
      <c r="H34" s="1" t="n"/>
    </row>
    <row r="35" ht="30" customHeight="1" s="192">
      <c r="A35" s="703" t="inlineStr">
        <is>
          <t>Automatic repair is permitted only when the correct value is mathematically deterministic from authoritative fields.</t>
        </is>
      </c>
      <c r="B35" s="1" t="n"/>
      <c r="C35" s="1" t="n"/>
      <c r="D35" s="1" t="n"/>
      <c r="E35" s="1" t="n"/>
      <c r="F35" s="1" t="n"/>
      <c r="G35" s="1" t="n"/>
      <c r="H35" s="1" t="n"/>
    </row>
    <row r="36" ht="30" customHeight="1" s="192">
      <c r="A36" s="704" t="inlineStr">
        <is>
          <t>No self-healing rule may invent chronology, client identity, work-order ownership, payment amounts, dates, or evidence.</t>
        </is>
      </c>
      <c r="B36" s="1" t="n"/>
      <c r="C36" s="1" t="n"/>
      <c r="D36" s="1" t="n"/>
      <c r="E36" s="1" t="n"/>
      <c r="F36" s="1" t="n"/>
      <c r="G36" s="1" t="n"/>
      <c r="H36" s="1" t="n"/>
    </row>
    <row r="37" ht="30" customHeight="1" s="192">
      <c r="A37" s="703" t="inlineStr">
        <is>
          <t>Business exceptions remain open until new authoritative evidence is entered; formatting or formulas never mark them paid.</t>
        </is>
      </c>
      <c r="B37" s="1" t="n"/>
      <c r="C37" s="1" t="n"/>
      <c r="D37" s="1" t="n"/>
      <c r="E37" s="1" t="n"/>
      <c r="F37" s="1" t="n"/>
      <c r="G37" s="1" t="n"/>
      <c r="H37" s="1" t="n"/>
    </row>
    <row r="38" ht="30" customHeight="1" s="192">
      <c r="A38" s="704" t="inlineStr">
        <is>
          <t>Phase 3H remains the enforcement layer. Phase 3G repairs safe fields; Phase 3H stops unsafe or contradictory updates.</t>
        </is>
      </c>
      <c r="B38" s="1" t="n"/>
      <c r="C38" s="1" t="n"/>
      <c r="D38" s="1" t="n"/>
      <c r="E38" s="1" t="n"/>
      <c r="F38" s="1" t="n"/>
      <c r="G38" s="1" t="n"/>
      <c r="H38" s="1" t="n"/>
    </row>
    <row r="40">
      <c r="A40" t="inlineStr">
        <is>
          <t>Month 4 Conversation Control Rules</t>
        </is>
      </c>
    </row>
    <row r="41">
      <c r="A41" t="inlineStr">
        <is>
          <t>Rule ID</t>
        </is>
      </c>
      <c r="B41" t="inlineStr">
        <is>
          <t>Mode</t>
        </is>
      </c>
      <c r="C41" t="inlineStr">
        <is>
          <t>Scope</t>
        </is>
      </c>
      <c r="D41" t="inlineStr">
        <is>
          <t>Managed Field / Control</t>
        </is>
      </c>
      <c r="E41" t="inlineStr">
        <is>
          <t>Required Logic</t>
        </is>
      </c>
      <c r="F41" t="inlineStr">
        <is>
          <t>Current Exceptions</t>
        </is>
      </c>
      <c r="G41" t="inlineStr">
        <is>
          <t>Status</t>
        </is>
      </c>
      <c r="H41" t="inlineStr">
        <is>
          <t>Protection Boundary</t>
        </is>
      </c>
    </row>
    <row r="42">
      <c r="A42" t="inlineStr">
        <is>
          <t>M01</t>
        </is>
      </c>
      <c r="B42" t="inlineStr">
        <is>
          <t>BLOCK</t>
        </is>
      </c>
      <c r="C42" t="inlineStr">
        <is>
          <t>Conversation Initialization</t>
        </is>
      </c>
      <c r="D42" t="inlineStr">
        <is>
          <t>BARRISTER CONTROL CHECK</t>
        </is>
      </c>
      <c r="E42" t="inlineStr">
        <is>
          <t>Open and verify the supplied authoritative workbook; report filename, highest Event, confirmed revenue, and open exceptions before operational work.</t>
        </is>
      </c>
      <c r="F42" t="n">
        <v>0</v>
      </c>
      <c r="G42" t="inlineStr">
        <is>
          <t>ACTIVE</t>
        </is>
      </c>
      <c r="H42" t="inlineStr">
        <is>
          <t>Never substitute memory or stale summaries</t>
        </is>
      </c>
    </row>
    <row r="43">
      <c r="A43" t="inlineStr">
        <is>
          <t>M02</t>
        </is>
      </c>
      <c r="B43" t="inlineStr">
        <is>
          <t>COMMAND</t>
        </is>
      </c>
      <c r="C43" t="inlineStr">
        <is>
          <t>Gmail Financial Reconciliation</t>
        </is>
      </c>
      <c r="D43" t="inlineStr">
        <is>
          <t>DELTA UPDATE</t>
        </is>
      </c>
      <c r="E43" t="inlineStr">
        <is>
          <t>Search Gmail only for ACHs, deposits, payment breakdowns, and deductions; map each delta to the correct WO and Event.</t>
        </is>
      </c>
      <c r="F43" t="n">
        <v>0</v>
      </c>
      <c r="G43" t="inlineStr">
        <is>
          <t>ACTIVE</t>
        </is>
      </c>
      <c r="H43" t="inlineStr">
        <is>
          <t>Never search unrelated systems or redefine the command</t>
        </is>
      </c>
    </row>
    <row r="44">
      <c r="A44" t="inlineStr">
        <is>
          <t>M03</t>
        </is>
      </c>
      <c r="B44" t="inlineStr">
        <is>
          <t>BLOCK</t>
        </is>
      </c>
      <c r="C44" t="inlineStr">
        <is>
          <t>Chronology</t>
        </is>
      </c>
      <c r="D44" t="inlineStr">
        <is>
          <t>Event creation</t>
        </is>
      </c>
      <c r="E44" t="inlineStr">
        <is>
          <t>One physical site visit equals one Event; completion requires user-authoritative evidence; never skip, merge, or invent Event numbers.</t>
        </is>
      </c>
      <c r="F44" t="n">
        <v>0</v>
      </c>
      <c r="G44" t="inlineStr">
        <is>
          <t>ACTIVE</t>
        </is>
      </c>
      <c r="H44" t="inlineStr">
        <is>
          <t>Chronology remains human-controlled</t>
        </is>
      </c>
    </row>
    <row r="45">
      <c r="A45" t="inlineStr">
        <is>
          <t>M04</t>
        </is>
      </c>
      <c r="B45" t="inlineStr">
        <is>
          <t>BLOCK</t>
        </is>
      </c>
      <c r="C45" t="inlineStr">
        <is>
          <t>Financial Status</t>
        </is>
      </c>
      <c r="D45" t="inlineStr">
        <is>
          <t>Payment confirmation</t>
        </is>
      </c>
      <c r="E45" t="inlineStr">
        <is>
          <t>Promised rates, ticket closure, and estimates do not equal confirmed payment. Keep breakdown and ACH states unresolved until evidence exists.</t>
        </is>
      </c>
      <c r="F45" t="n">
        <v>0</v>
      </c>
      <c r="G45" t="inlineStr">
        <is>
          <t>ACTIVE</t>
        </is>
      </c>
      <c r="H45" t="inlineStr">
        <is>
          <t>Never invent financial facts</t>
        </is>
      </c>
    </row>
  </sheetData>
  <mergeCells count="37">
    <mergeCell ref="A9:H9"/>
    <mergeCell ref="A30:B30"/>
    <mergeCell ref="C6:D6"/>
    <mergeCell ref="C30:D30"/>
    <mergeCell ref="G27:H27"/>
    <mergeCell ref="A36:H36"/>
    <mergeCell ref="A1:H1"/>
    <mergeCell ref="C26:D26"/>
    <mergeCell ref="A6:B6"/>
    <mergeCell ref="C29:D29"/>
    <mergeCell ref="E29:F29"/>
    <mergeCell ref="A25:H25"/>
    <mergeCell ref="E28:F28"/>
    <mergeCell ref="G28:H28"/>
    <mergeCell ref="G6:H6"/>
    <mergeCell ref="A37:H37"/>
    <mergeCell ref="C31:D31"/>
    <mergeCell ref="A27:B27"/>
    <mergeCell ref="E31:F31"/>
    <mergeCell ref="A26:B26"/>
    <mergeCell ref="A3:H3"/>
    <mergeCell ref="E6:F6"/>
    <mergeCell ref="E30:F30"/>
    <mergeCell ref="G30:H30"/>
    <mergeCell ref="C27:D27"/>
    <mergeCell ref="E27:F27"/>
    <mergeCell ref="E26:F26"/>
    <mergeCell ref="G26:H26"/>
    <mergeCell ref="G29:H29"/>
    <mergeCell ref="A29:B29"/>
    <mergeCell ref="A35:H35"/>
    <mergeCell ref="A38:H38"/>
    <mergeCell ref="A28:B28"/>
    <mergeCell ref="C28:D28"/>
    <mergeCell ref="G31:H31"/>
    <mergeCell ref="A31:B31"/>
    <mergeCell ref="A34:H34"/>
  </mergeCells>
  <conditionalFormatting sqref="G11:G22">
    <cfRule type="expression" priority="1" dxfId="136">
      <formula>OR(G11="ACTIVE",G11="PASS",G11="CLEAR")</formula>
    </cfRule>
    <cfRule type="expression" priority="2" dxfId="137">
      <formula>G11="MONITORED"</formula>
    </cfRule>
    <cfRule type="expression" priority="3" dxfId="138">
      <formula>OR(G11="REVIEW",G11="QUARANTINED")</formula>
    </cfRule>
  </conditionalFormatting>
  <conditionalFormatting sqref="F11:F22">
    <cfRule type="expression" priority="4" dxfId="139">
      <formula>F11=0</formula>
    </cfRule>
    <cfRule type="expression" priority="5" dxfId="137">
      <formula>F11&gt;0</formula>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120"/>
  <sheetViews>
    <sheetView workbookViewId="0">
      <selection activeCell="A1" sqref="A1"/>
    </sheetView>
  </sheetViews>
  <sheetFormatPr baseColWidth="8" defaultRowHeight="15"/>
  <cols>
    <col width="30" customWidth="1" style="192" min="1" max="1"/>
    <col width="16" customWidth="1" style="192" min="2" max="2"/>
    <col width="24" customWidth="1" style="192" min="3" max="3"/>
    <col width="22" customWidth="1" style="192" min="4" max="4"/>
    <col width="12" customWidth="1" style="192" min="5" max="5"/>
    <col width="14" customWidth="1" style="192" min="6" max="6"/>
    <col width="34" customWidth="1" style="192" min="7" max="7"/>
    <col width="18" customWidth="1" style="192" min="8" max="8"/>
    <col width="28" customWidth="1" style="192" min="9" max="9"/>
    <col width="16" customWidth="1" style="192" min="10" max="10"/>
    <col width="18" customWidth="1" style="192" min="11" max="11"/>
    <col width="14" customWidth="1" style="192" min="12" max="12"/>
    <col width="18" customWidth="1" style="192" min="13" max="13"/>
    <col width="18" customWidth="1" style="192" min="14" max="14"/>
  </cols>
  <sheetData>
    <row r="1" ht="30" customHeight="1" s="192">
      <c r="A1" s="705" t="inlineStr">
        <is>
          <t>BARRISTER CAREER ANALYTICS | AGENT EINI</t>
        </is>
      </c>
      <c r="B1" s="1" t="n"/>
      <c r="C1" s="1" t="n"/>
      <c r="D1" s="1" t="n"/>
      <c r="E1" s="1" t="n"/>
      <c r="F1" s="1" t="n"/>
      <c r="G1" s="1" t="n"/>
      <c r="H1" s="1" t="n"/>
      <c r="I1" s="1" t="n"/>
      <c r="J1" s="1" t="n"/>
      <c r="K1" s="1" t="n"/>
      <c r="L1" s="1" t="n"/>
      <c r="M1" s="1" t="n"/>
      <c r="N1" s="1" t="n"/>
    </row>
    <row r="2" ht="30" customHeight="1" s="192">
      <c r="A2" s="1" t="n"/>
      <c r="B2" s="1" t="n"/>
      <c r="C2" s="1" t="n"/>
      <c r="D2" s="1" t="n"/>
      <c r="E2" s="1" t="n"/>
      <c r="F2" s="1" t="n"/>
      <c r="G2" s="1" t="n"/>
      <c r="H2" s="1" t="n"/>
      <c r="I2" s="1" t="n"/>
      <c r="J2" s="1" t="n"/>
      <c r="K2" s="1" t="n"/>
      <c r="L2" s="1" t="n"/>
      <c r="M2" s="1" t="n"/>
      <c r="N2" s="1" t="n"/>
    </row>
    <row r="3">
      <c r="A3" s="706" t="inlineStr">
        <is>
          <t>Authoritative career snapshot through 2026-07-24 | Event #84 | User-confirmed financial corrections included</t>
        </is>
      </c>
      <c r="B3" s="1" t="n"/>
      <c r="C3" s="1" t="n"/>
      <c r="D3" s="1" t="n"/>
      <c r="E3" s="1" t="n"/>
      <c r="F3" s="1" t="n"/>
      <c r="G3" s="1" t="n"/>
      <c r="H3" s="1" t="n"/>
      <c r="I3" s="1" t="n"/>
      <c r="J3" s="1" t="n"/>
      <c r="K3" s="1" t="n"/>
      <c r="L3" s="1" t="n"/>
      <c r="M3" s="1" t="n"/>
      <c r="N3" s="1" t="n"/>
    </row>
    <row r="4">
      <c r="A4" s="531" t="n"/>
      <c r="B4" s="531" t="n"/>
      <c r="C4" s="531" t="n"/>
      <c r="D4" s="531" t="n"/>
      <c r="E4" s="531" t="n"/>
      <c r="F4" s="531" t="n"/>
      <c r="G4" s="531" t="n"/>
      <c r="H4" s="531" t="n"/>
      <c r="I4" s="531" t="n"/>
      <c r="J4" s="531" t="n"/>
      <c r="K4" s="531" t="n"/>
      <c r="L4" s="531" t="n"/>
      <c r="M4" s="531" t="n"/>
      <c r="N4" s="531" t="n"/>
    </row>
    <row r="5">
      <c r="A5" s="707" t="inlineStr">
        <is>
          <t>BARRISTER BASEBALL CARD</t>
        </is>
      </c>
      <c r="B5" s="1" t="n"/>
      <c r="C5" s="1" t="n"/>
      <c r="D5" s="1" t="n"/>
      <c r="E5" s="531" t="n"/>
      <c r="F5" s="707" t="inlineStr">
        <is>
          <t>THE 12 CAREER METRICS</t>
        </is>
      </c>
      <c r="G5" s="1" t="n"/>
      <c r="H5" s="1" t="n"/>
      <c r="I5" s="1" t="n"/>
      <c r="J5" s="1" t="n"/>
      <c r="K5" s="1" t="n"/>
      <c r="L5" s="1" t="n"/>
      <c r="M5" s="1" t="n"/>
      <c r="N5" s="1" t="n"/>
    </row>
    <row r="6">
      <c r="A6" s="571" t="inlineStr">
        <is>
          <t>Career Events</t>
        </is>
      </c>
      <c r="B6" s="572" t="n">
        <v>84</v>
      </c>
      <c r="C6" s="571" t="inlineStr">
        <is>
          <t>Career Revenue</t>
        </is>
      </c>
      <c r="D6" s="708" t="n">
        <v>9474.41</v>
      </c>
      <c r="E6" s="531" t="n"/>
      <c r="F6" s="574" t="n">
        <v>1</v>
      </c>
      <c r="G6" s="571" t="inlineStr">
        <is>
          <t>Longest Business-Day Streak</t>
        </is>
      </c>
      <c r="H6" s="575" t="n">
        <v>11</v>
      </c>
      <c r="I6" s="576" t="inlineStr">
        <is>
          <t>Current: 6</t>
        </is>
      </c>
      <c r="J6" s="531" t="n"/>
      <c r="K6" s="531" t="n"/>
      <c r="L6" s="531" t="n"/>
      <c r="M6" s="531" t="n"/>
      <c r="N6" s="531" t="n"/>
    </row>
    <row r="7">
      <c r="A7" s="571" t="inlineStr">
        <is>
          <t>Unique Clients</t>
        </is>
      </c>
      <c r="B7" s="572" t="n">
        <v>31</v>
      </c>
      <c r="C7" s="571" t="inlineStr">
        <is>
          <t>Worked Days</t>
        </is>
      </c>
      <c r="D7" s="572" t="n">
        <v>54</v>
      </c>
      <c r="E7" s="531" t="n"/>
      <c r="F7" s="574" t="n">
        <v>2</v>
      </c>
      <c r="G7" s="571" t="inlineStr">
        <is>
          <t>Most Events / Rolling 3 Days</t>
        </is>
      </c>
      <c r="H7" s="575" t="n">
        <v>7</v>
      </c>
      <c r="I7" s="576" t="inlineStr">
        <is>
          <t>2026-06-09 to 2026-06-11</t>
        </is>
      </c>
      <c r="J7" s="531" t="n"/>
      <c r="K7" s="531" t="n"/>
      <c r="L7" s="531" t="n"/>
      <c r="M7" s="531" t="n"/>
      <c r="N7" s="531" t="n"/>
    </row>
    <row r="8">
      <c r="A8" s="571" t="inlineStr">
        <is>
          <t>Jurisdictions</t>
        </is>
      </c>
      <c r="B8" s="572" t="n">
        <v>5</v>
      </c>
      <c r="C8" s="571" t="inlineStr">
        <is>
          <t>Work Orders</t>
        </is>
      </c>
      <c r="D8" s="572" t="n">
        <v>85</v>
      </c>
      <c r="E8" s="531" t="n"/>
      <c r="F8" s="574" t="n">
        <v>3</v>
      </c>
      <c r="G8" s="571" t="inlineStr">
        <is>
          <t>Most Events / Rolling 7 Days</t>
        </is>
      </c>
      <c r="H8" s="575" t="n">
        <v>11</v>
      </c>
      <c r="I8" s="576" t="inlineStr">
        <is>
          <t>2026-06-05 to 2026-06-11</t>
        </is>
      </c>
      <c r="J8" s="531" t="n"/>
      <c r="K8" s="531" t="n"/>
      <c r="L8" s="531" t="n"/>
      <c r="M8" s="531" t="n"/>
      <c r="N8" s="531" t="n"/>
    </row>
    <row r="9">
      <c r="A9" s="571" t="inlineStr">
        <is>
          <t>Longest B-Day Streak</t>
        </is>
      </c>
      <c r="B9" s="572" t="n">
        <v>14</v>
      </c>
      <c r="C9" s="571" t="inlineStr">
        <is>
          <t>Current Streak</t>
        </is>
      </c>
      <c r="D9" s="572" t="n">
        <v>14</v>
      </c>
      <c r="E9" s="531" t="n"/>
      <c r="F9" s="574" t="n">
        <v>4</v>
      </c>
      <c r="G9" s="571" t="inlineStr">
        <is>
          <t>Highest-Grossing Workweek</t>
        </is>
      </c>
      <c r="H9" s="709" t="n">
        <v>1221.66</v>
      </c>
      <c r="I9" s="576" t="inlineStr">
        <is>
          <t>Workweek 7</t>
        </is>
      </c>
      <c r="J9" s="531" t="n"/>
      <c r="K9" s="531" t="n"/>
      <c r="L9" s="531" t="n"/>
      <c r="M9" s="531" t="n"/>
      <c r="N9" s="531" t="n"/>
    </row>
    <row r="10">
      <c r="A10" s="571" t="inlineStr">
        <is>
          <t>Career Avg / Paid Event</t>
        </is>
      </c>
      <c r="B10" s="708" t="n">
        <v>119.9292405063291</v>
      </c>
      <c r="C10" s="571" t="inlineStr">
        <is>
          <t>MVP Client</t>
        </is>
      </c>
      <c r="D10" s="572" t="inlineStr">
        <is>
          <t>USDA</t>
        </is>
      </c>
      <c r="E10" s="531" t="n"/>
      <c r="F10" s="574" t="n">
        <v>5</v>
      </c>
      <c r="G10" s="571" t="inlineStr">
        <is>
          <t>Highest-Grossing Workday</t>
        </is>
      </c>
      <c r="H10" s="709" t="n">
        <v>390</v>
      </c>
      <c r="I10" s="576" t="inlineStr">
        <is>
          <t>2026-06-10</t>
        </is>
      </c>
      <c r="J10" s="531" t="n"/>
      <c r="K10" s="531" t="n"/>
      <c r="L10" s="531" t="n"/>
      <c r="M10" s="531" t="n"/>
      <c r="N10" s="531" t="n"/>
    </row>
    <row r="11">
      <c r="A11" s="571" t="inlineStr">
        <is>
          <t>Career Grade</t>
        </is>
      </c>
      <c r="B11" s="572" t="inlineStr">
        <is>
          <t>B</t>
        </is>
      </c>
      <c r="C11" s="571" t="inlineStr">
        <is>
          <t>Overall Score</t>
        </is>
      </c>
      <c r="D11" s="710" t="n">
        <v>0.8475406782919741</v>
      </c>
      <c r="E11" s="531" t="n"/>
      <c r="F11" s="574" t="n">
        <v>6</v>
      </c>
      <c r="G11" s="571" t="inlineStr">
        <is>
          <t>Average Revenue / Paid Event</t>
        </is>
      </c>
      <c r="H11" s="709" t="n">
        <v>127.310625</v>
      </c>
      <c r="I11" s="576" t="inlineStr">
        <is>
          <t>Confirmed breakdown basis</t>
        </is>
      </c>
      <c r="J11" s="531" t="n"/>
      <c r="K11" s="531" t="n"/>
      <c r="L11" s="531" t="n"/>
      <c r="M11" s="531" t="n"/>
      <c r="N11" s="531" t="n"/>
    </row>
    <row r="12">
      <c r="A12" s="531" t="n"/>
      <c r="B12" s="531" t="n"/>
      <c r="C12" s="531" t="n"/>
      <c r="D12" s="531" t="n"/>
      <c r="E12" s="531" t="n"/>
      <c r="F12" s="574" t="n">
        <v>7</v>
      </c>
      <c r="G12" s="571" t="inlineStr">
        <is>
          <t>Unique Clients</t>
        </is>
      </c>
      <c r="H12" s="575" t="n">
        <v>31</v>
      </c>
      <c r="I12" s="576" t="inlineStr">
        <is>
          <t>20 repeat clients</t>
        </is>
      </c>
      <c r="J12" s="531" t="n"/>
      <c r="K12" s="531" t="n"/>
      <c r="L12" s="531" t="n"/>
      <c r="M12" s="531" t="n"/>
      <c r="N12" s="531" t="n"/>
    </row>
    <row r="13">
      <c r="A13" s="531" t="n"/>
      <c r="B13" s="531" t="n"/>
      <c r="C13" s="531" t="n"/>
      <c r="D13" s="531" t="n"/>
      <c r="E13" s="531" t="n"/>
      <c r="F13" s="574" t="n">
        <v>8</v>
      </c>
      <c r="G13" s="571" t="inlineStr">
        <is>
          <t>Repeat Client Rate</t>
        </is>
      </c>
      <c r="H13" s="711" t="n">
        <v>0.6451612903225806</v>
      </c>
      <c r="I13" s="576" t="inlineStr">
        <is>
          <t>11 one-time clients</t>
        </is>
      </c>
      <c r="J13" s="531" t="n"/>
      <c r="K13" s="531" t="n"/>
      <c r="L13" s="531" t="n"/>
      <c r="M13" s="531" t="n"/>
      <c r="N13" s="531" t="n"/>
    </row>
    <row r="14">
      <c r="A14" s="531" t="n"/>
      <c r="B14" s="531" t="n"/>
      <c r="C14" s="531" t="n"/>
      <c r="D14" s="531" t="n"/>
      <c r="E14" s="531" t="n"/>
      <c r="F14" s="574" t="n">
        <v>9</v>
      </c>
      <c r="G14" s="571" t="inlineStr">
        <is>
          <t>Territory Footprint</t>
        </is>
      </c>
      <c r="H14" s="575" t="n">
        <v>5</v>
      </c>
      <c r="I14" s="576" t="inlineStr">
        <is>
          <t>DC, MD, PA, VA, WV</t>
        </is>
      </c>
      <c r="J14" s="531" t="n"/>
      <c r="K14" s="531" t="n"/>
      <c r="L14" s="531" t="n"/>
      <c r="M14" s="531" t="n"/>
      <c r="N14" s="531" t="n"/>
    </row>
    <row r="15">
      <c r="A15" s="531" t="n"/>
      <c r="B15" s="531" t="n"/>
      <c r="C15" s="531" t="n"/>
      <c r="D15" s="531" t="n"/>
      <c r="E15" s="531" t="n"/>
      <c r="F15" s="574" t="n">
        <v>10</v>
      </c>
      <c r="G15" s="571" t="inlineStr">
        <is>
          <t>Career MVP Client</t>
        </is>
      </c>
      <c r="H15" s="575" t="inlineStr">
        <is>
          <t>USDA</t>
        </is>
      </c>
      <c r="I15" s="576" t="inlineStr">
        <is>
          <t>$1,355.00 | 6 Events</t>
        </is>
      </c>
      <c r="J15" s="531" t="n"/>
      <c r="K15" s="531" t="n"/>
      <c r="L15" s="531" t="n"/>
      <c r="M15" s="531" t="n"/>
      <c r="N15" s="531" t="n"/>
    </row>
    <row r="16">
      <c r="A16" s="531" t="inlineStr">
        <is>
          <t>Career High-Water Marks</t>
        </is>
      </c>
      <c r="B16" s="531" t="inlineStr">
        <is>
          <t>84 / $9,474.41</t>
        </is>
      </c>
      <c r="C16" s="531" t="inlineStr">
        <is>
          <t>31 clients | 54 days</t>
        </is>
      </c>
      <c r="D16" s="531" t="n"/>
      <c r="E16" s="531" t="n"/>
      <c r="F16" s="574" t="n">
        <v>11</v>
      </c>
      <c r="G16" s="571" t="inlineStr">
        <is>
          <t>Career High-Water Marks</t>
        </is>
      </c>
      <c r="H16" s="575" t="inlineStr">
        <is>
          <t>75 / $8,147.88</t>
        </is>
      </c>
      <c r="I16" s="576" t="inlineStr">
        <is>
          <t>31 clients | 50 days</t>
        </is>
      </c>
      <c r="J16" s="531" t="n"/>
      <c r="K16" s="531" t="n"/>
      <c r="L16" s="531" t="n"/>
      <c r="M16" s="531" t="n"/>
      <c r="N16" s="531" t="n"/>
    </row>
    <row r="17">
      <c r="A17" s="531" t="n"/>
      <c r="B17" s="531" t="n"/>
      <c r="C17" s="531" t="n"/>
      <c r="D17" s="531" t="n"/>
      <c r="E17" s="531" t="n"/>
      <c r="F17" s="574" t="n">
        <v>12</v>
      </c>
      <c r="G17" s="571" t="inlineStr">
        <is>
          <t>Iron Man Index</t>
        </is>
      </c>
      <c r="H17" s="711" t="n">
        <v>0.7333333333333333</v>
      </c>
      <c r="I17" s="576" t="inlineStr">
        <is>
          <t>Career-best streak ÷ 15-day benchmark</t>
        </is>
      </c>
      <c r="J17" s="531" t="n"/>
      <c r="K17" s="531" t="n"/>
      <c r="L17" s="531" t="n"/>
      <c r="M17" s="531" t="n"/>
      <c r="N17" s="531" t="n"/>
    </row>
    <row r="18">
      <c r="A18" s="531" t="n"/>
      <c r="B18" s="531" t="n"/>
      <c r="C18" s="531" t="n"/>
      <c r="D18" s="531" t="n"/>
      <c r="E18" s="531" t="n"/>
      <c r="F18" s="531" t="n"/>
      <c r="G18" s="531" t="n"/>
      <c r="H18" s="531" t="n"/>
      <c r="I18" s="531" t="n"/>
      <c r="J18" s="531" t="n"/>
      <c r="K18" s="531" t="n"/>
      <c r="L18" s="531" t="n"/>
      <c r="M18" s="531" t="n"/>
      <c r="N18" s="531" t="n"/>
    </row>
    <row r="19">
      <c r="A19" s="712" t="inlineStr">
        <is>
          <t>STREAKS &amp; PRODUCTION RECORDS</t>
        </is>
      </c>
      <c r="B19" s="1" t="n"/>
      <c r="C19" s="1" t="n"/>
      <c r="D19" s="1" t="n"/>
      <c r="E19" s="1" t="n"/>
      <c r="F19" s="1" t="n"/>
      <c r="G19" s="1" t="n"/>
      <c r="H19" s="1" t="n"/>
      <c r="I19" s="1" t="n"/>
      <c r="J19" s="1" t="n"/>
      <c r="K19" s="1" t="n"/>
      <c r="L19" s="1" t="n"/>
      <c r="M19" s="1" t="n"/>
      <c r="N19" s="1" t="n"/>
    </row>
    <row r="20">
      <c r="A20" s="581" t="inlineStr">
        <is>
          <t>Record</t>
        </is>
      </c>
      <c r="B20" s="581" t="inlineStr">
        <is>
          <t>Value</t>
        </is>
      </c>
      <c r="C20" s="581" t="inlineStr">
        <is>
          <t>Record Window / Definition</t>
        </is>
      </c>
      <c r="D20" s="531" t="n"/>
      <c r="E20" s="531" t="n"/>
      <c r="F20" s="531" t="n"/>
      <c r="G20" s="531" t="n"/>
      <c r="H20" s="531" t="n"/>
      <c r="I20" s="531" t="n"/>
      <c r="J20" s="531" t="n"/>
      <c r="K20" s="531" t="n"/>
      <c r="L20" s="531" t="n"/>
      <c r="M20" s="531" t="n"/>
      <c r="N20" s="531" t="n"/>
    </row>
    <row r="21">
      <c r="A21" s="571" t="inlineStr">
        <is>
          <t>Longest business-day streak</t>
        </is>
      </c>
      <c r="B21" s="572" t="n">
        <v>11</v>
      </c>
      <c r="C21" s="531" t="inlineStr">
        <is>
          <t>2026-06-01 to 2026-06-15; weekends skipped</t>
        </is>
      </c>
      <c r="D21" s="531" t="n"/>
      <c r="E21" s="531" t="n"/>
      <c r="F21" s="531" t="n"/>
      <c r="G21" s="531" t="n"/>
      <c r="H21" s="531" t="n"/>
      <c r="I21" s="531" t="n"/>
      <c r="J21" s="531" t="n"/>
      <c r="K21" s="531" t="n"/>
      <c r="L21" s="531" t="n"/>
      <c r="M21" s="531" t="n"/>
      <c r="N21" s="531" t="n"/>
    </row>
    <row r="22">
      <c r="A22" s="571" t="inlineStr">
        <is>
          <t>Current business-day streak</t>
        </is>
      </c>
      <c r="B22" s="572" t="n">
        <v>6</v>
      </c>
      <c r="C22" s="531" t="inlineStr">
        <is>
          <t>Ending 2026-07-20</t>
        </is>
      </c>
      <c r="D22" s="531" t="n"/>
      <c r="E22" s="531" t="n"/>
      <c r="F22" s="531" t="n"/>
      <c r="G22" s="531" t="n"/>
      <c r="H22" s="531" t="n"/>
      <c r="I22" s="531" t="n"/>
      <c r="J22" s="531" t="n"/>
      <c r="K22" s="531" t="n"/>
      <c r="L22" s="531" t="n"/>
      <c r="M22" s="531" t="n"/>
      <c r="N22" s="531" t="n"/>
    </row>
    <row r="23">
      <c r="A23" s="571" t="inlineStr">
        <is>
          <t>Longest calendar-day streak</t>
        </is>
      </c>
      <c r="B23" s="572" t="n">
        <v>5</v>
      </c>
      <c r="C23" s="531" t="inlineStr">
        <is>
          <t>Consecutive calendar dates worked</t>
        </is>
      </c>
      <c r="D23" s="531" t="n"/>
      <c r="E23" s="531" t="n"/>
      <c r="F23" s="531" t="n"/>
      <c r="G23" s="531" t="n"/>
      <c r="H23" s="531" t="n"/>
      <c r="I23" s="531" t="n"/>
      <c r="J23" s="531" t="n"/>
      <c r="K23" s="531" t="n"/>
      <c r="L23" s="531" t="n"/>
      <c r="M23" s="531" t="n"/>
      <c r="N23" s="531" t="n"/>
    </row>
    <row r="24">
      <c r="A24" s="571" t="inlineStr">
        <is>
          <t>Longest revenue streak</t>
        </is>
      </c>
      <c r="B24" s="572" t="n">
        <v>11</v>
      </c>
      <c r="C24" s="531" t="inlineStr">
        <is>
          <t>Consecutive business workdays with confirmed revenue</t>
        </is>
      </c>
      <c r="D24" s="531" t="n"/>
      <c r="E24" s="531" t="n"/>
      <c r="F24" s="531" t="n"/>
      <c r="G24" s="531" t="n"/>
      <c r="H24" s="531" t="n"/>
      <c r="I24" s="531" t="n"/>
      <c r="J24" s="531" t="n"/>
      <c r="K24" s="531" t="n"/>
      <c r="L24" s="531" t="n"/>
      <c r="M24" s="531" t="n"/>
      <c r="N24" s="531" t="n"/>
    </row>
    <row r="25">
      <c r="A25" s="571" t="inlineStr">
        <is>
          <t>Most consecutive paid Events</t>
        </is>
      </c>
      <c r="B25" s="572" t="n">
        <v>34</v>
      </c>
      <c r="C25" s="531" t="inlineStr">
        <is>
          <t>Event-number sequence with positive confirmed revenue</t>
        </is>
      </c>
      <c r="D25" s="531" t="n"/>
      <c r="E25" s="531" t="n"/>
      <c r="F25" s="531" t="n"/>
      <c r="G25" s="531" t="n"/>
      <c r="H25" s="531" t="n"/>
      <c r="I25" s="531" t="n"/>
      <c r="J25" s="531" t="n"/>
      <c r="K25" s="531" t="n"/>
      <c r="L25" s="531" t="n"/>
      <c r="M25" s="531" t="n"/>
      <c r="N25" s="531" t="n"/>
    </row>
    <row r="26">
      <c r="A26" s="571" t="inlineStr">
        <is>
          <t>Most Events in one day</t>
        </is>
      </c>
      <c r="B26" s="572" t="n">
        <v>3</v>
      </c>
      <c r="C26" s="531" t="inlineStr">
        <is>
          <t>2026-06-10</t>
        </is>
      </c>
      <c r="D26" s="531" t="n"/>
      <c r="E26" s="531" t="n"/>
      <c r="F26" s="531" t="n"/>
      <c r="G26" s="531" t="n"/>
      <c r="H26" s="531" t="n"/>
      <c r="I26" s="531" t="n"/>
      <c r="J26" s="531" t="n"/>
      <c r="K26" s="531" t="n"/>
      <c r="L26" s="531" t="n"/>
      <c r="M26" s="531" t="n"/>
      <c r="N26" s="531" t="n"/>
    </row>
    <row r="27">
      <c r="A27" s="571" t="inlineStr">
        <is>
          <t>Most Events in rolling 3 days</t>
        </is>
      </c>
      <c r="B27" s="572" t="n">
        <v>7</v>
      </c>
      <c r="C27" s="531" t="inlineStr">
        <is>
          <t>2026-06-09 to 2026-06-11</t>
        </is>
      </c>
      <c r="D27" s="531" t="n"/>
      <c r="E27" s="531" t="n"/>
      <c r="F27" s="531" t="n"/>
      <c r="G27" s="531" t="n"/>
      <c r="H27" s="531" t="n"/>
      <c r="I27" s="531" t="n"/>
      <c r="J27" s="531" t="n"/>
      <c r="K27" s="531" t="n"/>
      <c r="L27" s="531" t="n"/>
      <c r="M27" s="531" t="n"/>
      <c r="N27" s="531" t="n"/>
    </row>
    <row r="28">
      <c r="A28" s="571" t="inlineStr">
        <is>
          <t>Most Events in rolling 5 days</t>
        </is>
      </c>
      <c r="B28" s="572" t="n">
        <v>10</v>
      </c>
      <c r="C28" s="531" t="inlineStr">
        <is>
          <t>2026-07-13 to 2026-07-17</t>
        </is>
      </c>
      <c r="D28" s="531" t="n"/>
      <c r="E28" s="531" t="n"/>
      <c r="F28" s="531" t="n"/>
      <c r="G28" s="531" t="n"/>
      <c r="H28" s="531" t="n"/>
      <c r="I28" s="531" t="n"/>
      <c r="J28" s="531" t="n"/>
      <c r="K28" s="531" t="n"/>
      <c r="L28" s="531" t="n"/>
      <c r="M28" s="531" t="n"/>
      <c r="N28" s="531" t="n"/>
    </row>
    <row r="29">
      <c r="A29" s="571" t="inlineStr">
        <is>
          <t>Most Events in rolling 7 days</t>
        </is>
      </c>
      <c r="B29" s="572" t="n">
        <v>11</v>
      </c>
      <c r="C29" s="531" t="inlineStr">
        <is>
          <t>2026-06-05 to 2026-06-11</t>
        </is>
      </c>
      <c r="D29" s="531" t="n"/>
      <c r="E29" s="531" t="n"/>
      <c r="F29" s="531" t="n"/>
      <c r="G29" s="531" t="n"/>
      <c r="H29" s="531" t="n"/>
      <c r="I29" s="531" t="n"/>
      <c r="J29" s="531" t="n"/>
      <c r="K29" s="531" t="n"/>
      <c r="L29" s="531" t="n"/>
      <c r="M29" s="531" t="n"/>
      <c r="N29" s="531" t="n"/>
    </row>
    <row r="30">
      <c r="A30" s="571" t="inlineStr">
        <is>
          <t>Most Events in one workweek</t>
        </is>
      </c>
      <c r="B30" s="572" t="n">
        <v>10</v>
      </c>
      <c r="C30" s="531" t="inlineStr">
        <is>
          <t>Workweek 13</t>
        </is>
      </c>
      <c r="D30" s="531" t="n"/>
      <c r="E30" s="531" t="n"/>
      <c r="F30" s="531" t="n"/>
      <c r="G30" s="531" t="n"/>
      <c r="H30" s="531" t="n"/>
      <c r="I30" s="531" t="n"/>
      <c r="J30" s="531" t="n"/>
      <c r="K30" s="531" t="n"/>
      <c r="L30" s="531" t="n"/>
      <c r="M30" s="531" t="n"/>
      <c r="N30" s="531" t="n"/>
    </row>
    <row r="31">
      <c r="A31" s="571" t="inlineStr">
        <is>
          <t>Most Events in one MY_MONTH</t>
        </is>
      </c>
      <c r="B31" s="572" t="n">
        <v>30</v>
      </c>
      <c r="C31" s="531" t="inlineStr">
        <is>
          <t>MY_MONTH 2</t>
        </is>
      </c>
      <c r="D31" s="531" t="n"/>
      <c r="E31" s="531" t="n"/>
      <c r="F31" s="531" t="n"/>
      <c r="G31" s="531" t="n"/>
      <c r="H31" s="531" t="n"/>
      <c r="I31" s="531" t="n"/>
      <c r="J31" s="531" t="n"/>
      <c r="K31" s="531" t="n"/>
      <c r="L31" s="531" t="n"/>
      <c r="M31" s="531" t="n"/>
      <c r="N31" s="531" t="n"/>
    </row>
    <row r="32">
      <c r="A32" s="531" t="n"/>
      <c r="B32" s="531" t="n"/>
      <c r="C32" s="531" t="n"/>
      <c r="D32" s="531" t="n"/>
      <c r="E32" s="531" t="n"/>
      <c r="F32" s="531" t="n"/>
      <c r="G32" s="531" t="n"/>
      <c r="H32" s="531" t="n"/>
      <c r="I32" s="531" t="n"/>
      <c r="J32" s="531" t="n"/>
      <c r="K32" s="531" t="n"/>
      <c r="L32" s="531" t="n"/>
      <c r="M32" s="531" t="n"/>
      <c r="N32" s="531" t="n"/>
    </row>
    <row r="33">
      <c r="A33" s="712" t="inlineStr">
        <is>
          <t>REVENUE RECORDS</t>
        </is>
      </c>
      <c r="B33" s="1" t="n"/>
      <c r="C33" s="1" t="n"/>
      <c r="D33" s="1" t="n"/>
      <c r="E33" s="1" t="n"/>
      <c r="F33" s="1" t="n"/>
      <c r="G33" s="1" t="n"/>
      <c r="H33" s="1" t="n"/>
      <c r="I33" s="1" t="n"/>
      <c r="J33" s="1" t="n"/>
      <c r="K33" s="1" t="n"/>
      <c r="L33" s="1" t="n"/>
      <c r="M33" s="1" t="n"/>
      <c r="N33" s="1" t="n"/>
    </row>
    <row r="34">
      <c r="A34" s="581" t="inlineStr">
        <is>
          <t>Record</t>
        </is>
      </c>
      <c r="B34" s="581" t="inlineStr">
        <is>
          <t>Value</t>
        </is>
      </c>
      <c r="C34" s="581" t="inlineStr">
        <is>
          <t>Context</t>
        </is>
      </c>
      <c r="D34" s="531" t="n"/>
      <c r="E34" s="531" t="n"/>
      <c r="F34" s="531" t="n"/>
      <c r="G34" s="531" t="n"/>
      <c r="H34" s="531" t="n"/>
      <c r="I34" s="531" t="n"/>
      <c r="J34" s="531" t="n"/>
      <c r="K34" s="531" t="n"/>
      <c r="L34" s="531" t="n"/>
      <c r="M34" s="531" t="n"/>
      <c r="N34" s="531" t="n"/>
    </row>
    <row r="35">
      <c r="A35" s="571" t="inlineStr">
        <is>
          <t>Career revenue</t>
        </is>
      </c>
      <c r="B35" s="713" t="n">
        <v>9474.41</v>
      </c>
      <c r="C35" s="531" t="inlineStr">
        <is>
          <t>Through Event #84</t>
        </is>
      </c>
      <c r="D35" s="531" t="n"/>
      <c r="E35" s="531" t="n"/>
      <c r="F35" s="531" t="n"/>
      <c r="G35" s="531" t="n"/>
      <c r="H35" s="531" t="n"/>
      <c r="I35" s="531" t="n"/>
      <c r="J35" s="531" t="n"/>
      <c r="K35" s="531" t="n"/>
      <c r="L35" s="531" t="n"/>
      <c r="M35" s="531" t="n"/>
      <c r="N35" s="531" t="n"/>
    </row>
    <row r="36">
      <c r="A36" s="571" t="inlineStr">
        <is>
          <t>Highest revenue day</t>
        </is>
      </c>
      <c r="B36" s="713" t="n">
        <v>390</v>
      </c>
      <c r="C36" s="531" t="inlineStr">
        <is>
          <t>2026-06-10</t>
        </is>
      </c>
      <c r="D36" s="531" t="n"/>
      <c r="E36" s="531" t="n"/>
      <c r="F36" s="531" t="n"/>
      <c r="G36" s="531" t="n"/>
      <c r="H36" s="531" t="n"/>
      <c r="I36" s="531" t="n"/>
      <c r="J36" s="531" t="n"/>
      <c r="K36" s="531" t="n"/>
      <c r="L36" s="531" t="n"/>
      <c r="M36" s="531" t="n"/>
      <c r="N36" s="531" t="n"/>
    </row>
    <row r="37">
      <c r="A37" s="571" t="inlineStr">
        <is>
          <t>Highest revenue workweek</t>
        </is>
      </c>
      <c r="B37" s="713" t="n">
        <v>1221.66</v>
      </c>
      <c r="C37" s="531" t="inlineStr">
        <is>
          <t>Workweek 7</t>
        </is>
      </c>
      <c r="D37" s="531" t="n"/>
      <c r="E37" s="531" t="n"/>
      <c r="F37" s="531" t="n"/>
      <c r="G37" s="531" t="n"/>
      <c r="H37" s="531" t="n"/>
      <c r="I37" s="531" t="n"/>
      <c r="J37" s="531" t="n"/>
      <c r="K37" s="531" t="n"/>
      <c r="L37" s="531" t="n"/>
      <c r="M37" s="531" t="n"/>
      <c r="N37" s="531" t="n"/>
    </row>
    <row r="38">
      <c r="A38" s="571" t="inlineStr">
        <is>
          <t>Highest revenue MY_MONTH</t>
        </is>
      </c>
      <c r="B38" s="713" t="n">
        <v>3186.32</v>
      </c>
      <c r="C38" s="531" t="inlineStr">
        <is>
          <t>MY_MONTH 2</t>
        </is>
      </c>
      <c r="D38" s="531" t="n"/>
      <c r="E38" s="531" t="n"/>
      <c r="F38" s="531" t="n"/>
      <c r="G38" s="531" t="n"/>
      <c r="H38" s="531" t="n"/>
      <c r="I38" s="531" t="n"/>
      <c r="J38" s="531" t="n"/>
      <c r="K38" s="531" t="n"/>
      <c r="L38" s="531" t="n"/>
      <c r="M38" s="531" t="n"/>
      <c r="N38" s="531" t="n"/>
    </row>
    <row r="39">
      <c r="A39" s="571" t="inlineStr">
        <is>
          <t>Average revenue / paid Event</t>
        </is>
      </c>
      <c r="B39" s="713" t="n">
        <v>119.9292405063291</v>
      </c>
      <c r="C39" s="531" t="inlineStr">
        <is>
          <t>79 confirmed financial records</t>
        </is>
      </c>
      <c r="D39" s="531" t="n"/>
      <c r="E39" s="531" t="n"/>
      <c r="F39" s="531" t="n"/>
      <c r="G39" s="531" t="n"/>
      <c r="H39" s="531" t="n"/>
      <c r="I39" s="531" t="n"/>
      <c r="J39" s="531" t="n"/>
      <c r="K39" s="531" t="n"/>
      <c r="L39" s="531" t="n"/>
      <c r="M39" s="531" t="n"/>
      <c r="N39" s="531" t="n"/>
    </row>
    <row r="40">
      <c r="A40" s="571" t="inlineStr">
        <is>
          <t>Average revenue / worked day</t>
        </is>
      </c>
      <c r="B40" s="713" t="n">
        <v>175.452037037037</v>
      </c>
      <c r="C40" s="531" t="inlineStr">
        <is>
          <t>54 distinct service dates</t>
        </is>
      </c>
      <c r="D40" s="531" t="n"/>
      <c r="E40" s="531" t="n"/>
      <c r="F40" s="531" t="n"/>
      <c r="G40" s="531" t="n"/>
      <c r="H40" s="531" t="n"/>
      <c r="I40" s="531" t="n"/>
      <c r="J40" s="531" t="n"/>
      <c r="K40" s="531" t="n"/>
      <c r="L40" s="531" t="n"/>
      <c r="M40" s="531" t="n"/>
      <c r="N40" s="531" t="n"/>
    </row>
    <row r="41">
      <c r="A41" s="571" t="inlineStr">
        <is>
          <t>Highest-paying client</t>
        </is>
      </c>
      <c r="B41" s="713" t="n">
        <v>1355</v>
      </c>
      <c r="C41" s="531" t="inlineStr">
        <is>
          <t>USDA</t>
        </is>
      </c>
      <c r="D41" s="531" t="n"/>
      <c r="E41" s="531" t="n"/>
      <c r="F41" s="531" t="n"/>
      <c r="G41" s="531" t="n"/>
      <c r="H41" s="531" t="n"/>
      <c r="I41" s="531" t="n"/>
      <c r="J41" s="531" t="n"/>
      <c r="K41" s="531" t="n"/>
      <c r="L41" s="531" t="n"/>
      <c r="M41" s="531" t="n"/>
      <c r="N41" s="531" t="n"/>
    </row>
    <row r="42">
      <c r="A42" s="531" t="n"/>
      <c r="B42" s="531" t="n"/>
      <c r="C42" s="531" t="n"/>
      <c r="D42" s="531" t="n"/>
      <c r="E42" s="531" t="n"/>
      <c r="F42" s="531" t="n"/>
      <c r="G42" s="531" t="n"/>
      <c r="H42" s="531" t="n"/>
      <c r="I42" s="531" t="n"/>
      <c r="J42" s="531" t="n"/>
      <c r="K42" s="531" t="n"/>
      <c r="L42" s="531" t="n"/>
      <c r="M42" s="531" t="n"/>
      <c r="N42" s="531" t="n"/>
    </row>
    <row r="43">
      <c r="A43" s="712" t="inlineStr">
        <is>
          <t>CLIENT, TERRITORY &amp; DISPATCH METRICS</t>
        </is>
      </c>
      <c r="B43" s="1" t="n"/>
      <c r="C43" s="1" t="n"/>
      <c r="D43" s="1" t="n"/>
      <c r="E43" s="1" t="n"/>
      <c r="F43" s="1" t="n"/>
      <c r="G43" s="1" t="n"/>
      <c r="H43" s="1" t="n"/>
      <c r="I43" s="1" t="n"/>
      <c r="J43" s="1" t="n"/>
      <c r="K43" s="1" t="n"/>
      <c r="L43" s="1" t="n"/>
      <c r="M43" s="1" t="n"/>
      <c r="N43" s="1" t="n"/>
    </row>
    <row r="44">
      <c r="A44" s="581" t="inlineStr">
        <is>
          <t>Metric</t>
        </is>
      </c>
      <c r="B44" s="581" t="inlineStr">
        <is>
          <t>Value</t>
        </is>
      </c>
      <c r="C44" s="581" t="inlineStr">
        <is>
          <t>Detail</t>
        </is>
      </c>
      <c r="D44" s="581" t="inlineStr">
        <is>
          <t>Sector</t>
        </is>
      </c>
      <c r="E44" s="581" t="inlineStr">
        <is>
          <t>Events</t>
        </is>
      </c>
      <c r="F44" s="581" t="inlineStr">
        <is>
          <t>Career Share</t>
        </is>
      </c>
      <c r="G44" s="581" t="n"/>
      <c r="H44" s="531" t="n"/>
      <c r="I44" s="531" t="n"/>
      <c r="J44" s="531" t="n"/>
      <c r="K44" s="531" t="n"/>
      <c r="L44" s="531" t="n"/>
      <c r="M44" s="531" t="n"/>
      <c r="N44" s="531" t="n"/>
    </row>
    <row r="45">
      <c r="A45" s="571" t="inlineStr">
        <is>
          <t>Total clients</t>
        </is>
      </c>
      <c r="B45" s="531" t="n">
        <v>31</v>
      </c>
      <c r="C45" s="531" t="str"/>
      <c r="D45" s="531" t="inlineStr">
        <is>
          <t>Retail</t>
        </is>
      </c>
      <c r="E45" s="531" t="n">
        <v>46</v>
      </c>
      <c r="F45" s="714" t="n">
        <v>0.6133333333333333</v>
      </c>
      <c r="G45" s="714" t="n"/>
      <c r="H45" s="531" t="n"/>
      <c r="I45" s="531" t="n"/>
      <c r="J45" s="531" t="n"/>
      <c r="K45" s="531" t="n"/>
      <c r="L45" s="531" t="n"/>
      <c r="M45" s="531" t="n"/>
      <c r="N45" s="531" t="n"/>
    </row>
    <row r="46">
      <c r="A46" s="571" t="inlineStr">
        <is>
          <t>Repeat clients</t>
        </is>
      </c>
      <c r="B46" s="531" t="n">
        <v>20</v>
      </c>
      <c r="C46" s="531" t="inlineStr">
        <is>
          <t>64.5% of clients</t>
        </is>
      </c>
      <c r="D46" s="531" t="inlineStr">
        <is>
          <t>Commercial/Other</t>
        </is>
      </c>
      <c r="E46" s="531" t="n">
        <v>13</v>
      </c>
      <c r="F46" s="714" t="n">
        <v>0.1733333333333333</v>
      </c>
      <c r="G46" s="714" t="n"/>
      <c r="H46" s="531" t="n"/>
      <c r="I46" s="531" t="n"/>
      <c r="J46" s="531" t="n"/>
      <c r="K46" s="531" t="n"/>
      <c r="L46" s="531" t="n"/>
      <c r="M46" s="531" t="n"/>
      <c r="N46" s="531" t="n"/>
    </row>
    <row r="47">
      <c r="A47" s="571" t="inlineStr">
        <is>
          <t>One-time clients</t>
        </is>
      </c>
      <c r="B47" s="531" t="n">
        <v>11</v>
      </c>
      <c r="C47" s="531" t="str"/>
      <c r="D47" s="531" t="inlineStr">
        <is>
          <t>Government</t>
        </is>
      </c>
      <c r="E47" s="531" t="n">
        <v>9</v>
      </c>
      <c r="F47" s="714" t="n">
        <v>0.12</v>
      </c>
      <c r="G47" s="714" t="n"/>
      <c r="H47" s="531" t="n"/>
      <c r="I47" s="531" t="n"/>
      <c r="J47" s="531" t="n"/>
      <c r="K47" s="531" t="n"/>
      <c r="L47" s="531" t="n"/>
      <c r="M47" s="531" t="n"/>
      <c r="N47" s="531" t="n"/>
    </row>
    <row r="48">
      <c r="A48" s="571" t="inlineStr">
        <is>
          <t>Average visits / client</t>
        </is>
      </c>
      <c r="B48" s="715" t="n">
        <v>2.419354838709677</v>
      </c>
      <c r="C48" s="531" t="str"/>
      <c r="D48" s="531" t="inlineStr">
        <is>
          <t>Hospitality</t>
        </is>
      </c>
      <c r="E48" s="531" t="n">
        <v>4</v>
      </c>
      <c r="F48" s="714" t="n">
        <v>0.05333333333333334</v>
      </c>
      <c r="G48" s="714" t="n"/>
      <c r="H48" s="531" t="n"/>
      <c r="I48" s="531" t="n"/>
      <c r="J48" s="531" t="n"/>
      <c r="K48" s="531" t="n"/>
      <c r="L48" s="531" t="n"/>
      <c r="M48" s="531" t="n"/>
      <c r="N48" s="531" t="n"/>
    </row>
    <row r="49">
      <c r="A49" s="571" t="inlineStr">
        <is>
          <t>Largest client by Events</t>
        </is>
      </c>
      <c r="B49" s="531" t="inlineStr">
        <is>
          <t>TJ Maxx</t>
        </is>
      </c>
      <c r="C49" s="531" t="inlineStr">
        <is>
          <t>7 Events</t>
        </is>
      </c>
      <c r="D49" s="531" t="inlineStr">
        <is>
          <t>Residential</t>
        </is>
      </c>
      <c r="E49" s="531" t="n">
        <v>2</v>
      </c>
      <c r="F49" s="714" t="n">
        <v>0.02666666666666667</v>
      </c>
      <c r="G49" s="714" t="n"/>
      <c r="H49" s="531" t="n"/>
      <c r="I49" s="531" t="n"/>
      <c r="J49" s="531" t="n"/>
      <c r="K49" s="531" t="n"/>
      <c r="L49" s="531" t="n"/>
      <c r="M49" s="531" t="n"/>
      <c r="N49" s="531" t="n"/>
    </row>
    <row r="50">
      <c r="A50" s="571" t="inlineStr">
        <is>
          <t>Fastest-growing client (latest 30 days)</t>
        </is>
      </c>
      <c r="B50" s="531" t="inlineStr">
        <is>
          <t>Dunkin</t>
        </is>
      </c>
      <c r="C50" s="531" t="inlineStr">
        <is>
          <t>5 Events</t>
        </is>
      </c>
      <c r="D50" s="531" t="inlineStr">
        <is>
          <t>Military</t>
        </is>
      </c>
      <c r="E50" s="531" t="n">
        <v>1</v>
      </c>
      <c r="F50" s="714" t="n">
        <v>0.01333333333333333</v>
      </c>
      <c r="G50" s="714" t="n"/>
      <c r="H50" s="531" t="n"/>
      <c r="I50" s="531" t="n"/>
      <c r="J50" s="531" t="n"/>
      <c r="K50" s="531" t="n"/>
      <c r="L50" s="531" t="n"/>
      <c r="M50" s="531" t="n"/>
      <c r="N50" s="531" t="n"/>
    </row>
    <row r="51">
      <c r="A51" s="571" t="inlineStr">
        <is>
          <t>Jurisdictions worked</t>
        </is>
      </c>
      <c r="B51" s="531" t="n">
        <v>5</v>
      </c>
      <c r="C51" s="531" t="inlineStr">
        <is>
          <t>DC, MD, PA, VA, WV</t>
        </is>
      </c>
      <c r="D51" s="531" t="n"/>
      <c r="E51" s="531" t="n"/>
      <c r="F51" s="531" t="n"/>
      <c r="G51" s="531" t="n"/>
      <c r="H51" s="531" t="n"/>
      <c r="I51" s="531" t="n"/>
      <c r="J51" s="531" t="n"/>
      <c r="K51" s="531" t="n"/>
      <c r="L51" s="531" t="n"/>
      <c r="M51" s="531" t="n"/>
      <c r="N51" s="531" t="n"/>
    </row>
    <row r="52">
      <c r="A52" s="571" t="inlineStr">
        <is>
          <t>Cities worked</t>
        </is>
      </c>
      <c r="B52" s="531" t="n">
        <v>42</v>
      </c>
      <c r="C52" s="531" t="str"/>
      <c r="D52" s="531" t="n"/>
      <c r="E52" s="531" t="n"/>
      <c r="F52" s="531" t="n"/>
      <c r="G52" s="531" t="n"/>
      <c r="H52" s="531" t="n"/>
      <c r="I52" s="531" t="n"/>
      <c r="J52" s="531" t="n"/>
      <c r="K52" s="531" t="n"/>
      <c r="L52" s="531" t="n"/>
      <c r="M52" s="531" t="n"/>
      <c r="N52" s="531" t="n"/>
    </row>
    <row r="53">
      <c r="A53" s="571" t="inlineStr">
        <is>
          <t>Most-visited city</t>
        </is>
      </c>
      <c r="B53" s="531" t="inlineStr">
        <is>
          <t>Washington</t>
        </is>
      </c>
      <c r="C53" s="531" t="inlineStr">
        <is>
          <t>11 Events</t>
        </is>
      </c>
      <c r="D53" s="531" t="n"/>
      <c r="E53" s="531" t="n"/>
      <c r="F53" s="531" t="n"/>
      <c r="G53" s="531" t="n"/>
      <c r="H53" s="531" t="n"/>
      <c r="I53" s="531" t="n"/>
      <c r="J53" s="531" t="n"/>
      <c r="K53" s="531" t="n"/>
      <c r="L53" s="531" t="n"/>
      <c r="M53" s="531" t="n"/>
      <c r="N53" s="531" t="n"/>
    </row>
    <row r="54">
      <c r="A54" s="571" t="inlineStr">
        <is>
          <t>Most-visited jurisdiction</t>
        </is>
      </c>
      <c r="B54" s="531" t="inlineStr">
        <is>
          <t>MD</t>
        </is>
      </c>
      <c r="C54" s="531" t="inlineStr">
        <is>
          <t>53 Events</t>
        </is>
      </c>
      <c r="D54" s="531" t="n"/>
      <c r="E54" s="531" t="n"/>
      <c r="F54" s="531" t="n"/>
      <c r="G54" s="531" t="n"/>
      <c r="H54" s="531" t="n"/>
      <c r="I54" s="531" t="n"/>
      <c r="J54" s="531" t="n"/>
      <c r="K54" s="531" t="n"/>
      <c r="L54" s="531" t="n"/>
      <c r="M54" s="531" t="n"/>
      <c r="N54" s="531" t="n"/>
    </row>
    <row r="55">
      <c r="A55" s="571" t="inlineStr">
        <is>
          <t>Average jobs / dispatch day</t>
        </is>
      </c>
      <c r="B55" s="715" t="n">
        <v>1.5</v>
      </c>
      <c r="C55" s="531" t="inlineStr">
        <is>
          <t>75 Events / 50 worked days</t>
        </is>
      </c>
      <c r="D55" s="531" t="n"/>
      <c r="E55" s="531" t="n"/>
      <c r="F55" s="531" t="n"/>
      <c r="G55" s="531" t="n"/>
      <c r="H55" s="531" t="n"/>
      <c r="I55" s="531" t="n"/>
      <c r="J55" s="531" t="n"/>
      <c r="K55" s="531" t="n"/>
      <c r="L55" s="531" t="n"/>
      <c r="M55" s="531" t="n"/>
      <c r="N55" s="531" t="n"/>
    </row>
    <row r="56">
      <c r="A56" s="531" t="n"/>
      <c r="B56" s="531" t="n"/>
      <c r="C56" s="531" t="n"/>
      <c r="D56" s="531" t="n"/>
      <c r="E56" s="531" t="n"/>
      <c r="F56" s="531" t="n"/>
      <c r="G56" s="531" t="n"/>
      <c r="H56" s="531" t="n"/>
      <c r="I56" s="531" t="n"/>
      <c r="J56" s="531" t="n"/>
      <c r="K56" s="531" t="n"/>
      <c r="L56" s="531" t="n"/>
      <c r="M56" s="531" t="n"/>
      <c r="N56" s="531" t="n"/>
    </row>
    <row r="57">
      <c r="A57" s="712" t="inlineStr">
        <is>
          <t>WEEKLY SEASON GRAPH</t>
        </is>
      </c>
      <c r="B57" s="1" t="n"/>
      <c r="C57" s="1" t="n"/>
      <c r="D57" s="1" t="n"/>
      <c r="E57" s="1" t="n"/>
      <c r="F57" s="1" t="n"/>
      <c r="G57" s="1" t="n"/>
      <c r="H57" s="1" t="n"/>
      <c r="I57" s="1" t="n"/>
      <c r="J57" s="1" t="n"/>
      <c r="K57" s="1" t="n"/>
      <c r="L57" s="1" t="n"/>
      <c r="M57" s="1" t="n"/>
      <c r="N57" s="1" t="n"/>
    </row>
    <row r="58">
      <c r="A58" s="581" t="n">
        <v>1</v>
      </c>
      <c r="B58" s="581" t="n">
        <v>5</v>
      </c>
      <c r="C58" s="716" t="n">
        <v>1008</v>
      </c>
      <c r="D58" s="716" t="n">
        <v>201.6</v>
      </c>
      <c r="E58" s="531" t="n"/>
      <c r="F58" s="581" t="inlineStr">
        <is>
          <t>Weekday</t>
        </is>
      </c>
      <c r="G58" s="581" t="inlineStr">
        <is>
          <t>Events</t>
        </is>
      </c>
      <c r="H58" s="581" t="inlineStr">
        <is>
          <t>Revenue</t>
        </is>
      </c>
      <c r="I58" s="581" t="inlineStr">
        <is>
          <t>Avg / Event</t>
        </is>
      </c>
      <c r="J58" s="531" t="n"/>
      <c r="K58" s="581" t="inlineStr">
        <is>
          <t>MY_MONTH</t>
        </is>
      </c>
      <c r="L58" s="581" t="inlineStr">
        <is>
          <t>Events</t>
        </is>
      </c>
      <c r="M58" s="581" t="inlineStr">
        <is>
          <t>Revenue</t>
        </is>
      </c>
      <c r="N58" s="581" t="inlineStr">
        <is>
          <t>Avg / Event</t>
        </is>
      </c>
    </row>
    <row r="59">
      <c r="A59" s="531" t="n">
        <v>2</v>
      </c>
      <c r="B59" s="531" t="n">
        <v>4</v>
      </c>
      <c r="C59" s="713" t="n">
        <v>410</v>
      </c>
      <c r="D59" s="713" t="n">
        <v>102.5</v>
      </c>
      <c r="E59" s="531" t="n"/>
      <c r="F59" s="531" t="inlineStr">
        <is>
          <t>Monday</t>
        </is>
      </c>
      <c r="G59" s="531" t="n">
        <v>15</v>
      </c>
      <c r="H59" s="713" t="n">
        <v>1500.49</v>
      </c>
      <c r="I59" s="713" t="n">
        <v>100.0326666666667</v>
      </c>
      <c r="J59" s="531" t="n"/>
      <c r="K59" s="531" t="inlineStr">
        <is>
          <t>MY_MONTH 1</t>
        </is>
      </c>
      <c r="L59" s="531" t="n">
        <v>20</v>
      </c>
      <c r="M59" s="713" t="n">
        <v>2330.5</v>
      </c>
      <c r="N59" s="713" t="n">
        <v>116.525</v>
      </c>
    </row>
    <row r="60">
      <c r="A60" s="531" t="n">
        <v>3</v>
      </c>
      <c r="B60" s="531" t="n">
        <v>1</v>
      </c>
      <c r="C60" s="713" t="n">
        <v>212.5</v>
      </c>
      <c r="D60" s="713" t="n">
        <v>212.5</v>
      </c>
      <c r="E60" s="531" t="n"/>
      <c r="F60" s="531" t="inlineStr">
        <is>
          <t>Tuesday</t>
        </is>
      </c>
      <c r="G60" s="531" t="n">
        <v>14</v>
      </c>
      <c r="H60" s="713" t="n">
        <v>1984.39</v>
      </c>
      <c r="I60" s="713" t="n">
        <v>141.7421428571429</v>
      </c>
      <c r="J60" s="531" t="n"/>
      <c r="K60" s="531" t="inlineStr">
        <is>
          <t>MY_MONTH 2</t>
        </is>
      </c>
      <c r="L60" s="531" t="n">
        <v>30</v>
      </c>
      <c r="M60" s="713" t="n">
        <v>3186.32</v>
      </c>
      <c r="N60" s="713" t="n">
        <v>106.2106666666667</v>
      </c>
    </row>
    <row r="61">
      <c r="A61" s="531" t="n">
        <v>4</v>
      </c>
      <c r="B61" s="531" t="n">
        <v>6</v>
      </c>
      <c r="C61" s="713" t="n">
        <v>437.5</v>
      </c>
      <c r="D61" s="713" t="n">
        <v>72.91666666666667</v>
      </c>
      <c r="E61" s="531" t="n"/>
      <c r="F61" s="531" t="inlineStr">
        <is>
          <t>Wednesday</t>
        </is>
      </c>
      <c r="G61" s="531" t="n">
        <v>19</v>
      </c>
      <c r="H61" s="713" t="n">
        <v>2302.36</v>
      </c>
      <c r="I61" s="713" t="n">
        <v>121.1768421052632</v>
      </c>
      <c r="J61" s="531" t="n"/>
      <c r="K61" s="531" t="inlineStr">
        <is>
          <t>MY_MONTH 3</t>
        </is>
      </c>
      <c r="L61" s="531" t="n">
        <v>22</v>
      </c>
      <c r="M61" s="713" t="n">
        <v>2401.06</v>
      </c>
      <c r="N61" s="713" t="n">
        <v>109.1390909090909</v>
      </c>
    </row>
    <row r="62">
      <c r="A62" s="531" t="n">
        <v>5</v>
      </c>
      <c r="B62" s="531" t="n">
        <v>4</v>
      </c>
      <c r="C62" s="713" t="n">
        <v>422.5</v>
      </c>
      <c r="D62" s="713" t="n">
        <v>105.625</v>
      </c>
      <c r="E62" s="531" t="n"/>
      <c r="F62" s="531" t="inlineStr">
        <is>
          <t>Thursday</t>
        </is>
      </c>
      <c r="G62" s="531" t="n">
        <v>17</v>
      </c>
      <c r="H62" s="713" t="n">
        <v>1880.64</v>
      </c>
      <c r="I62" s="713" t="n">
        <v>110.6258823529412</v>
      </c>
      <c r="J62" s="531" t="n"/>
      <c r="K62" s="531" t="inlineStr">
        <is>
          <t>MY_MONTH 4</t>
        </is>
      </c>
      <c r="L62" s="531" t="n">
        <v>3</v>
      </c>
      <c r="M62" s="531" t="n">
        <v>230</v>
      </c>
      <c r="N62" s="531" t="n">
        <v>76.66666666666667</v>
      </c>
    </row>
    <row r="63">
      <c r="A63" s="531" t="n">
        <v>6</v>
      </c>
      <c r="B63" s="531" t="n">
        <v>6</v>
      </c>
      <c r="C63" s="713" t="n">
        <v>622.91</v>
      </c>
      <c r="D63" s="713" t="n">
        <v>103.8183333333333</v>
      </c>
      <c r="E63" s="531" t="n"/>
      <c r="F63" s="531" t="inlineStr">
        <is>
          <t>Friday</t>
        </is>
      </c>
      <c r="G63" s="531" t="n">
        <v>10</v>
      </c>
      <c r="H63" s="713" t="n">
        <v>480</v>
      </c>
      <c r="I63" s="713" t="n">
        <v>48</v>
      </c>
      <c r="J63" s="531" t="n"/>
      <c r="K63" s="531" t="n"/>
      <c r="L63" s="531" t="n"/>
      <c r="M63" s="531" t="n"/>
      <c r="N63" s="531" t="n"/>
    </row>
    <row r="64">
      <c r="A64" s="531" t="n">
        <v>7</v>
      </c>
      <c r="B64" s="531" t="n">
        <v>8</v>
      </c>
      <c r="C64" s="713" t="n">
        <v>1221.66</v>
      </c>
      <c r="D64" s="713" t="n">
        <v>152.7075</v>
      </c>
      <c r="E64" s="531" t="n"/>
      <c r="F64" s="531" t="n"/>
      <c r="G64" s="531" t="n"/>
      <c r="H64" s="531" t="n"/>
      <c r="I64" s="531" t="n"/>
      <c r="J64" s="531" t="n"/>
      <c r="K64" s="531" t="n"/>
      <c r="L64" s="531" t="n"/>
      <c r="M64" s="531" t="n"/>
      <c r="N64" s="531" t="n"/>
    </row>
    <row r="65">
      <c r="A65" s="531" t="n">
        <v>8</v>
      </c>
      <c r="B65" s="531" t="n">
        <v>9</v>
      </c>
      <c r="C65" s="713" t="n">
        <v>760</v>
      </c>
      <c r="D65" s="713" t="n">
        <v>84.44444444444444</v>
      </c>
      <c r="E65" s="531" t="n"/>
      <c r="F65" s="531" t="n"/>
      <c r="G65" s="531" t="n"/>
      <c r="H65" s="531" t="n"/>
      <c r="I65" s="531" t="n"/>
      <c r="J65" s="531" t="n"/>
      <c r="K65" s="531" t="n"/>
      <c r="L65" s="531" t="n"/>
      <c r="M65" s="531" t="n"/>
      <c r="N65" s="531" t="n"/>
    </row>
    <row r="66">
      <c r="A66" s="531" t="n">
        <v>9</v>
      </c>
      <c r="B66" s="531" t="n">
        <v>7</v>
      </c>
      <c r="C66" s="713" t="n">
        <v>681.75</v>
      </c>
      <c r="D66" s="713" t="n">
        <v>97.39285714285714</v>
      </c>
      <c r="E66" s="531" t="n"/>
      <c r="F66" s="531" t="n"/>
      <c r="G66" s="531" t="n"/>
      <c r="H66" s="531" t="n"/>
      <c r="I66" s="531" t="n"/>
      <c r="J66" s="531" t="n"/>
      <c r="K66" s="531" t="n"/>
      <c r="L66" s="531" t="n"/>
      <c r="M66" s="531" t="n"/>
      <c r="N66" s="531" t="n"/>
    </row>
    <row r="67">
      <c r="A67" s="531" t="n">
        <v>10</v>
      </c>
      <c r="B67" s="531" t="n">
        <v>3</v>
      </c>
      <c r="C67" s="713" t="n">
        <v>248.27</v>
      </c>
      <c r="D67" s="713" t="n">
        <v>82.75666666666667</v>
      </c>
      <c r="E67" s="531" t="n"/>
      <c r="F67" s="531" t="n"/>
      <c r="G67" s="531" t="n"/>
      <c r="H67" s="531" t="n"/>
      <c r="I67" s="531" t="n"/>
      <c r="J67" s="531" t="n"/>
      <c r="K67" s="531" t="n"/>
      <c r="L67" s="531" t="n"/>
      <c r="M67" s="531" t="n"/>
      <c r="N67" s="531" t="n"/>
    </row>
    <row r="68">
      <c r="A68" s="531" t="n">
        <v>11</v>
      </c>
      <c r="B68" s="531" t="n">
        <v>3</v>
      </c>
      <c r="C68" s="713" t="n">
        <v>410.66</v>
      </c>
      <c r="D68" s="713" t="n">
        <v>136.8866666666667</v>
      </c>
      <c r="E68" s="531" t="n"/>
      <c r="F68" s="531" t="n"/>
      <c r="G68" s="531" t="n"/>
      <c r="H68" s="531" t="n"/>
      <c r="I68" s="531" t="n"/>
      <c r="J68" s="531" t="n"/>
      <c r="K68" s="531" t="n"/>
      <c r="L68" s="531" t="n"/>
      <c r="M68" s="531" t="n"/>
      <c r="N68" s="531" t="n"/>
    </row>
    <row r="69">
      <c r="A69" s="531" t="n">
        <v>12</v>
      </c>
      <c r="B69" s="531" t="n">
        <v>6</v>
      </c>
      <c r="C69" s="713" t="n">
        <v>880.0599999999999</v>
      </c>
      <c r="D69" s="713" t="n">
        <v>146.6766666666666</v>
      </c>
      <c r="E69" s="531" t="n"/>
      <c r="F69" s="531" t="n"/>
      <c r="G69" s="531" t="n"/>
      <c r="H69" s="531" t="n"/>
      <c r="I69" s="531" t="n"/>
      <c r="J69" s="531" t="n"/>
      <c r="K69" s="531" t="n"/>
      <c r="L69" s="531" t="n"/>
      <c r="M69" s="531" t="n"/>
      <c r="N69" s="531" t="n"/>
    </row>
    <row r="70">
      <c r="A70" s="531" t="n">
        <v>13</v>
      </c>
      <c r="B70" s="531" t="n">
        <v>10</v>
      </c>
      <c r="C70" s="713" t="n">
        <v>1086.23</v>
      </c>
      <c r="D70" s="713" t="n">
        <v>108.623</v>
      </c>
      <c r="E70" s="531" t="n"/>
      <c r="F70" s="531" t="n"/>
      <c r="G70" s="531" t="n"/>
      <c r="H70" s="531" t="n"/>
      <c r="I70" s="531" t="n"/>
      <c r="J70" s="531" t="n"/>
      <c r="K70" s="531" t="n"/>
      <c r="L70" s="531" t="n"/>
      <c r="M70" s="531" t="n"/>
      <c r="N70" s="531" t="n"/>
    </row>
    <row r="71">
      <c r="A71" s="531" t="n">
        <v>14</v>
      </c>
      <c r="B71" s="531" t="n">
        <v>12</v>
      </c>
      <c r="C71" s="713" t="n">
        <v>1072.37</v>
      </c>
      <c r="D71" s="713" t="n">
        <v>89.36416666666666</v>
      </c>
      <c r="E71" s="531" t="n"/>
      <c r="F71" s="531" t="n"/>
      <c r="G71" s="531" t="n"/>
      <c r="H71" s="531" t="n"/>
      <c r="I71" s="531" t="n"/>
      <c r="J71" s="531" t="n"/>
      <c r="K71" s="531" t="n"/>
      <c r="L71" s="531" t="n"/>
      <c r="M71" s="531" t="n"/>
      <c r="N71" s="531" t="n"/>
    </row>
    <row r="72">
      <c r="A72" s="531" t="n">
        <v>14</v>
      </c>
      <c r="B72" s="531" t="n">
        <v>3</v>
      </c>
      <c r="C72" s="531" t="n">
        <v>230</v>
      </c>
      <c r="D72" s="531" t="n">
        <v>76.66666666666667</v>
      </c>
      <c r="E72" s="531" t="n"/>
      <c r="F72" s="531" t="n"/>
      <c r="G72" s="531" t="n"/>
      <c r="H72" s="531" t="n"/>
      <c r="I72" s="531" t="n"/>
      <c r="J72" s="531" t="n"/>
      <c r="K72" s="531" t="n"/>
      <c r="L72" s="531" t="n"/>
      <c r="M72" s="531" t="n"/>
      <c r="N72" s="531" t="n"/>
    </row>
    <row r="73">
      <c r="A73" s="712" t="inlineStr">
        <is>
          <t>HALL OF FAME &amp; CAREER RECORD LOG</t>
        </is>
      </c>
      <c r="B73" s="1" t="n"/>
      <c r="C73" s="1" t="n"/>
      <c r="D73" s="1" t="n"/>
      <c r="E73" s="1" t="n"/>
      <c r="F73" s="1" t="n"/>
      <c r="G73" s="1" t="n"/>
      <c r="H73" s="1" t="n"/>
      <c r="I73" s="1" t="n"/>
      <c r="J73" s="1" t="n"/>
      <c r="K73" s="1" t="n"/>
      <c r="L73" s="1" t="n"/>
      <c r="M73" s="1" t="n"/>
      <c r="N73" s="1" t="n"/>
    </row>
    <row r="74">
      <c r="A74" s="581" t="inlineStr">
        <is>
          <t>Milestone</t>
        </is>
      </c>
      <c r="B74" s="581" t="inlineStr">
        <is>
          <t>Status</t>
        </is>
      </c>
      <c r="C74" s="581" t="inlineStr">
        <is>
          <t>Date / Detail</t>
        </is>
      </c>
      <c r="D74" s="531" t="n"/>
      <c r="E74" s="531" t="n"/>
      <c r="F74" s="531" t="n"/>
      <c r="G74" s="531" t="n"/>
      <c r="H74" s="581" t="inlineStr">
        <is>
          <t>Dimension</t>
        </is>
      </c>
      <c r="I74" s="581" t="inlineStr">
        <is>
          <t>Score</t>
        </is>
      </c>
      <c r="J74" s="581" t="inlineStr">
        <is>
          <t>Benchmark</t>
        </is>
      </c>
      <c r="K74" s="531" t="n"/>
      <c r="L74" s="531" t="n"/>
      <c r="M74" s="531" t="n"/>
      <c r="N74" s="531" t="n"/>
    </row>
    <row r="75">
      <c r="A75" s="571" t="inlineStr">
        <is>
          <t>First Client</t>
        </is>
      </c>
      <c r="B75" s="531" t="inlineStr">
        <is>
          <t>ACHIEVED</t>
        </is>
      </c>
      <c r="C75" s="531" t="inlineStr">
        <is>
          <t>2026-04-20 — Macy's</t>
        </is>
      </c>
      <c r="D75" s="531" t="n"/>
      <c r="E75" s="531" t="n"/>
      <c r="F75" s="531" t="n"/>
      <c r="G75" s="531" t="n"/>
      <c r="H75" s="571" t="inlineStr">
        <is>
          <t>Events Completed</t>
        </is>
      </c>
      <c r="I75" s="714" t="n">
        <v>0.75</v>
      </c>
      <c r="J75" s="531" t="inlineStr">
        <is>
          <t>100 Events</t>
        </is>
      </c>
      <c r="K75" s="531" t="n"/>
      <c r="L75" s="531" t="n"/>
      <c r="M75" s="531" t="n"/>
      <c r="N75" s="531" t="n"/>
    </row>
    <row r="76">
      <c r="A76" s="571" t="inlineStr">
        <is>
          <t>First Hotel</t>
        </is>
      </c>
      <c r="B76" s="531" t="inlineStr">
        <is>
          <t>ACHIEVED</t>
        </is>
      </c>
      <c r="C76" s="531" t="inlineStr">
        <is>
          <t>2026-04-24</t>
        </is>
      </c>
      <c r="D76" s="531" t="n"/>
      <c r="E76" s="531" t="n"/>
      <c r="F76" s="531" t="n"/>
      <c r="G76" s="531" t="n"/>
      <c r="H76" s="571" t="inlineStr">
        <is>
          <t>Revenue</t>
        </is>
      </c>
      <c r="I76" s="714" t="n">
        <v>0.814788</v>
      </c>
      <c r="J76" s="531" t="inlineStr">
        <is>
          <t>$10,000</t>
        </is>
      </c>
      <c r="K76" s="531" t="n"/>
      <c r="L76" s="531" t="n"/>
      <c r="M76" s="531" t="n"/>
      <c r="N76" s="531" t="n"/>
    </row>
    <row r="77">
      <c r="A77" s="571" t="inlineStr">
        <is>
          <t>First Government Client</t>
        </is>
      </c>
      <c r="B77" s="531" t="inlineStr">
        <is>
          <t>ACHIEVED</t>
        </is>
      </c>
      <c r="C77" s="531" t="inlineStr">
        <is>
          <t>2026-05-13</t>
        </is>
      </c>
      <c r="D77" s="531" t="n"/>
      <c r="E77" s="531" t="n"/>
      <c r="F77" s="531" t="n"/>
      <c r="G77" s="531" t="n"/>
      <c r="H77" s="571" t="inlineStr">
        <is>
          <t>Client Growth</t>
        </is>
      </c>
      <c r="I77" s="714" t="n">
        <v>0.8857142857142857</v>
      </c>
      <c r="J77" s="531" t="inlineStr">
        <is>
          <t>35 clients</t>
        </is>
      </c>
      <c r="K77" s="531" t="n"/>
      <c r="L77" s="531" t="n"/>
      <c r="M77" s="531" t="n"/>
      <c r="N77" s="531" t="n"/>
    </row>
    <row r="78">
      <c r="A78" s="571" t="inlineStr">
        <is>
          <t>First Military Base</t>
        </is>
      </c>
      <c r="B78" s="531" t="inlineStr">
        <is>
          <t>ACHIEVED</t>
        </is>
      </c>
      <c r="C78" s="531" t="inlineStr">
        <is>
          <t>2026-05-27</t>
        </is>
      </c>
      <c r="D78" s="531" t="n"/>
      <c r="E78" s="531" t="n"/>
      <c r="F78" s="531" t="n"/>
      <c r="G78" s="531" t="n"/>
      <c r="H78" s="571" t="inlineStr">
        <is>
          <t>Territory</t>
        </is>
      </c>
      <c r="I78" s="714" t="n">
        <v>1</v>
      </c>
      <c r="J78" s="531" t="inlineStr">
        <is>
          <t>5 jurisdictions</t>
        </is>
      </c>
      <c r="K78" s="531" t="n"/>
      <c r="L78" s="531" t="n"/>
      <c r="M78" s="531" t="n"/>
      <c r="N78" s="531" t="n"/>
    </row>
    <row r="79">
      <c r="A79" s="571" t="inlineStr">
        <is>
          <t>10 Career Events</t>
        </is>
      </c>
      <c r="B79" s="531" t="inlineStr">
        <is>
          <t>ACHIEVED</t>
        </is>
      </c>
      <c r="C79" s="531" t="inlineStr">
        <is>
          <t>2026-05-05</t>
        </is>
      </c>
      <c r="D79" s="531" t="n"/>
      <c r="E79" s="531" t="n"/>
      <c r="F79" s="531" t="n"/>
      <c r="G79" s="531" t="n"/>
      <c r="H79" s="571" t="inlineStr">
        <is>
          <t>Consistency</t>
        </is>
      </c>
      <c r="I79" s="714" t="n">
        <v>0.7333333333333333</v>
      </c>
      <c r="J79" s="531" t="inlineStr">
        <is>
          <t>15-business-day streak</t>
        </is>
      </c>
      <c r="K79" s="531" t="n"/>
      <c r="L79" s="531" t="n"/>
      <c r="M79" s="531" t="n"/>
      <c r="N79" s="531" t="n"/>
    </row>
    <row r="80">
      <c r="A80" s="571" t="inlineStr">
        <is>
          <t>25 Career Events</t>
        </is>
      </c>
      <c r="B80" s="531" t="inlineStr">
        <is>
          <t>ACHIEVED</t>
        </is>
      </c>
      <c r="C80" s="531" t="inlineStr">
        <is>
          <t>2026-05-28</t>
        </is>
      </c>
      <c r="D80" s="531" t="n"/>
      <c r="E80" s="531" t="n"/>
      <c r="F80" s="531" t="n"/>
      <c r="G80" s="531" t="n"/>
      <c r="H80" s="571" t="inlineStr">
        <is>
          <t>Financial Completion</t>
        </is>
      </c>
      <c r="I80" s="714" t="n">
        <v>0.9014084507042254</v>
      </c>
      <c r="J80" s="531" t="inlineStr">
        <is>
          <t>Positive-revenue financial-scope Events</t>
        </is>
      </c>
      <c r="K80" s="531" t="n"/>
      <c r="L80" s="531" t="n"/>
      <c r="M80" s="531" t="n"/>
      <c r="N80" s="531" t="n"/>
    </row>
    <row r="81">
      <c r="A81" s="571" t="inlineStr">
        <is>
          <t>50 Career Events</t>
        </is>
      </c>
      <c r="B81" s="531" t="inlineStr">
        <is>
          <t>ACHIEVED</t>
        </is>
      </c>
      <c r="C81" s="531" t="inlineStr">
        <is>
          <t>2026-06-19</t>
        </is>
      </c>
      <c r="D81" s="531" t="n"/>
      <c r="E81" s="531" t="n"/>
      <c r="F81" s="531" t="n"/>
      <c r="G81" s="531" t="n"/>
      <c r="H81" s="585" t="inlineStr">
        <is>
          <t>OVERALL CAREER SCORE</t>
        </is>
      </c>
      <c r="I81" s="717" t="n">
        <v>0.8475406782919741</v>
      </c>
      <c r="J81" s="585" t="inlineStr">
        <is>
          <t>Equal-weight composite</t>
        </is>
      </c>
      <c r="K81" s="531" t="n"/>
      <c r="L81" s="531" t="n"/>
      <c r="M81" s="531" t="n"/>
      <c r="N81" s="531" t="n"/>
    </row>
    <row r="82">
      <c r="A82" s="571" t="inlineStr">
        <is>
          <t>25 Unique Clients</t>
        </is>
      </c>
      <c r="B82" s="531" t="inlineStr">
        <is>
          <t>ACHIEVED</t>
        </is>
      </c>
      <c r="C82" s="531" t="inlineStr">
        <is>
          <t>2026-06-18</t>
        </is>
      </c>
      <c r="D82" s="531" t="n"/>
      <c r="E82" s="531" t="n"/>
      <c r="F82" s="531" t="n"/>
      <c r="G82" s="531" t="n"/>
      <c r="H82" s="531" t="n"/>
      <c r="I82" s="531" t="n"/>
      <c r="J82" s="531" t="n"/>
      <c r="K82" s="531" t="n"/>
      <c r="L82" s="531" t="n"/>
      <c r="M82" s="531" t="n"/>
      <c r="N82" s="531" t="n"/>
    </row>
    <row r="83">
      <c r="A83" s="571" t="inlineStr">
        <is>
          <t>First $1,000 Revenue</t>
        </is>
      </c>
      <c r="B83" s="531" t="inlineStr">
        <is>
          <t>ACHIEVED</t>
        </is>
      </c>
      <c r="C83" s="531" t="inlineStr">
        <is>
          <t>2026-04-24</t>
        </is>
      </c>
      <c r="D83" s="531" t="n"/>
      <c r="E83" s="531" t="n"/>
      <c r="F83" s="531" t="n"/>
      <c r="G83" s="531" t="n"/>
      <c r="H83" s="531" t="n"/>
      <c r="I83" s="531" t="n"/>
      <c r="J83" s="531" t="n"/>
      <c r="K83" s="531" t="n"/>
      <c r="L83" s="531" t="n"/>
      <c r="M83" s="531" t="n"/>
      <c r="N83" s="531" t="n"/>
    </row>
    <row r="84">
      <c r="A84" s="571" t="inlineStr">
        <is>
          <t>First 10-Event Workweek</t>
        </is>
      </c>
      <c r="B84" s="531" t="inlineStr">
        <is>
          <t>ACHIEVED</t>
        </is>
      </c>
      <c r="C84" s="531" t="inlineStr">
        <is>
          <t>Workweek 13</t>
        </is>
      </c>
      <c r="D84" s="531" t="n"/>
      <c r="E84" s="531" t="n"/>
      <c r="F84" s="531" t="n"/>
      <c r="G84" s="531" t="n"/>
      <c r="H84" s="531" t="n"/>
      <c r="I84" s="531" t="n"/>
      <c r="J84" s="531" t="n"/>
      <c r="K84" s="531" t="n"/>
      <c r="L84" s="531" t="n"/>
      <c r="M84" s="531" t="n"/>
      <c r="N84" s="531" t="n"/>
    </row>
    <row r="85">
      <c r="A85" s="571" t="inlineStr">
        <is>
          <t>75 Career Visits</t>
        </is>
      </c>
      <c r="B85" s="531" t="inlineStr">
        <is>
          <t>ACHIEVED</t>
        </is>
      </c>
      <c r="C85" s="531" t="inlineStr">
        <is>
          <t>2026-07-20</t>
        </is>
      </c>
      <c r="D85" s="531" t="n"/>
      <c r="E85" s="531" t="n"/>
      <c r="F85" s="531" t="n"/>
      <c r="G85" s="531" t="n"/>
      <c r="H85" s="531" t="n"/>
      <c r="I85" s="531" t="n"/>
      <c r="J85" s="531" t="n"/>
      <c r="K85" s="531" t="n"/>
      <c r="L85" s="531" t="n"/>
      <c r="M85" s="531" t="n"/>
      <c r="N85" s="531" t="n"/>
    </row>
    <row r="86">
      <c r="A86" s="571" t="inlineStr">
        <is>
          <t>100 Career Visits</t>
        </is>
      </c>
      <c r="B86" s="531" t="inlineStr">
        <is>
          <t>OPEN</t>
        </is>
      </c>
      <c r="C86" s="531" t="inlineStr">
        <is>
          <t>25 Visits remaining</t>
        </is>
      </c>
      <c r="D86" s="531" t="n"/>
      <c r="E86" s="531" t="n"/>
      <c r="F86" s="531" t="n"/>
      <c r="G86" s="531" t="n"/>
      <c r="H86" s="531" t="n"/>
      <c r="I86" s="531" t="n"/>
      <c r="J86" s="531" t="n"/>
      <c r="K86" s="531" t="n"/>
      <c r="L86" s="531" t="n"/>
      <c r="M86" s="531" t="n"/>
      <c r="N86" s="531" t="n"/>
    </row>
    <row r="87">
      <c r="A87" s="531" t="inlineStr">
        <is>
          <t>$10,000 Career Revenue</t>
        </is>
      </c>
      <c r="B87" s="531" t="inlineStr">
        <is>
          <t>OPEN</t>
        </is>
      </c>
      <c r="C87" s="531" t="inlineStr">
        <is>
          <t>$1,852.12 remaining</t>
        </is>
      </c>
      <c r="D87" s="531" t="n"/>
      <c r="E87" s="531" t="n"/>
      <c r="F87" s="531" t="n"/>
      <c r="G87" s="531" t="n"/>
      <c r="H87" s="531" t="n"/>
      <c r="I87" s="531" t="n"/>
      <c r="J87" s="531" t="n"/>
      <c r="K87" s="531" t="n"/>
      <c r="L87" s="531" t="n"/>
      <c r="M87" s="531" t="n"/>
      <c r="N87" s="531" t="n"/>
    </row>
    <row r="88">
      <c r="A88" s="712" t="n"/>
      <c r="B88" s="1" t="n"/>
      <c r="C88" s="1" t="n"/>
      <c r="D88" s="1" t="n"/>
      <c r="E88" s="1" t="n"/>
      <c r="F88" s="1" t="n"/>
      <c r="G88" s="1" t="n"/>
      <c r="H88" s="1" t="n"/>
      <c r="I88" s="1" t="n"/>
      <c r="J88" s="1" t="n"/>
      <c r="K88" s="1" t="n"/>
      <c r="L88" s="1" t="n"/>
      <c r="M88" s="1" t="n"/>
      <c r="N88" s="1" t="n"/>
    </row>
    <row r="89">
      <c r="A89" s="718" t="inlineStr">
        <is>
          <t>METRIC DEFINITIONS &amp; GOVERNANCE</t>
        </is>
      </c>
      <c r="B89" s="1" t="n"/>
      <c r="C89" s="1" t="n"/>
      <c r="D89" s="1" t="n"/>
      <c r="E89" s="1" t="n"/>
      <c r="F89" s="1" t="n"/>
      <c r="G89" s="1" t="n"/>
      <c r="H89" s="1" t="n"/>
      <c r="I89" s="1" t="n"/>
      <c r="J89" s="1" t="n"/>
      <c r="K89" s="1" t="n"/>
      <c r="L89" s="1" t="n"/>
      <c r="M89" s="1" t="n"/>
      <c r="N89" s="1" t="n"/>
    </row>
    <row r="90" ht="34" customHeight="1" s="192">
      <c r="A90" s="596" t="inlineStr">
        <is>
          <t>Metric</t>
        </is>
      </c>
      <c r="B90" s="719" t="inlineStr">
        <is>
          <t>Definition</t>
        </is>
      </c>
      <c r="C90" s="1" t="n"/>
      <c r="D90" s="1" t="n"/>
      <c r="E90" s="1" t="n"/>
      <c r="F90" s="1" t="n"/>
      <c r="G90" s="1" t="n"/>
      <c r="H90" s="1" t="n"/>
      <c r="I90" s="1" t="n"/>
      <c r="J90" s="1" t="n"/>
      <c r="K90" s="1" t="n"/>
      <c r="L90" s="1" t="n"/>
      <c r="M90" s="1" t="n"/>
      <c r="N90" s="1" t="n"/>
    </row>
    <row r="91" ht="34" customHeight="1" s="192">
      <c r="A91" s="571" t="inlineStr">
        <is>
          <t>Business-day streak</t>
        </is>
      </c>
      <c r="B91" s="720" t="inlineStr">
        <is>
          <t>Distinct service dates with weekends skipped; holidays are not removed unless explicitly tracked.</t>
        </is>
      </c>
      <c r="C91" s="1" t="n"/>
      <c r="D91" s="1" t="n"/>
      <c r="E91" s="1" t="n"/>
      <c r="F91" s="1" t="n"/>
      <c r="G91" s="1" t="n"/>
      <c r="H91" s="1" t="n"/>
      <c r="I91" s="1" t="n"/>
      <c r="J91" s="1" t="n"/>
      <c r="K91" s="1" t="n"/>
      <c r="L91" s="1" t="n"/>
      <c r="M91" s="1" t="n"/>
      <c r="N91" s="1" t="n"/>
    </row>
    <row r="92" ht="34" customHeight="1" s="192">
      <c r="A92" s="571" t="inlineStr">
        <is>
          <t>Rolling windows</t>
        </is>
      </c>
      <c r="B92" s="720" t="inlineStr">
        <is>
          <t>Calendar-day windows inclusive of start and end dates.</t>
        </is>
      </c>
      <c r="C92" s="1" t="n"/>
      <c r="D92" s="1" t="n"/>
      <c r="E92" s="1" t="n"/>
      <c r="F92" s="1" t="n"/>
      <c r="G92" s="1" t="n"/>
      <c r="H92" s="1" t="n"/>
      <c r="I92" s="1" t="n"/>
      <c r="J92" s="1" t="n"/>
      <c r="K92" s="1" t="n"/>
      <c r="L92" s="1" t="n"/>
      <c r="M92" s="1" t="n"/>
      <c r="N92" s="1" t="n"/>
    </row>
    <row r="93" ht="34" customHeight="1" s="192">
      <c r="A93" s="571" t="inlineStr">
        <is>
          <t>Analytics revenue</t>
        </is>
      </c>
      <c r="B93" s="720" t="inlineStr">
        <is>
          <t>Confirmed Event revenue; a confirmed payment breakdown is treated as earned/complete for this analytics page.</t>
        </is>
      </c>
      <c r="C93" s="1" t="n"/>
      <c r="D93" s="1" t="n"/>
      <c r="E93" s="1" t="n"/>
      <c r="F93" s="1" t="n"/>
      <c r="G93" s="1" t="n"/>
      <c r="H93" s="1" t="n"/>
      <c r="I93" s="1" t="n"/>
      <c r="J93" s="1" t="n"/>
      <c r="K93" s="1" t="n"/>
      <c r="L93" s="1" t="n"/>
      <c r="M93" s="1" t="n"/>
      <c r="N93" s="1" t="n"/>
    </row>
    <row r="94" ht="34" customHeight="1" s="192">
      <c r="A94" s="571" t="inlineStr">
        <is>
          <t>Repeat client</t>
        </is>
      </c>
      <c r="B94" s="720" t="inlineStr">
        <is>
          <t>A unique client with two or more completed Events.</t>
        </is>
      </c>
      <c r="C94" s="1" t="n"/>
      <c r="D94" s="1" t="n"/>
      <c r="E94" s="1" t="n"/>
      <c r="F94" s="1" t="n"/>
      <c r="G94" s="1" t="n"/>
      <c r="H94" s="1" t="n"/>
      <c r="I94" s="1" t="n"/>
      <c r="J94" s="1" t="n"/>
      <c r="K94" s="1" t="n"/>
      <c r="L94" s="1" t="n"/>
      <c r="M94" s="1" t="n"/>
      <c r="N94" s="1" t="n"/>
    </row>
    <row r="95" ht="34" customHeight="1" s="192">
      <c r="A95" s="571" t="inlineStr">
        <is>
          <t>Fastest-growing client</t>
        </is>
      </c>
      <c r="B95" s="720" t="inlineStr">
        <is>
          <t>Client with the most completed Events in the latest 30-calendar-day window.</t>
        </is>
      </c>
      <c r="C95" s="1" t="n"/>
      <c r="D95" s="1" t="n"/>
      <c r="E95" s="1" t="n"/>
      <c r="F95" s="1" t="n"/>
      <c r="G95" s="1" t="n"/>
      <c r="H95" s="1" t="n"/>
      <c r="I95" s="1" t="n"/>
      <c r="J95" s="1" t="n"/>
      <c r="K95" s="1" t="n"/>
      <c r="L95" s="1" t="n"/>
      <c r="M95" s="1" t="n"/>
      <c r="N95" s="1" t="n"/>
    </row>
    <row r="96" ht="34" customHeight="1" s="192">
      <c r="A96" s="571" t="inlineStr">
        <is>
          <t>Financial completion score</t>
        </is>
      </c>
      <c r="B96" s="720" t="inlineStr">
        <is>
          <t>Share of financial-scope Events with positive confirmed revenue; payment breakdowns are treated as earned for this analytics snapshot.</t>
        </is>
      </c>
      <c r="C96" s="1" t="n"/>
      <c r="D96" s="1" t="n"/>
      <c r="E96" s="1" t="n"/>
      <c r="F96" s="1" t="n"/>
      <c r="G96" s="1" t="n"/>
      <c r="H96" s="1" t="n"/>
      <c r="I96" s="1" t="n"/>
      <c r="J96" s="1" t="n"/>
      <c r="K96" s="1" t="n"/>
      <c r="L96" s="1" t="n"/>
      <c r="M96" s="1" t="n"/>
      <c r="N96" s="1" t="n"/>
    </row>
    <row r="97" ht="34" customHeight="1" s="192">
      <c r="A97" s="571" t="inlineStr">
        <is>
          <t>Territory extremes</t>
        </is>
      </c>
      <c r="B97" s="720" t="inlineStr">
        <is>
          <t>Not calculated: the authoritative workbook does not contain latitude/longitude fields.</t>
        </is>
      </c>
      <c r="C97" s="1" t="n"/>
      <c r="D97" s="1" t="n"/>
      <c r="E97" s="1" t="n"/>
      <c r="F97" s="1" t="n"/>
      <c r="G97" s="1" t="n"/>
      <c r="H97" s="1" t="n"/>
      <c r="I97" s="1" t="n"/>
      <c r="J97" s="1" t="n"/>
      <c r="K97" s="1" t="n"/>
      <c r="L97" s="1" t="n"/>
      <c r="M97" s="1" t="n"/>
      <c r="N97" s="1" t="n"/>
    </row>
    <row r="98">
      <c r="A98" s="531" t="inlineStr">
        <is>
          <t>Source of truth</t>
        </is>
      </c>
      <c r="B98" s="531" t="inlineStr">
        <is>
          <t>All values derive from Service Events and Work Orders &amp; Ledger in this workbook; chronology and finance remain separate.</t>
        </is>
      </c>
      <c r="C98" s="531" t="n"/>
      <c r="D98" s="531" t="n"/>
      <c r="E98" s="531" t="n"/>
      <c r="F98" s="531" t="n"/>
      <c r="G98" s="531" t="n"/>
      <c r="H98" s="531" t="n"/>
      <c r="I98" s="531" t="n"/>
      <c r="J98" s="531" t="n"/>
      <c r="K98" s="531" t="n"/>
      <c r="L98" s="531" t="n"/>
      <c r="M98" s="531" t="n"/>
      <c r="N98" s="531" t="n"/>
    </row>
    <row r="99">
      <c r="A99" s="531" t="inlineStr">
        <is>
          <t>Visit terminology</t>
        </is>
      </c>
      <c r="B99" s="531" t="inlineStr">
        <is>
          <t>Use Visit for physical travel/site-work metrics. One Visit equals one Event; work-order/ticket counts may be higher.</t>
        </is>
      </c>
      <c r="C99" s="531" t="n"/>
      <c r="D99" s="531" t="n"/>
      <c r="E99" s="531" t="n"/>
      <c r="F99" s="531" t="n"/>
      <c r="G99" s="531" t="n"/>
      <c r="H99" s="531" t="n"/>
      <c r="I99" s="531" t="n"/>
      <c r="J99" s="531" t="n"/>
      <c r="K99" s="531" t="n"/>
      <c r="L99" s="531" t="n"/>
      <c r="M99" s="531" t="n"/>
      <c r="N99" s="531" t="n"/>
    </row>
    <row r="100">
      <c r="A100" s="531" t="inlineStr">
        <is>
          <t>Verification gate</t>
        </is>
      </c>
      <c r="B100" s="531" t="inlineStr">
        <is>
          <t>Open the current authoritative workbook before chronology, Event, Visit, revenue, ledger, or KPI claims.</t>
        </is>
      </c>
      <c r="C100" s="531" t="n"/>
      <c r="D100" s="531" t="n"/>
      <c r="E100" s="531" t="n"/>
      <c r="F100" s="531" t="n"/>
      <c r="G100" s="531" t="n"/>
      <c r="H100" s="531" t="n"/>
      <c r="I100" s="531" t="n"/>
      <c r="J100" s="531" t="n"/>
      <c r="K100" s="531" t="n"/>
      <c r="L100" s="531" t="n"/>
      <c r="M100" s="531" t="n"/>
      <c r="N100" s="531" t="n"/>
    </row>
    <row r="101">
      <c r="A101" s="531" t="n"/>
      <c r="B101" s="531" t="n"/>
      <c r="C101" s="531" t="n"/>
      <c r="D101" s="531" t="n"/>
      <c r="E101" s="531" t="n"/>
      <c r="F101" s="531" t="n"/>
      <c r="G101" s="531" t="n"/>
      <c r="H101" s="531" t="n"/>
      <c r="I101" s="531" t="n"/>
      <c r="J101" s="531" t="n"/>
      <c r="K101" s="531" t="n"/>
      <c r="L101" s="531" t="n"/>
      <c r="M101" s="531" t="n"/>
      <c r="N101" s="531" t="n"/>
    </row>
    <row r="102">
      <c r="A102" s="531" t="n"/>
      <c r="B102" s="531" t="n"/>
      <c r="C102" s="531" t="n"/>
      <c r="D102" s="531" t="n"/>
      <c r="E102" s="531" t="n"/>
      <c r="F102" s="531" t="n"/>
      <c r="G102" s="531" t="n"/>
      <c r="H102" s="531" t="n"/>
      <c r="I102" s="531" t="n"/>
      <c r="J102" s="531" t="n"/>
      <c r="K102" s="531" t="n"/>
      <c r="L102" s="531" t="n"/>
      <c r="M102" s="531" t="n"/>
      <c r="N102" s="531" t="n"/>
    </row>
    <row r="103">
      <c r="A103" s="531" t="n"/>
      <c r="B103" s="531" t="n"/>
      <c r="C103" s="531" t="n"/>
      <c r="D103" s="531" t="n"/>
      <c r="E103" s="531" t="n"/>
      <c r="F103" s="531" t="n"/>
      <c r="G103" s="531" t="n"/>
      <c r="H103" s="531" t="n"/>
      <c r="I103" s="531" t="n"/>
      <c r="J103" s="531" t="n"/>
      <c r="K103" s="531" t="n"/>
      <c r="L103" s="531" t="n"/>
      <c r="M103" s="531" t="n"/>
      <c r="N103" s="531" t="n"/>
    </row>
    <row r="104">
      <c r="A104" s="531" t="n"/>
      <c r="B104" s="531" t="n"/>
      <c r="C104" s="531" t="n"/>
      <c r="D104" s="531" t="n"/>
      <c r="E104" s="531" t="n"/>
      <c r="F104" s="531" t="n"/>
      <c r="G104" s="531" t="n"/>
      <c r="H104" s="531" t="n"/>
      <c r="I104" s="531" t="n"/>
      <c r="J104" s="531" t="n"/>
      <c r="K104" s="531" t="n"/>
      <c r="L104" s="531" t="n"/>
      <c r="M104" s="531" t="n"/>
      <c r="N104" s="531" t="n"/>
    </row>
    <row r="105">
      <c r="A105" s="531" t="n"/>
      <c r="B105" s="531" t="n"/>
      <c r="C105" s="531" t="n"/>
      <c r="D105" s="531" t="n"/>
      <c r="E105" s="531" t="n"/>
      <c r="F105" s="531" t="n"/>
      <c r="G105" s="531" t="n"/>
      <c r="H105" s="531" t="n"/>
      <c r="I105" s="531" t="n"/>
      <c r="J105" s="531" t="n"/>
      <c r="K105" s="531" t="n"/>
      <c r="L105" s="531" t="n"/>
      <c r="M105" s="531" t="n"/>
      <c r="N105" s="531" t="n"/>
    </row>
    <row r="106">
      <c r="A106" s="531" t="n"/>
      <c r="B106" s="531" t="n"/>
      <c r="C106" s="531" t="n"/>
      <c r="D106" s="531" t="n"/>
      <c r="E106" s="531" t="n"/>
      <c r="F106" s="531" t="n"/>
      <c r="G106" s="531" t="n"/>
      <c r="H106" s="531" t="n"/>
      <c r="I106" s="531" t="n"/>
      <c r="J106" s="531" t="n"/>
      <c r="K106" s="531" t="n"/>
      <c r="L106" s="531" t="n"/>
      <c r="M106" s="531" t="n"/>
      <c r="N106" s="531" t="n"/>
    </row>
    <row r="107">
      <c r="A107" s="531" t="n"/>
      <c r="B107" s="531" t="n"/>
      <c r="C107" s="531" t="n"/>
      <c r="D107" s="531" t="n"/>
      <c r="E107" s="531" t="n"/>
      <c r="F107" s="531" t="n"/>
      <c r="G107" s="531" t="n"/>
      <c r="H107" s="531" t="n"/>
      <c r="I107" s="531" t="n"/>
      <c r="J107" s="531" t="n"/>
      <c r="K107" s="531" t="n"/>
      <c r="L107" s="531" t="n"/>
      <c r="M107" s="531" t="n"/>
      <c r="N107" s="531" t="n"/>
    </row>
    <row r="108">
      <c r="A108" s="531" t="n"/>
      <c r="B108" s="531" t="n"/>
      <c r="C108" s="531" t="n"/>
      <c r="D108" s="531" t="n"/>
      <c r="E108" s="531" t="n"/>
      <c r="F108" s="531" t="n"/>
      <c r="G108" s="531" t="n"/>
      <c r="H108" s="531" t="n"/>
      <c r="I108" s="531" t="n"/>
      <c r="J108" s="531" t="n"/>
      <c r="K108" s="531" t="n"/>
      <c r="L108" s="531" t="n"/>
      <c r="M108" s="531" t="n"/>
      <c r="N108" s="531" t="n"/>
    </row>
    <row r="109">
      <c r="A109" s="531" t="n"/>
      <c r="B109" s="531" t="n"/>
      <c r="C109" s="531" t="n"/>
      <c r="D109" s="531" t="n"/>
      <c r="E109" s="531" t="n"/>
      <c r="F109" s="531" t="n"/>
      <c r="G109" s="531" t="n"/>
      <c r="H109" s="531" t="n"/>
      <c r="I109" s="531" t="n"/>
      <c r="J109" s="531" t="n"/>
      <c r="K109" s="531" t="n"/>
      <c r="L109" s="531" t="n"/>
      <c r="M109" s="531" t="n"/>
      <c r="N109" s="531" t="n"/>
    </row>
    <row r="110">
      <c r="A110" s="531" t="n"/>
      <c r="B110" s="531" t="n"/>
      <c r="C110" s="531" t="n"/>
      <c r="D110" s="531" t="n"/>
      <c r="E110" s="531" t="n"/>
      <c r="F110" s="531" t="n"/>
      <c r="G110" s="531" t="n"/>
      <c r="H110" s="531" t="n"/>
      <c r="I110" s="531" t="n"/>
      <c r="J110" s="531" t="n"/>
      <c r="K110" s="531" t="n"/>
      <c r="L110" s="531" t="n"/>
      <c r="M110" s="531" t="n"/>
      <c r="N110" s="531" t="n"/>
    </row>
    <row r="111">
      <c r="A111" s="531" t="n"/>
      <c r="B111" s="531" t="n"/>
      <c r="C111" s="531" t="n"/>
      <c r="D111" s="531" t="n"/>
      <c r="E111" s="531" t="n"/>
      <c r="F111" s="531" t="n"/>
      <c r="G111" s="531" t="n"/>
      <c r="H111" s="531" t="n"/>
      <c r="I111" s="531" t="n"/>
      <c r="J111" s="531" t="n"/>
      <c r="K111" s="531" t="n"/>
      <c r="L111" s="531" t="n"/>
      <c r="M111" s="531" t="n"/>
      <c r="N111" s="531" t="n"/>
    </row>
    <row r="112">
      <c r="A112" s="531" t="n"/>
      <c r="B112" s="531" t="n"/>
      <c r="C112" s="531" t="n"/>
      <c r="D112" s="531" t="n"/>
      <c r="E112" s="531" t="n"/>
      <c r="F112" s="531" t="n"/>
      <c r="G112" s="531" t="n"/>
      <c r="H112" s="531" t="n"/>
      <c r="I112" s="531" t="n"/>
      <c r="J112" s="531" t="n"/>
      <c r="K112" s="531" t="n"/>
      <c r="L112" s="531" t="n"/>
      <c r="M112" s="531" t="n"/>
      <c r="N112" s="531" t="n"/>
    </row>
    <row r="113">
      <c r="A113" s="531" t="n"/>
      <c r="B113" s="531" t="n"/>
      <c r="C113" s="531" t="n"/>
      <c r="D113" s="531" t="n"/>
      <c r="E113" s="531" t="n"/>
      <c r="F113" s="531" t="n"/>
      <c r="G113" s="531" t="n"/>
      <c r="H113" s="531" t="n"/>
      <c r="I113" s="531" t="n"/>
      <c r="J113" s="531" t="n"/>
      <c r="K113" s="531" t="n"/>
      <c r="L113" s="531" t="n"/>
      <c r="M113" s="531" t="n"/>
      <c r="N113" s="531" t="n"/>
    </row>
    <row r="114">
      <c r="A114" s="531" t="n"/>
      <c r="B114" s="531" t="n"/>
      <c r="C114" s="531" t="n"/>
      <c r="D114" s="531" t="n"/>
      <c r="E114" s="531" t="n"/>
      <c r="F114" s="531" t="n"/>
      <c r="G114" s="531" t="n"/>
      <c r="H114" s="531" t="n"/>
      <c r="I114" s="531" t="n"/>
      <c r="J114" s="531" t="n"/>
      <c r="K114" s="531" t="n"/>
      <c r="L114" s="531" t="n"/>
      <c r="M114" s="531" t="n"/>
      <c r="N114" s="531" t="n"/>
    </row>
    <row r="115">
      <c r="A115" s="531" t="n"/>
      <c r="B115" s="531" t="n"/>
      <c r="C115" s="531" t="n"/>
      <c r="D115" s="531" t="n"/>
      <c r="E115" s="531" t="n"/>
      <c r="F115" s="531" t="n"/>
      <c r="G115" s="531" t="n"/>
      <c r="H115" s="531" t="n"/>
      <c r="I115" s="531" t="n"/>
      <c r="J115" s="531" t="n"/>
      <c r="K115" s="531" t="n"/>
      <c r="L115" s="531" t="n"/>
      <c r="M115" s="531" t="n"/>
      <c r="N115" s="531" t="n"/>
    </row>
    <row r="116">
      <c r="A116" s="531" t="n"/>
      <c r="B116" s="531" t="n"/>
      <c r="C116" s="531" t="n"/>
      <c r="D116" s="531" t="n"/>
      <c r="E116" s="531" t="n"/>
      <c r="F116" s="531" t="n"/>
      <c r="G116" s="531" t="n"/>
      <c r="H116" s="531" t="n"/>
      <c r="I116" s="531" t="n"/>
      <c r="J116" s="531" t="n"/>
      <c r="K116" s="531" t="n"/>
      <c r="L116" s="531" t="n"/>
      <c r="M116" s="531" t="n"/>
      <c r="N116" s="531" t="n"/>
    </row>
    <row r="117">
      <c r="A117" s="531" t="n"/>
      <c r="B117" s="531" t="n"/>
      <c r="C117" s="531" t="n"/>
      <c r="D117" s="531" t="n"/>
      <c r="E117" s="531" t="n"/>
      <c r="F117" s="531" t="n"/>
      <c r="G117" s="531" t="n"/>
      <c r="H117" s="531" t="n"/>
      <c r="I117" s="531" t="n"/>
      <c r="J117" s="531" t="n"/>
      <c r="K117" s="531" t="n"/>
      <c r="L117" s="531" t="n"/>
      <c r="M117" s="531" t="n"/>
      <c r="N117" s="531" t="n"/>
    </row>
    <row r="118">
      <c r="A118" s="531" t="n"/>
      <c r="B118" s="531" t="n"/>
      <c r="C118" s="531" t="n"/>
      <c r="D118" s="531" t="n"/>
      <c r="E118" s="531" t="n"/>
      <c r="F118" s="531" t="n"/>
      <c r="G118" s="531" t="n"/>
      <c r="H118" s="531" t="n"/>
      <c r="I118" s="531" t="n"/>
      <c r="J118" s="531" t="n"/>
      <c r="K118" s="531" t="n"/>
      <c r="L118" s="531" t="n"/>
      <c r="M118" s="531" t="n"/>
      <c r="N118" s="531" t="n"/>
    </row>
    <row r="119">
      <c r="A119" s="531" t="n"/>
      <c r="B119" s="531" t="n"/>
      <c r="C119" s="531" t="n"/>
      <c r="D119" s="531" t="n"/>
      <c r="E119" s="531" t="n"/>
      <c r="F119" s="531" t="n"/>
      <c r="G119" s="531" t="n"/>
      <c r="H119" s="531" t="n"/>
      <c r="I119" s="531" t="n"/>
      <c r="J119" s="531" t="n"/>
      <c r="K119" s="531" t="n"/>
      <c r="L119" s="531" t="n"/>
      <c r="M119" s="531" t="n"/>
      <c r="N119" s="531" t="n"/>
    </row>
    <row r="120">
      <c r="A120" s="531" t="n"/>
      <c r="B120" s="531" t="n"/>
      <c r="C120" s="531" t="n"/>
      <c r="D120" s="531" t="n"/>
      <c r="E120" s="531" t="n"/>
      <c r="F120" s="531" t="n"/>
      <c r="G120" s="531" t="n"/>
      <c r="H120" s="531" t="n"/>
      <c r="I120" s="531" t="n"/>
      <c r="J120" s="531" t="n"/>
      <c r="K120" s="531" t="n"/>
      <c r="L120" s="531" t="n"/>
      <c r="M120" s="531" t="n"/>
      <c r="N120" s="531" t="n"/>
    </row>
  </sheetData>
  <mergeCells count="19">
    <mergeCell ref="A5:D5"/>
    <mergeCell ref="F5:N5"/>
    <mergeCell ref="B92:N92"/>
    <mergeCell ref="A73:N73"/>
    <mergeCell ref="B95:N95"/>
    <mergeCell ref="A88:N88"/>
    <mergeCell ref="B94:N94"/>
    <mergeCell ref="B97:N97"/>
    <mergeCell ref="B91:N91"/>
    <mergeCell ref="A89:N89"/>
    <mergeCell ref="B90:N90"/>
    <mergeCell ref="A3:N3"/>
    <mergeCell ref="B93:N93"/>
    <mergeCell ref="B96:N96"/>
    <mergeCell ref="A57:N57"/>
    <mergeCell ref="A33:N33"/>
    <mergeCell ref="A1:N2"/>
    <mergeCell ref="A43:N43"/>
    <mergeCell ref="A19:N19"/>
  </mergeCells>
  <conditionalFormatting sqref="B75:B86">
    <cfRule type="expression" priority="1" dxfId="141">
      <formula>B75="ACHIEVED"</formula>
    </cfRule>
    <cfRule type="expression" priority="2" dxfId="142">
      <formula>B75="OPEN"</formula>
    </cfRule>
  </conditionalFormatting>
  <conditionalFormatting sqref="I75:I81">
    <cfRule type="dataBar" priority="3">
      <dataBar>
        <cfvo type="min"/>
        <cfvo type="max"/>
        <color rgb="FFD4AF37"/>
      </dataBar>
    </cfRule>
  </conditionalFormatting>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20" customWidth="1" style="192" min="1" max="1"/>
    <col width="14" customWidth="1" style="192" min="2" max="2"/>
    <col width="14" customWidth="1" style="192" min="3" max="3"/>
    <col width="10" customWidth="1" style="192" min="4" max="4"/>
    <col width="14" customWidth="1" style="192" min="5" max="5"/>
    <col width="14" customWidth="1" style="192" min="6" max="6"/>
    <col width="18" customWidth="1" style="192" min="7" max="7"/>
    <col width="34" customWidth="1" style="192" min="8" max="8"/>
    <col width="18" customWidth="1" style="192" min="9" max="9"/>
    <col width="18" customWidth="1" style="192" min="10" max="10"/>
    <col width="18" customWidth="1" style="192" min="11" max="11"/>
  </cols>
  <sheetData>
    <row r="1">
      <c r="A1" s="721" t="inlineStr">
        <is>
          <t>BARRISTER CAREER ERAS | VISIT DENSITY</t>
        </is>
      </c>
      <c r="B1" s="1" t="n"/>
      <c r="C1" s="1" t="n"/>
      <c r="D1" s="1" t="n"/>
      <c r="E1" s="1" t="n"/>
      <c r="F1" s="1" t="n"/>
      <c r="G1" s="1" t="n"/>
      <c r="H1" s="1" t="n"/>
      <c r="I1" s="329" t="n"/>
      <c r="J1" s="329" t="n"/>
      <c r="K1" s="329" t="n"/>
    </row>
    <row r="2">
      <c r="A2" s="722" t="inlineStr">
        <is>
          <t>Verified through 2026-07-20 | One physical client/site visit = one Visit/Event</t>
        </is>
      </c>
      <c r="B2" s="1" t="n"/>
      <c r="C2" s="1" t="n"/>
      <c r="D2" s="1" t="n"/>
      <c r="E2" s="1" t="n"/>
      <c r="F2" s="1" t="n"/>
      <c r="G2" s="1" t="n"/>
      <c r="H2" s="1" t="n"/>
      <c r="I2" s="329" t="n"/>
      <c r="J2" s="329" t="n"/>
      <c r="K2" s="329" t="n"/>
    </row>
    <row r="3">
      <c r="A3" s="329" t="n"/>
      <c r="B3" s="329" t="n"/>
      <c r="C3" s="329" t="n"/>
      <c r="D3" s="329" t="n"/>
      <c r="E3" s="329" t="n"/>
      <c r="F3" s="329" t="n"/>
      <c r="G3" s="329" t="n"/>
      <c r="H3" s="329" t="n"/>
      <c r="I3" s="329" t="n"/>
      <c r="J3" s="329" t="n"/>
      <c r="K3" s="329" t="n"/>
    </row>
    <row r="4">
      <c r="A4" s="544" t="inlineStr">
        <is>
          <t>Era</t>
        </is>
      </c>
      <c r="B4" s="544" t="inlineStr">
        <is>
          <t>Start Date</t>
        </is>
      </c>
      <c r="C4" s="544" t="inlineStr">
        <is>
          <t>End Date</t>
        </is>
      </c>
      <c r="D4" s="544" t="inlineStr">
        <is>
          <t>Visits</t>
        </is>
      </c>
      <c r="E4" s="544" t="inlineStr">
        <is>
          <t>Calendar Days</t>
        </is>
      </c>
      <c r="F4" s="544" t="inlineStr">
        <is>
          <t>Business Days</t>
        </is>
      </c>
      <c r="G4" s="544" t="inlineStr">
        <is>
          <t>Actual Worked Days</t>
        </is>
      </c>
      <c r="H4" s="544" t="inlineStr">
        <is>
          <t>Primary Story</t>
        </is>
      </c>
      <c r="I4" s="544" t="inlineStr">
        <is>
          <t>Avg / Calendar Day</t>
        </is>
      </c>
      <c r="J4" s="544" t="inlineStr">
        <is>
          <t>Avg / Business Day</t>
        </is>
      </c>
      <c r="K4" s="544" t="inlineStr">
        <is>
          <t>Avg / Worked Day</t>
        </is>
      </c>
    </row>
    <row r="5">
      <c r="A5" s="329" t="inlineStr">
        <is>
          <t>Career</t>
        </is>
      </c>
      <c r="B5" s="666" t="n">
        <v>46132</v>
      </c>
      <c r="C5" s="666" t="n">
        <v>46223</v>
      </c>
      <c r="D5" s="329" t="n">
        <v>75</v>
      </c>
      <c r="E5" s="329" t="n">
        <v>92</v>
      </c>
      <c r="F5" s="329" t="n">
        <v>66</v>
      </c>
      <c r="G5" s="329" t="n">
        <v>50</v>
      </c>
      <c r="H5" s="329" t="inlineStr">
        <is>
          <t>Full Barrister career</t>
        </is>
      </c>
      <c r="I5" s="723">
        <f>D5/E5</f>
        <v/>
      </c>
      <c r="J5" s="723">
        <f>D5/F5</f>
        <v/>
      </c>
      <c r="K5" s="723">
        <f>D5/G5</f>
        <v/>
      </c>
    </row>
    <row r="6">
      <c r="A6" s="329" t="inlineStr">
        <is>
          <t>Momentum Era</t>
        </is>
      </c>
      <c r="B6" s="666" t="n">
        <v>46168</v>
      </c>
      <c r="C6" s="666" t="n">
        <v>46223</v>
      </c>
      <c r="D6" s="329" t="n">
        <v>55</v>
      </c>
      <c r="E6" s="329" t="n">
        <v>56</v>
      </c>
      <c r="F6" s="329" t="n">
        <v>40</v>
      </c>
      <c r="G6" s="329" t="n">
        <v>33</v>
      </c>
      <c r="H6" s="329" t="inlineStr">
        <is>
          <t>After the first 20 introductory Visits</t>
        </is>
      </c>
      <c r="I6" s="723">
        <f>D6/E6</f>
        <v/>
      </c>
      <c r="J6" s="723">
        <f>D6/F6</f>
        <v/>
      </c>
      <c r="K6" s="723">
        <f>D6/G6</f>
        <v/>
      </c>
    </row>
    <row r="7">
      <c r="A7" s="329" t="inlineStr">
        <is>
          <t>SPEED ERA</t>
        </is>
      </c>
      <c r="B7" s="666" t="n">
        <v>46203</v>
      </c>
      <c r="C7" s="666" t="n">
        <v>46223</v>
      </c>
      <c r="D7" s="329" t="n">
        <v>22</v>
      </c>
      <c r="E7" s="329" t="n">
        <v>21</v>
      </c>
      <c r="F7" s="329" t="n">
        <v>15</v>
      </c>
      <c r="G7" s="329" t="n">
        <v>13</v>
      </c>
      <c r="H7" s="329" t="inlineStr">
        <is>
          <t>High-density dispatch period</t>
        </is>
      </c>
      <c r="I7" s="723">
        <f>D7/E7</f>
        <v/>
      </c>
      <c r="J7" s="723">
        <f>D7/F7</f>
        <v/>
      </c>
      <c r="K7" s="723">
        <f>D7/G7</f>
        <v/>
      </c>
    </row>
    <row r="8">
      <c r="A8" s="329" t="n"/>
      <c r="B8" s="329" t="n"/>
      <c r="C8" s="329" t="n"/>
      <c r="D8" s="329" t="n"/>
      <c r="E8" s="329" t="n"/>
      <c r="F8" s="329" t="n"/>
      <c r="G8" s="329" t="n"/>
      <c r="H8" s="329" t="n"/>
      <c r="I8" s="329" t="n"/>
      <c r="J8" s="329" t="n"/>
      <c r="K8" s="329" t="n"/>
    </row>
    <row r="9">
      <c r="A9" s="329" t="n"/>
      <c r="B9" s="329" t="n"/>
      <c r="C9" s="329" t="n"/>
      <c r="D9" s="329" t="n"/>
      <c r="E9" s="329" t="n"/>
      <c r="F9" s="329" t="n"/>
      <c r="G9" s="329" t="n"/>
      <c r="H9" s="329" t="n"/>
      <c r="I9" s="329" t="n"/>
      <c r="J9" s="329" t="n"/>
      <c r="K9" s="329" t="n"/>
    </row>
    <row r="10">
      <c r="A10" s="724" t="inlineStr">
        <is>
          <t>PENDING ROUND-NUMBER PROJECTION — DO NOT TREAT AS COMPLETED CHRONOLOGY</t>
        </is>
      </c>
      <c r="B10" s="1" t="n"/>
      <c r="C10" s="1" t="n"/>
      <c r="D10" s="1" t="n"/>
      <c r="E10" s="1" t="n"/>
      <c r="F10" s="1" t="n"/>
      <c r="G10" s="1" t="n"/>
      <c r="H10" s="1" t="n"/>
      <c r="I10" s="329" t="n"/>
      <c r="J10" s="329" t="n"/>
      <c r="K10" s="329" t="n"/>
    </row>
    <row r="11">
      <c r="A11" s="544" t="inlineStr">
        <is>
          <t>Projection</t>
        </is>
      </c>
      <c r="B11" s="544" t="inlineStr">
        <is>
          <t>As-of Date</t>
        </is>
      </c>
      <c r="C11" s="544" t="inlineStr">
        <is>
          <t>Projected Visits</t>
        </is>
      </c>
      <c r="D11" s="544" t="inlineStr">
        <is>
          <t>Compared With</t>
        </is>
      </c>
      <c r="E11" s="544" t="inlineStr">
        <is>
          <t>Projected Count</t>
        </is>
      </c>
      <c r="F11" s="544" t="inlineStr">
        <is>
          <t>Status</t>
        </is>
      </c>
      <c r="G11" s="329" t="n"/>
      <c r="H11" s="329" t="n"/>
      <c r="I11" s="329" t="n"/>
      <c r="J11" s="329" t="n"/>
      <c r="K11" s="329" t="n"/>
    </row>
    <row r="12">
      <c r="A12" s="329" t="inlineStr">
        <is>
          <t>Momentum Era</t>
        </is>
      </c>
      <c r="B12" s="666" t="n">
        <v>46225</v>
      </c>
      <c r="C12" s="329" t="n">
        <v>58</v>
      </c>
      <c r="D12" s="329" t="inlineStr">
        <is>
          <t>Calendar days</t>
        </is>
      </c>
      <c r="E12" s="329" t="n">
        <v>58</v>
      </c>
      <c r="F12" s="329" t="inlineStr">
        <is>
          <t>Pending scheduled additions</t>
        </is>
      </c>
      <c r="G12" s="329" t="n"/>
      <c r="H12" s="329" t="n"/>
      <c r="I12" s="329" t="n"/>
      <c r="J12" s="329" t="n"/>
      <c r="K12" s="329" t="n"/>
    </row>
    <row r="13">
      <c r="A13" s="329" t="inlineStr">
        <is>
          <t>SPEED ERA</t>
        </is>
      </c>
      <c r="B13" s="666" t="n">
        <v>46225</v>
      </c>
      <c r="C13" s="329" t="n">
        <v>25</v>
      </c>
      <c r="D13" s="329" t="inlineStr">
        <is>
          <t>Actual worked days</t>
        </is>
      </c>
      <c r="E13" s="329" t="n">
        <v>15</v>
      </c>
      <c r="F13" s="329" t="inlineStr">
        <is>
          <t>Pending scheduled additions</t>
        </is>
      </c>
      <c r="G13" s="329" t="n"/>
      <c r="H13" s="329" t="n"/>
      <c r="I13" s="329" t="n"/>
      <c r="J13" s="329" t="n"/>
      <c r="K13" s="329" t="n"/>
    </row>
    <row r="14">
      <c r="A14" s="329" t="n"/>
      <c r="B14" s="329" t="n"/>
      <c r="C14" s="329" t="n"/>
      <c r="D14" s="329" t="n"/>
      <c r="E14" s="329" t="n"/>
      <c r="F14" s="329" t="n"/>
      <c r="G14" s="329" t="n"/>
      <c r="H14" s="329" t="n"/>
      <c r="I14" s="329" t="n"/>
      <c r="J14" s="329" t="n"/>
      <c r="K14" s="329" t="n"/>
    </row>
    <row r="15">
      <c r="A15" s="329" t="n"/>
      <c r="B15" s="329" t="n"/>
      <c r="C15" s="329" t="n"/>
      <c r="D15" s="329" t="n"/>
      <c r="E15" s="329" t="n"/>
      <c r="F15" s="329" t="n"/>
      <c r="G15" s="329" t="n"/>
      <c r="H15" s="329" t="n"/>
      <c r="I15" s="329" t="n"/>
      <c r="J15" s="329" t="n"/>
      <c r="K15" s="329" t="n"/>
    </row>
    <row r="16">
      <c r="A16" s="725" t="inlineStr">
        <is>
          <t>ERA DEFINITIONS &amp; GOVERNANCE</t>
        </is>
      </c>
      <c r="B16" s="1" t="n"/>
      <c r="C16" s="1" t="n"/>
      <c r="D16" s="1" t="n"/>
      <c r="E16" s="1" t="n"/>
      <c r="F16" s="1" t="n"/>
      <c r="G16" s="1" t="n"/>
      <c r="H16" s="1" t="n"/>
      <c r="I16" s="329" t="n"/>
      <c r="J16" s="329" t="n"/>
      <c r="K16" s="329" t="n"/>
    </row>
    <row r="17">
      <c r="A17" s="544" t="inlineStr">
        <is>
          <t>Term</t>
        </is>
      </c>
      <c r="B17" s="544" t="inlineStr">
        <is>
          <t>Definition</t>
        </is>
      </c>
      <c r="C17" s="329" t="n"/>
      <c r="D17" s="329" t="n"/>
      <c r="E17" s="329" t="n"/>
      <c r="F17" s="329" t="n"/>
      <c r="G17" s="329" t="n"/>
      <c r="H17" s="329" t="n"/>
      <c r="I17" s="329" t="n"/>
      <c r="J17" s="329" t="n"/>
      <c r="K17" s="329" t="n"/>
    </row>
    <row r="18">
      <c r="A18" s="329" t="inlineStr">
        <is>
          <t>Visit</t>
        </is>
      </c>
      <c r="B18" s="329" t="inlineStr">
        <is>
          <t>One physical trip to a client/site. Multiple work orders at the same physical visit do not create multiple Visits.</t>
        </is>
      </c>
      <c r="C18" s="329" t="n"/>
      <c r="D18" s="329" t="n"/>
      <c r="E18" s="329" t="n"/>
      <c r="F18" s="329" t="n"/>
      <c r="G18" s="329" t="n"/>
      <c r="H18" s="329" t="n"/>
      <c r="I18" s="329" t="n"/>
      <c r="J18" s="329" t="n"/>
      <c r="K18" s="329" t="n"/>
    </row>
    <row r="19">
      <c r="A19" s="329" t="inlineStr">
        <is>
          <t>Event</t>
        </is>
      </c>
      <c r="B19" s="329" t="inlineStr">
        <is>
          <t>The workbook chronology record for one physical Visit. Visit and Event counts match; ticket/WO counts can be higher.</t>
        </is>
      </c>
      <c r="C19" s="329" t="n"/>
      <c r="D19" s="329" t="n"/>
      <c r="E19" s="329" t="n"/>
      <c r="F19" s="329" t="n"/>
      <c r="G19" s="329" t="n"/>
      <c r="H19" s="329" t="n"/>
      <c r="I19" s="329" t="n"/>
      <c r="J19" s="329" t="n"/>
      <c r="K19" s="329" t="n"/>
    </row>
    <row r="20">
      <c r="A20" s="329" t="inlineStr">
        <is>
          <t>Momentum Era</t>
        </is>
      </c>
      <c r="B20" s="329" t="inlineStr">
        <is>
          <t>Begins 2026-05-26 after the first 20 Visits, representing the end of the introductory adjustment period.</t>
        </is>
      </c>
      <c r="C20" s="329" t="n"/>
      <c r="D20" s="329" t="n"/>
      <c r="E20" s="329" t="n"/>
      <c r="F20" s="329" t="n"/>
      <c r="G20" s="329" t="n"/>
      <c r="H20" s="329" t="n"/>
      <c r="I20" s="329" t="n"/>
      <c r="J20" s="329" t="n"/>
      <c r="K20" s="329" t="n"/>
    </row>
    <row r="21">
      <c r="A21" s="329" t="inlineStr">
        <is>
          <t>SPEED ERA</t>
        </is>
      </c>
      <c r="B21" s="329" t="inlineStr">
        <is>
          <t>Begins 2026-06-30, representing the current high-density dispatch phase.</t>
        </is>
      </c>
      <c r="C21" s="329" t="n"/>
      <c r="D21" s="329" t="n"/>
      <c r="E21" s="329" t="n"/>
      <c r="F21" s="329" t="n"/>
      <c r="G21" s="329" t="n"/>
      <c r="H21" s="329" t="n"/>
      <c r="I21" s="329" t="n"/>
      <c r="J21" s="329" t="n"/>
      <c r="K21" s="329" t="n"/>
    </row>
  </sheetData>
  <mergeCells count="4">
    <mergeCell ref="A1:H1"/>
    <mergeCell ref="A2:H2"/>
    <mergeCell ref="A16:H16"/>
    <mergeCell ref="A10:H10"/>
  </mergeCells>
  <conditionalFormatting sqref="A5:K7">
    <cfRule type="colorScale" priority="1">
      <colorScale>
        <cfvo type="min"/>
        <cfvo type="percentile" val="50"/>
        <cfvo type="max"/>
        <color rgb="FFFEE2E2"/>
        <color rgb="FFFEF3C7"/>
        <color rgb="FFDCFCE7"/>
      </colorScale>
    </cfRule>
  </conditionalFormatting>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12" customWidth="1" style="192" min="1" max="1"/>
    <col width="22" customWidth="1" style="192" min="2" max="2"/>
    <col width="24" customWidth="1" style="192" min="3" max="3"/>
    <col width="30" customWidth="1" style="192" min="4" max="4"/>
    <col width="24" customWidth="1" style="192" min="5" max="5"/>
    <col width="24" customWidth="1" style="192" min="6" max="6"/>
    <col width="28" customWidth="1" style="192" min="7" max="7"/>
    <col width="34" customWidth="1" style="192" min="8" max="8"/>
    <col width="24" customWidth="1" style="192" min="9" max="9"/>
    <col width="12" customWidth="1" style="192" min="10" max="10"/>
  </cols>
  <sheetData>
    <row r="1">
      <c r="A1" s="726" t="inlineStr">
        <is>
          <t>MONTH 4 DELTA LOG | CHRONOLOGY + FINANCE + GOVERNANCE</t>
        </is>
      </c>
      <c r="B1" s="1" t="n"/>
      <c r="C1" s="1" t="n"/>
      <c r="D1" s="1" t="n"/>
      <c r="E1" s="1" t="n"/>
      <c r="F1" s="1" t="n"/>
      <c r="G1" s="1" t="n"/>
      <c r="H1" s="1" t="n"/>
      <c r="I1" s="1" t="n"/>
      <c r="J1" s="1" t="n"/>
    </row>
    <row r="2">
      <c r="A2" s="727" t="inlineStr">
        <is>
          <t>Delta-only record of changes after the 2026-07-17 Month 3 closeout</t>
        </is>
      </c>
      <c r="B2" s="1" t="n"/>
      <c r="C2" s="1" t="n"/>
      <c r="D2" s="1" t="n"/>
      <c r="E2" s="1" t="n"/>
      <c r="F2" s="1" t="n"/>
      <c r="G2" s="1" t="n"/>
      <c r="H2" s="1" t="n"/>
      <c r="I2" s="1" t="n"/>
      <c r="J2" s="1" t="n"/>
    </row>
    <row r="4">
      <c r="A4" s="560" t="inlineStr">
        <is>
          <t>Date</t>
        </is>
      </c>
      <c r="B4" s="560" t="inlineStr">
        <is>
          <t>Category</t>
        </is>
      </c>
      <c r="C4" s="560" t="inlineStr">
        <is>
          <t>Event / WO</t>
        </is>
      </c>
      <c r="D4" s="560" t="inlineStr">
        <is>
          <t>Client / Site</t>
        </is>
      </c>
      <c r="E4" s="560" t="inlineStr">
        <is>
          <t>Before</t>
        </is>
      </c>
      <c r="F4" s="560" t="inlineStr">
        <is>
          <t>Delta</t>
        </is>
      </c>
      <c r="G4" s="560" t="inlineStr">
        <is>
          <t>After</t>
        </is>
      </c>
      <c r="H4" s="560" t="inlineStr">
        <is>
          <t>Evidence</t>
        </is>
      </c>
      <c r="I4" s="560" t="inlineStr">
        <is>
          <t>Workbook Action</t>
        </is>
      </c>
      <c r="J4" s="560" t="inlineStr">
        <is>
          <t>Status</t>
        </is>
      </c>
    </row>
    <row r="5">
      <c r="A5" s="666" t="n">
        <v>46223</v>
      </c>
      <c r="B5" s="329" t="inlineStr">
        <is>
          <t>Financial</t>
        </is>
      </c>
      <c r="C5" s="329" t="inlineStr">
        <is>
          <t>Event 57 / WO 5911577</t>
        </is>
      </c>
      <c r="D5" s="329" t="inlineStr">
        <is>
          <t>Montpelier Liquors</t>
        </is>
      </c>
      <c r="E5" s="329" t="inlineStr">
        <is>
          <t>ACH missing</t>
        </is>
      </c>
      <c r="F5" s="329" t="inlineStr">
        <is>
          <t>+$66.74 ACH</t>
        </is>
      </c>
      <c r="G5" s="329" t="inlineStr">
        <is>
          <t>ACH confirmed $66.74</t>
        </is>
      </c>
      <c r="H5" s="329" t="inlineStr">
        <is>
          <t>Gmail ACH processed notice mapped to bill</t>
        </is>
      </c>
      <c r="I5" s="329" t="inlineStr">
        <is>
          <t>Ledger updated</t>
        </is>
      </c>
      <c r="J5" s="329" t="inlineStr">
        <is>
          <t>Applied</t>
        </is>
      </c>
    </row>
    <row r="6">
      <c r="A6" s="666" t="n">
        <v>46223</v>
      </c>
      <c r="B6" s="329" t="inlineStr">
        <is>
          <t>Financial</t>
        </is>
      </c>
      <c r="C6" s="329" t="inlineStr">
        <is>
          <t>Event 58 / WO 5900780</t>
        </is>
      </c>
      <c r="D6" s="329" t="inlineStr">
        <is>
          <t>Dunkin — Lutherville</t>
        </is>
      </c>
      <c r="E6" s="329" t="inlineStr">
        <is>
          <t>ACH missing</t>
        </is>
      </c>
      <c r="F6" s="329" t="inlineStr">
        <is>
          <t>+$202.50 ACH</t>
        </is>
      </c>
      <c r="G6" s="329" t="inlineStr">
        <is>
          <t>ACH confirmed $202.50</t>
        </is>
      </c>
      <c r="H6" s="329" t="inlineStr">
        <is>
          <t>Gmail ACH processed notice mapped to bill</t>
        </is>
      </c>
      <c r="I6" s="329" t="inlineStr">
        <is>
          <t>Ledger updated</t>
        </is>
      </c>
      <c r="J6" s="329" t="inlineStr">
        <is>
          <t>Applied</t>
        </is>
      </c>
    </row>
    <row r="7">
      <c r="A7" s="666" t="n">
        <v>46223</v>
      </c>
      <c r="B7" s="329" t="inlineStr">
        <is>
          <t>Financial</t>
        </is>
      </c>
      <c r="C7" s="329" t="inlineStr">
        <is>
          <t>Event 69 / WO 5909418</t>
        </is>
      </c>
      <c r="D7" s="329" t="inlineStr">
        <is>
          <t>TJ Maxx — Columbia</t>
        </is>
      </c>
      <c r="E7" s="329" t="inlineStr">
        <is>
          <t>Breakdown pending</t>
        </is>
      </c>
      <c r="F7" s="329" t="inlineStr">
        <is>
          <t>+$180.00 breakdown</t>
        </is>
      </c>
      <c r="G7" s="329" t="inlineStr">
        <is>
          <t>ACH pending; expected 2026-07-30</t>
        </is>
      </c>
      <c r="H7" s="329" t="inlineStr">
        <is>
          <t>Gmail payment breakdown</t>
        </is>
      </c>
      <c r="I7" s="329" t="inlineStr">
        <is>
          <t>Event + ledger updated</t>
        </is>
      </c>
      <c r="J7" s="329" t="inlineStr">
        <is>
          <t>Applied</t>
        </is>
      </c>
    </row>
    <row r="8">
      <c r="A8" s="666" t="n">
        <v>46223</v>
      </c>
      <c r="B8" s="329" t="inlineStr">
        <is>
          <t>Financial</t>
        </is>
      </c>
      <c r="C8" s="329" t="inlineStr">
        <is>
          <t>Event 70 / WO 5918899</t>
        </is>
      </c>
      <c r="D8" s="329" t="inlineStr">
        <is>
          <t>Giant Food — Olney</t>
        </is>
      </c>
      <c r="E8" s="329" t="inlineStr">
        <is>
          <t>Breakdown pending</t>
        </is>
      </c>
      <c r="F8" s="329" t="inlineStr">
        <is>
          <t>+$103.33 breakdown</t>
        </is>
      </c>
      <c r="G8" s="329" t="inlineStr">
        <is>
          <t>ACH pending; expected 2026-07-30</t>
        </is>
      </c>
      <c r="H8" s="329" t="inlineStr">
        <is>
          <t>Gmail payment breakdown</t>
        </is>
      </c>
      <c r="I8" s="329" t="inlineStr">
        <is>
          <t>Event + ledger updated</t>
        </is>
      </c>
      <c r="J8" s="329" t="inlineStr">
        <is>
          <t>Applied</t>
        </is>
      </c>
    </row>
    <row r="9">
      <c r="A9" s="666" t="n">
        <v>46223</v>
      </c>
      <c r="B9" s="329" t="inlineStr">
        <is>
          <t>Financial</t>
        </is>
      </c>
      <c r="C9" s="329" t="inlineStr">
        <is>
          <t>Event 72 / WO 5913115</t>
        </is>
      </c>
      <c r="D9" s="329" t="inlineStr">
        <is>
          <t>Miramar / Hebrew Home</t>
        </is>
      </c>
      <c r="E9" s="329" t="inlineStr">
        <is>
          <t>Compensation unresolved</t>
        </is>
      </c>
      <c r="F9" s="329" t="inlineStr">
        <is>
          <t>+$50.00 breakdown</t>
        </is>
      </c>
      <c r="G9" s="329" t="inlineStr">
        <is>
          <t>ACH pending; expected 2026-07-31</t>
        </is>
      </c>
      <c r="H9" s="329" t="inlineStr">
        <is>
          <t>Gmail payment breakdown</t>
        </is>
      </c>
      <c r="I9" s="329" t="inlineStr">
        <is>
          <t>Event + ledger updated</t>
        </is>
      </c>
      <c r="J9" s="329" t="inlineStr">
        <is>
          <t>Applied</t>
        </is>
      </c>
    </row>
    <row r="10">
      <c r="A10" s="666" t="n">
        <v>46223</v>
      </c>
      <c r="B10" s="329" t="inlineStr">
        <is>
          <t>Chronology + Financial</t>
        </is>
      </c>
      <c r="C10" s="329" t="inlineStr">
        <is>
          <t>Event 73 / WO 5906821</t>
        </is>
      </c>
      <c r="D10" s="329" t="inlineStr">
        <is>
          <t>Homesense — Owings Mills</t>
        </is>
      </c>
      <c r="E10" s="329" t="inlineStr">
        <is>
          <t>Not in master</t>
        </is>
      </c>
      <c r="F10" s="329" t="inlineStr">
        <is>
          <t>+1 completed Visit; +$180.00 revenue</t>
        </is>
      </c>
      <c r="G10" s="329" t="inlineStr">
        <is>
          <t>Completed; ACH expected 2026-08-03</t>
        </is>
      </c>
      <c r="H10" s="329" t="inlineStr">
        <is>
          <t>RFS + completion notes + Gmail breakdown</t>
        </is>
      </c>
      <c r="I10" s="329" t="inlineStr">
        <is>
          <t>New Event + ledger row</t>
        </is>
      </c>
      <c r="J10" s="329" t="inlineStr">
        <is>
          <t>Applied</t>
        </is>
      </c>
    </row>
    <row r="11">
      <c r="A11" s="666" t="n">
        <v>46223</v>
      </c>
      <c r="B11" s="329" t="inlineStr">
        <is>
          <t>Chronology</t>
        </is>
      </c>
      <c r="C11" s="329" t="inlineStr">
        <is>
          <t>Event 74 / WO 5919707</t>
        </is>
      </c>
      <c r="D11" s="329" t="inlineStr">
        <is>
          <t>Autumn Lake — Baltimore Washington</t>
        </is>
      </c>
      <c r="E11" s="329" t="inlineStr">
        <is>
          <t>Not in master</t>
        </is>
      </c>
      <c r="F11" s="329" t="inlineStr">
        <is>
          <t>+1 customer/site no-show Visit</t>
        </is>
      </c>
      <c r="G11" s="329" t="inlineStr">
        <is>
          <t>Completed chronology; breakdown pending</t>
        </is>
      </c>
      <c r="H11" s="329" t="inlineStr">
        <is>
          <t>RFS + documented contact attempts</t>
        </is>
      </c>
      <c r="I11" s="329" t="inlineStr">
        <is>
          <t>New Event + ledger row</t>
        </is>
      </c>
      <c r="J11" s="329" t="inlineStr">
        <is>
          <t>Applied</t>
        </is>
      </c>
    </row>
    <row r="12">
      <c r="A12" s="666" t="n">
        <v>46223</v>
      </c>
      <c r="B12" s="329" t="inlineStr">
        <is>
          <t>Chronology + Financial</t>
        </is>
      </c>
      <c r="C12" s="329" t="inlineStr">
        <is>
          <t>Event 75 / WO 5920784</t>
        </is>
      </c>
      <c r="D12" s="329" t="inlineStr">
        <is>
          <t>Autumn Lake — Glen Burnie</t>
        </is>
      </c>
      <c r="E12" s="329" t="inlineStr">
        <is>
          <t>Not in master</t>
        </is>
      </c>
      <c r="F12" s="329" t="inlineStr">
        <is>
          <t>+1 completed install; +$50.00 revenue</t>
        </is>
      </c>
      <c r="G12" s="329" t="inlineStr">
        <is>
          <t>Completed; ACH expected 2026-08-03</t>
        </is>
      </c>
      <c r="H12" s="329" t="inlineStr">
        <is>
          <t>RFS + signed form + Omnicare/Wade + Gmail breakdown</t>
        </is>
      </c>
      <c r="I12" s="329" t="inlineStr">
        <is>
          <t>New Event + ledger row</t>
        </is>
      </c>
      <c r="J12" s="329" t="inlineStr">
        <is>
          <t>Applied</t>
        </is>
      </c>
    </row>
    <row r="13">
      <c r="A13" s="666" t="n">
        <v>46223</v>
      </c>
      <c r="B13" s="329" t="inlineStr">
        <is>
          <t>Career Metrics</t>
        </is>
      </c>
      <c r="C13" s="329" t="inlineStr">
        <is>
          <t>Career / Momentum / SPEED</t>
        </is>
      </c>
      <c r="D13" s="329" t="inlineStr">
        <is>
          <t>All completed Visits</t>
        </is>
      </c>
      <c r="E13" s="329" t="inlineStr">
        <is>
          <t>72 Visits / $7,584.55</t>
        </is>
      </c>
      <c r="F13" s="329" t="inlineStr">
        <is>
          <t>+3 Visits / +$563.33 revenue deltas since base</t>
        </is>
      </c>
      <c r="G13" s="329" t="inlineStr">
        <is>
          <t>75 Visits / $8,147.88</t>
        </is>
      </c>
      <c r="H13" s="329" t="inlineStr">
        <is>
          <t>Authoritative Event and ledger updates</t>
        </is>
      </c>
      <c r="I13" s="329" t="inlineStr">
        <is>
          <t>Career Analytics + Career Eras updated</t>
        </is>
      </c>
      <c r="J13" s="329" t="inlineStr">
        <is>
          <t>Applied</t>
        </is>
      </c>
    </row>
    <row r="14">
      <c r="A14" s="666" t="n">
        <v>46223</v>
      </c>
      <c r="B14" s="329" t="inlineStr">
        <is>
          <t>Financial Snapshot</t>
        </is>
      </c>
      <c r="C14" s="329" t="inlineStr">
        <is>
          <t>All ledger records</t>
        </is>
      </c>
      <c r="D14" s="329" t="inlineStr">
        <is>
          <t>Current master</t>
        </is>
      </c>
      <c r="E14" s="329" t="inlineStr">
        <is>
          <t>Pre-delta closeout state</t>
        </is>
      </c>
      <c r="F14" s="329" t="inlineStr">
        <is>
          <t>Mapped/confirmed current deltas</t>
        </is>
      </c>
      <c r="G14" s="329" t="inlineStr">
        <is>
          <t>Breakdown pending: 6 explicit rows | ACH missing: 11 explicit rows</t>
        </is>
      </c>
      <c r="H14" s="329" t="inlineStr">
        <is>
          <t>Work Orders &amp; Ledger statuses</t>
        </is>
      </c>
      <c r="I14" s="329" t="inlineStr">
        <is>
          <t>Snapshot recorded</t>
        </is>
      </c>
      <c r="J14" s="329" t="inlineStr">
        <is>
          <t>Applied</t>
        </is>
      </c>
    </row>
    <row r="15">
      <c r="A15" s="666" t="n"/>
      <c r="B15" s="329" t="n"/>
      <c r="C15" s="329" t="n"/>
      <c r="D15" s="329" t="n"/>
      <c r="E15" s="329" t="n"/>
      <c r="F15" s="329" t="n"/>
      <c r="G15" s="329" t="n"/>
      <c r="H15" s="329" t="n"/>
      <c r="I15" s="329" t="n"/>
      <c r="J15" s="329" t="n"/>
    </row>
    <row r="16">
      <c r="A16" s="728" t="inlineStr">
        <is>
          <t>STANDING CONTROL RULES</t>
        </is>
      </c>
      <c r="B16" s="1" t="n"/>
      <c r="C16" s="1" t="n"/>
      <c r="D16" s="1" t="n"/>
      <c r="E16" s="1" t="n"/>
      <c r="F16" s="1" t="n"/>
      <c r="G16" s="1" t="n"/>
      <c r="H16" s="1" t="n"/>
      <c r="I16" s="1" t="n"/>
      <c r="J16" s="1" t="n"/>
    </row>
    <row r="17">
      <c r="A17" s="729" t="inlineStr">
        <is>
          <t>Rule</t>
        </is>
      </c>
      <c r="B17" s="544" t="inlineStr">
        <is>
          <t>Requirement</t>
        </is>
      </c>
      <c r="C17" s="544" t="inlineStr">
        <is>
          <t>Reason</t>
        </is>
      </c>
      <c r="D17" s="329" t="n"/>
      <c r="E17" s="329" t="n"/>
      <c r="F17" s="329" t="n"/>
      <c r="G17" s="329" t="n"/>
      <c r="H17" s="329" t="n"/>
      <c r="I17" s="329" t="n"/>
      <c r="J17" s="329" t="n"/>
    </row>
    <row r="18">
      <c r="A18" s="666" t="inlineStr">
        <is>
          <t>Authoritative source</t>
        </is>
      </c>
      <c r="B18" s="329" t="inlineStr">
        <is>
          <t>Open and verify the current master workbook before chronology, Event, Visit, revenue, ledger, or KPI claims.</t>
        </is>
      </c>
      <c r="C18" s="329" t="inlineStr">
        <is>
          <t>Prevents momentum-based reconstruction.</t>
        </is>
      </c>
      <c r="D18" s="329" t="n"/>
      <c r="E18" s="329" t="n"/>
      <c r="F18" s="329" t="n"/>
      <c r="G18" s="329" t="n"/>
      <c r="H18" s="329" t="n"/>
      <c r="I18" s="329" t="n"/>
      <c r="J18" s="329" t="n"/>
    </row>
    <row r="19">
      <c r="A19" s="666" t="inlineStr">
        <is>
          <t>Visit/Event identity</t>
        </is>
      </c>
      <c r="B19" s="329" t="inlineStr">
        <is>
          <t>One physical client/site visit equals one Event. Work orders/tickets may exceed Visits.</t>
        </is>
      </c>
      <c r="C19" s="329" t="inlineStr">
        <is>
          <t>Preserves chronology.</t>
        </is>
      </c>
      <c r="D19" s="329" t="n"/>
      <c r="E19" s="329" t="n"/>
      <c r="F19" s="329" t="n"/>
      <c r="G19" s="329" t="n"/>
      <c r="H19" s="329" t="n"/>
      <c r="I19" s="329" t="n"/>
      <c r="J19" s="329" t="n"/>
    </row>
    <row r="20">
      <c r="A20" s="666" t="inlineStr">
        <is>
          <t>Chronology vs finance</t>
        </is>
      </c>
      <c r="B20" s="329" t="inlineStr">
        <is>
          <t>A completed Visit can be chronologically complete while payment remains unresolved.</t>
        </is>
      </c>
      <c r="C20" s="329" t="inlineStr">
        <is>
          <t>Avoids conflating closure and payment.</t>
        </is>
      </c>
      <c r="D20" s="329" t="n"/>
      <c r="E20" s="329" t="n"/>
      <c r="F20" s="329" t="n"/>
      <c r="G20" s="329" t="n"/>
      <c r="H20" s="329" t="n"/>
      <c r="I20" s="329" t="n"/>
      <c r="J20" s="329" t="n"/>
    </row>
    <row r="21">
      <c r="A21" s="666" t="inlineStr">
        <is>
          <t>Revenue evidence</t>
        </is>
      </c>
      <c r="B21" s="329" t="inlineStr">
        <is>
          <t>Promised rate is not confirmed revenue; payment breakdown is earned-revenue evidence; ACH is deposit evidence.</t>
        </is>
      </c>
      <c r="C21" s="329" t="inlineStr">
        <is>
          <t>Maintains financial integrity.</t>
        </is>
      </c>
      <c r="D21" s="329" t="n"/>
      <c r="E21" s="329" t="n"/>
      <c r="F21" s="329" t="n"/>
      <c r="G21" s="329" t="n"/>
      <c r="H21" s="329" t="n"/>
      <c r="I21" s="329" t="n"/>
      <c r="J21" s="329" t="n"/>
    </row>
    <row r="22">
      <c r="A22" s="666" t="inlineStr">
        <is>
          <t>DELTA UPDATE</t>
        </is>
      </c>
      <c r="B22" s="329" t="inlineStr">
        <is>
          <t>Search Gmail only for new Barrister ACH notices, deposits, payment confirmations, deductions, and breakdowns; correlate and map to WOs/Events.</t>
        </is>
      </c>
      <c r="C22" s="329" t="inlineStr">
        <is>
          <t>Defines command behavior.</t>
        </is>
      </c>
      <c r="D22" s="329" t="n"/>
      <c r="E22" s="329" t="n"/>
      <c r="F22" s="329" t="n"/>
      <c r="G22" s="329" t="n"/>
      <c r="H22" s="329" t="n"/>
      <c r="I22" s="329" t="n"/>
      <c r="J22" s="329" t="n"/>
    </row>
    <row r="23">
      <c r="A23" s="666" t="inlineStr">
        <is>
          <t>Delta summary</t>
        </is>
      </c>
      <c r="B23" s="329" t="inlineStr">
        <is>
          <t>Show before → change → after and remaining outstanding counts. Omit deductions/unresolved mapping when zero or unchanged.</t>
        </is>
      </c>
      <c r="C23" s="329" t="inlineStr">
        <is>
          <t>User reporting preference.</t>
        </is>
      </c>
      <c r="D23" s="329" t="n"/>
      <c r="E23" s="329" t="n"/>
      <c r="F23" s="329" t="n"/>
      <c r="G23" s="329" t="n"/>
      <c r="H23" s="329" t="n"/>
      <c r="I23" s="329" t="n"/>
      <c r="J23" s="329" t="n"/>
    </row>
    <row r="24">
      <c r="A24" s="666" t="inlineStr">
        <is>
          <t>Client ordering</t>
        </is>
      </c>
      <c r="B24" s="329" t="inlineStr">
        <is>
          <t>Unique client list follows first appearance in verified chronology.</t>
        </is>
      </c>
      <c r="C24" s="329" t="inlineStr">
        <is>
          <t>Deterministic list.</t>
        </is>
      </c>
      <c r="D24" s="329" t="n"/>
      <c r="E24" s="329" t="n"/>
      <c r="F24" s="329" t="n"/>
      <c r="G24" s="329" t="n"/>
      <c r="H24" s="329" t="n"/>
      <c r="I24" s="329" t="n"/>
      <c r="J24" s="329" t="n"/>
    </row>
    <row r="25">
      <c r="A25" s="666" t="inlineStr">
        <is>
          <t>Era labels</t>
        </is>
      </c>
      <c r="B25" s="329" t="inlineStr">
        <is>
          <t>Use Visits, not Tickets, for Career, Momentum Era, and SPEED ERA metrics.</t>
        </is>
      </c>
      <c r="C25" s="329" t="inlineStr">
        <is>
          <t>Travel/site work emphasis.</t>
        </is>
      </c>
      <c r="D25" s="329" t="n"/>
      <c r="E25" s="329" t="n"/>
      <c r="F25" s="329" t="n"/>
      <c r="G25" s="329" t="n"/>
      <c r="H25" s="329" t="n"/>
      <c r="I25" s="329" t="n"/>
      <c r="J25" s="329" t="n"/>
    </row>
    <row r="26">
      <c r="A26" s="666" t="inlineStr">
        <is>
          <t>Pending projections</t>
        </is>
      </c>
      <c r="B26" s="329" t="inlineStr">
        <is>
          <t>Do not promote scheduled work into chronology until the physical Visit is completed.</t>
        </is>
      </c>
      <c r="C26" s="329" t="inlineStr">
        <is>
          <t>Prevents premature Event creation.</t>
        </is>
      </c>
      <c r="D26" s="329" t="n"/>
      <c r="E26" s="329" t="n"/>
      <c r="F26" s="329" t="n"/>
      <c r="G26" s="329" t="n"/>
      <c r="H26" s="329" t="n"/>
      <c r="I26" s="329" t="n"/>
      <c r="J26" s="329" t="n"/>
    </row>
    <row r="27">
      <c r="A27" s="666" t="n"/>
      <c r="B27" s="329" t="n"/>
      <c r="C27" s="329" t="n"/>
      <c r="D27" s="329" t="n"/>
      <c r="E27" s="329" t="n"/>
      <c r="F27" s="329" t="n"/>
      <c r="G27" s="329" t="n"/>
      <c r="H27" s="329" t="n"/>
      <c r="I27" s="329" t="n"/>
      <c r="J27" s="329" t="n"/>
    </row>
    <row r="28">
      <c r="A28" s="730" t="inlineStr">
        <is>
          <t>2026-07-24 CLOSEOUT DELTAS</t>
        </is>
      </c>
      <c r="B28" s="628" t="n"/>
      <c r="C28" s="628" t="n"/>
      <c r="D28" s="628" t="n"/>
      <c r="E28" s="628" t="n"/>
      <c r="F28" s="628" t="n"/>
      <c r="G28" s="628" t="n"/>
      <c r="H28" s="628" t="n"/>
      <c r="I28" s="628" t="n"/>
      <c r="J28" s="628" t="n"/>
    </row>
    <row r="29">
      <c r="A29" s="731" t="inlineStr">
        <is>
          <t>Date</t>
        </is>
      </c>
      <c r="B29" s="632" t="inlineStr">
        <is>
          <t>Category</t>
        </is>
      </c>
      <c r="C29" s="632" t="inlineStr">
        <is>
          <t>Event / WO</t>
        </is>
      </c>
      <c r="D29" s="632" t="inlineStr">
        <is>
          <t>Client / Site</t>
        </is>
      </c>
      <c r="E29" s="632" t="inlineStr">
        <is>
          <t>Before</t>
        </is>
      </c>
      <c r="F29" s="632" t="inlineStr">
        <is>
          <t>Delta</t>
        </is>
      </c>
      <c r="G29" s="632" t="inlineStr">
        <is>
          <t>After</t>
        </is>
      </c>
      <c r="H29" s="632" t="inlineStr">
        <is>
          <t>Evidence</t>
        </is>
      </c>
      <c r="I29" s="632" t="inlineStr">
        <is>
          <t>Workbook Action</t>
        </is>
      </c>
      <c r="J29" s="632" t="inlineStr">
        <is>
          <t>Status</t>
        </is>
      </c>
    </row>
    <row r="30">
      <c r="A30" s="668" t="n">
        <v>46224</v>
      </c>
      <c r="B30" s="329" t="inlineStr">
        <is>
          <t>Financial</t>
        </is>
      </c>
      <c r="C30" s="329" t="inlineStr">
        <is>
          <t>Event 74 / WO 5919707</t>
        </is>
      </c>
      <c r="D30" s="329" t="inlineStr">
        <is>
          <t>Autumn Lake — Baltimore Washington</t>
        </is>
      </c>
      <c r="E30" s="329" t="inlineStr">
        <is>
          <t>Breakdown pending</t>
        </is>
      </c>
      <c r="F30" s="329" t="inlineStr">
        <is>
          <t>+$50.00 breakdown</t>
        </is>
      </c>
      <c r="G30" s="329" t="inlineStr">
        <is>
          <t>Breakdown confirmed; ACH pending</t>
        </is>
      </c>
      <c r="H30" s="329" t="inlineStr">
        <is>
          <t>Gmail payment breakdown</t>
        </is>
      </c>
      <c r="I30" s="329" t="inlineStr">
        <is>
          <t>Event + ledger updated</t>
        </is>
      </c>
      <c r="J30" s="329" t="inlineStr">
        <is>
          <t>Applied</t>
        </is>
      </c>
    </row>
    <row r="31">
      <c r="A31" s="669" t="n">
        <v>46226</v>
      </c>
      <c r="B31" t="inlineStr">
        <is>
          <t>Financial</t>
        </is>
      </c>
      <c r="C31" t="inlineStr">
        <is>
          <t>Events 61–62 / WOs 5909344 + 5913868</t>
        </is>
      </c>
      <c r="D31" t="inlineStr">
        <is>
          <t>TJ Maxx — Germantown / Martinsburg</t>
        </is>
      </c>
      <c r="E31" t="inlineStr">
        <is>
          <t>ACH missing</t>
        </is>
      </c>
      <c r="F31" t="inlineStr">
        <is>
          <t>+$295.82 ACH</t>
        </is>
      </c>
      <c r="G31" t="inlineStr">
        <is>
          <t>ACH confirmed</t>
        </is>
      </c>
      <c r="H31" t="inlineStr">
        <is>
          <t>Gmail ACH processed notice</t>
        </is>
      </c>
      <c r="I31" t="inlineStr">
        <is>
          <t>Ledger updated</t>
        </is>
      </c>
      <c r="J31" t="inlineStr">
        <is>
          <t>Applied</t>
        </is>
      </c>
    </row>
    <row r="32">
      <c r="A32" s="669" t="n">
        <v>46224</v>
      </c>
      <c r="B32" t="inlineStr">
        <is>
          <t>Chronology</t>
        </is>
      </c>
      <c r="C32" t="inlineStr">
        <is>
          <t>Event 76</t>
        </is>
      </c>
      <c r="D32" t="inlineStr">
        <is>
          <t>Marshalls — Owings Mills</t>
        </is>
      </c>
      <c r="E32" t="inlineStr">
        <is>
          <t>Not in master</t>
        </is>
      </c>
      <c r="F32" t="inlineStr">
        <is>
          <t>+1 completed Visit</t>
        </is>
      </c>
      <c r="G32" t="inlineStr">
        <is>
          <t>Event 76 locked</t>
        </is>
      </c>
      <c r="H32" t="inlineStr">
        <is>
          <t>User-authoritative correction</t>
        </is>
      </c>
      <c r="I32" t="inlineStr">
        <is>
          <t>Event + ledger added</t>
        </is>
      </c>
      <c r="J32" t="inlineStr">
        <is>
          <t>Applied</t>
        </is>
      </c>
    </row>
    <row r="33">
      <c r="A33" s="669" t="n">
        <v>46225</v>
      </c>
      <c r="B33" t="inlineStr">
        <is>
          <t>Chronology</t>
        </is>
      </c>
      <c r="C33" t="inlineStr">
        <is>
          <t>Events 77–79</t>
        </is>
      </c>
      <c r="D33" t="inlineStr">
        <is>
          <t>Towson / Owings Mills / Fallston</t>
        </is>
      </c>
      <c r="E33" t="inlineStr">
        <is>
          <t>Not in master</t>
        </is>
      </c>
      <c r="F33" t="inlineStr">
        <is>
          <t>+3 completed Visits</t>
        </is>
      </c>
      <c r="G33" t="inlineStr">
        <is>
          <t>Events 77–79 locked</t>
        </is>
      </c>
      <c r="H33" t="inlineStr">
        <is>
          <t>User-authoritative correction + Gmail WO evidence</t>
        </is>
      </c>
      <c r="I33" t="inlineStr">
        <is>
          <t>Events + ledger added</t>
        </is>
      </c>
      <c r="J33" t="inlineStr">
        <is>
          <t>Applied</t>
        </is>
      </c>
    </row>
    <row r="34">
      <c r="A34" s="669" t="n">
        <v>46226</v>
      </c>
      <c r="B34" t="inlineStr">
        <is>
          <t>Chronology + Financial</t>
        </is>
      </c>
      <c r="C34" t="inlineStr">
        <is>
          <t>Events 80–82</t>
        </is>
      </c>
      <c r="D34" t="inlineStr">
        <is>
          <t>Westminster / Fairfax / Alexandria</t>
        </is>
      </c>
      <c r="E34" t="inlineStr">
        <is>
          <t>Not in master</t>
        </is>
      </c>
      <c r="F34" t="inlineStr">
        <is>
          <t>+3 Visits; +$398.33 revenue</t>
        </is>
      </c>
      <c r="G34" t="inlineStr">
        <is>
          <t>Events 80–82 locked</t>
        </is>
      </c>
      <c r="H34" t="inlineStr">
        <is>
          <t>User chronology + Gmail breakdowns</t>
        </is>
      </c>
      <c r="I34" t="inlineStr">
        <is>
          <t>Events + ledger added</t>
        </is>
      </c>
      <c r="J34" t="inlineStr">
        <is>
          <t>Applied</t>
        </is>
      </c>
    </row>
    <row r="35">
      <c r="A35" s="669" t="n">
        <v>46227</v>
      </c>
      <c r="B35" t="inlineStr">
        <is>
          <t>Chronology + Financial</t>
        </is>
      </c>
      <c r="C35" t="inlineStr">
        <is>
          <t>Event 83 / WO 5919318</t>
        </is>
      </c>
      <c r="D35" t="inlineStr">
        <is>
          <t>Carvana — Baltimore</t>
        </is>
      </c>
      <c r="E35" t="inlineStr">
        <is>
          <t>Not in master</t>
        </is>
      </c>
      <c r="F35" t="inlineStr">
        <is>
          <t>+1 Visit; +$65.00 revenue</t>
        </is>
      </c>
      <c r="G35" t="inlineStr">
        <is>
          <t>Event 83 locked</t>
        </is>
      </c>
      <c r="H35" t="inlineStr">
        <is>
          <t>User completion + Gmail breakdown</t>
        </is>
      </c>
      <c r="I35" t="inlineStr">
        <is>
          <t>Event + ledger added</t>
        </is>
      </c>
      <c r="J35" t="inlineStr">
        <is>
          <t>Applied</t>
        </is>
      </c>
    </row>
    <row r="36">
      <c r="A36" s="669" t="n">
        <v>46227</v>
      </c>
      <c r="B36" t="inlineStr">
        <is>
          <t>Chronology</t>
        </is>
      </c>
      <c r="C36" t="inlineStr">
        <is>
          <t>Event 84 / WO 5922604</t>
        </is>
      </c>
      <c r="D36" t="inlineStr">
        <is>
          <t>Giant Food — Wheaton</t>
        </is>
      </c>
      <c r="E36" t="inlineStr">
        <is>
          <t>Not in master</t>
        </is>
      </c>
      <c r="F36" t="inlineStr">
        <is>
          <t>+1 completed Visit</t>
        </is>
      </c>
      <c r="G36" t="inlineStr">
        <is>
          <t>Event 84 locked; breakdown pending</t>
        </is>
      </c>
      <c r="H36" t="inlineStr">
        <is>
          <t>User completion + Gmail correspondence</t>
        </is>
      </c>
      <c r="I36" t="inlineStr">
        <is>
          <t>Event + ledger added</t>
        </is>
      </c>
      <c r="J36" t="inlineStr">
        <is>
          <t>Applied</t>
        </is>
      </c>
    </row>
    <row r="37">
      <c r="A37" s="669" t="n">
        <v>46227</v>
      </c>
      <c r="B37" t="inlineStr">
        <is>
          <t>Career Metrics</t>
        </is>
      </c>
      <c r="C37" t="inlineStr">
        <is>
          <t>Career total</t>
        </is>
      </c>
      <c r="D37" t="inlineStr">
        <is>
          <t>75 Visits / $8,147.88</t>
        </is>
      </c>
      <c r="E37" t="inlineStr">
        <is>
          <t>+9 Visits / +$682.08</t>
        </is>
      </c>
      <c r="F37" t="inlineStr">
        <is>
          <t>84 Visits / $8,829.96</t>
        </is>
      </c>
      <c r="G37" t="inlineStr">
        <is>
          <t>Authoritative chronology + ledger</t>
        </is>
      </c>
      <c r="H37" t="inlineStr">
        <is>
          <t>Dashboard + closeout updated</t>
        </is>
      </c>
      <c r="I37" t="inlineStr">
        <is>
          <t>Applied</t>
        </is>
      </c>
    </row>
    <row r="38">
      <c r="A38" s="669" t="n">
        <v>46227</v>
      </c>
      <c r="B38" t="inlineStr">
        <is>
          <t>Weekly Metrics</t>
        </is>
      </c>
      <c r="C38" t="inlineStr">
        <is>
          <t>Workweek 14</t>
        </is>
      </c>
      <c r="D38" t="inlineStr">
        <is>
          <t>$230.00 (3/12)</t>
        </is>
      </c>
      <c r="E38" t="inlineStr">
        <is>
          <t>+$682.08 / +6 breakdowns</t>
        </is>
      </c>
      <c r="F38" t="inlineStr">
        <is>
          <t>$912.08 (9/12) | $70,788.30 annualized</t>
        </is>
      </c>
      <c r="G38" t="inlineStr">
        <is>
          <t>Ledger and Event chronology</t>
        </is>
      </c>
      <c r="H38" t="inlineStr">
        <is>
          <t>Closeout sheet added</t>
        </is>
      </c>
      <c r="I38" t="inlineStr">
        <is>
          <t>Applied</t>
        </is>
      </c>
    </row>
    <row r="39">
      <c r="A39" s="669" t="n">
        <v>46227</v>
      </c>
      <c r="B39" t="inlineStr">
        <is>
          <t>Governance</t>
        </is>
      </c>
      <c r="C39" t="inlineStr">
        <is>
          <t>Master cutoff</t>
        </is>
      </c>
      <c r="D39" t="inlineStr">
        <is>
          <t>Event 75</t>
        </is>
      </c>
      <c r="E39" t="inlineStr">
        <is>
          <t>Events 76–84 appended</t>
        </is>
      </c>
      <c r="F39" t="inlineStr">
        <is>
          <t>New master through Event 84</t>
        </is>
      </c>
      <c r="G39" t="inlineStr">
        <is>
          <t>User directive: start all new mapping after Event 75</t>
        </is>
      </c>
      <c r="H39" t="inlineStr">
        <is>
          <t>Master version advanced</t>
        </is>
      </c>
      <c r="I39" t="inlineStr">
        <is>
          <t>Applied</t>
        </is>
      </c>
    </row>
    <row r="40">
      <c r="A40" s="329" t="inlineStr">
        <is>
          <t>2026-07-26 VERIFIED MASTER RECONCILIATION</t>
        </is>
      </c>
      <c r="B40" s="329" t="n"/>
      <c r="C40" s="329" t="n"/>
      <c r="D40" s="329" t="n"/>
      <c r="E40" s="329" t="n"/>
      <c r="F40" s="329" t="n"/>
      <c r="G40" s="329" t="n"/>
      <c r="H40" s="329" t="n"/>
      <c r="I40" s="329" t="n"/>
      <c r="J40" s="329" t="n"/>
    </row>
    <row r="41">
      <c r="A41" s="329" t="inlineStr">
        <is>
          <t>Date</t>
        </is>
      </c>
      <c r="B41" s="329" t="inlineStr">
        <is>
          <t>Category</t>
        </is>
      </c>
      <c r="C41" s="329" t="inlineStr">
        <is>
          <t>Event / WO</t>
        </is>
      </c>
      <c r="D41" s="329" t="inlineStr">
        <is>
          <t>Client / Site</t>
        </is>
      </c>
      <c r="E41" s="329" t="inlineStr">
        <is>
          <t>Before</t>
        </is>
      </c>
      <c r="F41" s="329" t="inlineStr">
        <is>
          <t>Delta</t>
        </is>
      </c>
      <c r="G41" s="329" t="inlineStr">
        <is>
          <t>After</t>
        </is>
      </c>
      <c r="H41" s="329" t="inlineStr">
        <is>
          <t>Evidence</t>
        </is>
      </c>
      <c r="I41" s="329" t="inlineStr">
        <is>
          <t>Workbook Action</t>
        </is>
      </c>
      <c r="J41" s="329" t="inlineStr">
        <is>
          <t>Status</t>
        </is>
      </c>
    </row>
    <row r="42">
      <c r="A42" s="329" t="n">
        <v>46229</v>
      </c>
      <c r="B42" s="329" t="inlineStr">
        <is>
          <t>Financial</t>
        </is>
      </c>
      <c r="C42" s="329" t="inlineStr">
        <is>
          <t>Events 9, 14, 23, 25</t>
        </is>
      </c>
      <c r="D42" s="329" t="inlineStr">
        <is>
          <t>Former exclusions</t>
        </is>
      </c>
      <c r="E42" s="329" t="inlineStr">
        <is>
          <t>Excluded from finance</t>
        </is>
      </c>
      <c r="F42" s="329" t="inlineStr">
        <is>
          <t>+$260.00 user-confirmed compensation</t>
        </is>
      </c>
      <c r="G42" s="329" t="inlineStr">
        <is>
          <t>Included as financial records</t>
        </is>
      </c>
      <c r="H42" s="329" t="inlineStr">
        <is>
          <t>User-authoritative correction</t>
        </is>
      </c>
      <c r="I42" s="329" t="inlineStr">
        <is>
          <t>Event + ledger updated</t>
        </is>
      </c>
      <c r="J42" s="329" t="inlineStr">
        <is>
          <t>Applied</t>
        </is>
      </c>
    </row>
    <row r="43">
      <c r="A43" s="329" t="n">
        <v>46229</v>
      </c>
      <c r="B43" s="329" t="inlineStr">
        <is>
          <t>Financial</t>
        </is>
      </c>
      <c r="C43" s="329" t="inlineStr">
        <is>
          <t>Event 65 / WO 5917407</t>
        </is>
      </c>
      <c r="D43" s="329" t="inlineStr">
        <is>
          <t>HomeGoods — Gaithersburg</t>
        </is>
      </c>
      <c r="E43" s="329" t="inlineStr">
        <is>
          <t>Breakdown pending</t>
        </is>
      </c>
      <c r="F43" s="329" t="inlineStr">
        <is>
          <t>+$129.16 breakdown</t>
        </is>
      </c>
      <c r="G43" s="329" t="inlineStr">
        <is>
          <t>Breakdown confirmed</t>
        </is>
      </c>
      <c r="H43" s="329" t="inlineStr">
        <is>
          <t>User-verified breakdown</t>
        </is>
      </c>
      <c r="I43" s="329" t="inlineStr">
        <is>
          <t>Event + ledger updated</t>
        </is>
      </c>
      <c r="J43" s="329" t="inlineStr">
        <is>
          <t>Applied</t>
        </is>
      </c>
    </row>
    <row r="44">
      <c r="A44" s="329" t="n">
        <v>46229</v>
      </c>
      <c r="B44" s="329" t="inlineStr">
        <is>
          <t>Financial</t>
        </is>
      </c>
      <c r="C44" s="329" t="inlineStr">
        <is>
          <t>Event 71 / WO 5918348</t>
        </is>
      </c>
      <c r="D44" s="329" t="inlineStr">
        <is>
          <t>WeWork — Washington, DC</t>
        </is>
      </c>
      <c r="E44" s="329" t="inlineStr">
        <is>
          <t>Breakdown pending</t>
        </is>
      </c>
      <c r="F44" s="329" t="inlineStr">
        <is>
          <t>+$90.00 (2 × $45)</t>
        </is>
      </c>
      <c r="G44" s="329" t="inlineStr">
        <is>
          <t>Breakdown confirmed</t>
        </is>
      </c>
      <c r="H44" s="329" t="inlineStr">
        <is>
          <t>User-authoritative correction</t>
        </is>
      </c>
      <c r="I44" s="329" t="inlineStr">
        <is>
          <t>Event + ledger updated</t>
        </is>
      </c>
      <c r="J44" s="329" t="inlineStr">
        <is>
          <t>Applied</t>
        </is>
      </c>
    </row>
    <row r="45">
      <c r="A45" s="329" t="n">
        <v>46229</v>
      </c>
      <c r="B45" s="329" t="inlineStr">
        <is>
          <t>Financial</t>
        </is>
      </c>
      <c r="C45" s="329" t="inlineStr">
        <is>
          <t>Event 76 / WO 5906834</t>
        </is>
      </c>
      <c r="D45" s="329" t="inlineStr">
        <is>
          <t>Marshalls — Owings Mills</t>
        </is>
      </c>
      <c r="E45" s="329" t="inlineStr">
        <is>
          <t>WO/payment unresolved</t>
        </is>
      </c>
      <c r="F45" s="329" t="inlineStr">
        <is>
          <t>+$120.00 breakdown</t>
        </is>
      </c>
      <c r="G45" s="329" t="inlineStr">
        <is>
          <t>Breakdown confirmed</t>
        </is>
      </c>
      <c r="H45" s="329" t="inlineStr">
        <is>
          <t>User-verified breakdown</t>
        </is>
      </c>
      <c r="I45" s="329" t="inlineStr">
        <is>
          <t>Event + ledger updated</t>
        </is>
      </c>
      <c r="J45" s="329" t="inlineStr">
        <is>
          <t>Applied</t>
        </is>
      </c>
    </row>
    <row r="46">
      <c r="A46" s="329" t="n">
        <v>46229</v>
      </c>
      <c r="B46" s="329" t="inlineStr">
        <is>
          <t>Financial</t>
        </is>
      </c>
      <c r="C46" s="329" t="inlineStr">
        <is>
          <t>Event 78 / WO 5900769</t>
        </is>
      </c>
      <c r="D46" s="329" t="inlineStr">
        <is>
          <t>Dunkin — Owings Mills</t>
        </is>
      </c>
      <c r="E46" s="329" t="inlineStr">
        <is>
          <t>WO/payment unresolved</t>
        </is>
      </c>
      <c r="F46" s="329" t="inlineStr">
        <is>
          <t>+$160.29 breakdown</t>
        </is>
      </c>
      <c r="G46" s="329" t="inlineStr">
        <is>
          <t>Breakdown confirmed</t>
        </is>
      </c>
      <c r="H46" s="329" t="inlineStr">
        <is>
          <t>User-verified breakdown</t>
        </is>
      </c>
      <c r="I46" s="329" t="inlineStr">
        <is>
          <t>Event + ledger updated</t>
        </is>
      </c>
      <c r="J46" s="329" t="inlineStr">
        <is>
          <t>Applied</t>
        </is>
      </c>
    </row>
    <row r="47">
      <c r="A47" s="329" t="n">
        <v>46229</v>
      </c>
      <c r="B47" s="329" t="inlineStr">
        <is>
          <t>Financial Snapshot</t>
        </is>
      </c>
      <c r="C47" s="329" t="inlineStr">
        <is>
          <t>Career through Event 84</t>
        </is>
      </c>
      <c r="D47" s="329" t="inlineStr">
        <is>
          <t>70 confirmed / 10 pending</t>
        </is>
      </c>
      <c r="E47" s="329" t="inlineStr">
        <is>
          <t>Net +9 confirmed / -5 pending</t>
        </is>
      </c>
      <c r="F47" s="329" t="inlineStr">
        <is>
          <t>79 confirmed / 5 pending</t>
        </is>
      </c>
      <c r="G47" s="329" t="inlineStr">
        <is>
          <t>Reconciled event ledger</t>
        </is>
      </c>
      <c r="H47" s="329" t="inlineStr">
        <is>
          <t>Dashboard + closeout + analytics updated</t>
        </is>
      </c>
      <c r="I47" s="329" t="inlineStr">
        <is>
          <t>Applied</t>
        </is>
      </c>
      <c r="J47" s="329" t="n"/>
    </row>
    <row r="48">
      <c r="A48" s="329" t="n">
        <v>46229</v>
      </c>
      <c r="B48" s="329" t="inlineStr">
        <is>
          <t>Weekly Metrics</t>
        </is>
      </c>
      <c r="C48" s="329" t="inlineStr">
        <is>
          <t>Weeks 1–14</t>
        </is>
      </c>
      <c r="D48" s="329" t="inlineStr">
        <is>
          <t>Stale mixed totals</t>
        </is>
      </c>
      <c r="E48" s="329" t="inlineStr">
        <is>
          <t>Recomputed accepted weekly totals</t>
        </is>
      </c>
      <c r="F48" s="329" t="inlineStr">
        <is>
          <t>$9,474.41 total revenue</t>
        </is>
      </c>
      <c r="G48" s="329" t="inlineStr">
        <is>
          <t>User-approved weekly list</t>
        </is>
      </c>
      <c r="H48" s="329" t="inlineStr">
        <is>
          <t>Career Analytics updated</t>
        </is>
      </c>
      <c r="I48" s="329" t="inlineStr">
        <is>
          <t>Applied</t>
        </is>
      </c>
      <c r="J48" s="329" t="n"/>
    </row>
    <row r="49">
      <c r="A49" s="329" t="n">
        <v>46229</v>
      </c>
      <c r="B49" s="329" t="inlineStr">
        <is>
          <t>Governance</t>
        </is>
      </c>
      <c r="C49" s="329" t="inlineStr">
        <is>
          <t>Master status</t>
        </is>
      </c>
      <c r="D49" s="329" t="inlineStr">
        <is>
          <t>Prior master contained errors</t>
        </is>
      </c>
      <c r="E49" s="329" t="inlineStr">
        <is>
          <t>Reconciled chronology and finance</t>
        </is>
      </c>
      <c r="F49" s="329" t="inlineStr">
        <is>
          <t>Verified through Event 84</t>
        </is>
      </c>
      <c r="G49" s="329" t="inlineStr">
        <is>
          <t>User directive</t>
        </is>
      </c>
      <c r="H49" s="329" t="inlineStr">
        <is>
          <t>New master version created</t>
        </is>
      </c>
      <c r="I49" s="329" t="inlineStr">
        <is>
          <t>Applied</t>
        </is>
      </c>
      <c r="J49" s="329" t="n"/>
    </row>
    <row r="50">
      <c r="A50" s="329" t="n"/>
      <c r="B50" s="329" t="n"/>
      <c r="C50" s="329" t="n"/>
      <c r="D50" s="329" t="n"/>
      <c r="E50" s="329" t="n"/>
      <c r="F50" s="329" t="n"/>
      <c r="G50" s="329" t="n"/>
      <c r="H50" s="329" t="n"/>
      <c r="I50" s="329" t="n"/>
      <c r="J50" s="329" t="n"/>
    </row>
  </sheetData>
  <mergeCells count="3">
    <mergeCell ref="A1:J1"/>
    <mergeCell ref="A2:J2"/>
    <mergeCell ref="A16:J16"/>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2" customWidth="1" style="192" min="1" max="1"/>
    <col width="14" customWidth="1" style="192" min="2" max="2"/>
    <col width="32" customWidth="1" style="192" min="3" max="3"/>
    <col width="20" customWidth="1" style="192" min="4" max="4"/>
    <col width="18" customWidth="1" style="192" min="5" max="5"/>
    <col width="14" customWidth="1" style="192" min="6" max="6"/>
    <col width="14" customWidth="1" style="192" min="7" max="7"/>
    <col width="18" customWidth="1" style="192" min="8" max="8"/>
  </cols>
  <sheetData>
    <row r="1">
      <c r="A1" s="732" t="inlineStr">
        <is>
          <t>MONTH 4 MASTER CLOSEOUT | VERIFIED THROUGH EVENT 84</t>
        </is>
      </c>
      <c r="B1" s="1" t="n"/>
      <c r="C1" s="1" t="n"/>
      <c r="D1" s="1" t="n"/>
      <c r="E1" s="1" t="n"/>
      <c r="F1" s="1" t="n"/>
      <c r="G1" s="1" t="n"/>
      <c r="H1" s="1" t="n"/>
    </row>
    <row r="2">
      <c r="A2" s="733" t="inlineStr">
        <is>
          <t>Locked chronology: Events 1–84. Financial record: 79 confirmed, 5 payment breakdowns pending.</t>
        </is>
      </c>
      <c r="B2" s="1" t="n"/>
      <c r="C2" s="1" t="n"/>
      <c r="D2" s="1" t="n"/>
      <c r="E2" s="1" t="n"/>
      <c r="F2" s="1" t="n"/>
      <c r="G2" s="1" t="n"/>
      <c r="H2" s="1" t="n"/>
    </row>
    <row r="3">
      <c r="A3" s="329" t="n"/>
      <c r="B3" s="329" t="n"/>
      <c r="C3" s="329" t="n"/>
      <c r="D3" s="329" t="n"/>
      <c r="E3" s="329" t="n"/>
      <c r="F3" s="329" t="n"/>
      <c r="G3" s="329" t="n"/>
      <c r="H3" s="329" t="n"/>
    </row>
    <row r="4">
      <c r="A4" s="622" t="inlineStr">
        <is>
          <t>Metric</t>
        </is>
      </c>
      <c r="B4" s="622" t="inlineStr">
        <is>
          <t>Prior Master</t>
        </is>
      </c>
      <c r="C4" s="622" t="inlineStr">
        <is>
          <t>Delta</t>
        </is>
      </c>
      <c r="D4" s="622" t="inlineStr">
        <is>
          <t>New Master</t>
        </is>
      </c>
      <c r="E4" s="622" t="inlineStr">
        <is>
          <t>Evidence Basis</t>
        </is>
      </c>
      <c r="F4" s="622" t="n"/>
      <c r="G4" s="622" t="n"/>
      <c r="H4" s="622" t="n"/>
    </row>
    <row r="5">
      <c r="A5" s="329" t="inlineStr">
        <is>
          <t>Completed Events</t>
        </is>
      </c>
      <c r="B5" s="734" t="n">
        <v>75</v>
      </c>
      <c r="C5" s="734" t="n">
        <v>9</v>
      </c>
      <c r="D5" s="734" t="n">
        <v>84</v>
      </c>
      <c r="E5" s="329" t="inlineStr">
        <is>
          <t>Authoritative chronology</t>
        </is>
      </c>
      <c r="F5" s="329" t="n"/>
      <c r="G5" s="329" t="n"/>
      <c r="H5" s="329" t="n"/>
    </row>
    <row r="6">
      <c r="A6" s="329" t="inlineStr">
        <is>
          <t>Confirmed Revenue</t>
        </is>
      </c>
      <c r="B6" s="667" t="n">
        <v>8147.88</v>
      </c>
      <c r="C6" s="667" t="n">
        <v>1326.53</v>
      </c>
      <c r="D6" s="667" t="n">
        <v>9474.41</v>
      </c>
      <c r="E6" s="329" t="inlineStr">
        <is>
          <t>Payment breakdown and user-authoritative financial evidence</t>
        </is>
      </c>
      <c r="F6" s="329" t="n"/>
      <c r="G6" s="329" t="n"/>
      <c r="H6" s="329" t="n"/>
    </row>
    <row r="7">
      <c r="A7" s="329" t="inlineStr">
        <is>
          <t>Breakdown Confirmed</t>
        </is>
      </c>
      <c r="B7" s="734" t="n">
        <v>70</v>
      </c>
      <c r="C7" s="734" t="n">
        <v>9</v>
      </c>
      <c r="D7" s="734" t="n">
        <v>79</v>
      </c>
      <c r="E7" s="329" t="inlineStr">
        <is>
          <t>Ledger status count</t>
        </is>
      </c>
      <c r="F7" s="329" t="n"/>
      <c r="G7" s="329" t="n"/>
      <c r="H7" s="329" t="n"/>
    </row>
    <row r="8">
      <c r="A8" s="329" t="inlineStr">
        <is>
          <t>Breakdown Pending</t>
        </is>
      </c>
      <c r="B8" s="734" t="n">
        <v>10</v>
      </c>
      <c r="C8" s="734" t="n">
        <v>-5</v>
      </c>
      <c r="D8" s="734" t="n">
        <v>5</v>
      </c>
      <c r="E8" s="329" t="inlineStr">
        <is>
          <t>Ledger status count</t>
        </is>
      </c>
      <c r="F8" s="329" t="n"/>
      <c r="G8" s="329" t="n"/>
      <c r="H8" s="329" t="n"/>
    </row>
    <row r="9">
      <c r="A9" s="329" t="n"/>
      <c r="B9" s="329" t="n"/>
      <c r="C9" s="329" t="n"/>
      <c r="D9" s="329" t="n"/>
      <c r="E9" s="329" t="n"/>
      <c r="F9" s="329" t="n"/>
      <c r="G9" s="329" t="n"/>
      <c r="H9" s="329" t="n"/>
    </row>
    <row r="10">
      <c r="A10" s="622" t="inlineStr">
        <is>
          <t>Event</t>
        </is>
      </c>
      <c r="B10" s="622" t="inlineStr">
        <is>
          <t>Date</t>
        </is>
      </c>
      <c r="C10" s="622" t="inlineStr">
        <is>
          <t>Client / Site</t>
        </is>
      </c>
      <c r="D10" s="622" t="inlineStr">
        <is>
          <t>City / State</t>
        </is>
      </c>
      <c r="E10" s="622" t="inlineStr">
        <is>
          <t>Work Order</t>
        </is>
      </c>
      <c r="F10" s="622" t="inlineStr">
        <is>
          <t>Breakdown</t>
        </is>
      </c>
      <c r="G10" s="622" t="inlineStr">
        <is>
          <t>Revenue</t>
        </is>
      </c>
      <c r="H10" s="622" t="inlineStr">
        <is>
          <t>Mapping Status</t>
        </is>
      </c>
    </row>
    <row r="11">
      <c r="A11" s="329" t="n">
        <v>76</v>
      </c>
      <c r="B11" s="668" t="n">
        <v>46224</v>
      </c>
      <c r="C11" s="329" t="inlineStr">
        <is>
          <t>Marshalls — Owings Mills</t>
        </is>
      </c>
      <c r="D11" s="329" t="inlineStr">
        <is>
          <t>Owings Mills, MD</t>
        </is>
      </c>
      <c r="E11" s="329" t="inlineStr">
        <is>
          <t>5906834</t>
        </is>
      </c>
      <c r="F11" s="329" t="inlineStr">
        <is>
          <t>Confirmed</t>
        </is>
      </c>
      <c r="G11" s="667" t="n">
        <v>120</v>
      </c>
      <c r="H11" s="329" t="inlineStr">
        <is>
          <t>Verified</t>
        </is>
      </c>
    </row>
    <row r="12">
      <c r="A12" s="329" t="n">
        <v>77</v>
      </c>
      <c r="B12" s="668" t="n">
        <v>46225</v>
      </c>
      <c r="C12" s="329" t="inlineStr">
        <is>
          <t>Marshalls — Towson</t>
        </is>
      </c>
      <c r="D12" s="329" t="inlineStr">
        <is>
          <t>Towson, MD</t>
        </is>
      </c>
      <c r="E12" s="329" t="inlineStr">
        <is>
          <t>UNRESOLVED-E077</t>
        </is>
      </c>
      <c r="F12" s="329" t="inlineStr">
        <is>
          <t>Pending</t>
        </is>
      </c>
      <c r="G12" s="667" t="n"/>
      <c r="H12" s="329" t="inlineStr">
        <is>
          <t>WO unresolved</t>
        </is>
      </c>
    </row>
    <row r="13">
      <c r="A13" s="329" t="n">
        <v>78</v>
      </c>
      <c r="B13" s="668" t="n">
        <v>46225</v>
      </c>
      <c r="C13" s="329" t="inlineStr">
        <is>
          <t>Dunkin — Owings Mills</t>
        </is>
      </c>
      <c r="D13" s="329" t="inlineStr">
        <is>
          <t>Owings Mills, MD</t>
        </is>
      </c>
      <c r="E13" s="329" t="inlineStr">
        <is>
          <t>5900769</t>
        </is>
      </c>
      <c r="F13" s="329" t="inlineStr">
        <is>
          <t>Confirmed</t>
        </is>
      </c>
      <c r="G13" s="667" t="n">
        <v>160.29</v>
      </c>
      <c r="H13" s="329" t="inlineStr">
        <is>
          <t>Verified</t>
        </is>
      </c>
    </row>
    <row r="14">
      <c r="A14" s="329" t="n">
        <v>79</v>
      </c>
      <c r="B14" s="668" t="n">
        <v>46225</v>
      </c>
      <c r="C14" s="329" t="inlineStr">
        <is>
          <t>7-Eleven — Fallston</t>
        </is>
      </c>
      <c r="D14" s="329" t="inlineStr">
        <is>
          <t>Fallston, MD</t>
        </is>
      </c>
      <c r="E14" s="329" t="inlineStr">
        <is>
          <t>5921549</t>
        </is>
      </c>
      <c r="F14" s="329" t="inlineStr">
        <is>
          <t>Confirmed</t>
        </is>
      </c>
      <c r="G14" s="667" t="n">
        <v>168.75</v>
      </c>
      <c r="H14" s="329" t="inlineStr">
        <is>
          <t>Verified</t>
        </is>
      </c>
    </row>
    <row r="15">
      <c r="A15" s="329" t="n">
        <v>80</v>
      </c>
      <c r="B15" s="668" t="n">
        <v>46226</v>
      </c>
      <c r="C15" s="329" t="inlineStr">
        <is>
          <t>Marshalls — Westminster</t>
        </is>
      </c>
      <c r="D15" s="329" t="inlineStr">
        <is>
          <t>Westminster, MD</t>
        </is>
      </c>
      <c r="E15" s="329" t="inlineStr">
        <is>
          <t>5906863</t>
        </is>
      </c>
      <c r="F15" s="329" t="inlineStr">
        <is>
          <t>Confirmed</t>
        </is>
      </c>
      <c r="G15" s="667" t="n">
        <v>163.33</v>
      </c>
      <c r="H15" s="329" t="inlineStr">
        <is>
          <t>Verified</t>
        </is>
      </c>
    </row>
    <row r="16">
      <c r="A16" s="329" t="n">
        <v>81</v>
      </c>
      <c r="B16" s="668" t="n">
        <v>46226</v>
      </c>
      <c r="C16" s="329" t="inlineStr">
        <is>
          <t>HomeGoods — Fairfax</t>
        </is>
      </c>
      <c r="D16" s="329" t="inlineStr">
        <is>
          <t>Fairfax, VA</t>
        </is>
      </c>
      <c r="E16" s="329" t="inlineStr">
        <is>
          <t>5922660</t>
        </is>
      </c>
      <c r="F16" s="329" t="inlineStr">
        <is>
          <t>Confirmed</t>
        </is>
      </c>
      <c r="G16" s="667" t="n">
        <v>125</v>
      </c>
      <c r="H16" s="329" t="inlineStr">
        <is>
          <t>Verified</t>
        </is>
      </c>
    </row>
    <row r="17">
      <c r="A17" s="329" t="n">
        <v>82</v>
      </c>
      <c r="B17" s="668" t="n">
        <v>46226</v>
      </c>
      <c r="C17" s="329" t="inlineStr">
        <is>
          <t>TJ Maxx — Alexandria</t>
        </is>
      </c>
      <c r="D17" s="329" t="inlineStr">
        <is>
          <t>Alexandria, VA</t>
        </is>
      </c>
      <c r="E17" s="329" t="inlineStr">
        <is>
          <t>5922683</t>
        </is>
      </c>
      <c r="F17" s="329" t="inlineStr">
        <is>
          <t>Confirmed</t>
        </is>
      </c>
      <c r="G17" s="667" t="n">
        <v>110</v>
      </c>
      <c r="H17" s="329" t="inlineStr">
        <is>
          <t>Verified</t>
        </is>
      </c>
    </row>
    <row r="18">
      <c r="A18" s="329" t="n">
        <v>83</v>
      </c>
      <c r="B18" s="668" t="n">
        <v>46227</v>
      </c>
      <c r="C18" s="329" t="inlineStr">
        <is>
          <t>Carvana — Baltimore</t>
        </is>
      </c>
      <c r="D18" s="329" t="inlineStr">
        <is>
          <t>Baltimore, MD</t>
        </is>
      </c>
      <c r="E18" s="329" t="inlineStr">
        <is>
          <t>5919318</t>
        </is>
      </c>
      <c r="F18" s="329" t="inlineStr">
        <is>
          <t>Confirmed</t>
        </is>
      </c>
      <c r="G18" s="667" t="n">
        <v>65</v>
      </c>
      <c r="H18" s="329" t="inlineStr">
        <is>
          <t>Verified</t>
        </is>
      </c>
    </row>
    <row r="19">
      <c r="A19" s="329" t="n">
        <v>84</v>
      </c>
      <c r="B19" s="668" t="n">
        <v>46227</v>
      </c>
      <c r="C19" s="329" t="inlineStr">
        <is>
          <t>Giant Food — Wheaton</t>
        </is>
      </c>
      <c r="D19" s="329" t="inlineStr">
        <is>
          <t>Wheaton, MD</t>
        </is>
      </c>
      <c r="E19" s="329" t="inlineStr">
        <is>
          <t>5922604</t>
        </is>
      </c>
      <c r="F19" s="329" t="inlineStr">
        <is>
          <t>Pending</t>
        </is>
      </c>
      <c r="G19" s="667" t="n"/>
      <c r="H19" s="329" t="inlineStr">
        <is>
          <t>Verified chronology; breakdown pending</t>
        </is>
      </c>
    </row>
    <row r="20">
      <c r="A20" s="329" t="n"/>
      <c r="B20" s="329" t="n"/>
      <c r="C20" s="329" t="n"/>
      <c r="D20" s="329" t="n"/>
      <c r="E20" s="329" t="n"/>
      <c r="F20" s="329" t="n"/>
      <c r="G20" s="329" t="n"/>
      <c r="H20" s="329" t="n"/>
    </row>
    <row r="21">
      <c r="A21" s="622" t="inlineStr">
        <is>
          <t>Week</t>
        </is>
      </c>
      <c r="B21" s="622" t="inlineStr">
        <is>
          <t>Date Range</t>
        </is>
      </c>
      <c r="C21" s="622" t="inlineStr">
        <is>
          <t>Revenue (Breakdowns / Events)</t>
        </is>
      </c>
      <c r="D21" s="622" t="inlineStr">
        <is>
          <t>Annualized (Revenue ÷ 0.67 × 52)</t>
        </is>
      </c>
      <c r="E21" s="329" t="n"/>
      <c r="F21" s="329" t="n"/>
      <c r="G21" s="329" t="n"/>
      <c r="H21" s="329" t="n"/>
    </row>
    <row r="22">
      <c r="A22" s="329" t="n">
        <v>14</v>
      </c>
      <c r="B22" s="329" t="inlineStr">
        <is>
          <t>Jul 20–24, 2026</t>
        </is>
      </c>
      <c r="C22" s="329" t="inlineStr">
        <is>
          <t>$1,072.37 (10/12)</t>
        </is>
      </c>
      <c r="D22" s="667" t="n">
        <v>83228.72</v>
      </c>
      <c r="E22" s="329" t="n"/>
      <c r="F22" s="329" t="n"/>
      <c r="G22" s="329" t="n"/>
      <c r="H22" s="329" t="n"/>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2026-07-29T21:15:05Z</dcterms:created>
  <dcterms:modified xmlns:dcterms="http://purl.org/dc/terms/" xmlns:xsi="http://www.w3.org/2001/XMLSchema-instance" xsi:type="dcterms:W3CDTF">2026-07-29T21:15:06Z</dcterms:modified>
</cp:coreProperties>
</file>
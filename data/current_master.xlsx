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drawings/charts/chart5.xml" ContentType="application/vnd.openxmlformats-officedocument.drawingml.chart+xml"/>
  <Override PartName="/xl/drawings/charts/chart6.xml" ContentType="application/vnd.openxmlformats-officedocument.drawingml.chart+xml"/>
  <Override PartName="/xl/drawings/charts/chart7.xml" ContentType="application/vnd.openxmlformats-officedocument.drawingml.chart+xml"/>
  <Override PartName="/xl/drawings/charts/chart8.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2.xml" ContentType="application/vnd.openxmlformats-officedocument.drawing+xml"/>
  <Override PartName="/xl/drawings/charts/chart9.xml" ContentType="application/vnd.openxmlformats-officedocument.drawingml.chart+xml"/>
  <Override PartName="/xl/drawings/charts/chart10.xml" ContentType="application/vnd.openxmlformats-officedocument.drawingml.chart+xml"/>
  <Override PartName="/xl/drawings/charts/chart11.xml" ContentType="application/vnd.openxmlformats-officedocument.drawingml.chart+xml"/>
  <Override PartName="/xl/drawings/charts/chart1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5.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20.xml" ContentType="application/vnd.openxmlformats-officedocument.spreadsheetml.table+xml"/>
  <Override PartName="/xl/worksheets/sheet8.xml" ContentType="application/vnd.openxmlformats-officedocument.spreadsheetml.worksheet+xml"/>
  <Override PartName="/xl/drawings/drawing3.xml" ContentType="application/vnd.openxmlformats-officedocument.drawing+xml"/>
  <Override PartName="/xl/drawings/charts/chart13.xml" ContentType="application/vnd.openxmlformats-officedocument.drawingml.chart+xml"/>
  <Override PartName="/xl/drawings/charts/chart14.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5ca5f587663447f7" /></Relationships>
</file>

<file path=xl/workbook.xml><?xml version="1.0" encoding="utf-8"?>
<x:workbook xmlns:x="http://schemas.openxmlformats.org/spreadsheetml/2006/main">
  <x:sheets>
    <x:sheet xmlns:r="http://schemas.openxmlformats.org/officeDocument/2006/relationships" name="Dashboard" sheetId="1" r:id="Rc2e76acd019141d7"/>
    <x:sheet xmlns:r="http://schemas.openxmlformats.org/officeDocument/2006/relationships" name="Service Events" sheetId="2" r:id="R687545b0030c476e"/>
    <x:sheet xmlns:r="http://schemas.openxmlformats.org/officeDocument/2006/relationships" name="Work Orders &amp; Ledger" sheetId="3" r:id="R17833ff229e94488"/>
    <x:sheet xmlns:r="http://schemas.openxmlformats.org/officeDocument/2006/relationships" name="Analytics" sheetId="4" r:id="R43f24af5ac364175"/>
    <x:sheet xmlns:r="http://schemas.openxmlformats.org/officeDocument/2006/relationships" name="Exceptions &amp; Audit" sheetId="5" r:id="Red346a5cbedc41bb"/>
    <x:sheet xmlns:r="http://schemas.openxmlformats.org/officeDocument/2006/relationships" name="Governance" sheetId="6" r:id="R60560c54a3cc4113"/>
    <x:sheet xmlns:r="http://schemas.openxmlformats.org/officeDocument/2006/relationships" name="Self-Healing Rules" sheetId="7" r:id="R3a0f8f4857354c6c"/>
    <x:sheet xmlns:r="http://schemas.openxmlformats.org/officeDocument/2006/relationships" name="Career Analytics" sheetId="8" r:id="Rf85a6826af0d4ed5"/>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
    <x:numFmt numFmtId="201" formatCode="0.0%"/>
    <x:numFmt numFmtId="202" formatCode="yyyy-mm-dd"/>
    <x:numFmt numFmtId="203" formatCode="0.00"/>
    <x:numFmt numFmtId="204" formatCode="0"/>
  </x:numFmts>
  <x:fonts count="37">
    <x:font>
      <x:sz val="11"/>
      <x:name val="Carlito"/>
    </x:font>
    <x:font>
      <x:b/>
      <x:sz val="20"/>
      <x:color rgb="FFFFFFFF"/>
      <x:name val="Carlito"/>
    </x:font>
    <x:font>
      <x:b/>
      <x:sz val="11"/>
      <x:color rgb="FFFFFFFF"/>
      <x:name val="Carlito"/>
    </x:font>
    <x:font>
      <x:b/>
      <x:sz val="11"/>
      <x:color rgb="FF1F2937"/>
      <x:name val="Carlito"/>
    </x:font>
    <x:font>
      <x:b/>
      <x:sz val="18"/>
      <x:color rgb="FFFFFFFF"/>
      <x:name val="Carlito"/>
    </x:font>
    <x:font>
      <x:b/>
      <x:sz val="10"/>
      <x:color rgb="FFFFFFFF"/>
      <x:name val="Aptos"/>
    </x:font>
    <x:font>
      <x:sz val="10"/>
      <x:name val="Aptos"/>
    </x:font>
    <x:font>
      <x:b/>
      <x:sz val="18"/>
      <x:color rgb="FFFFFFFF"/>
      <x:name val="Aptos"/>
    </x:font>
    <x:font>
      <x:b/>
      <x:sz val="11"/>
      <x:name val="Carlito"/>
    </x:font>
    <x:font>
      <x:b/>
      <x:sz val="19"/>
      <x:color rgb="FFFFFFFF"/>
      <x:name val="Aptos"/>
    </x:font>
    <x:font>
      <x:b/>
      <x:sz val="19"/>
      <x:color rgb="FFFFFFFF"/>
      <x:name val="Carlito"/>
    </x:font>
    <x:font>
      <x:b/>
      <x:sz val="22"/>
      <x:color rgb="FFFFFFFF"/>
      <x:name val="Aptos"/>
    </x:font>
    <x:font>
      <x:b/>
      <x:sz val="22"/>
      <x:color rgb="FFFFFFFF"/>
      <x:name val="Carlito"/>
    </x:font>
    <x:font>
      <x:i/>
      <x:sz val="10"/>
      <x:color rgb="FF1F2937"/>
      <x:name val="Carlito"/>
    </x:font>
    <x:font>
      <x:b/>
      <x:sz val="10"/>
      <x:color rgb="FF1F2937"/>
      <x:name val="Carlito"/>
    </x:font>
    <x:font>
      <x:b/>
      <x:sz val="18"/>
      <x:color rgb="FF17365D"/>
      <x:name val="Carlito"/>
    </x:font>
    <x:font>
      <x:b/>
      <x:sz val="17"/>
      <x:color rgb="FFFFFFFF"/>
      <x:name val="Carlito"/>
    </x:font>
    <x:font>
      <x:i/>
      <x:sz val="11"/>
      <x:color rgb="FF1F2937"/>
      <x:name val="Carlito"/>
    </x:font>
    <x:font>
      <x:b/>
      <x:sz val="16"/>
      <x:color rgb="FF17365D"/>
      <x:name val="Carlito"/>
    </x:font>
    <x:font>
      <x:b/>
      <x:sz val="12"/>
      <x:color rgb="FFFFFFFF"/>
      <x:name val="Carlito"/>
    </x:font>
    <x:font>
      <x:b/>
      <x:sz val="15"/>
      <x:color rgb="FFFFFFFF"/>
      <x:name val="Carlito"/>
    </x:font>
    <x:font>
      <x:b/>
      <x:sz val="10"/>
      <x:color rgb="FF1F4E78"/>
      <x:name val="Carlito"/>
    </x:font>
    <x:font>
      <x:b/>
      <x:sz val="11"/>
      <x:color rgb="FF1F4E78"/>
      <x:name val="Carlito"/>
    </x:font>
    <x:font>
      <x:b/>
      <x:sz val="11"/>
      <x:color rgb="FF17365D"/>
      <x:name val="Carlito"/>
    </x:font>
    <x:font>
      <x:i/>
      <x:sz val="11"/>
      <x:color rgb="FF404040"/>
      <x:name val="Carlito"/>
    </x:font>
    <x:font>
      <x:b/>
      <x:sz val="9"/>
      <x:color rgb="FFFFFFFF"/>
      <x:name val="Carlito"/>
    </x:font>
    <x:font>
      <x:sz val="9"/>
      <x:name val="Carlito"/>
    </x:font>
    <x:font>
      <x:b/>
      <x:sz val="14"/>
      <x:color rgb="FFFFFFFF"/>
      <x:name val="Carlito"/>
    </x:font>
    <x:font>
      <x:sz val="11"/>
      <x:color rgb="FF1F2937"/>
      <x:name val="Carlito"/>
    </x:font>
    <x:font>
      <x:sz val="10"/>
      <x:color rgb="FF0B132B"/>
      <x:name val="Aptos"/>
    </x:font>
    <x:font>
      <x:b/>
      <x:sz val="20"/>
      <x:color rgb="FFFFFFFF"/>
      <x:name val="Aptos"/>
    </x:font>
    <x:font>
      <x:b/>
      <x:sz val="13"/>
      <x:color rgb="FFFFFFFF"/>
      <x:name val="Aptos"/>
    </x:font>
    <x:font>
      <x:b/>
      <x:sz val="10"/>
      <x:color rgb="FF14213D"/>
      <x:name val="Aptos"/>
    </x:font>
    <x:font>
      <x:b/>
      <x:sz val="10"/>
      <x:color rgb="FFB8860B"/>
      <x:name val="Aptos"/>
    </x:font>
    <x:font>
      <x:b/>
      <x:sz val="11"/>
      <x:color rgb="FF0B132B"/>
      <x:name val="Aptos"/>
    </x:font>
    <x:font>
      <x:i/>
      <x:sz val="10"/>
      <x:color rgb="FF5F6368"/>
      <x:name val="Aptos"/>
    </x:font>
    <x:font>
      <x:b/>
      <x:sz val="12"/>
      <x:color rgb="FFFFFFFF"/>
      <x:name val="Aptos"/>
    </x:font>
  </x:fonts>
  <x:fills count="59">
    <x:fill>
      <x:patternFill patternType="none"/>
    </x:fill>
    <x:fill>
      <x:patternFill patternType="gray125"/>
    </x:fill>
    <x:fill>
      <x:patternFill patternType="solid">
        <x:fgColor rgb="FF17365D"/>
      </x:patternFill>
    </x:fill>
    <x:fill>
      <x:patternFill patternType="solid">
        <x:fgColor rgb="FF1F4E78"/>
      </x:patternFill>
    </x:fill>
    <x:fill>
      <x:patternFill patternType="solid">
        <x:fgColor rgb="FFD9EAF7"/>
      </x:patternFill>
    </x:fill>
    <x:fill>
      <x:patternFill patternType="solid">
        <x:fgColor rgb="FF17365D"/>
      </x:patternFill>
    </x:fill>
    <x:fill>
      <x:patternFill patternType="solid">
        <x:fgColor rgb="FF1F4E78"/>
      </x:patternFill>
    </x:fill>
    <x:fill>
      <x:patternFill patternType="solid">
        <x:fgColor rgb="FFD9EAF7"/>
      </x:patternFill>
    </x:fill>
    <x:fill>
      <x:patternFill patternType="solid">
        <x:fgColor rgb="FF17365D"/>
      </x:patternFill>
    </x:fill>
    <x:fill>
      <x:patternFill patternType="solid">
        <x:fgColor rgb="FF1F4E78"/>
      </x:patternFill>
    </x:fill>
    <x:fill>
      <x:patternFill patternType="solid">
        <x:fgColor rgb="FFD9EAF7"/>
      </x:patternFill>
    </x:fill>
    <x:fill>
      <x:patternFill patternType="solid">
        <x:fgColor rgb="FF17365D"/>
      </x:patternFill>
    </x:fill>
    <x:fill>
      <x:patternFill patternType="solid">
        <x:fgColor rgb="FFD9E2F3"/>
      </x:patternFill>
    </x:fill>
    <x:fill>
      <x:patternFill patternType="solid">
        <x:fgColor rgb="FFD9EAF7"/>
      </x:patternFill>
    </x:fill>
    <x:fill>
      <x:patternFill patternType="solid">
        <x:fgColor rgb="FFFFFFFF"/>
      </x:patternFill>
    </x:fill>
    <x:fill>
      <x:patternFill patternType="solid">
        <x:fgColor rgb="FFE2F0D9"/>
      </x:patternFill>
    </x:fill>
    <x:fill>
      <x:patternFill patternType="solid">
        <x:fgColor rgb="FFFFF2CC"/>
      </x:patternFill>
    </x:fill>
    <x:fill>
      <x:patternFill patternType="solid">
        <x:fgColor rgb="FFFCE8E6"/>
      </x:patternFill>
    </x:fill>
    <x:fill>
      <x:patternFill patternType="solid">
        <x:fgColor rgb="FF1F4E78"/>
      </x:patternFill>
    </x:fill>
    <x:fill>
      <x:patternFill patternType="solid">
        <x:fgColor rgb="FF17365D"/>
      </x:patternFill>
    </x:fill>
    <x:fill>
      <x:patternFill patternType="solid">
        <x:fgColor rgb="FF0F6B78"/>
      </x:patternFill>
    </x:fill>
    <x:fill>
      <x:patternFill patternType="solid">
        <x:fgColor rgb="FF1F4E78"/>
      </x:patternFill>
    </x:fill>
    <x:fill>
      <x:patternFill patternType="solid">
        <x:fgColor rgb="FFD9EAF7"/>
      </x:patternFill>
    </x:fill>
    <x:fill>
      <x:patternFill patternType="solid">
        <x:fgColor rgb="FF17365D"/>
      </x:patternFill>
    </x:fill>
    <x:fill>
      <x:patternFill patternType="solid">
        <x:fgColor rgb="FFD9E2F3"/>
      </x:patternFill>
    </x:fill>
    <x:fill>
      <x:patternFill patternType="solid">
        <x:fgColor rgb="FFD9EAF7"/>
      </x:patternFill>
    </x:fill>
    <x:fill>
      <x:patternFill patternType="solid">
        <x:fgColor rgb="FFF4CCCC"/>
      </x:patternFill>
    </x:fill>
    <x:fill>
      <x:patternFill patternType="solid">
        <x:fgColor rgb="FFFCE4D6"/>
      </x:patternFill>
    </x:fill>
    <x:fill>
      <x:patternFill patternType="solid">
        <x:fgColor rgb="FFFFF2CC"/>
      </x:patternFill>
    </x:fill>
    <x:fill>
      <x:patternFill patternType="solid">
        <x:fgColor rgb="FF1F4E78"/>
      </x:patternFill>
    </x:fill>
    <x:fill>
      <x:patternFill patternType="solid">
        <x:fgColor rgb="FF17365D"/>
      </x:patternFill>
    </x:fill>
    <x:fill>
      <x:patternFill patternType="solid">
        <x:fgColor rgb="FF1F4E78"/>
      </x:patternFill>
    </x:fill>
    <x:fill>
      <x:patternFill patternType="solid">
        <x:fgColor rgb="FF0F6B78"/>
      </x:patternFill>
    </x:fill>
    <x:fill>
      <x:patternFill patternType="solid">
        <x:fgColor rgb="FFD9EAF7"/>
      </x:patternFill>
    </x:fill>
    <x:fill>
      <x:patternFill patternType="solid">
        <x:fgColor rgb="FFD9EAF7"/>
      </x:patternFill>
    </x:fill>
    <x:fill>
      <x:patternFill patternType="solid">
        <x:fgColor rgb="FFD9EAF7"/>
      </x:patternFill>
    </x:fill>
    <x:fill>
      <x:patternFill patternType="solid">
        <x:fgColor rgb="FFEAF2F8"/>
      </x:patternFill>
    </x:fill>
    <x:fill>
      <x:patternFill patternType="solid">
        <x:fgColor rgb="FFD9EAF7"/>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1F4E78"/>
      </x:patternFill>
    </x:fill>
    <x:fill>
      <x:patternFill patternType="solid">
        <x:fgColor rgb="FFEAF3F8"/>
      </x:patternFill>
    </x:fill>
    <x:fill>
      <x:patternFill patternType="solid">
        <x:fgColor rgb="FF17365D"/>
      </x:patternFill>
    </x:fill>
    <x:fill>
      <x:patternFill patternType="solid">
        <x:fgColor rgb="FFD9E2F3"/>
      </x:patternFill>
    </x:fill>
    <x:fill>
      <x:patternFill patternType="solid">
        <x:fgColor rgb="FFD9EAF7"/>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24557A"/>
      </x:patternFill>
    </x:fill>
    <x:fill>
      <x:patternFill patternType="solid">
        <x:fgColor rgb="FFF3F6FA"/>
      </x:patternFill>
    </x:fill>
    <x:fill>
      <x:patternFill patternType="solid">
        <x:fgColor rgb="FFD9EAF7"/>
      </x:patternFill>
    </x:fill>
    <x:fill>
      <x:patternFill patternType="solid">
        <x:fgColor rgb="FFF7FAFC"/>
      </x:patternFill>
    </x:fill>
    <x:fill>
      <x:patternFill patternType="solid">
        <x:fgColor rgb="FFEAF3F8"/>
      </x:patternFill>
    </x:fill>
    <x:fill>
      <x:patternFill patternType="solid">
        <x:fgColor rgb="FFD9EAF7"/>
      </x:patternFill>
    </x:fill>
    <x:fill>
      <x:patternFill patternType="solid">
        <x:fgColor rgb="FF14213D"/>
      </x:patternFill>
    </x:fill>
    <x:fill>
      <x:patternFill patternType="solid">
        <x:fgColor rgb="FFB8860B"/>
      </x:patternFill>
    </x:fill>
    <x:fill>
      <x:patternFill patternType="solid">
        <x:fgColor rgb="FF0B132B"/>
      </x:patternFill>
    </x:fill>
  </x:fills>
  <x:borders count="2">
    <x:border/>
    <x:border/>
  </x:borders>
  <x:cellStyleXfs count="1">
    <x:xf numFmtId="0" fontId="0" fillId="0" borderId="0"/>
  </x:cellStyleXfs>
  <x:cellXfs count="53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0" fontId="0" fillId="0" borderId="0" xfId="0" applyNumberFormat="1" applyFont="1" applyFill="1" applyBorder="1"/>
    <x:xf numFmtId="200" fontId="3" fillId="4" borderId="0" xfId="0" applyNumberFormat="1" applyFont="1" applyFill="1" applyBorder="1" applyAlignment="1">
      <x:alignment vertical="center"/>
    </x:xf>
    <x:xf numFmtId="200" fontId="0" fillId="0" borderId="0" xfId="0" applyNumberFormat="1" applyFont="1" applyFill="1" applyBorder="1"/>
    <x:xf numFmtId="200" fontId="3" fillId="4" borderId="1" xfId="0" applyNumberFormat="1" applyFont="1" applyFill="1" applyBorder="1" applyAlignment="1">
      <x:alignment vertical="center"/>
    </x:xf>
    <x:xf numFmtId="200" fontId="0" fillId="0" borderId="1"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1" xfId="0" applyNumberFormat="1" applyFont="1" applyFill="1" applyBorder="1"/>
    <x:xf numFmtId="0" fontId="2" fillId="2" borderId="1" xfId="0" applyNumberFormat="1" applyFont="1" applyFill="1" applyBorder="1" applyAlignment="1">
      <x:alignment horizontal="center"/>
    </x:xf>
    <x:xf numFmtId="0" fontId="2" fillId="2" borderId="1" xfId="0" applyNumberFormat="1" applyFont="1" applyFill="1" applyBorder="1" applyAlignment="1">
      <x:alignment horizontal="center" vertical="center"/>
    </x:xf>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horizontal="center"/>
    </x:xf>
    <x:xf numFmtId="0" fontId="4" fillId="2" borderId="0" xfId="0" applyNumberFormat="1" applyFont="1" applyFill="1" applyBorder="1" applyAlignment="1">
      <x:alignment horizontal="center" vertical="center"/>
    </x:xf>
    <x:xf numFmtId="0" fontId="4" fillId="2" borderId="1" xfId="0" applyNumberFormat="1" applyFont="1" applyFill="1" applyBorder="1"/>
    <x:xf numFmtId="0" fontId="4" fillId="2" borderId="1" xfId="0" applyNumberFormat="1" applyFont="1" applyFill="1" applyBorder="1" applyAlignment="1">
      <x:alignment horizontal="center"/>
    </x:xf>
    <x:xf numFmtId="0" fontId="4" fillId="2" borderId="1" xfId="0" applyNumberFormat="1" applyFont="1" applyFill="1" applyBorder="1" applyAlignment="1">
      <x:alignment horizontal="center" vertical="center"/>
    </x:xf>
    <x:xf numFmtId="0" fontId="5" fillId="2" borderId="0" xfId="0" applyNumberFormat="1" applyFont="1" applyFill="1" applyBorder="1" applyAlignment="1">
      <x:alignment horizontal="center" vertical="center"/>
    </x:xf>
    <x:xf numFmtId="0" fontId="6" fillId="0" borderId="0" xfId="0" applyNumberFormat="1" applyFont="1" applyFill="1" applyBorder="1"/>
    <x:xf numFmtId="0" fontId="5" fillId="2" borderId="1" xfId="0" applyNumberFormat="1" applyFont="1" applyFill="1" applyBorder="1" applyAlignment="1">
      <x:alignment horizontal="center" vertical="center"/>
    </x:xf>
    <x:xf numFmtId="0" fontId="6" fillId="0" borderId="1" xfId="0" applyNumberFormat="1" applyFont="1" applyFill="1" applyBorder="1"/>
    <x:xf numFmtId="0" fontId="5" fillId="2" borderId="0" xfId="0" applyNumberFormat="1" applyFont="1" applyFill="1" applyBorder="1" applyAlignment="1">
      <x:alignment horizontal="center" vertical="top"/>
    </x:xf>
    <x:xf numFmtId="0" fontId="6" fillId="0" borderId="0" xfId="0" applyNumberFormat="1" applyFont="1" applyFill="1" applyBorder="1" applyAlignment="1">
      <x:alignment vertical="top"/>
    </x:xf>
    <x:xf numFmtId="0" fontId="5" fillId="2" borderId="1" xfId="0" applyNumberFormat="1" applyFont="1" applyFill="1" applyBorder="1" applyAlignment="1">
      <x:alignment horizontal="center" vertical="top"/>
    </x:xf>
    <x:xf numFmtId="0" fontId="6" fillId="0" borderId="1" xfId="0" applyNumberFormat="1" applyFont="1" applyFill="1" applyBorder="1" applyAlignment="1">
      <x:alignment vertical="top"/>
    </x:xf>
    <x:xf numFmtId="0" fontId="5" fillId="2" borderId="0" xfId="0" applyNumberFormat="1" applyFont="1" applyFill="1" applyBorder="1" applyAlignment="1">
      <x:alignment horizontal="center" vertical="top" wrapText="1"/>
    </x:xf>
    <x:xf numFmtId="0" fontId="6" fillId="0" borderId="0" xfId="0" applyNumberFormat="1" applyFont="1" applyFill="1" applyBorder="1" applyAlignment="1">
      <x:alignment vertical="top" wrapText="1"/>
    </x:xf>
    <x:xf numFmtId="0" fontId="5" fillId="2" borderId="1" xfId="0" applyNumberFormat="1" applyFont="1" applyFill="1" applyBorder="1" applyAlignment="1">
      <x:alignment horizontal="center" vertical="top" wrapText="1"/>
    </x:xf>
    <x:xf numFmtId="0" fontId="6" fillId="0" borderId="1" xfId="0" applyNumberFormat="1" applyFont="1" applyFill="1" applyBorder="1" applyAlignment="1">
      <x:alignment vertical="top" wrapText="1"/>
    </x:xf>
    <x:xf numFmtId="0" fontId="5" fillId="5" borderId="0" xfId="0" applyNumberFormat="1" applyFont="1" applyFill="1" applyBorder="1" applyAlignment="1">
      <x:alignment horizontal="center" vertical="top" wrapText="1"/>
    </x:xf>
    <x:xf numFmtId="0" fontId="6"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horizontal="center"/>
    </x:xf>
    <x:xf numFmtId="0" fontId="2" fillId="5" borderId="0" xfId="0" applyNumberFormat="1" applyFont="1" applyFill="1" applyBorder="1" applyAlignment="1">
      <x:alignment horizontal="center" vertical="center"/>
    </x:xf>
    <x:xf numFmtId="0" fontId="4" fillId="5" borderId="0" xfId="0" applyNumberFormat="1" applyFont="1" applyFill="1" applyBorder="1" applyAlignment="1">
      <x:alignment horizontal="center" vertical="center"/>
    </x:xf>
    <x:xf numFmtId="0" fontId="7" fillId="5" borderId="0" xfId="0" applyNumberFormat="1" applyFont="1" applyFill="1" applyBorder="1" applyAlignment="1">
      <x:alignment horizontal="center" vertical="top" wrapText="1"/>
    </x:xf>
    <x:xf numFmtId="0" fontId="7" fillId="5" borderId="0" xfId="0" applyNumberFormat="1" applyFont="1" applyFill="1" applyBorder="1" applyAlignment="1">
      <x:alignment horizontal="center" vertical="center" wrapText="1"/>
    </x:xf>
    <x:xf numFmtId="0" fontId="2" fillId="6"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200" fontId="2" fillId="3" borderId="0" xfId="0" applyNumberFormat="1" applyFont="1" applyFill="1" applyBorder="1" applyAlignment="1">
      <x:alignment vertical="center"/>
    </x:xf>
    <x:xf numFmtId="200" fontId="2" fillId="2" borderId="0" xfId="0" applyNumberFormat="1" applyFont="1" applyFill="1" applyBorder="1" applyAlignment="1">
      <x:alignment horizontal="center" vertical="center"/>
    </x:xf>
    <x:xf numFmtId="0" fontId="5" fillId="5" borderId="0" xfId="0" applyNumberFormat="1" applyFont="1" applyFill="1" applyBorder="1" applyAlignment="1">
      <x:alignment horizontal="center" vertical="center"/>
    </x:xf>
    <x:xf numFmtId="0" fontId="5" fillId="5" borderId="0" xfId="0" applyNumberFormat="1" applyFont="1" applyFill="1" applyBorder="1" applyAlignment="1">
      <x:alignment horizontal="center" vertical="top"/>
    </x:xf>
    <x:xf numFmtId="0" fontId="0" fillId="7" borderId="0" xfId="0" applyNumberFormat="1" applyFont="1" applyFill="1" applyBorder="1"/>
    <x:xf numFmtId="0" fontId="8" fillId="7" borderId="0" xfId="0" applyNumberFormat="1" applyFont="1" applyFill="1" applyBorder="1"/>
    <x:xf numFmtId="0" fontId="6" fillId="2"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2" borderId="0" xfId="0" applyNumberFormat="1" applyFont="1" applyFill="1" applyBorder="1" applyAlignment="1">
      <x:alignment horizontal="center" vertical="center" wrapText="1"/>
    </x:xf>
    <x:xf numFmtId="0" fontId="7" fillId="2" borderId="0" xfId="0" applyNumberFormat="1" applyFont="1" applyFill="1" applyBorder="1" applyAlignment="1">
      <x:alignment horizontal="center" vertical="top" wrapText="1"/>
    </x:xf>
    <x:xf numFmtId="0" fontId="7" fillId="2" borderId="0" xfId="0" applyNumberFormat="1" applyFont="1" applyFill="1" applyBorder="1" applyAlignment="1">
      <x:alignment horizontal="center" vertical="center" wrapText="1"/>
    </x:xf>
    <x:xf numFmtId="0" fontId="8" fillId="4" borderId="0" xfId="0" applyNumberFormat="1" applyFont="1" applyFill="1" applyBorder="1"/>
    <x:xf numFmtId="0" fontId="5" fillId="8" borderId="0" xfId="0" applyNumberFormat="1" applyFont="1" applyFill="1" applyBorder="1" applyAlignment="1">
      <x:alignment horizontal="center" vertical="top" wrapText="1"/>
    </x:xf>
    <x:xf numFmtId="0" fontId="6" fillId="8" borderId="0" xfId="0" applyNumberFormat="1" applyFont="1" applyFill="1" applyBorder="1" applyAlignment="1">
      <x:alignment vertical="top" wrapText="1"/>
    </x:xf>
    <x:xf numFmtId="0" fontId="4" fillId="8" borderId="0" xfId="0" applyNumberFormat="1" applyFont="1" applyFill="1" applyBorder="1" applyAlignment="1">
      <x:alignment horizontal="center" vertical="center"/>
    </x:xf>
    <x:xf numFmtId="0" fontId="0" fillId="8" borderId="0" xfId="0" applyNumberFormat="1" applyFont="1" applyFill="1" applyBorder="1"/>
    <x:xf numFmtId="0" fontId="9" fillId="8" borderId="0" xfId="0" applyNumberFormat="1" applyFont="1" applyFill="1" applyBorder="1" applyAlignment="1">
      <x:alignment horizontal="center" vertical="top" wrapText="1"/>
    </x:xf>
    <x:xf numFmtId="0" fontId="9" fillId="8" borderId="0" xfId="0" applyNumberFormat="1" applyFont="1" applyFill="1" applyBorder="1" applyAlignment="1">
      <x:alignment vertical="top" wrapText="1"/>
    </x:xf>
    <x:xf numFmtId="0" fontId="10" fillId="8" borderId="0" xfId="0" applyNumberFormat="1" applyFont="1" applyFill="1" applyBorder="1" applyAlignment="1">
      <x:alignment horizontal="center" vertical="center"/>
    </x:xf>
    <x:xf numFmtId="0" fontId="10" fillId="8" borderId="0" xfId="0" applyNumberFormat="1" applyFont="1" applyFill="1" applyBorder="1"/>
    <x:xf numFmtId="0" fontId="10" fillId="8" borderId="0" xfId="0" applyNumberFormat="1" applyFont="1" applyFill="1" applyBorder="1" applyAlignment="1">
      <x:alignment horizontal="center"/>
    </x:xf>
    <x:xf numFmtId="0" fontId="9" fillId="8" borderId="0" xfId="0" applyNumberFormat="1" applyFont="1" applyFill="1" applyBorder="1" applyAlignment="1">
      <x:alignment horizontal="center" vertical="center" wrapText="1"/>
    </x:xf>
    <x:xf numFmtId="0" fontId="2" fillId="9" borderId="0" xfId="0" applyNumberFormat="1" applyFont="1" applyFill="1" applyBorder="1" applyAlignment="1">
      <x:alignment horizontal="center" vertical="center"/>
    </x:xf>
    <x:xf numFmtId="0" fontId="0" fillId="10" borderId="0" xfId="0" applyNumberFormat="1" applyFont="1" applyFill="1" applyBorder="1"/>
    <x:xf numFmtId="0" fontId="3" fillId="10" borderId="0" xfId="0" applyNumberFormat="1" applyFont="1" applyFill="1" applyBorder="1"/>
    <x:xf numFmtId="0" fontId="0" fillId="9" borderId="0" xfId="0" applyNumberFormat="1" applyFont="1" applyFill="1" applyBorder="1"/>
    <x:xf numFmtId="0" fontId="2" fillId="9"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2" fillId="9" borderId="0" xfId="0" applyNumberFormat="1" applyFont="1" applyFill="1" applyBorder="1" applyAlignment="1">
      <x:alignment vertical="center"/>
    </x:xf>
    <x:xf numFmtId="0" fontId="8" fillId="10" borderId="0" xfId="0" applyNumberFormat="1" applyFont="1" applyFill="1" applyBorder="1"/>
    <x:xf numFmtId="0" fontId="5" fillId="8" borderId="0" xfId="0" applyNumberFormat="1" applyFont="1" applyFill="1" applyBorder="1" applyAlignment="1">
      <x:alignment horizontal="center" vertical="center" wrapText="1"/>
    </x:xf>
    <x:xf numFmtId="0" fontId="9" fillId="2" borderId="0" xfId="0" applyNumberFormat="1" applyFont="1" applyFill="1" applyBorder="1" applyAlignment="1">
      <x:alignment horizontal="center" vertical="top" wrapText="1"/>
    </x:xf>
    <x:xf numFmtId="0" fontId="9" fillId="2" borderId="0" xfId="0" applyNumberFormat="1" applyFont="1" applyFill="1" applyBorder="1" applyAlignment="1">
      <x:alignment vertical="top" wrapText="1"/>
    </x:xf>
    <x:xf numFmtId="0" fontId="10" fillId="2" borderId="0" xfId="0" applyNumberFormat="1" applyFont="1" applyFill="1" applyBorder="1" applyAlignment="1">
      <x:alignment horizontal="center" vertical="center"/>
    </x:xf>
    <x:xf numFmtId="0" fontId="10" fillId="2" borderId="0" xfId="0" applyNumberFormat="1" applyFont="1" applyFill="1" applyBorder="1"/>
    <x:xf numFmtId="0" fontId="10" fillId="2" borderId="0" xfId="0" applyNumberFormat="1" applyFont="1" applyFill="1" applyBorder="1" applyAlignment="1">
      <x:alignment horizontal="center"/>
    </x:xf>
    <x:xf numFmtId="0" fontId="9" fillId="2" borderId="0" xfId="0" applyNumberFormat="1" applyFont="1" applyFill="1" applyBorder="1" applyAlignment="1">
      <x:alignment horizontal="center" vertical="center" wrapText="1"/>
    </x:xf>
    <x:xf numFmtId="0" fontId="2" fillId="3" borderId="0" xfId="0" applyNumberFormat="1" applyFont="1" applyFill="1" applyBorder="1" applyAlignment="1">
      <x:alignment horizontal="center" vertical="center"/>
    </x:xf>
    <x:xf numFmtId="0" fontId="5" fillId="11" borderId="0" xfId="0" applyNumberFormat="1" applyFont="1" applyFill="1" applyBorder="1" applyAlignment="1">
      <x:alignment horizontal="center" vertical="top" wrapText="1"/>
    </x:xf>
    <x:xf numFmtId="0" fontId="6" fillId="11" borderId="0" xfId="0" applyNumberFormat="1" applyFont="1" applyFill="1" applyBorder="1" applyAlignment="1">
      <x:alignment vertical="top" wrapText="1"/>
    </x:xf>
    <x:xf numFmtId="0" fontId="1" fillId="11" borderId="0" xfId="0" applyNumberFormat="1" applyFont="1" applyFill="1" applyBorder="1" applyAlignment="1">
      <x:alignment horizontal="center" vertical="center"/>
    </x:xf>
    <x:xf numFmtId="0" fontId="0" fillId="11" borderId="0" xfId="0" applyNumberFormat="1" applyFont="1" applyFill="1" applyBorder="1"/>
    <x:xf numFmtId="0" fontId="11" fillId="11" borderId="0" xfId="0" applyNumberFormat="1" applyFont="1" applyFill="1" applyBorder="1" applyAlignment="1">
      <x:alignment horizontal="center" vertical="top" wrapText="1"/>
    </x:xf>
    <x:xf numFmtId="0" fontId="11" fillId="11" borderId="0" xfId="0" applyNumberFormat="1" applyFont="1" applyFill="1" applyBorder="1" applyAlignment="1">
      <x:alignment vertical="top" wrapText="1"/>
    </x:xf>
    <x:xf numFmtId="0" fontId="12" fillId="11" borderId="0" xfId="0" applyNumberFormat="1" applyFont="1" applyFill="1" applyBorder="1" applyAlignment="1">
      <x:alignment horizontal="center" vertical="center"/>
    </x:xf>
    <x:xf numFmtId="0" fontId="12" fillId="11" borderId="0" xfId="0" applyNumberFormat="1" applyFont="1" applyFill="1" applyBorder="1"/>
    <x:xf numFmtId="0" fontId="12" fillId="11" borderId="0" xfId="0" applyNumberFormat="1" applyFont="1" applyFill="1" applyBorder="1" applyAlignment="1">
      <x:alignment horizontal="center"/>
    </x:xf>
    <x:xf numFmtId="0" fontId="11" fillId="11" borderId="0" xfId="0" applyNumberFormat="1" applyFont="1" applyFill="1" applyBorder="1" applyAlignment="1">
      <x:alignment horizontal="center" vertical="center" wrapText="1"/>
    </x:xf>
    <x:xf numFmtId="0" fontId="0" fillId="12" borderId="0" xfId="0" applyNumberFormat="1" applyFont="1" applyFill="1" applyBorder="1"/>
    <x:xf numFmtId="0" fontId="13" fillId="12" borderId="0" xfId="0" applyNumberFormat="1" applyFont="1" applyFill="1" applyBorder="1"/>
    <x:xf numFmtId="0" fontId="13" fillId="12" borderId="0" xfId="0" applyNumberFormat="1" applyFont="1" applyFill="1" applyBorder="1" applyAlignment="1">
      <x:alignment horizontal="center"/>
    </x:xf>
    <x:xf numFmtId="0" fontId="3" fillId="13" borderId="0" xfId="0" applyNumberFormat="1" applyFont="1" applyFill="1" applyBorder="1" applyAlignment="1">
      <x:alignment vertical="center"/>
    </x:xf>
    <x:xf numFmtId="0" fontId="0" fillId="13" borderId="0" xfId="0" applyNumberFormat="1" applyFont="1" applyFill="1" applyBorder="1"/>
    <x:xf numFmtId="0" fontId="14" fillId="13" borderId="0" xfId="0" applyNumberFormat="1" applyFont="1" applyFill="1" applyBorder="1" applyAlignment="1">
      <x:alignment vertical="center"/>
    </x:xf>
    <x:xf numFmtId="0" fontId="14" fillId="13" borderId="0" xfId="0" applyNumberFormat="1" applyFont="1" applyFill="1" applyBorder="1"/>
    <x:xf numFmtId="0" fontId="14" fillId="13" borderId="0" xfId="0" applyNumberFormat="1" applyFont="1" applyFill="1" applyBorder="1" applyAlignment="1">
      <x:alignment horizontal="center" vertical="center"/>
    </x:xf>
    <x:xf numFmtId="0" fontId="14" fillId="13" borderId="0" xfId="0" applyNumberFormat="1" applyFont="1" applyFill="1" applyBorder="1" applyAlignment="1">
      <x:alignment horizontal="center"/>
    </x:xf>
    <x:xf numFmtId="0" fontId="3" fillId="14" borderId="0" xfId="0" applyNumberFormat="1" applyFont="1" applyFill="1" applyBorder="1" applyAlignment="1">
      <x:alignment vertical="center"/>
    </x:xf>
    <x:xf numFmtId="0" fontId="0" fillId="14" borderId="0" xfId="0" applyNumberFormat="1" applyFont="1" applyFill="1" applyBorder="1"/>
    <x:xf numFmtId="0" fontId="15" fillId="14" borderId="0" xfId="0" applyNumberFormat="1" applyFont="1" applyFill="1" applyBorder="1" applyAlignment="1">
      <x:alignment vertical="center"/>
    </x:xf>
    <x:xf numFmtId="0" fontId="15" fillId="14" borderId="0" xfId="0" applyNumberFormat="1" applyFont="1" applyFill="1" applyBorder="1"/>
    <x:xf numFmtId="0" fontId="15" fillId="14" xfId="0" applyNumberFormat="1" applyFont="1" applyFill="1" applyBorder="0" applyAlignment="1">
      <x:alignment vertical="center"/>
    </x:xf>
    <x:xf numFmtId="0" fontId="15" fillId="14" xfId="0" applyNumberFormat="1" applyFont="1" applyFill="1" applyBorder="0"/>
    <x:xf numFmtId="0" fontId="15" fillId="14" xfId="0" applyNumberFormat="1" applyFont="1" applyFill="1" applyBorder="0" applyAlignment="1">
      <x:alignment horizontal="center" vertical="center"/>
    </x:xf>
    <x:xf numFmtId="0" fontId="15" fillId="14" xfId="0" applyNumberFormat="1" applyFont="1" applyFill="1" applyBorder="0" applyAlignment="1">
      <x:alignment horizontal="center"/>
    </x:xf>
    <x:xf numFmtId="200" fontId="3" fillId="13" borderId="0" xfId="0" applyNumberFormat="1" applyFont="1" applyFill="1" applyBorder="1" applyAlignment="1">
      <x:alignment vertical="center"/>
    </x:xf>
    <x:xf numFmtId="200" fontId="0" fillId="13" borderId="0" xfId="0" applyNumberFormat="1" applyFont="1" applyFill="1" applyBorder="1"/>
    <x:xf numFmtId="200" fontId="14" fillId="13" borderId="0" xfId="0" applyNumberFormat="1" applyFont="1" applyFill="1" applyBorder="1" applyAlignment="1">
      <x:alignment vertical="center"/>
    </x:xf>
    <x:xf numFmtId="200" fontId="14" fillId="13" borderId="0" xfId="0" applyNumberFormat="1" applyFont="1" applyFill="1" applyBorder="1"/>
    <x:xf numFmtId="200" fontId="14" fillId="13" borderId="0" xfId="0" applyNumberFormat="1" applyFont="1" applyFill="1" applyBorder="1" applyAlignment="1">
      <x:alignment horizontal="center" vertical="center"/>
    </x:xf>
    <x:xf numFmtId="200" fontId="14" fillId="13" borderId="0" xfId="0" applyNumberFormat="1" applyFont="1" applyFill="1" applyBorder="1" applyAlignment="1">
      <x:alignment horizontal="center"/>
    </x:xf>
    <x:xf numFmtId="0" fontId="3" fillId="15" borderId="0" xfId="0" applyNumberFormat="1" applyFont="1" applyFill="1" applyBorder="1" applyAlignment="1">
      <x:alignment vertical="center"/>
    </x:xf>
    <x:xf numFmtId="0" fontId="0" fillId="15" borderId="0" xfId="0" applyNumberFormat="1" applyFont="1" applyFill="1" applyBorder="1"/>
    <x:xf numFmtId="0" fontId="15" fillId="15" borderId="0" xfId="0" applyNumberFormat="1" applyFont="1" applyFill="1" applyBorder="1" applyAlignment="1">
      <x:alignment vertical="center"/>
    </x:xf>
    <x:xf numFmtId="0" fontId="15" fillId="15" borderId="0" xfId="0" applyNumberFormat="1" applyFont="1" applyFill="1" applyBorder="1"/>
    <x:xf numFmtId="0" fontId="15" fillId="15" xfId="0" applyNumberFormat="1" applyFont="1" applyFill="1" applyBorder="0" applyAlignment="1">
      <x:alignment vertical="center"/>
    </x:xf>
    <x:xf numFmtId="0" fontId="15" fillId="15" xfId="0" applyNumberFormat="1" applyFont="1" applyFill="1" applyBorder="0"/>
    <x:xf numFmtId="0" fontId="15" fillId="15" xfId="0" applyNumberFormat="1" applyFont="1" applyFill="1" applyBorder="0" applyAlignment="1">
      <x:alignment horizontal="center" vertical="center"/>
    </x:xf>
    <x:xf numFmtId="0" fontId="15" fillId="15" xfId="0" applyNumberFormat="1" applyFont="1" applyFill="1" applyBorder="0" applyAlignment="1">
      <x:alignment horizontal="center"/>
    </x:xf>
    <x:xf numFmtId="200" fontId="15" fillId="15" xfId="0" applyNumberFormat="1" applyFont="1" applyFill="1" applyBorder="0" applyAlignment="1">
      <x:alignment horizontal="center" vertical="center"/>
    </x:xf>
    <x:xf numFmtId="0" fontId="0" fillId="16" borderId="0" xfId="0" applyNumberFormat="1" applyFont="1" applyFill="1" applyBorder="1"/>
    <x:xf numFmtId="0" fontId="15" fillId="16" borderId="0" xfId="0" applyNumberFormat="1" applyFont="1" applyFill="1" applyBorder="1"/>
    <x:xf numFmtId="0" fontId="15" fillId="16" xfId="0" applyNumberFormat="1" applyFont="1" applyFill="1" applyBorder="0"/>
    <x:xf numFmtId="0" fontId="15" fillId="16" xfId="0" applyNumberFormat="1" applyFont="1" applyFill="1" applyBorder="0" applyAlignment="1">
      <x:alignment horizontal="center"/>
    </x:xf>
    <x:xf numFmtId="0" fontId="15" fillId="16" xfId="0" applyNumberFormat="1" applyFont="1" applyFill="1" applyBorder="0" applyAlignment="1">
      <x:alignment horizontal="center" vertical="center"/>
    </x:xf>
    <x:xf numFmtId="0" fontId="0" fillId="17" borderId="0" xfId="0" applyNumberFormat="1" applyFont="1" applyFill="1" applyBorder="1"/>
    <x:xf numFmtId="0" fontId="15" fillId="17" borderId="0" xfId="0" applyNumberFormat="1" applyFont="1" applyFill="1" applyBorder="1"/>
    <x:xf numFmtId="0" fontId="15" fillId="17" xfId="0" applyNumberFormat="1" applyFont="1" applyFill="1" applyBorder="0"/>
    <x:xf numFmtId="0" fontId="15" fillId="17" xfId="0" applyNumberFormat="1" applyFont="1" applyFill="1" applyBorder="0" applyAlignment="1">
      <x:alignment horizontal="center"/>
    </x:xf>
    <x:xf numFmtId="0" fontId="15" fillId="17" xfId="0" applyNumberFormat="1" applyFont="1" applyFill="1" applyBorder="0" applyAlignment="1">
      <x:alignment horizontal="center" vertical="center"/>
    </x:xf>
    <x:xf numFmtId="0" fontId="2" fillId="18" borderId="0" xfId="0" applyNumberFormat="1" applyFont="1" applyFill="1" applyBorder="1" applyAlignment="1">
      <x:alignment horizontal="center" vertical="center"/>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vertical="center"/>
    </x:xf>
    <x:xf numFmtId="200" fontId="0" fillId="14" borderId="0" xfId="0" applyNumberFormat="1" applyFont="1" applyFill="1" applyBorder="1"/>
    <x:xf numFmtId="200" fontId="15" fillId="14" borderId="0" xfId="0" applyNumberFormat="1" applyFont="1" applyFill="1" applyBorder="1"/>
    <x:xf numFmtId="200" fontId="15" fillId="14" xfId="0" applyNumberFormat="1" applyFont="1" applyFill="1" applyBorder="0"/>
    <x:xf numFmtId="200" fontId="15" fillId="14" xfId="0" applyNumberFormat="1" applyFont="1" applyFill="1" applyBorder="0" applyAlignment="1">
      <x:alignment horizontal="center"/>
    </x:xf>
    <x:xf numFmtId="200" fontId="15" fillId="14" xfId="0" applyNumberFormat="1" applyFont="1" applyFill="1" applyBorder="0" applyAlignment="1">
      <x:alignment horizontal="center" vertical="center"/>
    </x:xf>
    <x:xf numFmtId="201" fontId="0" fillId="13" borderId="0" xfId="0" applyNumberFormat="1" applyFont="1" applyFill="1" applyBorder="1"/>
    <x:xf numFmtId="201" fontId="14" fillId="13" borderId="0" xfId="0" applyNumberFormat="1" applyFont="1" applyFill="1" applyBorder="1"/>
    <x:xf numFmtId="201" fontId="14" fillId="13" borderId="0" xfId="0" applyNumberFormat="1" applyFont="1" applyFill="1" applyBorder="1" applyAlignment="1">
      <x:alignment horizontal="center"/>
    </x:xf>
    <x:xf numFmtId="201" fontId="14" fillId="13" borderId="0" xfId="0" applyNumberFormat="1" applyFont="1" applyFill="1" applyBorder="1" applyAlignment="1">
      <x:alignment horizontal="center" vertical="center"/>
    </x:xf>
    <x:xf numFmtId="201" fontId="0" fillId="14" borderId="0" xfId="0" applyNumberFormat="1" applyFont="1" applyFill="1" applyBorder="1"/>
    <x:xf numFmtId="201" fontId="15" fillId="14" borderId="0" xfId="0" applyNumberFormat="1" applyFont="1" applyFill="1" applyBorder="1"/>
    <x:xf numFmtId="201" fontId="15" fillId="14" xfId="0" applyNumberFormat="1" applyFont="1" applyFill="1" applyBorder="0"/>
    <x:xf numFmtId="201" fontId="15" fillId="14" xfId="0" applyNumberFormat="1" applyFont="1" applyFill="1" applyBorder="0" applyAlignment="1">
      <x:alignment horizontal="center"/>
    </x:xf>
    <x:xf numFmtId="201" fontId="15" fillId="14" xfId="0" applyNumberFormat="1" applyFont="1" applyFill="1" applyBorder="0" applyAlignment="1">
      <x:alignment horizontal="center" vertical="center"/>
    </x:xf>
    <x:xf numFmtId="200" fontId="15" fillId="16" xfId="0" applyNumberFormat="1" applyFont="1" applyFill="1" applyBorder="0" applyAlignment="1">
      <x:alignment horizontal="center" vertical="center"/>
    </x:xf>
    <x:xf numFmtId="200" fontId="0" fillId="18" borderId="0" xfId="0" applyNumberFormat="1" applyFont="1" applyFill="1" applyBorder="1"/>
    <x:xf numFmtId="201" fontId="0" fillId="18" borderId="0" xfId="0" applyNumberFormat="1" applyFont="1" applyFill="1" applyBorder="1"/>
    <x:xf numFmtId="200" fontId="2" fillId="18" borderId="0" xfId="0" applyNumberFormat="1" applyFont="1" applyFill="1" applyBorder="1"/>
    <x:xf numFmtId="201" fontId="2" fillId="18" borderId="0" xfId="0" applyNumberFormat="1" applyFont="1" applyFill="1" applyBorder="1"/>
    <x:xf numFmtId="200" fontId="2" fillId="18" borderId="0" xfId="0" applyNumberFormat="1" applyFont="1" applyFill="1" applyBorder="1" applyAlignment="1">
      <x:alignment vertical="center"/>
    </x:xf>
    <x:xf numFmtId="201" fontId="2" fillId="18" borderId="0" xfId="0" applyNumberFormat="1" applyFont="1" applyFill="1" applyBorder="1" applyAlignment="1">
      <x:alignment vertical="center"/>
    </x:xf>
    <x:xf numFmtId="0" fontId="2" fillId="14" borderId="0" xfId="0" applyNumberFormat="1" applyFont="1" applyFill="1" applyBorder="1" applyAlignment="1">
      <x:alignment vertical="center"/>
    </x:xf>
    <x:xf numFmtId="0" fontId="2" fillId="14" borderId="0" xfId="0" applyNumberFormat="1" applyFont="1" applyFill="1" applyBorder="1" applyAlignment="1">
      <x:alignment horizontal="center" vertical="center"/>
    </x:xf>
    <x:xf numFmtId="0" fontId="15" fillId="14" borderId="0" xfId="0" applyNumberFormat="1" applyFont="1" applyFill="1" applyBorder="1" applyAlignment="1">
      <x:alignment horizontal="center" vertical="center"/>
    </x:xf>
    <x:xf numFmtId="203" fontId="15" fillId="14" xfId="0" applyNumberFormat="1" applyFont="1" applyFill="1" applyBorder="0" applyAlignment="1">
      <x:alignment horizontal="center" vertical="center"/>
    </x:xf>
    <x:xf numFmtId="200" fontId="15" fillId="17" xfId="0" applyNumberFormat="1" applyFont="1" applyFill="1" applyBorder="0" applyAlignment="1">
      <x:alignment horizontal="center" vertical="center"/>
    </x:xf>
    <x:xf numFmtId="0" fontId="14" fillId="13" xfId="0" applyNumberFormat="1" applyFont="1" applyFill="1" applyBorder="0" applyAlignment="1">
      <x:alignment horizontal="center" vertical="center"/>
    </x:xf>
    <x:xf numFmtId="0" fontId="0" fillId="0" xfId="0" applyNumberFormat="1" applyFont="1" applyFill="1" applyBorder="0"/>
    <x:xf numFmtId="200" fontId="0" fillId="0" xfId="0" applyNumberFormat="1" applyFont="1" applyFill="1" applyBorder="0"/>
    <x:xf numFmtId="201" fontId="0" fillId="0" xfId="0" applyNumberFormat="1" applyFont="1" applyFill="1" applyBorder="0"/>
    <x:xf numFmtId="202" fontId="0" fillId="0" xfId="0" applyNumberFormat="1" applyFont="1" applyFill="1" applyBorder="0"/>
    <x:xf numFmtId="0" fontId="0" fillId="0" xfId="0" applyNumberFormat="1" applyFont="1" applyFill="1" applyBorder="0" applyAlignment="1">
      <x:alignment wrapText="1"/>
    </x:xf>
    <x:xf numFmtId="0" fontId="5" fillId="11" borderId="0" xfId="0" applyNumberFormat="1" applyFont="1" applyFill="1" applyBorder="1" applyAlignment="1">
      <x:alignment horizontal="center" vertical="center" wrapText="1"/>
    </x:xf>
    <x:xf numFmtId="0" fontId="8" fillId="13" borderId="0" xfId="0" applyNumberFormat="1" applyFont="1" applyFill="1" applyBorder="1"/>
    <x:xf numFmtId="0" fontId="11" fillId="2" borderId="0" xfId="0" applyNumberFormat="1" applyFont="1" applyFill="1" applyBorder="1" applyAlignment="1">
      <x:alignment horizontal="center" vertical="top" wrapText="1"/>
    </x:xf>
    <x:xf numFmtId="0" fontId="11" fillId="2" borderId="0" xfId="0" applyNumberFormat="1" applyFont="1" applyFill="1" applyBorder="1" applyAlignment="1">
      <x:alignment vertical="top" wrapText="1"/>
    </x:xf>
    <x:xf numFmtId="0" fontId="12" fillId="2" borderId="0" xfId="0" applyNumberFormat="1" applyFont="1" applyFill="1" applyBorder="1" applyAlignment="1">
      <x:alignment horizontal="center" vertical="center"/>
    </x:xf>
    <x:xf numFmtId="0" fontId="12" fillId="2" borderId="0" xfId="0" applyNumberFormat="1" applyFont="1" applyFill="1" applyBorder="1"/>
    <x:xf numFmtId="0" fontId="12" fillId="2" borderId="0" xfId="0" applyNumberFormat="1" applyFont="1" applyFill="1" applyBorder="1" applyAlignment="1">
      <x:alignment horizontal="center"/>
    </x:xf>
    <x:xf numFmtId="0" fontId="11" fillId="2" borderId="0" xfId="0" applyNumberFormat="1" applyFont="1" applyFill="1" applyBorder="1" applyAlignment="1">
      <x:alignment horizontal="center" vertical="center" wrapText="1"/>
    </x:xf>
    <x:xf numFmtId="0" fontId="14" fillId="4" borderId="0" xfId="0" applyNumberFormat="1" applyFont="1" applyFill="1" applyBorder="1" applyAlignment="1">
      <x:alignment vertical="center"/>
    </x:xf>
    <x:xf numFmtId="0" fontId="14" fillId="4" borderId="0" xfId="0" applyNumberFormat="1" applyFont="1" applyFill="1" applyBorder="1"/>
    <x:xf numFmtId="0" fontId="14" fillId="4" borderId="0" xfId="0" applyNumberFormat="1" applyFont="1" applyFill="1" applyBorder="1" applyAlignment="1">
      <x:alignment horizontal="center" vertical="center"/>
    </x:xf>
    <x:xf numFmtId="0" fontId="14" fillId="4" borderId="0" xfId="0" applyNumberFormat="1" applyFont="1" applyFill="1" applyBorder="1" applyAlignment="1">
      <x:alignment horizontal="center"/>
    </x:xf>
    <x:xf numFmtId="200" fontId="0" fillId="4" borderId="0" xfId="0" applyNumberFormat="1" applyFont="1" applyFill="1" applyBorder="1"/>
    <x:xf numFmtId="200" fontId="14" fillId="4" borderId="0" xfId="0" applyNumberFormat="1" applyFont="1" applyFill="1" applyBorder="1" applyAlignment="1">
      <x:alignment vertical="center"/>
    </x:xf>
    <x:xf numFmtId="200" fontId="14" fillId="4" borderId="0" xfId="0" applyNumberFormat="1" applyFont="1" applyFill="1" applyBorder="1"/>
    <x:xf numFmtId="200" fontId="14" fillId="4" borderId="0" xfId="0" applyNumberFormat="1" applyFont="1" applyFill="1" applyBorder="1" applyAlignment="1">
      <x:alignment horizontal="center" vertical="center"/>
    </x:xf>
    <x:xf numFmtId="200" fontId="14" fillId="4" borderId="0" xfId="0" applyNumberFormat="1" applyFont="1" applyFill="1" applyBorder="1" applyAlignment="1">
      <x:alignment horizontal="center"/>
    </x:xf>
    <x:xf numFmtId="201" fontId="0" fillId="4" borderId="0" xfId="0" applyNumberFormat="1" applyFont="1" applyFill="1" applyBorder="1"/>
    <x:xf numFmtId="201" fontId="14" fillId="4" borderId="0" xfId="0" applyNumberFormat="1" applyFont="1" applyFill="1" applyBorder="1"/>
    <x:xf numFmtId="201" fontId="14" fillId="4" borderId="0" xfId="0" applyNumberFormat="1" applyFont="1" applyFill="1" applyBorder="1" applyAlignment="1">
      <x:alignment horizontal="center"/>
    </x:xf>
    <x:xf numFmtId="201" fontId="14" fillId="4" borderId="0" xfId="0" applyNumberFormat="1" applyFont="1" applyFill="1" applyBorder="1" applyAlignment="1">
      <x:alignment horizontal="center" vertical="center"/>
    </x:xf>
    <x:xf numFmtId="200" fontId="0" fillId="3" borderId="0" xfId="0" applyNumberFormat="1" applyFont="1" applyFill="1" applyBorder="1"/>
    <x:xf numFmtId="201" fontId="0" fillId="3" borderId="0" xfId="0" applyNumberFormat="1" applyFont="1" applyFill="1" applyBorder="1"/>
    <x:xf numFmtId="200" fontId="2" fillId="3" borderId="0" xfId="0" applyNumberFormat="1" applyFont="1" applyFill="1" applyBorder="1"/>
    <x:xf numFmtId="201" fontId="2" fillId="3" borderId="0" xfId="0" applyNumberFormat="1" applyFont="1" applyFill="1" applyBorder="1"/>
    <x:xf numFmtId="201" fontId="2" fillId="3" borderId="0" xfId="0" applyNumberFormat="1" applyFont="1" applyFill="1" applyBorder="1" applyAlignment="1">
      <x:alignment vertical="center"/>
    </x:xf>
    <x:xf numFmtId="0" fontId="14" fillId="4" xfId="0" applyNumberFormat="1" applyFont="1" applyFill="1" applyBorder="0" applyAlignment="1">
      <x:alignment horizontal="center" vertical="center"/>
    </x:xf>
    <x:xf numFmtId="0" fontId="6" fillId="19" borderId="0" xfId="0" applyNumberFormat="1" applyFont="1" applyFill="1" applyBorder="1" applyAlignment="1">
      <x:alignment vertical="top" wrapText="1"/>
    </x:xf>
    <x:xf numFmtId="0" fontId="0" fillId="19" borderId="0" xfId="0" applyNumberFormat="1" applyFont="1" applyFill="1" applyBorder="1"/>
    <x:xf numFmtId="0" fontId="5" fillId="19" borderId="0" xfId="0" applyNumberFormat="1" applyFont="1" applyFill="1" applyBorder="1" applyAlignment="1">
      <x:alignment vertical="top" wrapText="1"/>
    </x:xf>
    <x:xf numFmtId="0" fontId="2" fillId="19" borderId="0" xfId="0" applyNumberFormat="1" applyFont="1" applyFill="1" applyBorder="1"/>
    <x:xf numFmtId="0" fontId="5" fillId="19" borderId="0" xfId="0" applyNumberFormat="1" applyFont="1" applyFill="1" applyBorder="1" applyAlignment="1">
      <x:alignment horizontal="center" vertical="top" wrapText="1"/>
    </x:xf>
    <x:xf numFmtId="0" fontId="2" fillId="19" borderId="0" xfId="0" applyNumberFormat="1" applyFont="1" applyFill="1" applyBorder="1" applyAlignment="1">
      <x:alignment horizontal="center"/>
    </x:xf>
    <x:xf numFmtId="0" fontId="5" fillId="19" borderId="0" xfId="0" applyNumberFormat="1" applyFont="1" applyFill="1" applyBorder="1" applyAlignment="1">
      <x:alignment horizontal="center" vertical="center" wrapText="1"/>
    </x:xf>
    <x:xf numFmtId="0" fontId="2" fillId="19" borderId="0" xfId="0" applyNumberFormat="1" applyFont="1" applyFill="1" applyBorder="1" applyAlignment="1">
      <x:alignment horizontal="center" vertical="center"/>
    </x:xf>
    <x:xf numFmtId="0" fontId="0" fillId="20" borderId="0" xfId="0" applyNumberFormat="1" applyFont="1" applyFill="1" applyBorder="1"/>
    <x:xf numFmtId="0" fontId="16" fillId="20" borderId="0" xfId="0" applyNumberFormat="1" applyFont="1" applyFill="1" applyBorder="1"/>
    <x:xf numFmtId="0" fontId="16" fillId="20" borderId="0" xfId="0" applyNumberFormat="1" applyFont="1" applyFill="1" applyBorder="1" applyAlignment="1">
      <x:alignment horizontal="center"/>
    </x:xf>
    <x:xf numFmtId="0" fontId="16" fillId="20" borderId="0" xfId="0" applyNumberFormat="1" applyFont="1" applyFill="1" applyBorder="1" applyAlignment="1">
      <x:alignment horizontal="center" vertical="center"/>
    </x:xf>
    <x:xf numFmtId="0" fontId="0" fillId="21" borderId="0" xfId="0" applyNumberFormat="1" applyFont="1" applyFill="1" applyBorder="1"/>
    <x:xf numFmtId="0" fontId="2" fillId="21" borderId="0" xfId="0" applyNumberFormat="1" applyFont="1" applyFill="1" applyBorder="1"/>
    <x:xf numFmtId="0" fontId="2" fillId="19" xfId="0" applyNumberFormat="1" applyFont="1" applyFill="1" applyBorder="0" applyAlignment="1">
      <x:alignment horizontal="center" vertical="center"/>
    </x:xf>
    <x:xf numFmtId="0" fontId="6" fillId="0" borderId="0" xfId="0" applyNumberFormat="1" applyFont="1" applyFill="1" applyBorder="1" applyAlignment="1">
      <x:alignment vertical="center" wrapText="1"/>
    </x:xf>
    <x:xf numFmtId="0" fontId="0" fillId="22" borderId="0" xfId="0" applyNumberFormat="1" applyFont="1" applyFill="1" applyBorder="1"/>
    <x:xf numFmtId="0" fontId="8" fillId="22" borderId="0" xfId="0" applyNumberFormat="1" applyFont="1" applyFill="1" applyBorder="1"/>
    <x:xf numFmtId="0" fontId="2" fillId="2" xfId="0" applyNumberFormat="1" applyFont="1" applyFill="1" applyBorder="0" applyAlignment="1">
      <x:alignment horizontal="center" vertical="center"/>
    </x:xf>
    <x:xf numFmtId="0" fontId="5" fillId="23" borderId="0" xfId="0" applyNumberFormat="1" applyFont="1" applyFill="1" applyBorder="1" applyAlignment="1">
      <x:alignment horizontal="center" vertical="top" wrapText="1"/>
    </x:xf>
    <x:xf numFmtId="0" fontId="6" fillId="23" borderId="0" xfId="0" applyNumberFormat="1" applyFont="1" applyFill="1" applyBorder="1" applyAlignment="1">
      <x:alignment vertical="top" wrapText="1"/>
    </x:xf>
    <x:xf numFmtId="0" fontId="4" fillId="23" borderId="0" xfId="0" applyNumberFormat="1" applyFont="1" applyFill="1" applyBorder="1" applyAlignment="1">
      <x:alignment horizontal="center" vertical="center"/>
    </x:xf>
    <x:xf numFmtId="0" fontId="0" fillId="23" borderId="0" xfId="0" applyNumberFormat="1" applyFont="1" applyFill="1" applyBorder="1"/>
    <x:xf numFmtId="0" fontId="9" fillId="23" borderId="0" xfId="0" applyNumberFormat="1" applyFont="1" applyFill="1" applyBorder="1" applyAlignment="1">
      <x:alignment horizontal="center" vertical="top" wrapText="1"/>
    </x:xf>
    <x:xf numFmtId="0" fontId="9" fillId="23" borderId="0" xfId="0" applyNumberFormat="1" applyFont="1" applyFill="1" applyBorder="1" applyAlignment="1">
      <x:alignment vertical="top" wrapText="1"/>
    </x:xf>
    <x:xf numFmtId="0" fontId="10" fillId="23" borderId="0" xfId="0" applyNumberFormat="1" applyFont="1" applyFill="1" applyBorder="1" applyAlignment="1">
      <x:alignment horizontal="center" vertical="center"/>
    </x:xf>
    <x:xf numFmtId="0" fontId="10" fillId="23" borderId="0" xfId="0" applyNumberFormat="1" applyFont="1" applyFill="1" applyBorder="1"/>
    <x:xf numFmtId="0" fontId="10" fillId="23" borderId="0" xfId="0" applyNumberFormat="1" applyFont="1" applyFill="1" applyBorder="1" applyAlignment="1">
      <x:alignment horizontal="center"/>
    </x:xf>
    <x:xf numFmtId="0" fontId="9" fillId="23" borderId="0" xfId="0" applyNumberFormat="1" applyFont="1" applyFill="1" applyBorder="1" applyAlignment="1">
      <x:alignment horizontal="center" vertical="center" wrapText="1"/>
    </x:xf>
    <x:xf numFmtId="0" fontId="0" fillId="24" borderId="0" xfId="0" applyNumberFormat="1" applyFont="1" applyFill="1" applyBorder="1"/>
    <x:xf numFmtId="0" fontId="17" fillId="24" borderId="0" xfId="0" applyNumberFormat="1" applyFont="1" applyFill="1" applyBorder="1"/>
    <x:xf numFmtId="0" fontId="17" fillId="24" borderId="0" xfId="0" applyNumberFormat="1" applyFont="1" applyFill="1" applyBorder="1" applyAlignment="1">
      <x:alignment horizontal="center"/>
    </x:xf>
    <x:xf numFmtId="0" fontId="2" fillId="25" borderId="0" xfId="0" applyNumberFormat="1" applyFont="1" applyFill="1" applyBorder="1" applyAlignment="1">
      <x:alignment horizontal="center" vertical="center"/>
    </x:xf>
    <x:xf numFmtId="0" fontId="3" fillId="25" borderId="0" xfId="0" applyNumberFormat="1" applyFont="1" applyFill="1" applyBorder="1" applyAlignment="1">
      <x:alignment horizontal="center" vertical="center"/>
    </x:xf>
    <x:xf numFmtId="0" fontId="0" fillId="26" borderId="0" xfId="0" applyNumberFormat="1" applyFont="1" applyFill="1" applyBorder="1"/>
    <x:xf numFmtId="0" fontId="18" fillId="26" borderId="0" xfId="0" applyNumberFormat="1" applyFont="1" applyFill="1" applyBorder="1"/>
    <x:xf numFmtId="0" fontId="18" fillId="26" xfId="0" applyNumberFormat="1" applyFont="1" applyFill="1" applyBorder="0"/>
    <x:xf numFmtId="0" fontId="18" fillId="26" xfId="0" applyNumberFormat="1" applyFont="1" applyFill="1" applyBorder="0" applyAlignment="1">
      <x:alignment horizontal="center"/>
    </x:xf>
    <x:xf numFmtId="0" fontId="18" fillId="26" xfId="0" applyNumberFormat="1" applyFont="1" applyFill="1" applyBorder="0" applyAlignment="1">
      <x:alignment horizontal="center" vertical="center"/>
    </x:xf>
    <x:xf numFmtId="0" fontId="0" fillId="27" borderId="0" xfId="0" applyNumberFormat="1" applyFont="1" applyFill="1" applyBorder="1"/>
    <x:xf numFmtId="200" fontId="0" fillId="27" borderId="0" xfId="0" applyNumberFormat="1" applyFont="1" applyFill="1" applyBorder="1"/>
    <x:xf numFmtId="0" fontId="18" fillId="27" borderId="0" xfId="0" applyNumberFormat="1" applyFont="1" applyFill="1" applyBorder="1"/>
    <x:xf numFmtId="200" fontId="18" fillId="27" borderId="0" xfId="0" applyNumberFormat="1" applyFont="1" applyFill="1" applyBorder="1"/>
    <x:xf numFmtId="0" fontId="18" fillId="27" xfId="0" applyNumberFormat="1" applyFont="1" applyFill="1" applyBorder="0"/>
    <x:xf numFmtId="200" fontId="18" fillId="27" xfId="0" applyNumberFormat="1" applyFont="1" applyFill="1" applyBorder="0"/>
    <x:xf numFmtId="0" fontId="18" fillId="27" xfId="0" applyNumberFormat="1" applyFont="1" applyFill="1" applyBorder="0" applyAlignment="1">
      <x:alignment horizontal="center"/>
    </x:xf>
    <x:xf numFmtId="200" fontId="18" fillId="27" xfId="0" applyNumberFormat="1" applyFont="1" applyFill="1" applyBorder="0" applyAlignment="1">
      <x:alignment horizontal="center"/>
    </x:xf>
    <x:xf numFmtId="0" fontId="18" fillId="27" xfId="0" applyNumberFormat="1" applyFont="1" applyFill="1" applyBorder="0" applyAlignment="1">
      <x:alignment horizontal="center" vertical="center"/>
    </x:xf>
    <x:xf numFmtId="200" fontId="18" fillId="27" xfId="0" applyNumberFormat="1" applyFont="1" applyFill="1" applyBorder="0" applyAlignment="1">
      <x:alignment horizontal="center" vertical="center"/>
    </x:xf>
    <x:xf numFmtId="0" fontId="2" fillId="25" borderId="0" xfId="0" applyNumberFormat="1" applyFont="1" applyFill="1" applyBorder="1"/>
    <x:xf numFmtId="0" fontId="3" fillId="25" borderId="0" xfId="0" applyNumberFormat="1" applyFont="1" applyFill="1" applyBorder="1"/>
    <x:xf numFmtId="0" fontId="3" fillId="25" borderId="0" xfId="0" applyNumberFormat="1" applyFont="1" applyFill="1" applyBorder="1" applyAlignment="1">
      <x:alignment horizontal="center"/>
    </x:xf>
    <x:xf numFmtId="0" fontId="0" fillId="28" borderId="0" xfId="0" applyNumberFormat="1" applyFont="1" applyFill="1" applyBorder="1"/>
    <x:xf numFmtId="0" fontId="18" fillId="28" borderId="0" xfId="0" applyNumberFormat="1" applyFont="1" applyFill="1" applyBorder="1"/>
    <x:xf numFmtId="0" fontId="18" fillId="28" xfId="0" applyNumberFormat="1" applyFont="1" applyFill="1" applyBorder="0"/>
    <x:xf numFmtId="0" fontId="18" fillId="28" xfId="0" applyNumberFormat="1" applyFont="1" applyFill="1" applyBorder="0" applyAlignment="1">
      <x:alignment horizontal="center"/>
    </x:xf>
    <x:xf numFmtId="0" fontId="18" fillId="28" xfId="0" applyNumberFormat="1" applyFont="1" applyFill="1" applyBorder="0" applyAlignment="1">
      <x:alignment horizontal="center" vertical="center"/>
    </x:xf>
    <x:xf numFmtId="0" fontId="0" fillId="25" borderId="0" xfId="0" applyNumberFormat="1" applyFont="1" applyFill="1" applyBorder="1"/>
    <x:xf numFmtId="200" fontId="18" fillId="26" xfId="0" applyNumberFormat="1" applyFont="1" applyFill="1" applyBorder="0" applyAlignment="1">
      <x:alignment horizontal="center" vertical="center"/>
    </x:xf>
    <x:xf numFmtId="0" fontId="0" fillId="29" borderId="0" xfId="0" applyNumberFormat="1" applyFont="1" applyFill="1" applyBorder="1"/>
    <x:xf numFmtId="200" fontId="0" fillId="29" borderId="0" xfId="0" applyNumberFormat="1" applyFont="1" applyFill="1" applyBorder="1"/>
    <x:xf numFmtId="0" fontId="2" fillId="29" borderId="0" xfId="0" applyNumberFormat="1" applyFont="1" applyFill="1" applyBorder="1"/>
    <x:xf numFmtId="200" fontId="2" fillId="29" borderId="0" xfId="0" applyNumberFormat="1" applyFont="1" applyFill="1" applyBorder="1"/>
    <x:xf numFmtId="0" fontId="2" fillId="29" borderId="0" xfId="0" applyNumberFormat="1" applyFont="1" applyFill="1" applyBorder="1" applyAlignment="1">
      <x:alignment vertical="center"/>
    </x:xf>
    <x:xf numFmtId="200" fontId="2" fillId="29" borderId="0" xfId="0" applyNumberFormat="1" applyFont="1" applyFill="1" applyBorder="1" applyAlignment="1">
      <x:alignment vertical="center"/>
    </x:xf>
    <x:xf numFmtId="200" fontId="0" fillId="23" borderId="0" xfId="0" applyNumberFormat="1" applyFont="1" applyFill="1" applyBorder="1"/>
    <x:xf numFmtId="0" fontId="2" fillId="23" borderId="0" xfId="0" applyNumberFormat="1" applyFont="1" applyFill="1" applyBorder="1"/>
    <x:xf numFmtId="200" fontId="2" fillId="23" borderId="0" xfId="0" applyNumberFormat="1" applyFont="1" applyFill="1" applyBorder="1"/>
    <x:xf numFmtId="0" fontId="2" fillId="23" borderId="0" xfId="0" applyNumberFormat="1" applyFont="1" applyFill="1" applyBorder="1" applyAlignment="1">
      <x:alignment horizontal="center"/>
    </x:xf>
    <x:xf numFmtId="200" fontId="2" fillId="23" borderId="0" xfId="0" applyNumberFormat="1" applyFont="1" applyFill="1" applyBorder="1" applyAlignment="1">
      <x:alignment horizontal="center"/>
    </x:xf>
    <x:xf numFmtId="0" fontId="2" fillId="23" borderId="0" xfId="0" applyNumberFormat="1" applyFont="1" applyFill="1" applyBorder="1" applyAlignment="1">
      <x:alignment horizontal="center" vertical="center"/>
    </x:xf>
    <x:xf numFmtId="200" fontId="2" fillId="23" borderId="0" xfId="0" applyNumberFormat="1" applyFont="1" applyFill="1" applyBorder="1" applyAlignment="1">
      <x:alignment horizontal="center" vertical="center"/>
    </x:xf>
    <x:xf numFmtId="0" fontId="5" fillId="23" borderId="0" xfId="0" applyNumberFormat="1" applyFont="1" applyFill="1" applyBorder="1" applyAlignment="1">
      <x:alignment horizontal="center" vertical="center" wrapText="1"/>
    </x:xf>
    <x:xf numFmtId="0" fontId="8" fillId="25" borderId="0" xfId="0" applyNumberFormat="1" applyFont="1" applyFill="1" applyBorder="1"/>
    <x:xf numFmtId="0" fontId="17" fillId="12" borderId="0" xfId="0" applyNumberFormat="1" applyFont="1" applyFill="1" applyBorder="1"/>
    <x:xf numFmtId="0" fontId="17" fillId="12"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3" fillId="4" borderId="0" xfId="0" applyNumberFormat="1" applyFont="1" applyFill="1" applyBorder="1" applyAlignment="1">
      <x:alignment horizontal="center" vertical="center"/>
    </x:xf>
    <x:xf numFmtId="0" fontId="2" fillId="4" borderId="0" xfId="0" applyNumberFormat="1" applyFont="1" applyFill="1" applyBorder="1"/>
    <x:xf numFmtId="0" fontId="3" fillId="4" borderId="0" xfId="0" applyNumberFormat="1" applyFont="1" applyFill="1" applyBorder="1" applyAlignment="1">
      <x:alignment horizontal="center"/>
    </x:xf>
    <x:xf numFmtId="0" fontId="18" fillId="16" borderId="0" xfId="0" applyNumberFormat="1" applyFont="1" applyFill="1" applyBorder="1"/>
    <x:xf numFmtId="0" fontId="18" fillId="16" xfId="0" applyNumberFormat="1" applyFont="1" applyFill="1" applyBorder="0"/>
    <x:xf numFmtId="0" fontId="18" fillId="16" xfId="0" applyNumberFormat="1" applyFont="1" applyFill="1" applyBorder="0" applyAlignment="1">
      <x:alignment horizontal="center"/>
    </x:xf>
    <x:xf numFmtId="0" fontId="18" fillId="16" xfId="0" applyNumberFormat="1" applyFont="1" applyFill="1" applyBorder="0" applyAlignment="1">
      <x:alignment horizontal="center" vertical="center"/>
    </x:xf>
    <x:xf numFmtId="200" fontId="0" fillId="2" borderId="0" xfId="0" applyNumberFormat="1" applyFont="1" applyFill="1" applyBorder="1"/>
    <x:xf numFmtId="200" fontId="2" fillId="2" borderId="0" xfId="0" applyNumberFormat="1" applyFont="1" applyFill="1" applyBorder="1"/>
    <x:xf numFmtId="200" fontId="2" fillId="2" borderId="0" xfId="0" applyNumberFormat="1" applyFont="1" applyFill="1" applyBorder="1" applyAlignment="1">
      <x:alignment horizontal="center"/>
    </x:xf>
    <x:xf numFmtId="0" fontId="0" fillId="30" borderId="0" xfId="0" applyNumberFormat="1" applyFont="1" applyFill="1" applyBorder="1"/>
    <x:xf numFmtId="0" fontId="2" fillId="30" borderId="0" xfId="0" applyNumberFormat="1" applyFont="1" applyFill="1" applyBorder="1"/>
    <x:xf numFmtId="0" fontId="2" fillId="30" borderId="0" xfId="0" applyNumberFormat="1" applyFont="1" applyFill="1" applyBorder="1" applyAlignment="1">
      <x:alignment horizontal="center"/>
    </x:xf>
    <x:xf numFmtId="0" fontId="0" fillId="31" borderId="0" xfId="0" applyNumberFormat="1" applyFont="1" applyFill="1" applyBorder="1"/>
    <x:xf numFmtId="0" fontId="19" fillId="31" borderId="0" xfId="0" applyNumberFormat="1" applyFont="1" applyFill="1" applyBorder="1"/>
    <x:xf numFmtId="0" fontId="19" fillId="31" borderId="0" xfId="0" applyNumberFormat="1" applyFont="1" applyFill="1" applyBorder="1" applyAlignment="1">
      <x:alignment horizontal="center"/>
    </x:xf>
    <x:xf numFmtId="0" fontId="0" fillId="32" borderId="0" xfId="0" applyNumberFormat="1" applyFont="1" applyFill="1" applyBorder="1"/>
    <x:xf numFmtId="0" fontId="20" fillId="32" borderId="0" xfId="0" applyNumberFormat="1" applyFont="1" applyFill="1" applyBorder="1"/>
    <x:xf numFmtId="0" fontId="20" fillId="32" borderId="0" xfId="0" applyNumberFormat="1" applyFont="1" applyFill="1" applyBorder="1" applyAlignment="1">
      <x:alignment horizontal="center"/>
    </x:xf>
    <x:xf numFmtId="0" fontId="0" fillId="33" borderId="0" xfId="0" applyNumberFormat="1" applyFont="1" applyFill="1" applyBorder="1"/>
    <x:xf numFmtId="0" fontId="8" fillId="33" borderId="0" xfId="0" applyNumberFormat="1" applyFont="1" applyFill="1" applyBorder="1"/>
    <x:xf numFmtId="0" fontId="19" fillId="3" borderId="0" xfId="0" applyNumberFormat="1" applyFont="1" applyFill="1" applyBorder="1"/>
    <x:xf numFmtId="0" fontId="19" fillId="3" borderId="0" xfId="0" applyNumberFormat="1" applyFont="1" applyFill="1" applyBorder="1" applyAlignment="1">
      <x:alignment horizontal="center"/>
    </x:xf>
    <x:xf numFmtId="0" fontId="20" fillId="20" borderId="0" xfId="0" applyNumberFormat="1" applyFont="1" applyFill="1" applyBorder="1"/>
    <x:xf numFmtId="0" fontId="20" fillId="20" borderId="0" xfId="0" applyNumberFormat="1" applyFont="1" applyFill="1" applyBorder="1" applyAlignment="1">
      <x:alignment horizontal="center"/>
    </x:xf>
    <x:xf numFmtId="0" fontId="0" fillId="34" borderId="0" xfId="0" applyNumberFormat="1" applyFont="1" applyFill="1" applyBorder="1"/>
    <x:xf numFmtId="0" fontId="8" fillId="34" borderId="0" xfId="0" applyNumberFormat="1" applyFont="1" applyFill="1" applyBorder="1"/>
    <x:xf numFmtId="0" fontId="8" fillId="34" borderId="0" xfId="0" applyNumberFormat="1" applyFont="1" applyFill="1" applyBorder="1" applyAlignment="1">
      <x:alignment wrapText="1"/>
    </x:xf>
    <x:xf numFmtId="0" fontId="0" fillId="0" borderId="0" xfId="0" applyNumberFormat="1" applyFont="1" applyFill="1" applyBorder="1" applyAlignment="1">
      <x:alignment wrapText="1"/>
    </x:xf>
    <x:xf numFmtId="0" fontId="8" fillId="4" borderId="0" xfId="0" applyNumberFormat="1" applyFont="1" applyFill="1" applyBorder="1" applyAlignment="1">
      <x:alignment wrapText="1"/>
    </x:xf>
    <x:xf numFmtId="0" fontId="0" fillId="35" borderId="0" xfId="0" applyNumberFormat="1" applyFont="1" applyFill="1" applyBorder="1"/>
    <x:xf numFmtId="0" fontId="8" fillId="35" borderId="0" xfId="0" applyNumberFormat="1" applyFont="1" applyFill="1" applyBorder="1"/>
    <x:xf numFmtId="0" fontId="8" fillId="35" borderId="0" xfId="0" applyNumberFormat="1" applyFont="1" applyFill="1" applyBorder="1" applyAlignment="1">
      <x:alignment wrapText="1"/>
    </x:xf>
    <x:xf numFmtId="0" fontId="0" fillId="36" borderId="0" xfId="0" applyNumberFormat="1" applyFont="1" applyFill="1" applyBorder="1"/>
    <x:xf numFmtId="0" fontId="21" fillId="36" borderId="0" xfId="0" applyNumberFormat="1" applyFont="1" applyFill="1" applyBorder="1"/>
    <x:xf numFmtId="0" fontId="21" fillId="36" borderId="0" xfId="0" applyNumberFormat="1" applyFont="1" applyFill="1" applyBorder="1" applyAlignment="1">
      <x:alignment horizontal="center"/>
    </x:xf>
    <x:xf numFmtId="0" fontId="21" fillId="36" borderId="0" xfId="0" applyNumberFormat="1" applyFont="1" applyFill="1" applyBorder="1" applyAlignment="1">
      <x:alignment horizontal="center" vertical="center"/>
    </x:xf>
    <x:xf numFmtId="0" fontId="0" fillId="37" borderId="0" xfId="0" applyNumberFormat="1" applyFont="1" applyFill="1" applyBorder="1"/>
    <x:xf numFmtId="200" fontId="0" fillId="37" borderId="0" xfId="0" applyNumberFormat="1" applyFont="1" applyFill="1" applyBorder="1"/>
    <x:xf numFmtId="0" fontId="22" fillId="37" borderId="0" xfId="0" applyNumberFormat="1" applyFont="1" applyFill="1" applyBorder="1"/>
    <x:xf numFmtId="200" fontId="22" fillId="37" borderId="0" xfId="0" applyNumberFormat="1" applyFont="1" applyFill="1" applyBorder="1"/>
    <x:xf numFmtId="200" fontId="22" fillId="37" borderId="0" xfId="0" applyNumberFormat="1" applyFont="1" applyFill="1" applyBorder="1" applyAlignment="1">
      <x:alignment horizontal="center"/>
    </x:xf>
    <x:xf numFmtId="0" fontId="22" fillId="37" borderId="0" xfId="0" applyNumberFormat="1" applyFont="1" applyFill="1" applyBorder="1" applyAlignment="1">
      <x:alignment horizontal="center"/>
    </x:xf>
    <x:xf numFmtId="0" fontId="0" fillId="38" borderId="0" xfId="0" applyNumberFormat="1" applyFont="1" applyFill="1" applyBorder="1" applyAlignment="1">
      <x:alignment wrapText="1"/>
    </x:xf>
    <x:xf numFmtId="0" fontId="2" fillId="38" borderId="0" xfId="0" applyNumberFormat="1" applyFont="1" applyFill="1" applyBorder="1" applyAlignment="1">
      <x:alignment wrapText="1"/>
    </x:xf>
    <x:xf numFmtId="0" fontId="0" fillId="37" borderId="0" xfId="0" applyNumberFormat="1" applyFont="1" applyFill="1" applyBorder="1" applyAlignment="1">
      <x:alignment wrapText="1"/>
    </x:xf>
    <x:xf numFmtId="0" fontId="22" fillId="37" borderId="0" xfId="0" applyNumberFormat="1" applyFont="1" applyFill="1" applyBorder="1" applyAlignment="1">
      <x:alignment wrapText="1"/>
    </x:xf>
    <x:xf numFmtId="0" fontId="0" fillId="36" borderId="0" xfId="0" applyNumberFormat="1" applyFont="1" applyFill="1" applyBorder="1" applyAlignment="1">
      <x:alignment wrapText="1"/>
    </x:xf>
    <x:xf numFmtId="0" fontId="22" fillId="36" borderId="0" xfId="0" applyNumberFormat="1" applyFont="1" applyFill="1" applyBorder="1" applyAlignment="1">
      <x:alignment wrapText="1"/>
    </x:xf>
    <x:xf numFmtId="0" fontId="22" fillId="4" borderId="0" xfId="0" applyNumberFormat="1" applyFont="1" applyFill="1" applyBorder="1"/>
    <x:xf numFmtId="200" fontId="22" fillId="4" borderId="0" xfId="0" applyNumberFormat="1" applyFont="1" applyFill="1" applyBorder="1"/>
    <x:xf numFmtId="200" fontId="22" fillId="4" borderId="0" xfId="0" applyNumberFormat="1" applyFont="1" applyFill="1" applyBorder="1" applyAlignment="1">
      <x:alignment horizontal="center"/>
    </x:xf>
    <x:xf numFmtId="0" fontId="22" fillId="4" borderId="0" xfId="0" applyNumberFormat="1" applyFont="1" applyFill="1" applyBorder="1" applyAlignment="1">
      <x:alignment horizontal="center"/>
    </x:xf>
    <x:xf numFmtId="0" fontId="0" fillId="3" borderId="0" xfId="0" applyNumberFormat="1" applyFont="1" applyFill="1" applyBorder="1" applyAlignment="1">
      <x:alignment wrapText="1"/>
    </x:xf>
    <x:xf numFmtId="0" fontId="2" fillId="3" borderId="0" xfId="0" applyNumberFormat="1" applyFont="1" applyFill="1" applyBorder="1" applyAlignment="1">
      <x:alignment wrapText="1"/>
    </x:xf>
    <x:xf numFmtId="0" fontId="0" fillId="4" borderId="0" xfId="0" applyNumberFormat="1" applyFont="1" applyFill="1" applyBorder="1" applyAlignment="1">
      <x:alignment wrapText="1"/>
    </x:xf>
    <x:xf numFmtId="0" fontId="22" fillId="4" borderId="0" xfId="0" applyNumberFormat="1" applyFont="1" applyFill="1" applyBorder="1" applyAlignment="1">
      <x:alignment wrapText="1"/>
    </x:xf>
    <x:xf numFmtId="0" fontId="0" fillId="39" borderId="0" xfId="0" applyNumberFormat="1" applyFont="1" applyFill="1" applyBorder="1"/>
    <x:xf numFmtId="0" fontId="19" fillId="39" borderId="0" xfId="0" applyNumberFormat="1" applyFont="1" applyFill="1" applyBorder="1"/>
    <x:xf numFmtId="0" fontId="19" fillId="39" borderId="0" xfId="0" applyNumberFormat="1" applyFont="1" applyFill="1" applyBorder="1" applyAlignment="1">
      <x:alignment wrapText="1"/>
    </x:xf>
    <x:xf numFmtId="0" fontId="19" fillId="39" borderId="0" xfId="0" applyNumberFormat="1" applyFont="1" applyFill="1" applyBorder="1" applyAlignment="1">
      <x:alignment horizontal="center" wrapText="1"/>
    </x:xf>
    <x:xf numFmtId="0" fontId="19" fillId="39" borderId="0" xfId="0" applyNumberFormat="1" applyFont="1" applyFill="1" applyBorder="1" applyAlignment="1">
      <x:alignment horizontal="center" vertical="center" wrapText="1"/>
    </x:xf>
    <x:xf numFmtId="0" fontId="0" fillId="40" borderId="0" xfId="0" applyNumberFormat="1" applyFont="1" applyFill="1" applyBorder="1"/>
    <x:xf numFmtId="0" fontId="23" fillId="40" borderId="0" xfId="0" applyNumberFormat="1" applyFont="1" applyFill="1" applyBorder="1"/>
    <x:xf numFmtId="0" fontId="23" fillId="40" borderId="0" xfId="0" applyNumberFormat="1" applyFont="1" applyFill="1" applyBorder="1" applyAlignment="1">
      <x:alignment horizontal="center"/>
    </x:xf>
    <x:xf numFmtId="0" fontId="23" fillId="40" borderId="0" xfId="0" applyNumberFormat="1" applyFont="1" applyFill="1" applyBorder="1" applyAlignment="1">
      <x:alignment horizontal="center" vertical="center"/>
    </x:xf>
    <x:xf numFmtId="0" fontId="0" fillId="41" borderId="0" xfId="0" applyNumberFormat="1" applyFont="1" applyFill="1" applyBorder="1"/>
    <x:xf numFmtId="0" fontId="24" fillId="41" borderId="0" xfId="0" applyNumberFormat="1" applyFont="1" applyFill="1" applyBorder="1"/>
    <x:xf numFmtId="0" fontId="24" fillId="41" borderId="0" xfId="0" applyNumberFormat="1" applyFont="1" applyFill="1" applyBorder="1" applyAlignment="1">
      <x:alignment wrapText="1"/>
    </x:xf>
    <x:xf numFmtId="0" fontId="24" fillId="41" borderId="0" xfId="0" applyNumberFormat="1" applyFont="1" applyFill="1" applyBorder="1" applyAlignment="1">
      <x:alignment horizontal="left" wrapText="1"/>
    </x:xf>
    <x:xf numFmtId="0" fontId="24" fillId="41" borderId="0" xfId="0" applyNumberFormat="1" applyFont="1" applyFill="1" applyBorder="1" applyAlignment="1">
      <x:alignment horizontal="left" vertical="center" wrapText="1"/>
    </x:xf>
    <x:xf numFmtId="0" fontId="0" fillId="42" borderId="0" xfId="0" applyNumberFormat="1" applyFont="1" applyFill="1" applyBorder="1"/>
    <x:xf numFmtId="0" fontId="2" fillId="42" borderId="0" xfId="0" applyNumberFormat="1" applyFont="1" applyFill="1" applyBorder="1"/>
    <x:xf numFmtId="0" fontId="2" fillId="42" borderId="0" xfId="0" applyNumberFormat="1" applyFont="1" applyFill="1" applyBorder="1" applyAlignment="1">
      <x:alignment horizontal="center"/>
    </x:xf>
    <x:xf numFmtId="0" fontId="2" fillId="39" borderId="0" xfId="0" applyNumberFormat="1" applyFont="1" applyFill="1" applyBorder="1"/>
    <x:xf numFmtId="0" fontId="2" fillId="39" borderId="0" xfId="0" applyNumberFormat="1" applyFont="1" applyFill="1" applyBorder="1" applyAlignment="1">
      <x:alignment wrapText="1"/>
    </x:xf>
    <x:xf numFmtId="0" fontId="2" fillId="39" borderId="0" xfId="0" applyNumberFormat="1" applyFont="1" applyFill="1" applyBorder="1" applyAlignment="1">
      <x:alignment horizontal="center" wrapText="1"/>
    </x:xf>
    <x:xf numFmtId="0" fontId="2" fillId="39"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wrapText="1"/>
    </x:xf>
    <x:xf numFmtId="204"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x:xf>
    <x:xf numFmtId="0" fontId="23" fillId="40" borderId="0" xfId="0" applyNumberFormat="1" applyFont="1" applyFill="1" applyBorder="1" applyAlignment="1">
      <x:alignment wrapText="1"/>
    </x:xf>
    <x:xf numFmtId="0" fontId="25" fillId="39" borderId="0" xfId="0" applyNumberFormat="1" applyFont="1" applyFill="1" applyBorder="1" applyAlignment="1">
      <x:alignment horizontal="center" vertical="center" wrapText="1"/>
    </x:xf>
    <x:xf numFmtId="0" fontId="26" fillId="0" borderId="0" xfId="0" applyNumberFormat="1" applyFont="1" applyFill="1" applyBorder="1" applyAlignment="1">
      <x:alignment horizontal="center" wrapText="1"/>
    </x:xf>
    <x:xf numFmtId="0" fontId="26" fillId="0" borderId="0" xfId="0" applyNumberFormat="1" applyFont="1" applyFill="1" applyBorder="1" applyAlignment="1">
      <x:alignment wrapText="1"/>
    </x:xf>
    <x:xf numFmtId="204" fontId="26" fillId="0" borderId="0" xfId="0" applyNumberFormat="1" applyFont="1" applyFill="1" applyBorder="1" applyAlignment="1">
      <x:alignment horizontal="center" wrapText="1"/>
    </x:xf>
    <x:xf numFmtId="0" fontId="22" fillId="41" borderId="0" xfId="0" applyNumberFormat="1" applyFont="1" applyFill="1" applyBorder="1" applyAlignment="1">
      <x:alignment wrapText="1"/>
    </x:xf>
    <x:xf numFmtId="0" fontId="23" fillId="41" borderId="0" xfId="0" applyNumberFormat="1" applyFont="1" applyFill="1" applyBorder="1" applyAlignment="1">
      <x:alignment wrapText="1"/>
    </x:xf>
    <x:xf numFmtId="0" fontId="19" fillId="2" borderId="0" xfId="0" applyNumberFormat="1" applyFont="1" applyFill="1" applyBorder="1"/>
    <x:xf numFmtId="0" fontId="19" fillId="2" borderId="0" xfId="0" applyNumberFormat="1" applyFont="1" applyFill="1" applyBorder="1" applyAlignment="1">
      <x:alignment wrapText="1"/>
    </x:xf>
    <x:xf numFmtId="0" fontId="19" fillId="2" borderId="0" xfId="0" applyNumberFormat="1" applyFont="1" applyFill="1" applyBorder="1" applyAlignment="1">
      <x:alignment horizontal="center" wrapText="1"/>
    </x:xf>
    <x:xf numFmtId="0" fontId="19" fillId="2" borderId="0" xfId="0" applyNumberFormat="1" applyFont="1" applyFill="1" applyBorder="1" applyAlignment="1">
      <x:alignment horizontal="center" vertical="center" wrapText="1"/>
    </x:xf>
    <x:xf numFmtId="0" fontId="23" fillId="4" borderId="0" xfId="0" applyNumberFormat="1" applyFont="1" applyFill="1" applyBorder="1"/>
    <x:xf numFmtId="0" fontId="23" fillId="4" borderId="0" xfId="0" applyNumberFormat="1" applyFont="1" applyFill="1" applyBorder="1" applyAlignment="1">
      <x:alignment horizontal="center"/>
    </x:xf>
    <x:xf numFmtId="0" fontId="23" fillId="4" borderId="0" xfId="0" applyNumberFormat="1" applyFont="1" applyFill="1" applyBorder="1" applyAlignment="1">
      <x:alignment horizontal="center" vertical="center"/>
    </x:xf>
    <x:xf numFmtId="0" fontId="2" fillId="3" borderId="0" xfId="0" applyNumberFormat="1" applyFont="1" applyFill="1" applyBorder="1" applyAlignment="1">
      <x:alignment horizontal="center"/>
    </x:xf>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3" fillId="4" borderId="0" xfId="0" applyNumberFormat="1" applyFont="1" applyFill="1" applyBorder="1" applyAlignment="1">
      <x:alignment wrapText="1"/>
    </x:xf>
    <x:xf numFmtId="0" fontId="25" fillId="2" borderId="0" xfId="0" applyNumberFormat="1" applyFont="1" applyFill="1" applyBorder="1" applyAlignment="1">
      <x:alignment horizontal="center" vertical="center" wrapText="1"/>
    </x:xf>
    <x:xf numFmtId="202" fontId="0" fillId="43" borderId="0" xfId="0" applyNumberFormat="1" applyFont="1" applyFill="1" applyBorder="1"/>
    <x:xf numFmtId="0" fontId="0" fillId="43" borderId="0" xfId="0" applyNumberFormat="1" applyFont="1" applyFill="1" applyBorder="1"/>
    <x:xf numFmtId="200" fontId="0" fillId="43" borderId="0" xfId="0" applyNumberFormat="1" applyFont="1" applyFill="1" applyBorder="1"/>
    <x:xf numFmtId="0" fontId="0" fillId="44" borderId="0" xfId="0" applyNumberFormat="1" applyFont="1" applyFill="1" applyBorder="1"/>
    <x:xf numFmtId="0" fontId="27" fillId="44" borderId="0" xfId="0" applyNumberFormat="1" applyFont="1" applyFill="1" applyBorder="1"/>
    <x:xf numFmtId="0" fontId="27" fillId="44" borderId="0" xfId="0" applyNumberFormat="1" applyFont="1" applyFill="1" applyBorder="1" applyAlignment="1">
      <x:alignment horizontal="center"/>
    </x:xf>
    <x:xf numFmtId="0" fontId="27" fillId="44" borderId="0" xfId="0" applyNumberFormat="1" applyFont="1" applyFill="1" applyBorder="1" applyAlignment="1">
      <x:alignment horizontal="center" vertical="center"/>
    </x:xf>
    <x:xf numFmtId="0" fontId="0" fillId="45" borderId="0" xfId="0" applyNumberFormat="1" applyFont="1" applyFill="1" applyBorder="1"/>
    <x:xf numFmtId="0" fontId="17" fillId="45" borderId="0" xfId="0" applyNumberFormat="1" applyFont="1" applyFill="1" applyBorder="1"/>
    <x:xf numFmtId="0" fontId="17" fillId="45" borderId="0" xfId="0" applyNumberFormat="1" applyFont="1" applyFill="1" applyBorder="1" applyAlignment="1">
      <x:alignment wrapText="1"/>
    </x:xf>
    <x:xf numFmtId="0" fontId="17" fillId="45" borderId="0" xfId="0" applyNumberFormat="1" applyFont="1" applyFill="1" applyBorder="1" applyAlignment="1">
      <x:alignment horizontal="center" wrapText="1"/>
    </x:xf>
    <x:xf numFmtId="0" fontId="17" fillId="45" borderId="0" xfId="0" applyNumberFormat="1" applyFont="1" applyFill="1" applyBorder="1" applyAlignment="1">
      <x:alignment horizontal="center" vertical="center" wrapText="1"/>
    </x:xf>
    <x:xf numFmtId="0" fontId="0" fillId="46" borderId="0" xfId="0" applyNumberFormat="1" applyFont="1" applyFill="1" applyBorder="1"/>
    <x:xf numFmtId="0" fontId="3" fillId="46" borderId="0" xfId="0" applyNumberFormat="1" applyFont="1" applyFill="1" applyBorder="1"/>
    <x:xf numFmtId="0" fontId="3" fillId="46" borderId="0" xfId="0" applyNumberFormat="1" applyFont="1" applyFill="1" applyBorder="1" applyAlignment="1">
      <x:alignment horizontal="center"/>
    </x:xf>
    <x:xf numFmtId="0" fontId="15" fillId="0" borderId="0" xfId="0" applyNumberFormat="1" applyFont="1" applyFill="1" applyBorder="1"/>
    <x:xf numFmtId="0" fontId="15" fillId="0" borderId="0" xfId="0" applyNumberFormat="1" applyFont="1" applyFill="1" applyBorder="1" applyAlignment="1">
      <x:alignment horizontal="center"/>
    </x:xf>
    <x:xf numFmtId="0" fontId="15" fillId="0" borderId="0" xfId="0" applyNumberFormat="1" applyFont="1" applyFill="1" applyBorder="1" applyAlignment="1">
      <x:alignment horizontal="center" vertical="center"/>
    </x:xf>
    <x:xf numFmtId="0" fontId="15" fillId="47" borderId="0" xfId="0" applyNumberFormat="1" applyFont="1" applyFill="1" applyBorder="1" applyAlignment="1">
      <x:alignment horizontal="center" vertical="center"/>
    </x:xf>
    <x:xf numFmtId="0" fontId="0" fillId="47" borderId="0" xfId="0" applyNumberFormat="1" applyFont="1" applyFill="1" applyBorder="1"/>
    <x:xf numFmtId="0" fontId="15" fillId="48" borderId="0" xfId="0" applyNumberFormat="1" applyFont="1" applyFill="1" applyBorder="1" applyAlignment="1">
      <x:alignment horizontal="center" vertical="center"/>
    </x:xf>
    <x:xf numFmtId="0" fontId="0" fillId="48" borderId="0" xfId="0" applyNumberFormat="1" applyFont="1" applyFill="1" applyBorder="1"/>
    <x:xf numFmtId="0" fontId="15" fillId="49" borderId="0" xfId="0" applyNumberFormat="1" applyFont="1" applyFill="1" applyBorder="1" applyAlignment="1">
      <x:alignment horizontal="center" vertical="center"/>
    </x:xf>
    <x:xf numFmtId="0" fontId="0" fillId="49" borderId="0" xfId="0" applyNumberFormat="1" applyFont="1" applyFill="1" applyBorder="1"/>
    <x:xf numFmtId="0" fontId="0" fillId="50" borderId="0" xfId="0" applyNumberFormat="1" applyFont="1" applyFill="1" applyBorder="1"/>
    <x:xf numFmtId="0" fontId="2" fillId="50" borderId="0" xfId="0" applyNumberFormat="1" applyFont="1" applyFill="1" applyBorder="1"/>
    <x:xf numFmtId="0" fontId="2" fillId="50" borderId="0" xfId="0" applyNumberFormat="1" applyFont="1" applyFill="1" applyBorder="1" applyAlignment="1">
      <x:alignment horizontal="center"/>
    </x:xf>
    <x:xf numFmtId="0" fontId="3" fillId="46" borderId="0" xfId="0" applyNumberFormat="1" applyFont="1" applyFill="1" applyBorder="1" applyAlignment="1">
      <x:alignment wrapText="1"/>
    </x:xf>
    <x:xf numFmtId="0" fontId="3" fillId="46" borderId="0" xfId="0" applyNumberFormat="1" applyFont="1" applyFill="1" applyBorder="1" applyAlignment="1">
      <x:alignment horizontal="center" wrapText="1"/>
    </x:xf>
    <x:xf numFmtId="0" fontId="3" fillId="46"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0" fontId="8" fillId="46" borderId="0" xfId="0" applyNumberFormat="1" applyFont="1" applyFill="1" applyBorder="1"/>
    <x:xf numFmtId="0" fontId="8" fillId="46" borderId="0" xfId="0" applyNumberFormat="1" applyFont="1" applyFill="1" applyBorder="1" applyAlignment="1">
      <x:alignment horizontal="center"/>
    </x:xf>
    <x:xf numFmtId="0" fontId="2" fillId="44" borderId="0" xfId="0" applyNumberFormat="1" applyFont="1" applyFill="1" applyBorder="1"/>
    <x:xf numFmtId="0" fontId="2" fillId="44" borderId="0" xfId="0" applyNumberFormat="1" applyFont="1" applyFill="1" applyBorder="1" applyAlignment="1">
      <x:alignment horizontal="center"/>
    </x:xf>
    <x:xf numFmtId="0" fontId="0" fillId="51" borderId="0" xfId="0" applyNumberFormat="1" applyFont="1" applyFill="1" applyBorder="1"/>
    <x:xf numFmtId="0" fontId="28" fillId="51" borderId="0" xfId="0" applyNumberFormat="1" applyFont="1" applyFill="1" applyBorder="1"/>
    <x:xf numFmtId="0" fontId="28" fillId="51" borderId="0" xfId="0" applyNumberFormat="1" applyFont="1" applyFill="1" applyBorder="1" applyAlignment="1">
      <x:alignment wrapText="1"/>
    </x:xf>
    <x:xf numFmtId="0" fontId="28" fillId="51" borderId="0" xfId="0" applyNumberFormat="1" applyFont="1" applyFill="1" applyBorder="1" applyAlignment="1">
      <x:alignment vertical="center" wrapText="1"/>
    </x:xf>
    <x:xf numFmtId="0" fontId="28" fillId="43" borderId="0" xfId="0" applyNumberFormat="1" applyFont="1" applyFill="1" applyBorder="1"/>
    <x:xf numFmtId="0" fontId="28" fillId="43" borderId="0" xfId="0" applyNumberFormat="1" applyFont="1" applyFill="1" applyBorder="1" applyAlignment="1">
      <x:alignment wrapText="1"/>
    </x:xf>
    <x:xf numFmtId="0" fontId="28" fillId="43" borderId="0" xfId="0" applyNumberFormat="1" applyFont="1" applyFill="1" applyBorder="1" applyAlignment="1">
      <x:alignment vertical="center" wrapText="1"/>
    </x:xf>
    <x:xf numFmtId="0" fontId="0" fillId="44" borderId="0" xfId="0" applyNumberFormat="1" applyFont="1" applyFill="1" applyBorder="1" applyAlignment="1">
      <x:alignment wrapText="1"/>
    </x:xf>
    <x:xf numFmtId="0" fontId="2" fillId="44" borderId="0" xfId="0" applyNumberFormat="1" applyFont="1" applyFill="1" applyBorder="1" applyAlignment="1">
      <x:alignment wrapText="1"/>
    </x:xf>
    <x:xf numFmtId="0" fontId="2" fillId="44" borderId="0" xfId="0" applyNumberFormat="1" applyFont="1" applyFill="1" applyBorder="1" applyAlignment="1">
      <x:alignment horizontal="center" wrapText="1"/>
    </x:xf>
    <x:xf numFmtId="0" fontId="0" fillId="46" borderId="0" xfId="0" applyNumberFormat="1" applyFont="1" applyFill="1" applyBorder="1" applyAlignment="1">
      <x:alignment wrapText="1"/>
    </x:xf>
    <x:xf numFmtId="0" fontId="23" fillId="46" borderId="0" xfId="0" applyNumberFormat="1" applyFont="1" applyFill="1" applyBorder="1" applyAlignment="1">
      <x:alignment wrapText="1"/>
    </x:xf>
    <x:xf numFmtId="0" fontId="8" fillId="46" borderId="0" xfId="0" applyNumberFormat="1" applyFont="1" applyFill="1" applyBorder="1" applyAlignment="1">
      <x:alignment wrapText="1"/>
    </x:xf>
    <x:xf numFmtId="0" fontId="27" fillId="2" borderId="0" xfId="0" applyNumberFormat="1" applyFont="1" applyFill="1" applyBorder="1"/>
    <x:xf numFmtId="0" fontId="27" fillId="2" borderId="0" xfId="0" applyNumberFormat="1" applyFont="1" applyFill="1" applyBorder="1" applyAlignment="1">
      <x:alignment horizontal="center"/>
    </x:xf>
    <x:xf numFmtId="0" fontId="27" fillId="2" borderId="0" xfId="0" applyNumberFormat="1" applyFont="1" applyFill="1" applyBorder="1" applyAlignment="1">
      <x:alignment horizontal="center" vertical="center"/>
    </x:xf>
    <x:xf numFmtId="0" fontId="17" fillId="12" borderId="0" xfId="0" applyNumberFormat="1" applyFont="1" applyFill="1" applyBorder="1" applyAlignment="1">
      <x:alignment wrapText="1"/>
    </x:xf>
    <x:xf numFmtId="0" fontId="17" fillId="12" borderId="0" xfId="0" applyNumberFormat="1" applyFont="1" applyFill="1" applyBorder="1" applyAlignment="1">
      <x:alignment horizontal="center" wrapText="1"/>
    </x:xf>
    <x:xf numFmtId="0" fontId="17" fillId="12" borderId="0" xfId="0" applyNumberFormat="1" applyFont="1" applyFill="1" applyBorder="1" applyAlignment="1">
      <x:alignment horizontal="center" vertical="center" wrapText="1"/>
    </x:xf>
    <x:xf numFmtId="0" fontId="15" fillId="15" borderId="0" xfId="0" applyNumberFormat="1" applyFont="1" applyFill="1" applyBorder="1" applyAlignment="1">
      <x:alignment horizontal="center" vertical="center"/>
    </x:xf>
    <x:xf numFmtId="0" fontId="15" fillId="16" borderId="0" xfId="0" applyNumberFormat="1" applyFont="1" applyFill="1" applyBorder="1" applyAlignment="1">
      <x:alignment horizontal="center" vertical="center"/>
    </x:xf>
    <x:xf numFmtId="0" fontId="15" fillId="27" borderId="0" xfId="0" applyNumberFormat="1" applyFont="1" applyFill="1" applyBorder="1" applyAlignment="1">
      <x:alignment horizontal="center" vertical="center"/>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8" fillId="4" borderId="0" xfId="0" applyNumberFormat="1" applyFont="1" applyFill="1" applyBorder="1" applyAlignment="1">
      <x:alignment horizontal="center"/>
    </x:xf>
    <x:xf numFmtId="0" fontId="0" fillId="2" borderId="0" xfId="0" applyNumberFormat="1" applyFont="1" applyFill="1" applyBorder="1" applyAlignment="1">
      <x:alignment wrapText="1"/>
    </x:xf>
    <x:xf numFmtId="0" fontId="8" fillId="52" borderId="0" xfId="0" applyNumberFormat="1" applyFont="1" applyFill="1" applyBorder="1" applyAlignment="1">
      <x:alignment horizontal="center"/>
    </x:xf>
    <x:xf numFmtId="0" fontId="3" fillId="52" borderId="0" xfId="0" applyNumberFormat="1" applyFont="1" applyFill="1" applyBorder="1" applyAlignment="1">
      <x:alignment horizontal="center"/>
    </x:xf>
    <x:xf numFmtId="0" fontId="3" fillId="52" borderId="0" xfId="0" applyNumberFormat="1" applyFont="1" applyFill="1" applyBorder="1" applyAlignment="1">
      <x:alignment horizontal="center" wrapText="1"/>
    </x:xf>
    <x:xf numFmtId="0" fontId="3" fillId="52" borderId="0" xfId="0" applyNumberFormat="1" applyFont="1" applyFill="1" applyBorder="1" applyAlignment="1">
      <x:alignment horizontal="center" vertical="center" wrapText="1"/>
    </x:xf>
    <x:xf numFmtId="0" fontId="0" fillId="52" borderId="0" xfId="0" applyNumberFormat="1" applyFont="1" applyFill="1" applyBorder="1"/>
    <x:xf numFmtId="0" fontId="3" fillId="52" borderId="0" xfId="0" applyNumberFormat="1" applyFont="1" applyFill="1" applyBorder="1"/>
    <x:xf numFmtId="0" fontId="3" fillId="52" borderId="0" xfId="0" applyNumberFormat="1" applyFont="1" applyFill="1" applyBorder="1" applyAlignment="1">
      <x:alignment wrapText="1"/>
    </x:xf>
    <x:xf numFmtId="0" fontId="0" fillId="53" borderId="0" xfId="0" applyNumberFormat="1" applyFont="1" applyFill="1" applyBorder="1" applyAlignment="1">
      <x:alignment wrapText="1"/>
    </x:xf>
    <x:xf numFmtId="0" fontId="28" fillId="53" borderId="0" xfId="0" applyNumberFormat="1" applyFont="1" applyFill="1" applyBorder="1" applyAlignment="1">
      <x:alignment wrapText="1"/>
    </x:xf>
    <x:xf numFmtId="0" fontId="28" fillId="53" borderId="0" xfId="0" applyNumberFormat="1" applyFont="1" applyFill="1" applyBorder="1" applyAlignment="1">
      <x:alignment vertical="center" wrapText="1"/>
    </x:xf>
    <x:xf numFmtId="0" fontId="0" fillId="53" borderId="0" xfId="0" applyNumberFormat="1" applyFont="1" applyFill="1" applyBorder="1"/>
    <x:xf numFmtId="0" fontId="28" fillId="53" borderId="0" xfId="0" applyNumberFormat="1" applyFont="1" applyFill="1" applyBorder="1"/>
    <x:xf numFmtId="0" fontId="0" fillId="54" borderId="0" xfId="0" applyNumberFormat="1" applyFont="1" applyFill="1" applyBorder="1" applyAlignment="1">
      <x:alignment wrapText="1"/>
    </x:xf>
    <x:xf numFmtId="0" fontId="28" fillId="54" borderId="0" xfId="0" applyNumberFormat="1" applyFont="1" applyFill="1" applyBorder="1" applyAlignment="1">
      <x:alignment wrapText="1"/>
    </x:xf>
    <x:xf numFmtId="0" fontId="28" fillId="54" borderId="0" xfId="0" applyNumberFormat="1" applyFont="1" applyFill="1" applyBorder="1" applyAlignment="1">
      <x:alignment vertical="center" wrapText="1"/>
    </x:xf>
    <x:xf numFmtId="0" fontId="0" fillId="54" borderId="0" xfId="0" applyNumberFormat="1" applyFont="1" applyFill="1" applyBorder="1"/>
    <x:xf numFmtId="0" fontId="28" fillId="54" borderId="0" xfId="0" applyNumberFormat="1" applyFont="1" applyFill="1" applyBorder="1"/>
    <x:xf numFmtId="0" fontId="0" fillId="0" borderId="0" xfId="0" applyNumberFormat="1" applyFont="1" applyFill="1" applyBorder="1" applyAlignment="1">
      <x:alignment horizontal="center" vertical="top" wrapText="1"/>
    </x:xf>
    <x:xf numFmtId="0" fontId="0" fillId="0" borderId="0" xfId="0" applyNumberFormat="1" applyFont="1" applyFill="1" applyBorder="1" applyAlignment="1">
      <x:alignment horizontal="center" vertical="center" wrapText="1"/>
    </x:xf>
    <x:xf numFmtId="0" fontId="0" fillId="43" borderId="0" xfId="0" applyNumberFormat="1" applyFont="1" applyFill="1" applyBorder="1" applyAlignment="1">
      <x:alignment wrapText="1"/>
    </x:xf>
    <x:xf numFmtId="202" fontId="2" fillId="2" borderId="0" xfId="0" applyNumberFormat="1" applyFont="1" applyFill="1" applyBorder="1" applyAlignment="1">
      <x:alignment horizontal="center" vertical="center"/>
    </x:xf>
    <x:xf numFmtId="0" fontId="23" fillId="55" borderId="0" xfId="0" applyNumberFormat="1" applyFont="1" applyFill="1" applyBorder="1" applyAlignment="1">
      <x:alignment wrapText="1"/>
    </x:xf>
    <x:xf numFmtId="0" fontId="0" fillId="55" borderId="0" xfId="0" applyNumberFormat="1" applyFont="1" applyFill="1" applyBorder="1"/>
    <x:xf numFmtId="0" fontId="8" fillId="55" borderId="0" xfId="0" applyNumberFormat="1" applyFont="1" applyFill="1" applyBorder="1"/>
    <x:xf numFmtId="0" fontId="8" fillId="55" borderId="0" xfId="0" applyNumberFormat="1" applyFont="1" applyFill="1" applyBorder="1" applyAlignment="1">
      <x:alignment wrapText="1"/>
    </x:xf>
    <x:xf numFmtId="0" fontId="29" fillId="0" borderId="0" xfId="0" applyNumberFormat="1" applyFont="1" applyFill="1" applyBorder="1"/>
    <x:xf numFmtId="0" fontId="29" fillId="0" borderId="0" xfId="0" applyNumberFormat="1" applyFont="1" applyFill="1" applyBorder="1" applyAlignment="1">
      <x:alignment vertical="center"/>
    </x:xf>
    <x:xf numFmtId="0" fontId="29" fillId="56" borderId="0" xfId="0" applyNumberFormat="1" applyFont="1" applyFill="1" applyBorder="1" applyAlignment="1">
      <x:alignment vertical="center"/>
    </x:xf>
    <x:xf numFmtId="0" fontId="30" fillId="56" borderId="0" xfId="0" applyNumberFormat="1" applyFont="1" applyFill="1" applyBorder="1" applyAlignment="1">
      <x:alignment vertical="center"/>
    </x:xf>
    <x:xf numFmtId="0" fontId="30" fillId="56" borderId="0" xfId="0" applyNumberFormat="1" applyFont="1" applyFill="1" applyBorder="1" applyAlignment="1">
      <x:alignment horizontal="center" vertical="center"/>
    </x:xf>
    <x:xf numFmtId="0" fontId="29" fillId="57" borderId="0" xfId="0" applyNumberFormat="1" applyFont="1" applyFill="1" applyBorder="1" applyAlignment="1">
      <x:alignment vertical="center"/>
    </x:xf>
    <x:xf numFmtId="0" fontId="5" fillId="57" borderId="0" xfId="0" applyNumberFormat="1" applyFont="1" applyFill="1" applyBorder="1" applyAlignment="1">
      <x:alignment vertical="center"/>
    </x:xf>
    <x:xf numFmtId="0" fontId="5" fillId="57" borderId="0" xfId="0" applyNumberFormat="1" applyFont="1" applyFill="1" applyBorder="1" applyAlignment="1">
      <x:alignment horizontal="center" vertical="center"/>
    </x:xf>
    <x:xf numFmtId="0" fontId="29" fillId="58" borderId="0" xfId="0" applyNumberFormat="1" applyFont="1" applyFill="1" applyBorder="1" applyAlignment="1">
      <x:alignment vertical="center"/>
    </x:xf>
    <x:xf numFmtId="0" fontId="31" fillId="58" borderId="0" xfId="0" applyNumberFormat="1" applyFont="1" applyFill="1" applyBorder="1" applyAlignment="1">
      <x:alignment vertical="center"/>
    </x:xf>
    <x:xf numFmtId="0" fontId="31" fillId="58" borderId="0" xfId="0" applyNumberFormat="1" applyFont="1" applyFill="1" applyBorder="1" applyAlignment="1">
      <x:alignment horizontal="center" vertical="center"/>
    </x:xf>
    <x:xf numFmtId="0" fontId="29" fillId="0" xfId="0" applyNumberFormat="1" applyFont="1" applyFill="1" applyBorder="0" applyAlignment="1">
      <x:alignment vertical="center"/>
    </x:xf>
    <x:xf numFmtId="0" fontId="32" fillId="0" xfId="0" applyNumberFormat="1" applyFont="1" applyFill="1" applyBorder="0" applyAlignment="1">
      <x:alignment vertical="center"/>
    </x:xf>
    <x:xf numFmtId="0" fontId="29" fillId="0" xfId="0" applyNumberFormat="1" applyFont="1" applyFill="1" applyBorder="0" applyAlignment="1">
      <x:alignment horizontal="center" vertical="center"/>
    </x:xf>
    <x:xf numFmtId="200" fontId="29" fillId="0" xfId="0" applyNumberFormat="1" applyFont="1" applyFill="1" applyBorder="0" applyAlignment="1">
      <x:alignment horizontal="center" vertical="center"/>
    </x:xf>
    <x:xf numFmtId="201" fontId="29" fillId="0" xfId="0" applyNumberFormat="1" applyFont="1" applyFill="1" applyBorder="0" applyAlignment="1">
      <x:alignment horizontal="center" vertical="center"/>
    </x:xf>
    <x:xf numFmtId="0" fontId="29" fillId="0" borderId="0" xfId="0" applyNumberFormat="1" applyFont="1" applyFill="1" applyBorder="1" applyAlignment="1">
      <x:alignment horizontal="center" vertical="center"/>
    </x:xf>
    <x:xf numFmtId="0" fontId="33" fillId="0" borderId="0" xfId="0" applyNumberFormat="1" applyFont="1" applyFill="1" applyBorder="1" applyAlignment="1">
      <x:alignment horizontal="center" vertical="center"/>
    </x:xf>
    <x:xf numFmtId="0" fontId="32" fillId="0" borderId="0" xfId="0" applyNumberFormat="1" applyFont="1" applyFill="1" applyBorder="1" applyAlignment="1">
      <x:alignment vertical="center"/>
    </x:xf>
    <x:xf numFmtId="0" fontId="34" fillId="0" borderId="0" xfId="0" applyNumberFormat="1" applyFont="1" applyFill="1" applyBorder="1" applyAlignment="1">
      <x:alignment vertical="center"/>
    </x:xf>
    <x:xf numFmtId="0" fontId="35" fillId="0" borderId="0" xfId="0" applyNumberFormat="1" applyFont="1" applyFill="1" applyBorder="1" applyAlignment="1">
      <x:alignment vertical="center"/>
    </x:xf>
    <x:xf numFmtId="0" fontId="33" fillId="0" xfId="0" applyNumberFormat="1" applyFont="1" applyFill="1" applyBorder="0" applyAlignment="1">
      <x:alignment horizontal="center" vertical="center"/>
    </x:xf>
    <x:xf numFmtId="0" fontId="34" fillId="0" xfId="0" applyNumberFormat="1" applyFont="1" applyFill="1" applyBorder="0" applyAlignment="1">
      <x:alignment vertical="center"/>
    </x:xf>
    <x:xf numFmtId="0" fontId="35" fillId="0" xfId="0" applyNumberFormat="1" applyFont="1" applyFill="1" applyBorder="0" applyAlignment="1">
      <x:alignment vertical="center"/>
    </x:xf>
    <x:xf numFmtId="200" fontId="34" fillId="0" xfId="0" applyNumberFormat="1" applyFont="1" applyFill="1" applyBorder="0" applyAlignment="1">
      <x:alignment vertical="center"/>
    </x:xf>
    <x:xf numFmtId="201" fontId="34" fillId="0" xfId="0" applyNumberFormat="1" applyFont="1" applyFill="1" applyBorder="0" applyAlignment="1">
      <x:alignment vertical="center"/>
    </x:xf>
    <x:xf numFmtId="0" fontId="36" fillId="56" borderId="0" xfId="0" applyNumberFormat="1" applyFont="1" applyFill="1" applyBorder="1" applyAlignment="1">
      <x:alignment vertical="center"/>
    </x:xf>
    <x:xf numFmtId="0" fontId="36" fillId="56" borderId="0" xfId="0" applyNumberFormat="1" applyFont="1" applyFill="1" applyBorder="1" applyAlignment="1">
      <x:alignment horizontal="left" vertical="center"/>
    </x:xf>
    <x:xf numFmtId="0" fontId="5" fillId="57" xfId="0" applyNumberFormat="1" applyFont="1" applyFill="1" applyBorder="0" applyAlignment="1">
      <x:alignment horizontal="center" vertical="center"/>
    </x:xf>
    <x:xf numFmtId="200" fontId="29" fillId="0" borderId="0" xfId="0" applyNumberFormat="1" applyFont="1" applyFill="1" applyBorder="1" applyAlignment="1">
      <x:alignment vertical="center"/>
    </x:xf>
    <x:xf numFmtId="200" fontId="29" fillId="0" xfId="0" applyNumberFormat="1" applyFont="1" applyFill="1" applyBorder="0" applyAlignment="1">
      <x:alignment vertical="center"/>
    </x:xf>
    <x:xf numFmtId="203" fontId="29" fillId="0" borderId="0" xfId="0" applyNumberFormat="1" applyFont="1" applyFill="1" applyBorder="1" applyAlignment="1">
      <x:alignment vertical="center"/>
    </x:xf>
    <x:xf numFmtId="203" fontId="29" fillId="0" xfId="0" applyNumberFormat="1" applyFont="1" applyFill="1" applyBorder="0" applyAlignment="1">
      <x:alignment vertical="center"/>
    </x:xf>
    <x:xf numFmtId="201" fontId="29" fillId="0" borderId="0" xfId="0" applyNumberFormat="1" applyFont="1" applyFill="1" applyBorder="1" applyAlignment="1">
      <x:alignment vertical="center"/>
    </x:xf>
    <x:xf numFmtId="201" fontId="29" fillId="0" xfId="0" applyNumberFormat="1" applyFont="1" applyFill="1" applyBorder="0" applyAlignment="1">
      <x:alignment vertical="center"/>
    </x:xf>
    <x:xf numFmtId="0" fontId="32" fillId="56" borderId="0" xfId="0" applyNumberFormat="1" applyFont="1" applyFill="1" applyBorder="1" applyAlignment="1">
      <x:alignment vertical="center"/>
    </x:xf>
    <x:xf numFmtId="201" fontId="29" fillId="56" borderId="0" xfId="0" applyNumberFormat="1" applyFont="1" applyFill="1" applyBorder="1" applyAlignment="1">
      <x:alignment vertical="center"/>
    </x:xf>
    <x:xf numFmtId="0" fontId="5" fillId="56" borderId="0" xfId="0" applyNumberFormat="1" applyFont="1" applyFill="1" applyBorder="1" applyAlignment="1">
      <x:alignment vertical="center"/>
    </x:xf>
    <x:xf numFmtId="201" fontId="5" fillId="56" borderId="0" xfId="0" applyNumberFormat="1" applyFont="1" applyFill="1" applyBorder="1" applyAlignment="1">
      <x:alignment vertical="center"/>
    </x:xf>
    <x:xf numFmtId="0" fontId="5" fillId="56" xfId="0" applyNumberFormat="1" applyFont="1" applyFill="1" applyBorder="0" applyAlignment="1">
      <x:alignment vertical="center"/>
    </x:xf>
    <x:xf numFmtId="201" fontId="5" fillId="56" xfId="0" applyNumberFormat="1" applyFont="1" applyFill="1" applyBorder="0" applyAlignment="1">
      <x:alignment vertical="center"/>
    </x:xf>
    <x:xf numFmtId="0" fontId="29" fillId="0" borderId="0" xfId="0" applyNumberFormat="1" applyFont="1" applyFill="1" applyBorder="1" applyAlignment="1">
      <x:alignment vertical="center" wrapText="1"/>
    </x:xf>
    <x:xf numFmtId="0" fontId="29" fillId="0" xfId="0" applyNumberFormat="1" applyFont="1" applyFill="1" applyBorder="0" applyAlignment="1">
      <x:alignment vertical="center" wrapText="1"/>
    </x:xf>
  </x:cellXfs>
  <x:cellStyles count="1">
    <x:cellStyle name="Normal" xfId="0"/>
  </x:cellStyles>
  <x:dxfs count="143">
    <x:dxf>
      <x:fill>
        <x:patternFill>
          <x:bgColor rgb="FFFCE8E6"/>
        </x:patternFill>
      </x:fill>
    </x:dxf>
    <x:dxf>
      <x:fill>
        <x:patternFill>
          <x:bgColor rgb="FFFFF2CC"/>
        </x:patternFill>
      </x:fill>
    </x:dxf>
    <x:dxf>
      <x:fill>
        <x:patternFill>
          <x:bgColor rgb="FFFCE8E6"/>
        </x:patternFill>
      </x:fill>
    </x:dxf>
    <x:dxf>
      <x:fill>
        <x:patternFill>
          <x:bgColor rgb="FFE2F0D9"/>
        </x:patternFill>
      </x:fill>
    </x:dxf>
    <x:dxf>
      <x:fill>
        <x:patternFill>
          <x:bgColor rgb="FFFCE8E6"/>
        </x:patternFill>
      </x:fill>
    </x:dxf>
    <x:dxf>
      <x:fill>
        <x:patternFill>
          <x:bgColor rgb="FFFFF2CC"/>
        </x:patternFill>
      </x:fill>
    </x:dxf>
    <x:dxf>
      <x:fill>
        <x:patternFill>
          <x:bgColor rgb="FFFCE8E6"/>
        </x:patternFill>
      </x:fill>
    </x:dxf>
    <x:dxf>
      <x:fill>
        <x:patternFill>
          <x:bgColor rgb="FFFCE8E6"/>
        </x:patternFill>
      </x:fill>
    </x:dxf>
    <x:dxf>
      <x:fill>
        <x:patternFill>
          <x:bgColor rgb="FFFFF2CC"/>
        </x:patternFill>
      </x:fill>
    </x:dxf>
    <x:dxf>
      <x:fill>
        <x:patternFill>
          <x:bgColor rgb="FFFFF2CC"/>
        </x:patternFill>
      </x:fill>
    </x:dxf>
    <x:dxf>
      <x:fill>
        <x:patternFill>
          <x:bgColor rgb="FFFCE8E6"/>
        </x:patternFill>
      </x:fill>
    </x:dxf>
    <x:dxf>
      <x:fill>
        <x:patternFill>
          <x:bgColor rgb="FFE2F0D9"/>
        </x:patternFill>
      </x:fill>
    </x:dxf>
    <x:dxf>
      <x:fill>
        <x:patternFill>
          <x:bgColor rgb="FFFCE8E6"/>
        </x:patternFill>
      </x:fill>
    </x:dxf>
    <x:dxf>
      <x:fill>
        <x:patternFill>
          <x:bgColor rgb="FFF4CCCC"/>
        </x:patternFill>
      </x:fill>
    </x:dxf>
    <x:dxf>
      <x:fill>
        <x:patternFill>
          <x:bgColor rgb="FFF4CCCC"/>
        </x:patternFill>
      </x:fill>
    </x:dxf>
    <x:dxf>
      <x:font>
        <x:b/>
      </x:font>
      <x:fill>
        <x:patternFill>
          <x:bgColor rgb="FFF4CCCC"/>
        </x:patternFill>
      </x:fill>
    </x:dxf>
    <x:dxf>
      <x:fill>
        <x:patternFill>
          <x:bgColor rgb="FFFCE4D6"/>
        </x:patternFill>
      </x:fill>
    </x:dxf>
    <x:dxf>
      <x:fill>
        <x:patternFill>
          <x:bgColor rgb="FFFFF2CC"/>
        </x:patternFill>
      </x:fill>
    </x:dxf>
    <x:dxf>
      <x:font>
        <x:b/>
      </x:font>
      <x:fill>
        <x:patternFill>
          <x:bgColor rgb="FFF4CCCC"/>
        </x:patternFill>
      </x:fill>
    </x:dxf>
    <x:dxf>
      <x:fill>
        <x:patternFill>
          <x:bgColor rgb="FFFCE4D6"/>
        </x:patternFill>
      </x:fill>
    </x:dxf>
    <x:dxf>
      <x:fill>
        <x:patternFill>
          <x:bgColor rgb="FFFFF2CC"/>
        </x:patternFill>
      </x:fill>
    </x:dxf>
    <x:dxf>
      <x:font>
        <x:b/>
        <x:color rgb="FF2E6B2E"/>
      </x:font>
      <x:fill>
        <x:patternFill>
          <x:bgColor rgb="FFE2F0D9"/>
        </x:patternFill>
      </x:fill>
    </x:dxf>
    <x:dxf>
      <x:font>
        <x:b/>
        <x:color rgb="FF7F6000"/>
      </x:font>
      <x:fill>
        <x:patternFill>
          <x:bgColor rgb="FFFFF2CC"/>
        </x:patternFill>
      </x:fill>
    </x:dxf>
    <x:dxf>
      <x:font>
        <x:b/>
        <x:color rgb="FF9C0006"/>
      </x:font>
      <x:fill>
        <x:patternFill>
          <x:bgColor rgb="FFF4CCCC"/>
        </x:patternFill>
      </x:fill>
    </x:dxf>
    <x:dxf>
      <x:font>
        <x:b/>
        <x:color rgb="FF2E6B2E"/>
      </x:font>
      <x:fill>
        <x:patternFill>
          <x:bgColor rgb="FFE2F0D9"/>
        </x:patternFill>
      </x:fill>
    </x:dxf>
    <x:dxf>
      <x:font>
        <x:b/>
        <x:color rgb="FF7F6000"/>
      </x:font>
      <x:fill>
        <x:patternFill>
          <x:bgColor rgb="FFFFF2CC"/>
        </x:patternFill>
      </x:fill>
    </x:dxf>
    <x:dxf>
      <x:font>
        <x:b/>
        <x:color rgb="FF9C5700"/>
      </x:font>
      <x:fill>
        <x:patternFill>
          <x:bgColor rgb="FFFCE4D6"/>
        </x:patternFill>
      </x:fill>
    </x:dxf>
    <x:dxf>
      <x:font>
        <x:b/>
        <x:color rgb="FF2E6B2E"/>
      </x:font>
      <x:fill>
        <x:patternFill>
          <x:bgColor rgb="FFE2F0D9"/>
        </x:patternFill>
      </x:fill>
    </x:dxf>
    <x:dxf>
      <x:font>
        <x:b/>
        <x:color rgb="FF7F6000"/>
      </x:font>
      <x:fill>
        <x:patternFill>
          <x:bgColor rgb="FFFFF2CC"/>
        </x:patternFill>
      </x:fill>
    </x:dxf>
    <x:dxf>
      <x:font>
        <x:b/>
        <x:color rgb="FF9C0006"/>
      </x:font>
      <x:fill>
        <x:patternFill>
          <x:bgColor rgb="FFF4CCCC"/>
        </x:patternFill>
      </x:fill>
    </x:dxf>
    <x:dxf>
      <x:font>
        <x:b/>
        <x:color rgb="FF2E6B2E"/>
      </x:font>
      <x:fill>
        <x:patternFill>
          <x:bgColor rgb="FFE2F0D9"/>
        </x:patternFill>
      </x:fill>
    </x:dxf>
    <x:dxf>
      <x:font>
        <x:b/>
        <x:color rgb="FF7F6000"/>
      </x:font>
      <x:fill>
        <x:patternFill>
          <x:bgColor rgb="FFFFF2CC"/>
        </x:patternFill>
      </x:fill>
    </x:dxf>
    <x:dxf>
      <x:font>
        <x:b/>
        <x:color rgb="FF9C0006"/>
      </x:font>
      <x:fill>
        <x:patternFill>
          <x:bgColor rgb="FFF4CCCC"/>
        </x:patternFill>
      </x:fill>
    </x:dxf>
    <x:dxf>
      <x:font>
        <x:b/>
        <x:color rgb="FF2E6B2E"/>
      </x:font>
      <x:fill>
        <x:patternFill>
          <x:bgColor rgb="FFE2F0D9"/>
        </x:patternFill>
      </x:fill>
    </x:dxf>
    <x:dxf>
      <x:font>
        <x:b/>
        <x:color rgb="FF7F6000"/>
      </x:font>
      <x:fill>
        <x:patternFill>
          <x:bgColor rgb="FFFFF2CC"/>
        </x:patternFill>
      </x:fill>
    </x:dxf>
    <x:dxf>
      <x:font>
        <x:b/>
        <x:color rgb="FF9C0006"/>
      </x:font>
      <x:fill>
        <x:patternFill>
          <x:bgColor rgb="FFF4CCCC"/>
        </x:patternFill>
      </x:fill>
    </x:dxf>
    <x:dxf>
      <x:font>
        <x:b/>
        <x:color rgb="FF2E6B2E"/>
      </x:font>
      <x:fill>
        <x:patternFill>
          <x:bgColor rgb="FFE2F0D9"/>
        </x:patternFill>
      </x:fill>
    </x:dxf>
    <x:dxf>
      <x:font>
        <x:b/>
        <x:color rgb="FF7F6000"/>
      </x:font>
      <x:fill>
        <x:patternFill>
          <x:bgColor rgb="FFFFF2CC"/>
        </x:patternFill>
      </x:fill>
    </x:dxf>
    <x:dxf>
      <x:font>
        <x:b/>
        <x:color rgb="FF2E6B2E"/>
      </x:font>
      <x:fill>
        <x:patternFill>
          <x:bgColor rgb="FFE2F0D9"/>
        </x:patternFill>
      </x:fill>
    </x:dxf>
    <x:dxf>
      <x:font>
        <x:b/>
        <x:color rgb="FF7F6000"/>
      </x:font>
      <x:fill>
        <x:patternFill>
          <x:bgColor rgb="FFFFF2CC"/>
        </x:patternFill>
      </x:fill>
    </x:dxf>
    <x:dxf>
      <x:font>
        <x:b/>
        <x:color rgb="FF9C0006"/>
      </x:font>
      <x:fill>
        <x:patternFill>
          <x:bgColor rgb="FFF4CCCC"/>
        </x:patternFill>
      </x:fill>
    </x:dxf>
    <x:dxf>
      <x:font>
        <x:b/>
        <x:color rgb="FF2E6B2E"/>
      </x:font>
      <x:fill>
        <x:patternFill>
          <x:bgColor rgb="FFE2F0D9"/>
        </x:patternFill>
      </x:fill>
    </x:dxf>
    <x:dxf>
      <x:font>
        <x:b/>
        <x:color rgb="FF9C0006"/>
      </x:font>
      <x:fill>
        <x:patternFill>
          <x:bgColor rgb="FFF4CCCC"/>
        </x:patternFill>
      </x:fill>
    </x:dxf>
    <x:dxf>
      <x:font>
        <x:b/>
        <x:color rgb="FF2E6B2E"/>
      </x:font>
      <x:fill>
        <x:patternFill>
          <x:bgColor rgb="FFE2F0D9"/>
        </x:patternFill>
      </x:fill>
    </x:dxf>
    <x:dxf>
      <x:font>
        <x:b/>
        <x:color rgb="FF9C0006"/>
      </x:font>
      <x:fill>
        <x:patternFill>
          <x:bgColor rgb="FFF4CCCC"/>
        </x:patternFill>
      </x:fill>
    </x:dxf>
    <x:dxf>
      <x:font>
        <x:b/>
        <x:color rgb="FF2E6B2E"/>
      </x:font>
      <x:fill>
        <x:patternFill>
          <x:bgColor rgb="FFE2F0D9"/>
        </x:patternFill>
      </x:fill>
    </x:dxf>
    <x:dxf>
      <x:font>
        <x:b/>
        <x:color rgb="FF1F4E78"/>
      </x:font>
      <x:fill>
        <x:patternFill>
          <x:bgColor rgb="FFD9EAF7"/>
        </x:patternFill>
      </x:fill>
    </x:dxf>
    <x:dxf>
      <x:font>
        <x:b/>
        <x:color rgb="FF2E6B2E"/>
      </x:font>
      <x:fill>
        <x:patternFill>
          <x:bgColor rgb="FFE2F0D9"/>
        </x:patternFill>
      </x:fill>
    </x:dxf>
    <x:dxf>
      <x:font>
        <x:b/>
        <x:color rgb="FF666666"/>
      </x:font>
      <x:fill>
        <x:patternFill>
          <x:bgColor rgb="FFE7E6E6"/>
        </x:patternFill>
      </x:fill>
    </x:dxf>
    <x:dxf>
      <x:font>
        <x:b/>
        <x:color rgb="FF2E6B2E"/>
      </x:font>
      <x:fill>
        <x:patternFill>
          <x:bgColor rgb="FFE2F0D9"/>
        </x:patternFill>
      </x:fill>
    </x:dxf>
    <x:dxf>
      <x:font>
        <x:b/>
        <x:color rgb="FF1F4E78"/>
      </x:font>
      <x:fill>
        <x:patternFill>
          <x:bgColor rgb="FFD9EAF7"/>
        </x:patternFill>
      </x:fill>
    </x:dxf>
    <x:dxf>
      <x:font>
        <x:b/>
        <x:color rgb="FF666666"/>
      </x:font>
      <x:fill>
        <x:patternFill>
          <x:bgColor rgb="FFE7E6E6"/>
        </x:patternFill>
      </x:fill>
    </x:dxf>
    <x:dxf>
      <x:font>
        <x:b/>
        <x:color rgb="FF9C5700"/>
      </x:font>
      <x:fill>
        <x:patternFill>
          <x:bgColor rgb="FFFCE4D6"/>
        </x:patternFill>
      </x:fill>
    </x:dxf>
    <x:dxf>
      <x:font>
        <x:b/>
        <x:color rgb="FF2E6B2E"/>
      </x:font>
      <x:fill>
        <x:patternFill>
          <x:bgColor rgb="FFE2F0D9"/>
        </x:patternFill>
      </x:fill>
    </x:dxf>
    <x:dxf>
      <x:font>
        <x:b/>
        <x:color rgb="FF7F6000"/>
      </x:font>
      <x:fill>
        <x:patternFill>
          <x:bgColor rgb="FFFFF2CC"/>
        </x:patternFill>
      </x:fill>
    </x:dxf>
    <x:dxf>
      <x:font>
        <x:b/>
        <x:color rgb="FF666666"/>
      </x:font>
      <x:fill>
        <x:patternFill>
          <x:bgColor rgb="FFE7E6E6"/>
        </x:patternFill>
      </x:fill>
    </x:dxf>
    <x:dxf>
      <x:font>
        <x:b/>
        <x:color rgb="FF2E6B2E"/>
      </x:font>
      <x:fill>
        <x:patternFill>
          <x:bgColor rgb="FFE2F0D9"/>
        </x:patternFill>
      </x:fill>
    </x:dxf>
    <x:dxf>
      <x:font>
        <x:b/>
        <x:color rgb="FF7F6000"/>
      </x:font>
      <x:fill>
        <x:patternFill>
          <x:bgColor rgb="FFFFF2CC"/>
        </x:patternFill>
      </x:fill>
    </x:dxf>
    <x:dxf>
      <x:font>
        <x:b/>
        <x:color rgb="FF666666"/>
      </x:font>
      <x:fill>
        <x:patternFill>
          <x:bgColor rgb="FFE7E6E6"/>
        </x:patternFill>
      </x:fill>
    </x:dxf>
    <x:dxf>
      <x:font>
        <x:color rgb="FF7F6000"/>
      </x:font>
      <x:fill>
        <x:patternFill>
          <x:bgColor rgb="FFFFF2CC"/>
        </x:patternFill>
      </x:fill>
    </x:dxf>
    <x:dxf>
      <x:font>
        <x:color rgb="FF666666"/>
      </x:font>
      <x:fill>
        <x:patternFill>
          <x:bgColor rgb="FFE7E6E6"/>
        </x:patternFill>
      </x:fill>
    </x:dxf>
    <x:dxf>
      <x:font>
        <x:b/>
        <x:color rgb="FF1F4E78"/>
      </x:font>
      <x:fill>
        <x:patternFill>
          <x:bgColor rgb="FFD9EAF7"/>
        </x:patternFill>
      </x:fill>
    </x:dxf>
    <x:dxf>
      <x:font>
        <x:b/>
        <x:color rgb="FF666666"/>
      </x:font>
      <x:fill>
        <x:patternFill>
          <x:bgColor rgb="FFE7E6E6"/>
        </x:patternFill>
      </x:fill>
    </x:dxf>
    <x:dxf>
      <x:font>
        <x:color rgb="FF666666"/>
      </x:font>
      <x:fill>
        <x:patternFill>
          <x:bgColor rgb="FFE7E6E6"/>
        </x:patternFill>
      </x:fill>
    </x:dxf>
    <x:dxf>
      <x:font>
        <x:b/>
        <x:color rgb="FF1F4E78"/>
      </x:font>
      <x:fill>
        <x:patternFill>
          <x:bgColor rgb="FFD9EAF7"/>
        </x:patternFill>
      </x:fill>
    </x:dxf>
    <x:dxf>
      <x:font>
        <x:b/>
        <x:color rgb="FF666666"/>
      </x:font>
      <x:fill>
        <x:patternFill>
          <x:bgColor rgb="FFE7E6E6"/>
        </x:patternFill>
      </x:fill>
    </x:dxf>
    <x:dxf>
      <x:font>
        <x:b/>
        <x:color rgb="FF2E6B2E"/>
      </x:font>
      <x:fill>
        <x:patternFill>
          <x:bgColor rgb="FFE2F0D9"/>
        </x:patternFill>
      </x:fill>
    </x:dxf>
    <x:dxf>
      <x:font>
        <x:b/>
        <x:color rgb="FF7F6000"/>
      </x:font>
      <x:fill>
        <x:patternFill>
          <x:bgColor rgb="FFFFF2CC"/>
        </x:patternFill>
      </x:fill>
    </x:dxf>
    <x:dxf>
      <x:font>
        <x:b/>
        <x:color rgb="FF9C5700"/>
      </x:font>
      <x:fill>
        <x:patternFill>
          <x:bgColor rgb="FFFCE4D6"/>
        </x:patternFill>
      </x:fill>
    </x:dxf>
    <x:dxf>
      <x:font>
        <x:b/>
        <x:color rgb="FF9C0006"/>
      </x:font>
      <x:fill>
        <x:patternFill>
          <x:bgColor rgb="FFF4CCCC"/>
        </x:patternFill>
      </x:fill>
    </x:dxf>
    <x:dxf>
      <x:font>
        <x:b/>
        <x:color rgb="FF666666"/>
      </x:font>
      <x:fill>
        <x:patternFill>
          <x:bgColor rgb="FFE7E6E6"/>
        </x:patternFill>
      </x:fill>
    </x:dxf>
    <x:dxf>
      <x:font>
        <x:b/>
        <x:color rgb="FF2E6B2E"/>
      </x:font>
      <x:fill>
        <x:patternFill>
          <x:bgColor rgb="FFE2F0D9"/>
        </x:patternFill>
      </x:fill>
    </x:dxf>
    <x:dxf>
      <x:font>
        <x:b/>
        <x:color rgb="FF7F6000"/>
      </x:font>
      <x:fill>
        <x:patternFill>
          <x:bgColor rgb="FFFFF2CC"/>
        </x:patternFill>
      </x:fill>
    </x:dxf>
    <x:dxf>
      <x:font>
        <x:b/>
        <x:color rgb="FF9C5700"/>
      </x:font>
      <x:fill>
        <x:patternFill>
          <x:bgColor rgb="FFFCE4D6"/>
        </x:patternFill>
      </x:fill>
    </x:dxf>
    <x:dxf>
      <x:font>
        <x:b/>
        <x:color rgb="FF666666"/>
      </x:font>
      <x:fill>
        <x:patternFill>
          <x:bgColor rgb="FFE7E6E6"/>
        </x:patternFill>
      </x:fill>
    </x:dxf>
    <x:dxf>
      <x:font>
        <x:b/>
        <x:color rgb="FF9C0006"/>
      </x:font>
      <x:fill>
        <x:patternFill>
          <x:bgColor rgb="FFF4CCCC"/>
        </x:patternFill>
      </x:fill>
    </x:dxf>
    <x:dxf>
      <x:font>
        <x:color rgb="FF2E6B2E"/>
      </x:font>
      <x:fill>
        <x:patternFill>
          <x:bgColor rgb="FFE2F0D9"/>
        </x:patternFill>
      </x:fill>
    </x:dxf>
    <x:dxf>
      <x:font>
        <x:b/>
        <x:color rgb="FF9C0006"/>
      </x:font>
      <x:fill>
        <x:patternFill>
          <x:bgColor rgb="FFF4CCCC"/>
        </x:patternFill>
      </x:fill>
    </x:dxf>
    <x:dxf>
      <x:font>
        <x:b/>
        <x:color rgb="FF7F6000"/>
      </x:font>
      <x:fill>
        <x:patternFill>
          <x:bgColor rgb="FFFFF2CC"/>
        </x:patternFill>
      </x:fill>
    </x:dxf>
    <x:dxf>
      <x:font>
        <x:b/>
        <x:color rgb="FF2E6B2E"/>
      </x:font>
      <x:fill>
        <x:patternFill>
          <x:bgColor rgb="FFE2F0D9"/>
        </x:patternFill>
      </x:fill>
    </x:dxf>
    <x:dxf>
      <x:font>
        <x:b/>
        <x:color rgb="FF7F6000"/>
      </x:font>
      <x:fill>
        <x:patternFill>
          <x:bgColor rgb="FFFFF2CC"/>
        </x:patternFill>
      </x:fill>
    </x:dxf>
    <x:dxf>
      <x:font>
        <x:b/>
        <x:color rgb="FF9C5700"/>
      </x:font>
      <x:fill>
        <x:patternFill>
          <x:bgColor rgb="FFFCE4D6"/>
        </x:patternFill>
      </x:fill>
    </x:dxf>
    <x:dxf>
      <x:font>
        <x:b/>
        <x:color rgb="FF9C0006"/>
      </x:font>
      <x:fill>
        <x:patternFill>
          <x:bgColor rgb="FFF4CCCC"/>
        </x:patternFill>
      </x:fill>
    </x:dxf>
    <x:dxf>
      <x:font>
        <x:b/>
        <x:color rgb="FF666666"/>
      </x:font>
      <x:fill>
        <x:patternFill>
          <x:bgColor rgb="FFE7E6E6"/>
        </x:patternFill>
      </x:fill>
    </x:dxf>
    <x:dxf>
      <x:font>
        <x:b/>
        <x:color rgb="FF2E6B2E"/>
      </x:font>
      <x:fill>
        <x:patternFill>
          <x:bgColor rgb="FFE2F0D9"/>
        </x:patternFill>
      </x:fill>
    </x:dxf>
    <x:dxf>
      <x:font>
        <x:b/>
        <x:color rgb="FF1F4E78"/>
      </x:font>
      <x:fill>
        <x:patternFill>
          <x:bgColor rgb="FFD9EAF7"/>
        </x:patternFill>
      </x:fill>
    </x:dxf>
    <x:dxf>
      <x:font>
        <x:color rgb="FF666666"/>
      </x:font>
      <x:fill>
        <x:patternFill>
          <x:bgColor rgb="FFE7E6E6"/>
        </x:patternFill>
      </x:fill>
    </x:dxf>
    <x:dxf>
      <x:font>
        <x:b/>
        <x:color rgb="FF9C5700"/>
      </x:font>
      <x:fill>
        <x:patternFill>
          <x:bgColor rgb="FFFCE4D6"/>
        </x:patternFill>
      </x:fill>
    </x:dxf>
    <x:dxf>
      <x:font>
        <x:b/>
        <x:color rgb="FF9C0006"/>
      </x:font>
      <x:fill>
        <x:patternFill>
          <x:bgColor rgb="FFF4CCCC"/>
        </x:patternFill>
      </x:fill>
    </x:dxf>
    <x:dxf>
      <x:font>
        <x:b/>
        <x:color rgb="FF1F4E78"/>
      </x:font>
      <x:fill>
        <x:patternFill>
          <x:bgColor rgb="FFD9EAF7"/>
        </x:patternFill>
      </x:fill>
    </x:dxf>
    <x:dxf>
      <x:font>
        <x:color rgb="FF666666"/>
      </x:font>
      <x:fill>
        <x:patternFill>
          <x:bgColor rgb="FFE7E6E6"/>
        </x:patternFill>
      </x:fill>
    </x:dxf>
    <x:dxf>
      <x:font>
        <x:b/>
        <x:color rgb="FF2E6B2E"/>
      </x:font>
      <x:fill>
        <x:patternFill>
          <x:bgColor rgb="FFE2F0D9"/>
        </x:patternFill>
      </x:fill>
    </x:dxf>
    <x:dxf>
      <x:font>
        <x:b/>
        <x:color rgb="FF9C0006"/>
      </x:font>
      <x:fill>
        <x:patternFill>
          <x:bgColor rgb="FFF4CCCC"/>
        </x:patternFill>
      </x:fill>
    </x:dxf>
    <x:dxf>
      <x:font>
        <x:b/>
        <x:color rgb="FF1F4E78"/>
      </x:font>
      <x:fill>
        <x:patternFill>
          <x:bgColor rgb="FFD9EAF7"/>
        </x:patternFill>
      </x:fill>
    </x:dxf>
    <x:dxf>
      <x:font>
        <x:color rgb="FF666666"/>
      </x:font>
      <x:fill>
        <x:patternFill>
          <x:bgColor rgb="FFE7E6E6"/>
        </x:patternFill>
      </x:fill>
    </x:dxf>
    <x:dxf>
      <x:font>
        <x:b/>
        <x:color rgb="FF2E6B2E"/>
      </x:font>
      <x:fill>
        <x:patternFill>
          <x:bgColor rgb="FFE2F0D9"/>
        </x:patternFill>
      </x:fill>
    </x:dxf>
    <x:dxf>
      <x:font>
        <x:b/>
        <x:color rgb="FF9C0006"/>
      </x:font>
      <x:fill>
        <x:patternFill>
          <x:bgColor rgb="FFF4CCCC"/>
        </x:patternFill>
      </x:fill>
    </x:dxf>
    <x:dxf>
      <x:font>
        <x:b/>
        <x:color rgb="FF2E6B2E"/>
      </x:font>
      <x:fill>
        <x:patternFill>
          <x:bgColor rgb="FFE2F0D9"/>
        </x:patternFill>
      </x:fill>
    </x:dxf>
    <x:dxf>
      <x:font>
        <x:b/>
        <x:color rgb="FF9C5700"/>
      </x:font>
      <x:fill>
        <x:patternFill>
          <x:bgColor rgb="FFFCE4D6"/>
        </x:patternFill>
      </x:fill>
    </x:dxf>
    <x:dxf>
      <x:font>
        <x:b/>
        <x:color rgb="FF2E6B2E"/>
      </x:font>
      <x:fill>
        <x:patternFill>
          <x:bgColor rgb="FFE2F0D9"/>
        </x:patternFill>
      </x:fill>
    </x:dxf>
    <x:dxf>
      <x:font>
        <x:b/>
        <x:color rgb="FF7F6000"/>
      </x:font>
      <x:fill>
        <x:patternFill>
          <x:bgColor rgb="FFFFF2CC"/>
        </x:patternFill>
      </x:fill>
    </x:dxf>
    <x:dxf>
      <x:font>
        <x:b/>
        <x:color rgb="FF2E6B2E"/>
      </x:font>
      <x:fill>
        <x:patternFill>
          <x:bgColor rgb="FFE2F0D9"/>
        </x:patternFill>
      </x:fill>
    </x:dxf>
    <x:dxf>
      <x:font>
        <x:b/>
        <x:color rgb="FF9C0006"/>
      </x:font>
      <x:fill>
        <x:patternFill>
          <x:bgColor rgb="FFF4CCCC"/>
        </x:patternFill>
      </x:fill>
    </x:dxf>
    <x:dxf>
      <x:font>
        <x:b/>
        <x:color rgb="FF2E6B2E"/>
      </x:font>
      <x:fill>
        <x:patternFill>
          <x:bgColor rgb="FFE2F0D9"/>
        </x:patternFill>
      </x:fill>
    </x:dxf>
    <x:dxf>
      <x:font>
        <x:b/>
        <x:color rgb="FF9C0006"/>
      </x:font>
      <x:fill>
        <x:patternFill>
          <x:bgColor rgb="FFF4CCCC"/>
        </x:patternFill>
      </x:fill>
    </x:dxf>
    <x:dxf>
      <x:font>
        <x:b/>
        <x:color rgb="FF2E6B2E"/>
      </x:font>
      <x:fill>
        <x:patternFill>
          <x:bgColor rgb="FFE2F0D9"/>
        </x:patternFill>
      </x:fill>
    </x:dxf>
    <x:dxf>
      <x:font>
        <x:b/>
        <x:color rgb="FF9C0006"/>
      </x:font>
      <x:fill>
        <x:patternFill>
          <x:bgColor rgb="FFF4CCCC"/>
        </x:patternFill>
      </x:fill>
    </x:dxf>
    <x:dxf>
      <x:font>
        <x:b/>
        <x:color rgb="FF2E6B2E"/>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color rgb="FF7F6000"/>
      </x:font>
      <x:fill>
        <x:patternFill>
          <x:bgColor rgb="FFFFF2CC"/>
        </x:patternFill>
      </x:fill>
    </x:dxf>
    <x:dxf>
      <x:font>
        <x:b/>
        <x:color rgb="FF9C0006"/>
      </x:font>
      <x:fill>
        <x:patternFill>
          <x:bgColor rgb="FFF4CCCC"/>
        </x:patternFill>
      </x:fill>
    </x:dxf>
    <x:dxf>
      <x:font>
        <x:b/>
        <x:color rgb="FF9C5700"/>
      </x:font>
      <x:fill>
        <x:patternFill>
          <x:bgColor rgb="FFFCE4D6"/>
        </x:patternFill>
      </x:fill>
    </x:dxf>
    <x:dxf>
      <x:font>
        <x:color rgb="FF7F6000"/>
      </x:font>
      <x:fill>
        <x:patternFill>
          <x:bgColor rgb="FFFFF2CC"/>
        </x:patternFill>
      </x:fill>
    </x:dxf>
    <x:dxf>
      <x:font>
        <x:color rgb="FF2E6B2E"/>
      </x:font>
      <x:fill>
        <x:patternFill>
          <x:bgColor rgb="FFE2F0D9"/>
        </x:patternFill>
      </x:fill>
    </x:dxf>
    <x:dxf>
      <x:font>
        <x:b/>
        <x:color rgb="FF9C0006"/>
      </x:font>
      <x:fill>
        <x:patternFill>
          <x:bgColor rgb="FFF4CCCC"/>
        </x:patternFill>
      </x:fill>
    </x:dxf>
    <x:dxf>
      <x:font>
        <x:b/>
        <x:color rgb="FF9C5700"/>
      </x:font>
      <x:fill>
        <x:patternFill>
          <x:bgColor rgb="FFFCE4D6"/>
        </x:patternFill>
      </x:fill>
    </x:dxf>
    <x:dxf>
      <x:font>
        <x:color rgb="FF7F6000"/>
      </x:font>
      <x:fill>
        <x:patternFill>
          <x:bgColor rgb="FFFFF2CC"/>
        </x:patternFill>
      </x:fill>
    </x:dxf>
    <x:dxf>
      <x:font>
        <x:color rgb="FF2E6B2E"/>
      </x:font>
      <x:fill>
        <x:patternFill>
          <x:bgColor rgb="FFE2F0D9"/>
        </x:patternFill>
      </x:fill>
    </x:dxf>
    <x:dxf>
      <x:font>
        <x:b/>
        <x:color rgb="FF2E6B2E"/>
      </x:font>
      <x:fill>
        <x:patternFill>
          <x:bgColor rgb="FFE2F0D9"/>
        </x:patternFill>
      </x:fill>
    </x:dxf>
    <x:dxf>
      <x:font>
        <x:b/>
        <x:color rgb="FF7F6000"/>
      </x:font>
      <x:fill>
        <x:patternFill>
          <x:bgColor rgb="FFFFF2CC"/>
        </x:patternFill>
      </x:fill>
    </x:dxf>
    <x:dxf>
      <x:font>
        <x:b/>
        <x:color rgb="FF2E6B2E"/>
      </x:font>
      <x:fill>
        <x:patternFill>
          <x:bgColor rgb="FFE2F0D9"/>
        </x:patternFill>
      </x:fill>
    </x:dxf>
    <x:dxf>
      <x:font>
        <x:b/>
        <x:color rgb="FF7F6000"/>
      </x:font>
      <x:fill>
        <x:patternFill>
          <x:bgColor rgb="FFFFF2CC"/>
        </x:patternFill>
      </x:fill>
    </x:dxf>
    <x:dxf>
      <x:font>
        <x:b/>
        <x:color rgb="FF9C5700"/>
      </x:font>
      <x:fill>
        <x:patternFill>
          <x:bgColor rgb="FFFCE4D6"/>
        </x:patternFill>
      </x:fill>
    </x:dxf>
    <x:dxf>
      <x:font>
        <x:b/>
        <x:color rgb="FF9C0006"/>
      </x:font>
      <x:fill>
        <x:patternFill>
          <x:bgColor rgb="FFF4CCCC"/>
        </x:patternFill>
      </x:fill>
    </x:dxf>
    <x:dxf>
      <x:font>
        <x:b/>
        <x:color rgb="FF666666"/>
      </x:font>
      <x:fill>
        <x:patternFill>
          <x:bgColor rgb="FFE7E6E6"/>
        </x:patternFill>
      </x:fill>
    </x:dxf>
    <x:dxf>
      <x:font>
        <x:b/>
        <x:color rgb="FF006100"/>
      </x:font>
      <x:fill>
        <x:patternFill>
          <x:bgColor rgb="FFC6EFCE"/>
        </x:patternFill>
      </x:fill>
    </x:dxf>
    <x:dxf>
      <x:font>
        <x:b/>
        <x:color rgb="FF9C0006"/>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b/>
        <x:color rgb="FF595959"/>
      </x:font>
      <x:fill>
        <x:patternFill>
          <x:bgColor rgb="FFD9D9D9"/>
        </x:patternFill>
      </x:fill>
    </x:dxf>
    <x:dxf>
      <x:font>
        <x:b/>
        <x:color rgb="FF006100"/>
      </x:font>
      <x:fill>
        <x:patternFill>
          <x:bgColor rgb="FFC6EFCE"/>
        </x:patternFill>
      </x:fill>
    </x:dxf>
    <x:dxf>
      <x:font>
        <x:b/>
        <x:color rgb="FF9C0006"/>
      </x:font>
      <x:fill>
        <x:patternFill>
          <x:bgColor rgb="FFFFC7CE"/>
        </x:patternFill>
      </x:fill>
    </x:dxf>
    <x:dxf>
      <x:font>
        <x:b/>
        <x:color rgb="FF006100"/>
      </x:font>
      <x:fill>
        <x:patternFill>
          <x:bgColor rgb="FFE2F0D9"/>
        </x:patternFill>
      </x:fill>
    </x:dxf>
    <x:dxf>
      <x:font>
        <x:b/>
        <x:color rgb="FF9C6500"/>
      </x:font>
      <x:fill>
        <x:patternFill>
          <x:bgColor rgb="FFFFF2CC"/>
        </x:patternFill>
      </x:fill>
    </x:dxf>
    <x:dxf>
      <x:font>
        <x:b/>
        <x:color rgb="FFC65911"/>
      </x:font>
      <x:fill>
        <x:patternFill>
          <x:bgColor rgb="FFFCE4D6"/>
        </x:patternFill>
      </x:fill>
    </x:dxf>
    <x:dxf>
      <x:font>
        <x:color rgb="FF006100"/>
      </x:font>
      <x:fill>
        <x:patternFill>
          <x:bgColor rgb="FFE2F0D9"/>
        </x:patternFill>
      </x:fill>
    </x:dxf>
    <x:dxf>
      <x:font>
        <x:b/>
        <x:color rgb="FF9C6500"/>
      </x:font>
      <x:fill>
        <x:patternFill>
          <x:bgColor rgb="FFFFF2CC"/>
        </x:patternFill>
      </x:fill>
    </x:dxf>
    <x:dxf>
      <x:font>
        <x:b/>
        <x:color rgb="FF2E7D32"/>
      </x:font>
      <x:fill>
        <x:patternFill patternType="solid">
          <x:bgColor rgb="FFD9EAD3"/>
        </x:patternFill>
      </x:fill>
    </x:dxf>
    <x:dxf>
      <x:font>
        <x:b/>
        <x:color rgb="FFB3261E"/>
      </x:font>
      <x:fill>
        <x:patternFill patternType="solid">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d6d1a964064f20" /><Relationship Type="http://schemas.openxmlformats.org/officeDocument/2006/relationships/theme" Target="/xl/theme/theme1.xml" Id="R3988306bfd824a57" /><Relationship Type="http://schemas.openxmlformats.org/officeDocument/2006/relationships/sharedStrings" Target="/xl/sharedStrings.xml" Id="Rb7cf76789f5b4d8d" /><Relationship Type="http://schemas.openxmlformats.org/officeDocument/2006/relationships/worksheet" Target="/xl/worksheets/sheet1.xml" Id="Rc2e76acd019141d7" /><Relationship Type="http://schemas.openxmlformats.org/officeDocument/2006/relationships/worksheet" Target="/xl/worksheets/sheet2.xml" Id="R687545b0030c476e" /><Relationship Type="http://schemas.openxmlformats.org/officeDocument/2006/relationships/worksheet" Target="/xl/worksheets/sheet3.xml" Id="R17833ff229e94488" /><Relationship Type="http://schemas.openxmlformats.org/officeDocument/2006/relationships/worksheet" Target="/xl/worksheets/sheet4.xml" Id="R43f24af5ac364175" /><Relationship Type="http://schemas.openxmlformats.org/officeDocument/2006/relationships/worksheet" Target="/xl/worksheets/sheet5.xml" Id="Red346a5cbedc41bb" /><Relationship Type="http://schemas.openxmlformats.org/officeDocument/2006/relationships/worksheet" Target="/xl/worksheets/sheet6.xml" Id="R60560c54a3cc4113" /><Relationship Type="http://schemas.openxmlformats.org/officeDocument/2006/relationships/worksheet" Target="/xl/worksheets/sheet7.xml" Id="R3a0f8f4857354c6c" /><Relationship Type="http://schemas.openxmlformats.org/officeDocument/2006/relationships/worksheet" Target="/xl/worksheets/sheet8.xml" Id="Rf85a6826af0d4ed5" /></Relationships>
</file>

<file path=xl/drawings/_rels/drawing1.xml.rels>&#65279;<?xml version="1.0" encoding="utf-8"?><Relationships xmlns="http://schemas.openxmlformats.org/package/2006/relationships"><Relationship Type="http://schemas.openxmlformats.org/officeDocument/2006/relationships/chart" Target="/xl/drawings/charts/chart1.xml" Id="Rbc2851e53c524e32" /><Relationship Type="http://schemas.openxmlformats.org/officeDocument/2006/relationships/chart" Target="/xl/drawings/charts/chart2.xml" Id="R98341cfa43cc484e" /><Relationship Type="http://schemas.openxmlformats.org/officeDocument/2006/relationships/chart" Target="/xl/drawings/charts/chart3.xml" Id="Rf497688661e0418d" /><Relationship Type="http://schemas.openxmlformats.org/officeDocument/2006/relationships/chart" Target="/xl/drawings/charts/chart4.xml" Id="R7988b758dbeb4cf1" /><Relationship Type="http://schemas.openxmlformats.org/officeDocument/2006/relationships/chart" Target="/xl/drawings/charts/chart5.xml" Id="Rf9ecf29628cc48c0" /><Relationship Type="http://schemas.openxmlformats.org/officeDocument/2006/relationships/chart" Target="/xl/drawings/charts/chart6.xml" Id="Rd91c44d4460f4476" /><Relationship Type="http://schemas.openxmlformats.org/officeDocument/2006/relationships/chart" Target="/xl/drawings/charts/chart7.xml" Id="R12e6dfe8415740f5" /><Relationship Type="http://schemas.openxmlformats.org/officeDocument/2006/relationships/chart" Target="/xl/drawings/charts/chart8.xml" Id="R5d04fb470a5141e4" /></Relationships>
</file>

<file path=xl/drawings/_rels/drawing2.xml.rels>&#65279;<?xml version="1.0" encoding="utf-8"?><Relationships xmlns="http://schemas.openxmlformats.org/package/2006/relationships"><Relationship Type="http://schemas.openxmlformats.org/officeDocument/2006/relationships/chart" Target="/xl/drawings/charts/chart9.xml" Id="Rd411b24058fc471f" /><Relationship Type="http://schemas.openxmlformats.org/officeDocument/2006/relationships/chart" Target="/xl/drawings/charts/chart10.xml" Id="R5c53185458f44cb5" /><Relationship Type="http://schemas.openxmlformats.org/officeDocument/2006/relationships/chart" Target="/xl/drawings/charts/chart11.xml" Id="Rfd7411622f6b4058" /><Relationship Type="http://schemas.openxmlformats.org/officeDocument/2006/relationships/chart" Target="/xl/drawings/charts/chart12.xml" Id="R916b078bbc334ca0" /></Relationships>
</file>

<file path=xl/drawings/_rels/drawing3.xml.rels>&#65279;<?xml version="1.0" encoding="utf-8"?><Relationships xmlns="http://schemas.openxmlformats.org/package/2006/relationships"><Relationship Type="http://schemas.openxmlformats.org/officeDocument/2006/relationships/chart" Target="/xl/drawings/charts/chart13.xml" Id="R65a4733d1dca4686" /><Relationship Type="http://schemas.openxmlformats.org/officeDocument/2006/relationships/chart" Target="/xl/drawings/charts/chart14.xml" Id="R8f616602a9804bb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Confirmed Revenue by Weekday</a:t>
            </a:r>
          </a:p>
        </c:rich>
      </c:tx>
      <c:overlay val="0"/>
    </c:title>
    <c:autoTitleDeleted val="0"/>
    <c:plotArea>
      <c:layout/>
      <c:barChart>
        <c:barDir val="col"/>
        <c:grouping val="clustered"/>
        <c:varyColors val="0"/>
        <c:ser>
          <c:idx val="0"/>
          <c:order val="0"/>
          <c:tx>
            <c:v>Confirmed Revenue by Weekday</c:v>
          </c:tx>
          <c:cat>
            <c:strRef>
              <c:f>'Analytics'!$J$43:$J$47</c:f>
              <c:strCache>
                <c:ptCount val="0"/>
              </c:strCache>
            </c:strRef>
          </c:cat>
          <c:val>
            <c:numRef>
              <c:f>'Analytics'!$K$43:$K$47</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Confirmed Revenue by Jurisdiction</a:t>
            </a:r>
          </a:p>
        </c:rich>
      </c:tx>
      <c:overlay val="0"/>
    </c:title>
    <c:autoTitleDeleted val="0"/>
    <c:plotArea>
      <c:layout/>
      <c:barChart>
        <c:barDir val="col"/>
        <c:grouping val="clustered"/>
        <c:varyColors val="0"/>
        <c:ser>
          <c:idx val="0"/>
          <c:order val="0"/>
          <c:tx>
            <c:v>Confirmed Revenue by Jurisdiction</c:v>
          </c:tx>
          <c:cat>
            <c:strRef>
              <c:f>'Analytics'!$A$43:$A$47</c:f>
              <c:strCache>
                <c:ptCount val="0"/>
              </c:strCache>
            </c:strRef>
          </c:cat>
          <c:val>
            <c:numRef>
              <c:f>'Analytics'!$E$43:$E$47</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Confirmed Revenue by MY_MONTH</a:t>
            </a:r>
          </a:p>
        </c:rich>
      </c:tx>
      <c:overlay val="0"/>
    </c:title>
    <c:autoTitleDeleted val="0"/>
    <c:plotArea>
      <c:layout/>
      <c:barChart>
        <c:barDir val="col"/>
        <c:grouping val="clustered"/>
        <c:varyColors val="0"/>
        <c:ser>
          <c:idx val="0"/>
          <c:order val="0"/>
          <c:tx>
            <c:v>Confirmed Revenue by MY_MONTH</c:v>
          </c:tx>
          <c:cat>
            <c:strRef>
              <c:f>'Analytics'!$A$52:$A$54</c:f>
              <c:strCache>
                <c:ptCount val="0"/>
              </c:strCache>
            </c:strRef>
          </c:cat>
          <c:val>
            <c:numRef>
              <c:f>'Analytics'!$F$52:$F$54</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Top 10 Clients by Confirmed Revenue</a:t>
            </a:r>
          </a:p>
        </c:rich>
      </c:tx>
      <c:overlay val="0"/>
    </c:title>
    <c:autoTitleDeleted val="0"/>
    <c:plotArea>
      <c:layout/>
      <c:barChart>
        <c:barDir val="bar"/>
        <c:grouping val="clustered"/>
        <c:varyColors val="0"/>
        <c:ser>
          <c:idx val="0"/>
          <c:order val="0"/>
          <c:tx>
            <c:v>Top 10 Clients by Confirmed Revenue</c:v>
          </c:tx>
          <c:cat>
            <c:strRef>
              <c:f>'Analytics'!$B$62:$B$71</c:f>
              <c:strCache>
                <c:ptCount val="0"/>
              </c:strCache>
            </c:strRef>
          </c:cat>
          <c:val>
            <c:numRef>
              <c:f>'Analytics'!$C$62:$C$71</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Running Confirmed Revenue</a:t>
            </a:r>
          </a:p>
        </c:rich>
      </c:tx>
      <c:overlay val="0"/>
    </c:title>
    <c:autoTitleDeleted val="0"/>
    <c:plotArea>
      <c:layout/>
      <c:lineChart>
        <c:grouping val="standard"/>
        <c:varyColors val="0"/>
        <c:ser>
          <c:idx val="0"/>
          <c:order val="0"/>
          <c:tx>
            <c:v>Running Revenue</c:v>
          </c:tx>
          <c:cat>
            <c:strRef>
              <c:f>'Analytics'!$AI$2:$AI$47</c:f>
              <c:strCache>
                <c:ptCount val="0"/>
              </c:strCache>
            </c:strRef>
          </c:cat>
          <c:val>
            <c:numRef>
              <c:f>'Analytics'!$AM$2:$AM$47</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Daily Revenue and Rolling 5-Worked-Day Average</a:t>
            </a:r>
          </a:p>
        </c:rich>
      </c:tx>
      <c:overlay val="0"/>
    </c:title>
    <c:autoTitleDeleted val="0"/>
    <c:plotArea>
      <c:layout/>
      <c:lineChart>
        <c:grouping val="standard"/>
        <c:varyColors val="0"/>
        <c:ser>
          <c:idx val="0"/>
          <c:order val="0"/>
          <c:tx>
            <c:v>Daily Revenue</c:v>
          </c:tx>
          <c:cat>
            <c:strRef>
              <c:f>'Analytics'!$AI$2:$AI$47</c:f>
              <c:strCache>
                <c:ptCount val="0"/>
              </c:strCache>
            </c:strRef>
          </c:cat>
          <c:val>
            <c:numRef>
              <c:f>'Analytics'!$AL$2:$AL$47</c:f>
              <c:numCache>
                <c:formatCode>$#,##0.00</c:formatCode>
                <c:ptCount val="0"/>
              </c:numCache>
            </c:numRef>
          </c:val>
          <c:smooth val="0"/>
        </c:ser>
        <c:ser>
          <c:idx val="1"/>
          <c:order val="1"/>
          <c:tx>
            <c:v>Rolling 5-Day Avg</c:v>
          </c:tx>
          <c:cat>
            <c:strRef>
              <c:f>'Analytics'!$AI$2:$AI$47</c:f>
              <c:strCache>
                <c:ptCount val="0"/>
              </c:strCache>
            </c:strRef>
          </c:cat>
          <c:val>
            <c:numRef>
              <c:f>'Analytics'!$AN$2:$AN$47</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Weekly Confirmed Revenue</a:t>
            </a:r>
          </a:p>
        </c:rich>
      </c:tx>
      <c:overlay val="0"/>
    </c:title>
    <c:autoTitleDeleted val="0"/>
    <c:plotArea>
      <c:layout/>
      <c:lineChart>
        <c:grouping val="standard"/>
        <c:varyColors val="0"/>
        <c:ser>
          <c:idx val="0"/>
          <c:order val="0"/>
          <c:tx>
            <c:v>Weekly Revenue</c:v>
          </c:tx>
          <c:cat>
            <c:strRef>
              <c:f>'Analytics'!$AI$49:$AI$61</c:f>
              <c:strCache>
                <c:ptCount val="0"/>
              </c:strCache>
            </c:strRef>
          </c:cat>
          <c:val>
            <c:numRef>
              <c:f>'Analytics'!$AL$49:$AL$61</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Client Mix: Repeat vs One-Time</a:t>
            </a:r>
          </a:p>
        </c:rich>
      </c:tx>
      <c:overlay val="0"/>
    </c:title>
    <c:autoTitleDeleted val="0"/>
    <c:plotArea>
      <c:layout/>
      <c:pieChart>
        <c:ser>
          <c:idx val="0"/>
          <c:order val="0"/>
          <c:tx>
            <c:v>Clients</c:v>
          </c:tx>
          <c:cat>
            <c:strRef>
              <c:f>'Analytics'!$AI$64:$AI$65</c:f>
              <c:strCache>
                <c:ptCount val="0"/>
              </c:strCache>
            </c:strRef>
          </c:cat>
          <c:val>
            <c:numRef>
              <c:f>'Analytics'!$AJ$64:$AJ$65</c:f>
              <c:numCache>
                <c:formatCode>General</c:formatCode>
                <c:ptCount val="0"/>
              </c:numCache>
            </c:numRef>
          </c:val>
        </c:ser>
        <c:dLbls>
          <c:showLegendKey val="0"/>
          <c:showVal val="0"/>
          <c:showCatName val="0"/>
          <c:showSerName val="0"/>
          <c:showPercent val="0"/>
          <c:showBubbleSize val="0"/>
          <c:showLeaderLines val="0"/>
        </c:dLbls>
      </c:pieChart>
    </c:plotArea>
    <c:legend>
      <c:legendPos val="b"/>
      <c:overlay val="0"/>
    </c:legend>
    <c:plotVisOnly val="1"/>
  </c:chart>
  <c:spPr>
    <a:ln xmlns:a="http://schemas.openxmlformats.org/drawingml/2006/main" w="9525">
      <a:solidFill>
        <a:srgbClr val="D9D9D9"/>
      </a:solidFill>
      <a:prstDash val="solid"/>
    </a:ln>
  </c:spPr>
</c:chartSpace>
</file>

<file path=xl/drawings/charts/chart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Top Clients by Revenue</a:t>
            </a:r>
          </a:p>
        </c:rich>
      </c:tx>
      <c:overlay val="0"/>
    </c:title>
    <c:autoTitleDeleted val="0"/>
    <c:plotArea>
      <c:layout/>
      <c:barChart>
        <c:barDir val="bar"/>
        <c:varyColors val="0"/>
        <c:ser>
          <c:idx val="0"/>
          <c:order val="0"/>
          <c:tx>
            <c:v>Client</c:v>
          </c:tx>
          <c:cat>
            <c:strRef>
              <c:f>'Analytics'!$A$62:$A$71</c:f>
              <c:strCache>
                <c:ptCount val="0"/>
              </c:strCache>
            </c:strRef>
          </c:cat>
          <c:val>
            <c:numRef>
              <c:f>'Analytics'!$B$62:$B$71</c:f>
              <c:numCache>
                <c:formatCode>General</c:formatCode>
                <c:ptCount val="0"/>
              </c:numCache>
            </c:numRef>
          </c:val>
        </c:ser>
        <c:ser>
          <c:idx val="1"/>
          <c:order val="1"/>
          <c:tx>
            <c:v>Revenue</c:v>
          </c:tx>
          <c:cat>
            <c:strRef>
              <c:f>'Analytics'!$A$62:$A$71</c:f>
              <c:strCache>
                <c:ptCount val="0"/>
              </c:strCache>
            </c:strRef>
          </c:cat>
          <c:val>
            <c:numRef>
              <c:f>'Analytics'!$C$62:$C$71</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1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Jurisdiction Revenue Ranking</a:t>
            </a:r>
          </a:p>
        </c:rich>
      </c:tx>
      <c:overlay val="0"/>
    </c:title>
    <c:autoTitleDeleted val="0"/>
    <c:plotArea>
      <c:layout/>
      <c:barChart>
        <c:barDir val="col"/>
        <c:varyColors val="0"/>
        <c:ser>
          <c:idx val="0"/>
          <c:order val="0"/>
          <c:tx>
            <c:v>Jurisdiction</c:v>
          </c:tx>
          <c:cat>
            <c:strRef>
              <c:f>'Analytics'!$A$76:$A$80</c:f>
              <c:strCache>
                <c:ptCount val="0"/>
              </c:strCache>
            </c:strRef>
          </c:cat>
          <c:val>
            <c:numRef>
              <c:f>'Analytics'!$B$76:$B$80</c:f>
              <c:numCache>
                <c:formatCode>General</c:formatCode>
                <c:ptCount val="0"/>
              </c:numCache>
            </c:numRef>
          </c:val>
        </c:ser>
        <c:ser>
          <c:idx val="1"/>
          <c:order val="1"/>
          <c:tx>
            <c:v>Revenue</c:v>
          </c:tx>
          <c:cat>
            <c:strRef>
              <c:f>'Analytics'!$A$76:$A$80</c:f>
              <c:strCache>
                <c:ptCount val="0"/>
              </c:strCache>
            </c:strRef>
          </c:cat>
          <c:val>
            <c:numRef>
              <c:f>'Analytics'!$C$76:$C$80</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1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Revenue Accumulation</a:t>
            </a:r>
          </a:p>
        </c:rich>
      </c:tx>
      <c:overlay val="0"/>
    </c:title>
    <c:autoTitleDeleted val="0"/>
    <c:plotArea>
      <c:layout/>
      <c:lineChart>
        <c:grouping val="standard"/>
        <c:varyColors val="0"/>
        <c:ser>
          <c:idx val="0"/>
          <c:order val="0"/>
          <c:tx>
            <c:v>Events</c:v>
          </c:tx>
          <c:cat>
            <c:strRef>
              <c:f>'Analytics'!$AI$2:$AI$47</c:f>
              <c:strCache>
                <c:ptCount val="0"/>
              </c:strCache>
            </c:strRef>
          </c:cat>
          <c:val>
            <c:numRef>
              <c:f>'Analytics'!$AJ$2:$AJ$47</c:f>
              <c:numCache>
                <c:formatCode>General</c:formatCode>
                <c:ptCount val="0"/>
              </c:numCache>
            </c:numRef>
          </c:val>
          <c:smooth val="0"/>
        </c:ser>
        <c:ser>
          <c:idx val="1"/>
          <c:order val="1"/>
          <c:tx>
            <c:v>Eligible Events</c:v>
          </c:tx>
          <c:cat>
            <c:strRef>
              <c:f>'Analytics'!$AI$2:$AI$47</c:f>
              <c:strCache>
                <c:ptCount val="0"/>
              </c:strCache>
            </c:strRef>
          </c:cat>
          <c:val>
            <c:numRef>
              <c:f>'Analytics'!$AK$2:$AK$47</c:f>
              <c:numCache>
                <c:formatCode>General</c:formatCode>
                <c:ptCount val="0"/>
              </c:numCache>
            </c:numRef>
          </c:val>
          <c:smooth val="0"/>
        </c:ser>
        <c:ser>
          <c:idx val="2"/>
          <c:order val="2"/>
          <c:tx>
            <c:v>Daily Revenue</c:v>
          </c:tx>
          <c:cat>
            <c:strRef>
              <c:f>'Analytics'!$AI$2:$AI$47</c:f>
              <c:strCache>
                <c:ptCount val="0"/>
              </c:strCache>
            </c:strRef>
          </c:cat>
          <c:val>
            <c:numRef>
              <c:f>'Analytics'!$AL$2:$AL$47</c:f>
              <c:numCache>
                <c:formatCode>$#,##0.00</c:formatCode>
                <c:ptCount val="0"/>
              </c:numCache>
            </c:numRef>
          </c:val>
          <c:smooth val="0"/>
        </c:ser>
        <c:ser>
          <c:idx val="3"/>
          <c:order val="3"/>
          <c:tx>
            <c:v>Running Revenue</c:v>
          </c:tx>
          <c:cat>
            <c:strRef>
              <c:f>'Analytics'!$AI$2:$AI$47</c:f>
              <c:strCache>
                <c:ptCount val="0"/>
              </c:strCache>
            </c:strRef>
          </c:cat>
          <c:val>
            <c:numRef>
              <c:f>'Analytics'!$AM$2:$AM$47</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Workweek Revenue Trend</a:t>
            </a:r>
          </a:p>
        </c:rich>
      </c:tx>
      <c:overlay val="0"/>
    </c:title>
    <c:autoTitleDeleted val="0"/>
    <c:plotArea>
      <c:layout/>
      <c:lineChart>
        <c:grouping val="standard"/>
        <c:varyColors val="0"/>
        <c:ser>
          <c:idx val="0"/>
          <c:order val="0"/>
          <c:tx>
            <c:v>Events</c:v>
          </c:tx>
          <c:cat>
            <c:strRef>
              <c:f>'Analytics'!$AI$49:$AI$61</c:f>
              <c:strCache>
                <c:ptCount val="0"/>
              </c:strCache>
            </c:strRef>
          </c:cat>
          <c:val>
            <c:numRef>
              <c:f>'Analytics'!$AJ$49:$AJ$61</c:f>
              <c:numCache>
                <c:formatCode>General</c:formatCode>
                <c:ptCount val="0"/>
              </c:numCache>
            </c:numRef>
          </c:val>
          <c:smooth val="0"/>
        </c:ser>
        <c:ser>
          <c:idx val="1"/>
          <c:order val="1"/>
          <c:tx>
            <c:v>Eligible Events</c:v>
          </c:tx>
          <c:cat>
            <c:strRef>
              <c:f>'Analytics'!$AI$49:$AI$61</c:f>
              <c:strCache>
                <c:ptCount val="0"/>
              </c:strCache>
            </c:strRef>
          </c:cat>
          <c:val>
            <c:numRef>
              <c:f>'Analytics'!$AK$49:$AK$61</c:f>
              <c:numCache>
                <c:formatCode>General</c:formatCode>
                <c:ptCount val="0"/>
              </c:numCache>
            </c:numRef>
          </c:val>
          <c:smooth val="0"/>
        </c:ser>
        <c:ser>
          <c:idx val="2"/>
          <c:order val="2"/>
          <c:tx>
            <c:v>Weekly Revenue</c:v>
          </c:tx>
          <c:cat>
            <c:strRef>
              <c:f>'Analytics'!$AI$49:$AI$61</c:f>
              <c:strCache>
                <c:ptCount val="0"/>
              </c:strCache>
            </c:strRef>
          </c:cat>
          <c:val>
            <c:numRef>
              <c:f>'Analytics'!$AL$49:$AL$61</c:f>
              <c:numCache>
                <c:formatCode>$#,##0.00</c:formatCode>
                <c:ptCount val="0"/>
              </c:numCache>
            </c:numRef>
          </c:val>
          <c:smooth val="0"/>
        </c:ser>
        <c:ser>
          <c:idx val="3"/>
          <c:order val="3"/>
          <c:tx>
            <c:v>Running Revenue</c:v>
          </c:tx>
          <c:cat>
            <c:strRef>
              <c:f>'Analytics'!$AI$49:$AI$61</c:f>
              <c:strCache>
                <c:ptCount val="0"/>
              </c:strCache>
            </c:strRef>
          </c:cat>
          <c:val>
            <c:numRef>
              <c:f>'Analytics'!$AM$49:$AM$61</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Career Events &amp; Revenue by Workweek</a:t>
            </a:r>
          </a:p>
        </c:rich>
      </c:tx>
      <c:overlay val="0"/>
    </c:title>
    <c:autoTitleDeleted val="0"/>
    <c:plotArea>
      <c:layout/>
      <c:barChart>
        <c:barDir val="col"/>
        <c:grouping val="clustered"/>
        <c:varyColors val="0"/>
        <c:ser>
          <c:idx val="0"/>
          <c:order val="0"/>
          <c:tx>
            <c:v>Events</c:v>
          </c:tx>
          <c:cat>
            <c:strRef>
              <c:f>'Career Analytics'!$A$59:$A$71</c:f>
              <c:strCache>
                <c:ptCount val="0"/>
              </c:strCache>
            </c:strRef>
          </c:cat>
          <c:val>
            <c:numRef>
              <c:f>'Career Analytics'!$B$59:$B$71</c:f>
              <c:numCache>
                <c:formatCode>General</c:formatCode>
                <c:ptCount val="0"/>
              </c:numCache>
            </c:numRef>
          </c:val>
        </c:ser>
        <c:ser>
          <c:idx val="1"/>
          <c:order val="1"/>
          <c:tx>
            <c:v>Revenue</c:v>
          </c:tx>
          <c:cat>
            <c:strRef>
              <c:f>'Career Analytics'!$A$59:$A$71</c:f>
              <c:strCache>
                <c:ptCount val="0"/>
              </c:strCache>
            </c:strRef>
          </c:cat>
          <c:val>
            <c:numRef>
              <c:f>'Career Analytics'!$C$59:$C$71</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Weekday Production</a:t>
            </a:r>
          </a:p>
        </c:rich>
      </c:tx>
      <c:overlay val="0"/>
    </c:title>
    <c:autoTitleDeleted val="0"/>
    <c:plotArea>
      <c:layout/>
      <c:barChart>
        <c:barDir val="col"/>
        <c:varyColors val="0"/>
        <c:ser>
          <c:idx val="0"/>
          <c:order val="0"/>
          <c:tx>
            <c:v>Events</c:v>
          </c:tx>
          <c:cat>
            <c:strRef>
              <c:f>'Career Analytics'!$F$59:$F$63</c:f>
              <c:strCache>
                <c:ptCount val="0"/>
              </c:strCache>
            </c:strRef>
          </c:cat>
          <c:val>
            <c:numRef>
              <c:f>'Career Analytics'!$G$59:$G$63</c:f>
              <c:numCache>
                <c:formatCode>General</c:formatCode>
                <c:ptCount val="0"/>
              </c:numCache>
            </c:numRef>
          </c:val>
        </c:ser>
        <c:ser>
          <c:idx val="1"/>
          <c:order val="1"/>
          <c:tx>
            <c:v>Revenue</c:v>
          </c:tx>
          <c:cat>
            <c:strRef>
              <c:f>'Career Analytics'!$F$59:$F$63</c:f>
              <c:strCache>
                <c:ptCount val="0"/>
              </c:strCache>
            </c:strRef>
          </c:cat>
          <c:val>
            <c:numRef>
              <c:f>'Career Analytics'!$H$59:$H$63</c:f>
              <c:numCache>
                <c:formatCode>$#,##0.00</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45</xdr:row>
      <xdr:rowOff>0</xdr:rowOff>
    </xdr:from>
    <xdr:to>
      <xdr:col>7</xdr:col>
      <xdr:colOff>0</xdr:colOff>
      <xdr:row>62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c2851e53c524e32"/>
        </a:graphicData>
      </a:graphic>
    </xdr:graphicFrame>
    <xdr:clientData/>
  </xdr:twoCellAnchor>
  <xdr:twoCellAnchor>
    <xdr:from>
      <xdr:col>7</xdr:col>
      <xdr:colOff>0</xdr:colOff>
      <xdr:row>45</xdr:row>
      <xdr:rowOff>0</xdr:rowOff>
    </xdr:from>
    <xdr:to>
      <xdr:col>14</xdr:col>
      <xdr:colOff>0</xdr:colOff>
      <xdr:row>62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8341cfa43cc484e"/>
        </a:graphicData>
      </a:graphic>
    </xdr:graphicFrame>
    <xdr:clientData/>
  </xdr:twoCellAnchor>
  <xdr:twoCellAnchor>
    <xdr:from>
      <xdr:col>0</xdr:col>
      <xdr:colOff>0</xdr:colOff>
      <xdr:row>63</xdr:row>
      <xdr:rowOff>0</xdr:rowOff>
    </xdr:from>
    <xdr:to>
      <xdr:col>7</xdr:col>
      <xdr:colOff>0</xdr:colOff>
      <xdr:row>80</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97688661e0418d"/>
        </a:graphicData>
      </a:graphic>
    </xdr:graphicFrame>
    <xdr:clientData/>
  </xdr:twoCellAnchor>
  <xdr:twoCellAnchor>
    <xdr:from>
      <xdr:col>7</xdr:col>
      <xdr:colOff>0</xdr:colOff>
      <xdr:row>63</xdr:row>
      <xdr:rowOff>0</xdr:rowOff>
    </xdr:from>
    <xdr:to>
      <xdr:col>14</xdr:col>
      <xdr:colOff>0</xdr:colOff>
      <xdr:row>80</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988b758dbeb4cf1"/>
        </a:graphicData>
      </a:graphic>
    </xdr:graphicFrame>
    <xdr:clientData/>
  </xdr:twoCellAnchor>
  <xdr:twoCellAnchor>
    <xdr:from>
      <xdr:col>0</xdr:col>
      <xdr:colOff>0</xdr:colOff>
      <xdr:row>81</xdr:row>
      <xdr:rowOff>0</xdr:rowOff>
    </xdr:from>
    <xdr:to>
      <xdr:col>7</xdr:col>
      <xdr:colOff>0</xdr:colOff>
      <xdr:row>99</xdr:row>
      <xdr:rowOff>0</xdr:rowOff>
    </xdr:to>
    <xdr:graphicFrame macro="">
      <xdr:nvGraphicFramePr>
        <xdr:cNvPr id="5"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9ecf29628cc48c0"/>
        </a:graphicData>
      </a:graphic>
    </xdr:graphicFrame>
    <xdr:clientData/>
  </xdr:twoCellAnchor>
  <xdr:twoCellAnchor>
    <xdr:from>
      <xdr:col>7</xdr:col>
      <xdr:colOff>0</xdr:colOff>
      <xdr:row>81</xdr:row>
      <xdr:rowOff>0</xdr:rowOff>
    </xdr:from>
    <xdr:to>
      <xdr:col>14</xdr:col>
      <xdr:colOff>0</xdr:colOff>
      <xdr:row>99</xdr:row>
      <xdr:rowOff>0</xdr:rowOff>
    </xdr:to>
    <xdr:graphicFrame macro="">
      <xdr:nvGraphicFramePr>
        <xdr:cNvPr id="6"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91c44d4460f4476"/>
        </a:graphicData>
      </a:graphic>
    </xdr:graphicFrame>
    <xdr:clientData/>
  </xdr:twoCellAnchor>
  <xdr:twoCellAnchor>
    <xdr:from>
      <xdr:col>0</xdr:col>
      <xdr:colOff>0</xdr:colOff>
      <xdr:row>100</xdr:row>
      <xdr:rowOff>0</xdr:rowOff>
    </xdr:from>
    <xdr:to>
      <xdr:col>7</xdr:col>
      <xdr:colOff>0</xdr:colOff>
      <xdr:row>117</xdr:row>
      <xdr:rowOff>0</xdr:rowOff>
    </xdr:to>
    <xdr:graphicFrame macro="">
      <xdr:nvGraphicFramePr>
        <xdr:cNvPr id="7"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2e6dfe8415740f5"/>
        </a:graphicData>
      </a:graphic>
    </xdr:graphicFrame>
    <xdr:clientData/>
  </xdr:twoCellAnchor>
  <xdr:twoCellAnchor>
    <xdr:from>
      <xdr:col>7</xdr:col>
      <xdr:colOff>0</xdr:colOff>
      <xdr:row>100</xdr:row>
      <xdr:rowOff>0</xdr:rowOff>
    </xdr:from>
    <xdr:to>
      <xdr:col>14</xdr:col>
      <xdr:colOff>0</xdr:colOff>
      <xdr:row>117</xdr:row>
      <xdr:rowOff>0</xdr:rowOff>
    </xdr:to>
    <xdr:graphicFrame macro="">
      <xdr:nvGraphicFramePr>
        <xdr:cNvPr id="8"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d04fb470a5141e4"/>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106</xdr:row>
      <xdr:rowOff>0</xdr:rowOff>
    </xdr:from>
    <xdr:to>
      <xdr:col>10</xdr:col>
      <xdr:colOff>0</xdr:colOff>
      <xdr:row>124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411b24058fc471f"/>
        </a:graphicData>
      </a:graphic>
    </xdr:graphicFrame>
    <xdr:clientData/>
  </xdr:twoCellAnchor>
  <xdr:twoCellAnchor>
    <xdr:from>
      <xdr:col>10</xdr:col>
      <xdr:colOff>0</xdr:colOff>
      <xdr:row>106</xdr:row>
      <xdr:rowOff>0</xdr:rowOff>
    </xdr:from>
    <xdr:to>
      <xdr:col>20</xdr:col>
      <xdr:colOff>0</xdr:colOff>
      <xdr:row>124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c53185458f44cb5"/>
        </a:graphicData>
      </a:graphic>
    </xdr:graphicFrame>
    <xdr:clientData/>
  </xdr:twoCellAnchor>
  <xdr:twoCellAnchor>
    <xdr:from>
      <xdr:col>0</xdr:col>
      <xdr:colOff>0</xdr:colOff>
      <xdr:row>125</xdr:row>
      <xdr:rowOff>0</xdr:rowOff>
    </xdr:from>
    <xdr:to>
      <xdr:col>10</xdr:col>
      <xdr:colOff>0</xdr:colOff>
      <xdr:row>144</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7411622f6b4058"/>
        </a:graphicData>
      </a:graphic>
    </xdr:graphicFrame>
    <xdr:clientData/>
  </xdr:twoCellAnchor>
  <xdr:twoCellAnchor>
    <xdr:from>
      <xdr:col>10</xdr:col>
      <xdr:colOff>0</xdr:colOff>
      <xdr:row>125</xdr:row>
      <xdr:rowOff>0</xdr:rowOff>
    </xdr:from>
    <xdr:to>
      <xdr:col>20</xdr:col>
      <xdr:colOff>0</xdr:colOff>
      <xdr:row>144</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6b078bbc334ca0"/>
        </a:graphicData>
      </a:graphic>
    </xdr:graphicFrame>
    <xdr:clientData/>
  </xdr:twoCellAnchor>
</xdr:wsDr>
</file>

<file path=xl/drawings/drawing3.xml><?xml version="1.0" encoding="utf-8"?>
<xdr:wsDr xmlns:xdr="http://schemas.openxmlformats.org/drawingml/2006/spreadsheetDrawing">
  <xdr:twoCellAnchor>
    <xdr:from>
      <xdr:col>5</xdr:col>
      <xdr:colOff>0</xdr:colOff>
      <xdr:row>18</xdr:row>
      <xdr:rowOff>0</xdr:rowOff>
    </xdr:from>
    <xdr:to>
      <xdr:col>14</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5a4733d1dca4686"/>
        </a:graphicData>
      </a:graphic>
    </xdr:graphicFrame>
    <xdr:clientData/>
  </xdr:twoCellAnchor>
  <xdr:twoCellAnchor>
    <xdr:from>
      <xdr:col>7</xdr:col>
      <xdr:colOff>0</xdr:colOff>
      <xdr:row>42</xdr:row>
      <xdr:rowOff>0</xdr:rowOff>
    </xdr:from>
    <xdr:to>
      <xdr:col>14</xdr:col>
      <xdr:colOff>0</xdr:colOff>
      <xdr:row>56</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f616602a9804bb7"/>
        </a:graphicData>
      </a:graphic>
    </xdr:graphicFrame>
    <xdr:clientData/>
  </xdr:twoCellAnchor>
</xdr:wsDr>
</file>

<file path=xl/tables/table1.xml><?xml version="1.0" encoding="utf-8"?>
<x:table xmlns:x="http://schemas.openxmlformats.org/spreadsheetml/2006/main" id="20" name="tblServiceEvents" displayName="tblServiceEvents" ref="A1:Z73" headerRowCount="1">
  <x:tableColumns count="26">
    <x:tableColumn id="1" name="Event #"/>
    <x:tableColumn id="2" name="Physical Visit ID"/>
    <x:tableColumn id="3" name="Service Date"/>
    <x:tableColumn id="4" name="Weekday"/>
    <x:tableColumn id="5" name="Workweek #"/>
    <x:tableColumn id="6" name="MY_MONTH"/>
    <x:tableColumn id="7" name="Client ID"/>
    <x:tableColumn id="8" name="Client"/>
    <x:tableColumn id="9" name="Site Name"/>
    <x:tableColumn id="10" name="Address"/>
    <x:tableColumn id="11" name="City"/>
    <x:tableColumn id="12" name="State"/>
    <x:tableColumn id="13" name="ZIP"/>
    <x:tableColumn id="14" name="Jurisdiction"/>
    <x:tableColumn id="15" name="Location Key"/>
    <x:tableColumn id="16" name="Status"/>
    <x:tableColumn id="17" name="Visit Type"/>
    <x:tableColumn id="18" name="Work Order Count"/>
    <x:tableColumn id="19" name="Work Orders"/>
    <x:tableColumn id="20" name="Confirmed Revenue"/>
    <x:tableColumn id="21" name="Revenue Eligibility"/>
    <x:tableColumn id="22" name="Notes"/>
    <x:tableColumn id="23" name="Source / Evidence"/>
    <x:tableColumn id="24" name="Financial Scope"/>
    <x:tableColumn id="25" name="Financial Exclusion Reason"/>
    <x:tableColumn id="26" name="Breakdown Expected"/>
  </x:tableColumns>
  <x:tableStyleInfo name="TableStyleMedium2" showRowStripes="1"/>
</x:table>
</file>

<file path=xl/tables/table2.xml><?xml version="1.0" encoding="utf-8"?>
<x:table xmlns:x="http://schemas.openxmlformats.org/spreadsheetml/2006/main" id="4" name="tblLedger" displayName="tblLedger" ref="A1:AD74" headerRowCount="1">
  <x:tableColumns count="30">
    <x:tableColumn id="1" name="Ledger Record ID"/>
    <x:tableColumn id="2" name="Work Order #"/>
    <x:tableColumn id="3" name="Event #"/>
    <x:tableColumn id="4" name="Candidate Event(s)"/>
    <x:tableColumn id="5" name="Client ID"/>
    <x:tableColumn id="6" name="Client"/>
    <x:tableColumn id="7" name="Service Date"/>
    <x:tableColumn id="8" name="Weekday"/>
    <x:tableColumn id="9" name="Site Name"/>
    <x:tableColumn id="10" name="Address"/>
    <x:tableColumn id="11" name="City"/>
    <x:tableColumn id="12" name="State"/>
    <x:tableColumn id="13" name="ZIP"/>
    <x:tableColumn id="14" name="Jurisdiction"/>
    <x:tableColumn id="15" name="Location Key"/>
    <x:tableColumn id="16" name="Agreed Amount"/>
    <x:tableColumn id="17" name="Pay Type"/>
    <x:tableColumn id="18" name="Breakdown Confirmed"/>
    <x:tableColumn id="19" name="Breakdown Amount"/>
    <x:tableColumn id="20" name="Breakdown Date"/>
    <x:tableColumn id="21" name="Expected Payment Date"/>
    <x:tableColumn id="22" name="ACH Confirmed"/>
    <x:tableColumn id="23" name="ACH Amount"/>
    <x:tableColumn id="24" name="ACH Date"/>
    <x:tableColumn id="25" name="Variance"/>
    <x:tableColumn id="26" name="Reconciliation Status"/>
    <x:tableColumn id="27" name="Mapping Status"/>
    <x:tableColumn id="28" name="Alias / Related WO"/>
    <x:tableColumn id="29" name="Notes"/>
    <x:tableColumn id="30" name="Source / Evidence"/>
  </x:tableColumns>
  <x:tableStyleInfo name="TableStyleMedium2" showRowStripes="1"/>
</x:table>
</file>

<file path=xl/tables/table3.xml><?xml version="1.0" encoding="utf-8"?>
<x:table xmlns:x="http://schemas.openxmlformats.org/spreadsheetml/2006/main" id="5" name="tblClientSummary" displayName="tblClientSummary" ref="A11:L38" headerRowCount="1">
  <x:tableColumns count="12">
    <x:tableColumn id="1" name="Client ID"/>
    <x:tableColumn id="2" name="Client Name"/>
    <x:tableColumn id="3" name="First Event"/>
    <x:tableColumn id="4" name="Latest Event"/>
    <x:tableColumn id="5" name="Total Events"/>
    <x:tableColumn id="6" name="Total Work Orders"/>
    <x:tableColumn id="7" name="Confirmed Revenue"/>
    <x:tableColumn id="8" name="Avg Revenue / Event"/>
    <x:tableColumn id="9" name="Avg Revenue / WO"/>
    <x:tableColumn id="10" name="States Worked"/>
    <x:tableColumn id="11" name="Cities Worked"/>
    <x:tableColumn id="12" name="Repeat Client"/>
  </x:tableColumns>
  <x:tableStyleInfo name="TableStyleMedium2" showRowStripes="1"/>
</x:table>
</file>

<file path=xl/tables/table4.xml><?xml version="1.0" encoding="utf-8"?>
<x:table xmlns:x="http://schemas.openxmlformats.org/spreadsheetml/2006/main" id="6" name="tblStateSummary" displayName="tblStateSummary" ref="A42:H47" headerRowCount="1">
  <x:tableColumns count="8">
    <x:tableColumn id="1" name="Jurisdiction"/>
    <x:tableColumn id="2" name="Events"/>
    <x:tableColumn id="3" name="Eligible Events"/>
    <x:tableColumn id="4" name="Clients"/>
    <x:tableColumn id="5" name="Confirmed Revenue"/>
    <x:tableColumn id="6" name="Avg Revenue / Eligible Event"/>
    <x:tableColumn id="7" name="Revenue Share"/>
    <x:tableColumn id="8" name="Event Share"/>
  </x:tableColumns>
  <x:tableStyleInfo name="TableStyleMedium2" showRowStripes="1"/>
</x:table>
</file>

<file path=xl/tables/table5.xml><?xml version="1.0" encoding="utf-8"?>
<x:table xmlns:x="http://schemas.openxmlformats.org/spreadsheetml/2006/main" id="7" name="tblWeekdaySummary" displayName="tblWeekdaySummary" ref="J42:R47" headerRowCount="1">
  <x:tableColumns count="9">
    <x:tableColumn id="1" name="Weekday"/>
    <x:tableColumn id="2" name="Confirmed Revenue"/>
    <x:tableColumn id="3" name="Eligible Events"/>
    <x:tableColumn id="4" name="Avg Revenue / Event"/>
    <x:tableColumn id="5" name="Active Weeks"/>
    <x:tableColumn id="6" name="Activity Rate"/>
    <x:tableColumn id="7" name="Highest Revenue Event"/>
    <x:tableColumn id="8" name="Lowest Revenue Event"/>
    <x:tableColumn id="9" name="Rank"/>
  </x:tableColumns>
  <x:tableStyleInfo name="TableStyleMedium2" showRowStripes="1"/>
</x:table>
</file>

<file path=xl/tables/table6.xml><?xml version="1.0" encoding="utf-8"?>
<x:table xmlns:x="http://schemas.openxmlformats.org/spreadsheetml/2006/main" id="8" name="tblMonthSummary" displayName="tblMonthSummary" ref="A51:G54" headerRowCount="1">
  <x:tableColumns count="7">
    <x:tableColumn id="1" name="MY_MONTH"/>
    <x:tableColumn id="2" name="Events"/>
    <x:tableColumn id="3" name="Eligible Events"/>
    <x:tableColumn id="4" name="Clients"/>
    <x:tableColumn id="5" name="Jurisdictions"/>
    <x:tableColumn id="6" name="Confirmed Revenue"/>
    <x:tableColumn id="7" name="Avg Revenue / Eligible Event"/>
  </x:tableColumns>
  <x:tableStyleInfo name="TableStyleMedium2" showRowStripes="1"/>
</x:table>
</file>

<file path=xl/tables/table7.xml><?xml version="1.0" encoding="utf-8"?>
<x:table xmlns:x="http://schemas.openxmlformats.org/spreadsheetml/2006/main" id="9" name="tblLeaderboardClients" displayName="tblLeaderboardClients" ref="V1:AG28" headerRowCount="1">
  <x:tableColumns count="12">
    <x:tableColumn id="1" name="Client ID"/>
    <x:tableColumn id="2" name="Client"/>
    <x:tableColumn id="3" name="Events"/>
    <x:tableColumn id="4" name="Work Orders"/>
    <x:tableColumn id="5" name="Revenue"/>
    <x:tableColumn id="6" name="Avg/Event"/>
    <x:tableColumn id="7" name="Avg/WO"/>
    <x:tableColumn id="8" name="Repeat"/>
    <x:tableColumn id="9" name="First Event"/>
    <x:tableColumn id="10" name="Revenue Key"/>
    <x:tableColumn id="11" name="Repeat Key"/>
    <x:tableColumn id="12" name="Avg Key"/>
  </x:tableColumns>
  <x:tableStyleInfo name="TableStyleMedium2" showRowStripes="1"/>
</x:table>
</file>

<file path=xl/tables/table8.xml><?xml version="1.0" encoding="utf-8"?>
<x:table xmlns:x="http://schemas.openxmlformats.org/spreadsheetml/2006/main" id="17" name="tblChartDailyTrend" displayName="tblChartDailyTrend" ref="AI1:AN47" headerRowCount="1">
  <x:tableColumns count="6">
    <x:tableColumn id="1" name="Service Date"/>
    <x:tableColumn id="2" name="Events"/>
    <x:tableColumn id="3" name="Eligible Events"/>
    <x:tableColumn id="4" name="Daily Revenue"/>
    <x:tableColumn id="5" name="Running Revenue"/>
    <x:tableColumn id="6" name="Rolling 5-Day Avg"/>
  </x:tableColumns>
  <x:tableStyleInfo name="TableStyleMedium2" showRowStripes="1"/>
</x:table>
</file>

<file path=xl/tables/table9.xml><?xml version="1.0" encoding="utf-8"?>
<x:table xmlns:x="http://schemas.openxmlformats.org/spreadsheetml/2006/main" id="18" name="tblChartWeeklyTrend" displayName="tblChartWeeklyTrend" ref="AI48:AM61" headerRowCount="1">
  <x:tableColumns count="5">
    <x:tableColumn id="1" name="Workweek"/>
    <x:tableColumn id="2" name="Events"/>
    <x:tableColumn id="3" name="Eligible Events"/>
    <x:tableColumn id="4" name="Weekly Revenue"/>
    <x:tableColumn id="5" name="Running Revenue"/>
  </x:tableColumns>
  <x:tableStyleInfo name="TableStyleMedium2" showRowStripes="1"/>
</x:table>
</file>

<file path=xl/tables/table10.xml><?xml version="1.0" encoding="utf-8"?>
<x:table xmlns:x="http://schemas.openxmlformats.org/spreadsheetml/2006/main" id="19" name="tblClientMix" displayName="tblClientMix" ref="AI63:AJ65" headerRowCount="1">
  <x:tableColumns count="2">
    <x:tableColumn id="1" name="Client Type"/>
    <x:tableColumn id="2" name="Clients"/>
  </x:tableColumns>
  <x:tableStyleInfo name="TableStyleMedium2" showRowStripes="1"/>
</x:table>
</file>

<file path=xl/tables/table11.xml><?xml version="1.0" encoding="utf-8"?>
<x:table xmlns:x="http://schemas.openxmlformats.org/spreadsheetml/2006/main" id="25" name="tblCitySummary" displayName="tblCitySummary" ref="V31:AB70" headerRowCount="1">
  <x:tableColumns count="7">
    <x:tableColumn id="1" name="City"/>
    <x:tableColumn id="2" name="Jurisdiction"/>
    <x:tableColumn id="3" name="Events"/>
    <x:tableColumn id="4" name="Eligible Events"/>
    <x:tableColumn id="5" name="Revenue"/>
    <x:tableColumn id="6" name="Avg/Event"/>
    <x:tableColumn id="7" name="Rank Key"/>
  </x:tableColumns>
  <x:tableStyleInfo name="TableStyleMedium2" showRowStripes="1"/>
</x:table>
</file>

<file path=xl/tables/table12.xml><?xml version="1.0" encoding="utf-8"?>
<x:table xmlns:x="http://schemas.openxmlformats.org/spreadsheetml/2006/main" id="26" name="tblWeekSummary" displayName="tblWeekSummary" ref="V71:AB84" headerRowCount="1">
  <x:tableColumns count="7">
    <x:tableColumn id="1" name="Workweek"/>
    <x:tableColumn id="2" name="Events"/>
    <x:tableColumn id="3" name="Eligible Events"/>
    <x:tableColumn id="4" name="Revenue"/>
    <x:tableColumn id="5" name="Avg/Event"/>
    <x:tableColumn id="6" name="Worked Days"/>
    <x:tableColumn id="7" name="Rank Key"/>
  </x:tableColumns>
  <x:tableStyleInfo name="TableStyleMedium2" showRowStripes="1"/>
</x:table>
</file>

<file path=xl/tables/table13.xml><?xml version="1.0" encoding="utf-8"?>
<x:table xmlns:x="http://schemas.openxmlformats.org/spreadsheetml/2006/main" id="27" name="tblDateSummary" displayName="tblDateSummary" ref="V86:AB132" headerRowCount="1">
  <x:tableColumns count="7">
    <x:tableColumn id="1" name="Service Date"/>
    <x:tableColumn id="2" name="Weekday"/>
    <x:tableColumn id="3" name="Events"/>
    <x:tableColumn id="4" name="Eligible Events"/>
    <x:tableColumn id="5" name="Revenue"/>
    <x:tableColumn id="6" name="Avg/Event"/>
    <x:tableColumn id="7" name="Rank Key"/>
  </x:tableColumns>
  <x:tableStyleInfo name="TableStyleMedium2" showRowStripes="1"/>
</x:table>
</file>

<file path=xl/tables/table14.xml><?xml version="1.0" encoding="utf-8"?>
<x:table xmlns:x="http://schemas.openxmlformats.org/spreadsheetml/2006/main" id="28" name="tblEventLeaderboardSource" displayName="tblEventLeaderboardSource" ref="V134:AD201" headerRowCount="1">
  <x:tableColumns count="9">
    <x:tableColumn id="1" name="Event #"/>
    <x:tableColumn id="2" name="Date"/>
    <x:tableColumn id="3" name="Client"/>
    <x:tableColumn id="4" name="City"/>
    <x:tableColumn id="5" name="Jurisdiction"/>
    <x:tableColumn id="6" name="Revenue"/>
    <x:tableColumn id="7" name="Eligibility"/>
    <x:tableColumn id="8" name="Work Orders"/>
    <x:tableColumn id="9" name="Rank Key"/>
  </x:tableColumns>
  <x:tableStyleInfo name="TableStyleMedium2" showRowStripes="1"/>
</x:table>
</file>

<file path=xl/tables/table15.xml><?xml version="1.0" encoding="utf-8"?>
<x:table xmlns:x="http://schemas.openxmlformats.org/spreadsheetml/2006/main" id="15" name="tblLedgerExceptionMatrix" displayName="tblLedgerExceptionMatrix" ref="A30:V98" headerRowCount="1">
  <x:tableColumns count="22">
    <x:tableColumn id="1" name="Ledger Record ID"/>
    <x:tableColumn id="2" name="WO #"/>
    <x:tableColumn id="3" name="Event #"/>
    <x:tableColumn id="4" name="Client"/>
    <x:tableColumn id="5" name="Breakdown Status"/>
    <x:tableColumn id="6" name="ACH Status"/>
    <x:tableColumn id="7" name="Variance"/>
    <x:tableColumn id="8" name="Duplicate WO"/>
    <x:tableColumn id="9" name="Missing Event Link"/>
    <x:tableColumn id="10" name="Mapping Hold"/>
    <x:tableColumn id="11" name="Missing Breakdown"/>
    <x:tableColumn id="12" name="Pending ACH"/>
    <x:tableColumn id="13" name="Revenue Variance"/>
    <x:tableColumn id="14" name="Missing Client"/>
    <x:tableColumn id="15" name="Missing Location"/>
    <x:tableColumn id="16" name="Unknown Breakdown Status"/>
    <x:tableColumn id="17" name="Unknown ACH Status"/>
    <x:tableColumn id="18" name="Primary Issue"/>
    <x:tableColumn id="19" name="Severity"/>
    <x:tableColumn id="20" name="Required Action"/>
    <x:tableColumn id="21" name="Open?"/>
    <x:tableColumn id="22" name="Absolute Variance"/>
  </x:tableColumns>
  <x:tableStyleInfo name="TableStyleMedium2" showRowStripes="1"/>
</x:table>
</file>

<file path=xl/tables/table16.xml><?xml version="1.0" encoding="utf-8"?>
<x:table xmlns:x="http://schemas.openxmlformats.org/spreadsheetml/2006/main" id="21" name="tblCurrentExceptions" displayName="tblCurrentExceptions" ref="A10:L26" headerRowCount="1">
  <x:tableColumns count="12">
    <x:tableColumn id="1" name="Severity"/>
    <x:tableColumn id="2" name="Issue"/>
    <x:tableColumn id="3" name="Event #"/>
    <x:tableColumn id="4" name="WO #"/>
    <x:tableColumn id="5" name="Client"/>
    <x:tableColumn id="6" name="City"/>
    <x:tableColumn id="7" name="Jurisdiction"/>
    <x:tableColumn id="8" name="Amount"/>
    <x:tableColumn id="9" name="Status"/>
    <x:tableColumn id="10" name="Required Action"/>
    <x:tableColumn id="11" name="Source"/>
    <x:tableColumn id="12" name="Notes"/>
  </x:tableColumns>
  <x:tableStyleInfo name="TableStyleMedium2" showRowStripes="1"/>
</x:table>
</file>

<file path=xl/tables/table17.xml><?xml version="1.0" encoding="utf-8"?>
<x:table xmlns:x="http://schemas.openxmlformats.org/spreadsheetml/2006/main" id="29" name="tblEventIntegrityMatrix" displayName="tblEventIntegrityMatrix" ref="A99:R166" headerRowCount="1">
  <x:tableColumns count="18">
    <x:tableColumn id="1" name="Event #"/>
    <x:tableColumn id="2" name="Client"/>
    <x:tableColumn id="3" name="Service Date"/>
    <x:tableColumn id="4" name="Weekday"/>
    <x:tableColumn id="5" name="MY_MONTH"/>
    <x:tableColumn id="6" name="Status"/>
    <x:tableColumn id="7" name="City"/>
    <x:tableColumn id="8" name="Jurisdiction"/>
    <x:tableColumn id="9" name="Linked WO Count"/>
    <x:tableColumn id="10" name="Duplicate Event #"/>
    <x:tableColumn id="11" name="Missing Date"/>
    <x:tableColumn id="12" name="Missing Client"/>
    <x:tableColumn id="13" name="Missing Location"/>
    <x:tableColumn id="14" name="Unknown Weekday"/>
    <x:tableColumn id="15" name="Unknown MY_MONTH"/>
    <x:tableColumn id="16" name="Primary Issue"/>
    <x:tableColumn id="17" name="Severity"/>
    <x:tableColumn id="18" name="Open?"/>
  </x:tableColumns>
  <x:tableStyleInfo name="TableStyleMedium2" showRowStripes="1"/>
</x:table>
</file>

<file path=xl/tables/table18.xml><?xml version="1.0" encoding="utf-8"?>
<x:table xmlns:x="http://schemas.openxmlformats.org/spreadsheetml/2006/main" id="30" name="tblIntegrityRules" displayName="tblIntegrityRules" ref="A175:H197" headerRowCount="1">
  <x:tableColumns count="8">
    <x:tableColumn id="1" name="Rule ID"/>
    <x:tableColumn id="2" name="Layer"/>
    <x:tableColumn id="3" name="Integrity Rule"/>
    <x:tableColumn id="4" name="Violation Count"/>
    <x:tableColumn id="5" name="Status"/>
    <x:tableColumn id="6" name="Severity"/>
    <x:tableColumn id="7" name="Required Action"/>
    <x:tableColumn id="8" name="Technical Basis"/>
  </x:tableColumns>
  <x:tableStyleInfo name="TableStyleMedium2" showRowStripes="1"/>
</x:table>
</file>

<file path=xl/tables/table19.xml><?xml version="1.0" encoding="utf-8"?>
<x:table xmlns:x="http://schemas.openxmlformats.org/spreadsheetml/2006/main" id="31" name="tblCrossTableIntegrity" displayName="tblCrossTableIntegrity" ref="A201:J269" headerRowCount="1">
  <x:tableColumns count="10">
    <x:tableColumn id="1" name="Ledger Record ID"/>
    <x:tableColumn id="2" name="WO #"/>
    <x:tableColumn id="3" name="Event #"/>
    <x:tableColumn id="4" name="Mapping Status"/>
    <x:tableColumn id="5" name="Event Exists"/>
    <x:tableColumn id="6" name="Client Match"/>
    <x:tableColumn id="7" name="Location Match"/>
    <x:tableColumn id="8" name="Date Match"/>
    <x:tableColumn id="9" name="WO Listed"/>
    <x:tableColumn id="10" name="Integrity Status"/>
  </x:tableColumns>
  <x:tableStyleInfo name="TableStyleMedium2" showRowStripes="1"/>
</x:table>
</file>

<file path=xl/tables/table20.xml><?xml version="1.0" encoding="utf-8"?>
<x:table xmlns:x="http://schemas.openxmlformats.org/spreadsheetml/2006/main" id="24" name="tblSelfHealingRules" displayName="tblSelfHealingRules" ref="A10:H22" headerRowCount="1">
  <x:tableColumns count="8">
    <x:tableColumn id="1" name="Rule ID"/>
    <x:tableColumn id="2" name="Mode"/>
    <x:tableColumn id="3" name="Scope"/>
    <x:tableColumn id="4" name="Managed Field / Control"/>
    <x:tableColumn id="5" name="Healing Logic"/>
    <x:tableColumn id="6" name="Current Exceptions"/>
    <x:tableColumn id="7" name="Status"/>
    <x:tableColumn id="8" name="Protection Boundary"/>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2149f6dfdb4456e" /></Relationships>
</file>

<file path=xl/worksheets/_rels/sheet2.xml.rels>&#65279;<?xml version="1.0" encoding="utf-8"?><Relationships xmlns="http://schemas.openxmlformats.org/package/2006/relationships"><Relationship Type="http://schemas.openxmlformats.org/officeDocument/2006/relationships/table" Target="/xl/tables/table1.xml" Id="R68073d3d71874259" /></Relationships>
</file>

<file path=xl/worksheets/_rels/sheet3.xml.rels>&#65279;<?xml version="1.0" encoding="utf-8"?><Relationships xmlns="http://schemas.openxmlformats.org/package/2006/relationships"><Relationship Type="http://schemas.openxmlformats.org/officeDocument/2006/relationships/table" Target="/xl/tables/table2.xml" Id="Rc3151b5a5eaf4a35" /></Relationships>
</file>

<file path=xl/worksheets/_rels/sheet4.xml.rels>&#65279;<?xml version="1.0" encoding="utf-8"?><Relationships xmlns="http://schemas.openxmlformats.org/package/2006/relationships"><Relationship Type="http://schemas.openxmlformats.org/officeDocument/2006/relationships/drawing" Target="/xl/drawings/drawing2.xml" Id="R3d2685631df84929" /><Relationship Type="http://schemas.openxmlformats.org/officeDocument/2006/relationships/table" Target="/xl/tables/table3.xml" Id="R6b4fa091c97d4ab6" /><Relationship Type="http://schemas.openxmlformats.org/officeDocument/2006/relationships/table" Target="/xl/tables/table4.xml" Id="R4e4385dd84ae4027" /><Relationship Type="http://schemas.openxmlformats.org/officeDocument/2006/relationships/table" Target="/xl/tables/table5.xml" Id="R1a7972bcb37849bd" /><Relationship Type="http://schemas.openxmlformats.org/officeDocument/2006/relationships/table" Target="/xl/tables/table6.xml" Id="R7d78171bf97a481f" /><Relationship Type="http://schemas.openxmlformats.org/officeDocument/2006/relationships/table" Target="/xl/tables/table7.xml" Id="Rffcd1a86b613429d" /><Relationship Type="http://schemas.openxmlformats.org/officeDocument/2006/relationships/table" Target="/xl/tables/table8.xml" Id="R1f978ab50f724f29" /><Relationship Type="http://schemas.openxmlformats.org/officeDocument/2006/relationships/table" Target="/xl/tables/table9.xml" Id="R32b7f9f959c64c20" /><Relationship Type="http://schemas.openxmlformats.org/officeDocument/2006/relationships/table" Target="/xl/tables/table10.xml" Id="R732222a0a32f44c4" /><Relationship Type="http://schemas.openxmlformats.org/officeDocument/2006/relationships/table" Target="/xl/tables/table11.xml" Id="Re8c5113c507c4e8a" /><Relationship Type="http://schemas.openxmlformats.org/officeDocument/2006/relationships/table" Target="/xl/tables/table12.xml" Id="Red4c03234fcc4514" /><Relationship Type="http://schemas.openxmlformats.org/officeDocument/2006/relationships/table" Target="/xl/tables/table13.xml" Id="Re9e341dd343c43e5" /><Relationship Type="http://schemas.openxmlformats.org/officeDocument/2006/relationships/table" Target="/xl/tables/table14.xml" Id="Rade2c4fb7b5c4e2d" /></Relationships>
</file>

<file path=xl/worksheets/_rels/sheet5.xml.rels>&#65279;<?xml version="1.0" encoding="utf-8"?><Relationships xmlns="http://schemas.openxmlformats.org/package/2006/relationships"><Relationship Type="http://schemas.openxmlformats.org/officeDocument/2006/relationships/table" Target="/xl/tables/table15.xml" Id="Rcc4d3723fe1144a9" /><Relationship Type="http://schemas.openxmlformats.org/officeDocument/2006/relationships/table" Target="/xl/tables/table16.xml" Id="R2da5aecfce5d439e" /><Relationship Type="http://schemas.openxmlformats.org/officeDocument/2006/relationships/table" Target="/xl/tables/table17.xml" Id="R98f0f3152373485a" /><Relationship Type="http://schemas.openxmlformats.org/officeDocument/2006/relationships/table" Target="/xl/tables/table18.xml" Id="Rb027acf53a7b475c" /><Relationship Type="http://schemas.openxmlformats.org/officeDocument/2006/relationships/table" Target="/xl/tables/table19.xml" Id="Reb8e3eb64b6444a6" /></Relationships>
</file>

<file path=xl/worksheets/_rels/sheet7.xml.rels>&#65279;<?xml version="1.0" encoding="utf-8"?><Relationships xmlns="http://schemas.openxmlformats.org/package/2006/relationships"><Relationship Type="http://schemas.openxmlformats.org/officeDocument/2006/relationships/table" Target="/xl/tables/table20.xml" Id="Rd4c1c9f4ef4347dc" /></Relationships>
</file>

<file path=xl/worksheets/_rels/sheet8.xml.rels>&#65279;<?xml version="1.0" encoding="utf-8"?><Relationships xmlns="http://schemas.openxmlformats.org/package/2006/relationships"><Relationship Type="http://schemas.openxmlformats.org/officeDocument/2006/relationships/drawing" Target="/xl/drawings/drawing3.xml" Id="Rc2401c34a5394133"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3" hidden="0" customWidth="1"/>
    <x:col min="4" max="4" width="24" hidden="0" customWidth="1"/>
    <x:col min="5" max="5" width="16" hidden="0" customWidth="1"/>
    <x:col min="6" max="6" width="14" hidden="0" customWidth="1"/>
    <x:col min="7" max="7" width="14" hidden="0" customWidth="1"/>
    <x:col min="8" max="8" width="22" hidden="0" customWidth="1"/>
    <x:col min="9" max="9" width="14" hidden="0" customWidth="1"/>
    <x:col min="10" max="10" width="22" hidden="0" customWidth="1"/>
    <x:col min="11" max="11" width="18" hidden="0" customWidth="1"/>
    <x:col min="12" max="12" width="38" hidden="0" customWidth="1"/>
    <x:col min="13" max="13" width="30" hidden="0" customWidth="1"/>
    <x:col min="14" max="14" width="16" hidden="0" customWidth="1"/>
  </x:cols>
  <x:sheetData>
    <x:row r="1" ht="24" customHeight="1">
      <x:c r="A1" s="197" t="str">
        <x:v>Barrister Source of Truth — Authoritative Master | Month 4 Career Analytics</x:v>
      </x:c>
      <x:c r="B1" s="197"/>
      <x:c r="C1" s="197"/>
      <x:c r="D1" s="197"/>
      <x:c r="E1" s="197"/>
      <x:c r="F1" s="197"/>
      <x:c r="G1" s="197"/>
      <x:c r="H1" s="197"/>
      <x:c r="I1" s="197"/>
      <x:c r="J1" s="197"/>
      <x:c r="K1" s="197"/>
      <x:c r="L1" s="197"/>
      <x:c r="M1" s="197"/>
      <x:c r="N1" s="197"/>
      <x:c r="O1" s="52"/>
      <x:c r="P1" s="52"/>
      <x:c r="Q1" s="52"/>
      <x:c r="R1" s="52"/>
      <x:c r="S1" s="52"/>
      <x:c r="T1" s="52"/>
      <x:c r="U1" s="52"/>
      <x:c r="V1" s="52"/>
      <x:c r="W1" s="52"/>
      <x:c r="X1" s="52"/>
      <x:c r="Y1" s="52"/>
      <x:c r="Z1" s="52"/>
      <x:c r="AA1" s="52"/>
      <x:c r="AB1" s="52"/>
      <x:c r="AC1" s="52"/>
      <x:c r="AD1" s="52"/>
      <x:c r="AE1" s="52"/>
    </x:row>
    <x:row r="2" ht="24" customHeight="1">
      <x:c r="A2" s="115"/>
      <x:c r="B2" s="115"/>
      <x:c r="C2" s="115"/>
      <x:c r="D2" s="115"/>
      <x:c r="E2" s="115"/>
      <x:c r="F2" s="115"/>
      <x:c r="G2" s="115"/>
      <x:c r="H2" s="115"/>
      <x:c r="I2" s="115"/>
      <x:c r="J2" s="115"/>
      <x:c r="K2" s="115"/>
      <x:c r="L2" s="115"/>
      <x:c r="M2" s="115"/>
      <x:c r="N2" s="115"/>
      <x:c r="O2"/>
    </x:row>
    <x:row r="3">
      <x:c r="A3" s="121" t="str">
        <x:v>Month 3 closeout through 2026-07-17; Career Analytics engine added from authoritative Events and Ledger data</x:v>
      </x:c>
      <x:c r="B3" s="121"/>
      <x:c r="C3" s="121"/>
      <x:c r="D3" s="121"/>
      <x:c r="E3" s="121"/>
      <x:c r="F3" s="121"/>
      <x:c r="G3" s="121"/>
      <x:c r="H3" s="121"/>
      <x:c r="I3" s="121"/>
      <x:c r="J3" s="121"/>
      <x:c r="K3" s="121"/>
      <x:c r="L3" s="121"/>
      <x:c r="M3" s="121"/>
      <x:c r="N3" s="121"/>
    </x:row>
    <x:row r="4">
      <x:c r="A4" s="12"/>
      <x:c r="B4" s="12"/>
      <x:c r="C4" s="12"/>
      <x:c r="D4" s="12"/>
      <x:c r="E4" s="12"/>
      <x:c r="F4" s="12"/>
      <x:c r="G4" s="12"/>
      <x:c r="H4" s="12"/>
    </x:row>
    <x:row r="5">
      <x:c r="A5" s="126" t="str">
        <x:v>Completed Events</x:v>
      </x:c>
      <x:c r="B5" s="126"/>
      <x:c r="C5" s="126" t="str">
        <x:v>Unique Clients</x:v>
      </x:c>
      <x:c r="D5" s="126"/>
      <x:c r="E5" s="126" t="str">
        <x:v>Unique Work Orders</x:v>
      </x:c>
      <x:c r="F5" s="126"/>
      <x:c r="G5" s="140" t="str">
        <x:v>Confirmed Revenue</x:v>
      </x:c>
      <x:c r="H5" s="140"/>
      <x:c r="I5" s="126" t="str">
        <x:v>Pending Breakdown</x:v>
      </x:c>
      <x:c r="J5" s="126"/>
      <x:c r="K5" s="126" t="str">
        <x:v>Pending ACH</x:v>
      </x:c>
      <x:c r="L5" s="126"/>
      <x:c r="M5" s="126" t="str">
        <x:v>Open Exceptions</x:v>
      </x:c>
      <x:c r="N5" s="126"/>
    </x:row>
    <x:row r="6" ht="26" customHeight="1">
      <x:c r="A6" s="134" t="n">
        <x:v>72</x:v>
      </x:c>
      <x:c r="B6" s="134"/>
      <x:c r="C6" s="134" t="n">
        <x:v>29</x:v>
      </x:c>
      <x:c r="D6" s="134"/>
      <x:c r="E6" s="134" t="n">
        <x:v>73</x:v>
      </x:c>
      <x:c r="F6" s="134"/>
      <x:c r="G6" s="150" t="n">
        <x:v>7584.55</x:v>
      </x:c>
      <x:c r="H6" s="150"/>
      <x:c r="I6" s="155" t="n">
        <x:v>9</x:v>
      </x:c>
      <x:c r="J6" s="155"/>
      <x:c r="K6" s="155" t="n">
        <x:v>8</x:v>
      </x:c>
      <x:c r="L6" s="155"/>
      <x:c r="M6" s="160" t="n">
        <x:f>COUNTIF('Exceptions &amp; Audit'!U31:U98,"Yes")+COUNTIF('Exceptions &amp; Audit'!R100:R166,"Yes")</x:f>
        <x:v>16</x:v>
      </x:c>
      <x:c r="N6" s="160"/>
    </x:row>
    <x:row r="7" ht="26" customHeight="1">
      <x:c r="A7" s="134"/>
      <x:c r="B7" s="134"/>
      <x:c r="C7" s="134"/>
      <x:c r="D7" s="134"/>
      <x:c r="E7" s="134"/>
      <x:c r="F7" s="134"/>
      <x:c r="G7" s="150"/>
      <x:c r="H7" s="150"/>
      <x:c r="I7" s="155"/>
      <x:c r="J7" s="155"/>
      <x:c r="K7" s="155"/>
      <x:c r="L7" s="155"/>
      <x:c r="M7" s="160"/>
      <x:c r="N7" s="160"/>
    </x:row>
    <x:row r="9">
      <x:c r="A9" s="161" t="str">
        <x:v>Financial Performance</x:v>
      </x:c>
      <x:c r="B9" s="161"/>
      <x:c r="C9" s="161"/>
      <x:c r="D9" s="161"/>
      <x:c r="E9" s="161"/>
      <x:c r="F9" s="161"/>
      <x:c r="G9" s="161"/>
      <x:c r="H9" s="164"/>
      <x:c r="I9" s="164"/>
      <x:c r="J9" s="164"/>
      <x:c r="K9" s="164"/>
      <x:c r="L9" s="164"/>
      <x:c r="M9" s="164"/>
      <x:c r="N9" s="164"/>
    </x:row>
    <x:row r="10">
      <x:c r="A10" s="126" t="str">
        <x:v>Avg / Eligible Event</x:v>
      </x:c>
      <x:c r="B10" s="140"/>
      <x:c r="C10" s="126" t="str">
        <x:v>Avg / Workweek</x:v>
      </x:c>
      <x:c r="D10" s="140"/>
      <x:c r="E10" s="126" t="str">
        <x:v>Worked Days</x:v>
      </x:c>
      <x:c r="F10" s="126"/>
      <x:c r="G10" s="173" t="str">
        <x:v>Avg / Worked Day</x:v>
      </x:c>
      <x:c r="H10" s="126"/>
      <x:c r="I10" s="126" t="str">
        <x:v>Breakdown Completion</x:v>
      </x:c>
      <x:c r="J10" s="126"/>
      <x:c r="K10" s="126" t="str">
        <x:v>ACH Completion</x:v>
      </x:c>
      <x:c r="L10" s="126"/>
      <x:c r="M10" s="126" t="str">
        <x:v>Outstanding Confirmed</x:v>
      </x:c>
      <x:c r="N10" s="126"/>
    </x:row>
    <x:row r="11" ht="26" customHeight="1">
      <x:c r="A11" s="169" t="n">
        <x:f>IFERROR($G$6/COUNTIFS(tblServiceEvents[Revenue Eligibility],"Eligible"),0)</x:f>
        <x:v>128.55169491525425</x:v>
      </x:c>
      <x:c r="B11" s="169"/>
      <x:c r="C11" s="169" t="n">
        <x:f>IFERROR($G$6/Analytics!$B$5,0)</x:f>
        <x:v>632.0458333333333</x:v>
      </x:c>
      <x:c r="D11" s="169"/>
      <x:c r="E11" s="134" t="n">
        <x:f>SUM(Analytics!N43:N47)</x:f>
        <x:v>46</x:v>
      </x:c>
      <x:c r="F11" s="134"/>
      <x:c r="G11" s="169" t="n">
        <x:f>IFERROR($G$6/$E$11,0)</x:f>
        <x:v>164.88152173913045</x:v>
      </x:c>
      <x:c r="H11" s="169"/>
      <x:c r="I11" s="178" t="n">
        <x:f>IFERROR(COUNTIFS(tblServiceEvents[Status],"Completed",tblServiceEvents[Financial Scope],"Included",tblServiceEvents[Breakdown Expected],"Yes",tblServiceEvents[Revenue Eligibility],"Eligible")/COUNTIFS(tblServiceEvents[Status],"Completed",tblServiceEvents[Financial Scope],"Included",tblServiceEvents[Breakdown Expected],"Yes"),0)</x:f>
        <x:v>0.8676470588235294</x:v>
      </x:c>
      <x:c r="J11" s="178"/>
      <x:c r="K11" s="178" t="n">
        <x:f>IFERROR(COUNTIF(tblLedger[ACH Confirmed],"Yes")/COUNTIF(tblLedger[Breakdown Confirmed],"Yes"),0)</x:f>
        <x:v>0.896551724137931</x:v>
      </x:c>
      <x:c r="L11" s="178"/>
      <x:c r="M11" s="179" t="n">
        <x:f>SUMIFS(tblLedger[Breakdown Amount],tblLedger[Breakdown Confirmed],"Yes",tblLedger[ACH Confirmed],"No")+SUMIFS(tblLedger[Breakdown Amount],tblLedger[Breakdown Confirmed],"Yes",tblLedger[ACH Confirmed],"Pending")</x:f>
        <x:v>1585.04</x:v>
      </x:c>
      <x:c r="N11" s="179"/>
    </x:row>
    <x:row r="12" ht="26" customHeight="1">
      <x:c r="A12" s="169"/>
      <x:c r="B12" s="169"/>
      <x:c r="C12" s="169"/>
      <x:c r="D12" s="169"/>
      <x:c r="E12" s="134"/>
      <x:c r="F12" s="134"/>
      <x:c r="G12" s="169"/>
      <x:c r="H12" s="169"/>
      <x:c r="I12" s="178"/>
      <x:c r="J12" s="178"/>
      <x:c r="K12" s="178"/>
      <x:c r="L12" s="178"/>
      <x:c r="M12" s="179"/>
      <x:c r="N12" s="179"/>
    </x:row>
    <x:row r="13">
      <x:c r="A13"/>
      <x:c r="B13" s="24"/>
      <x:c r="C13"/>
      <x:c r="D13" s="24"/>
      <x:c r="E13"/>
      <x:c r="F13"/>
      <x:c r="G13" s="33"/>
    </x:row>
    <x:row r="14">
      <x:c r="A14" s="164" t="str">
        <x:v>Operational Performance</x:v>
      </x:c>
      <x:c r="B14" s="184"/>
      <x:c r="C14" s="164"/>
      <x:c r="D14" s="184"/>
      <x:c r="E14" s="164"/>
      <x:c r="F14" s="164"/>
      <x:c r="G14" s="185"/>
      <x:c r="H14" s="164"/>
      <x:c r="I14" s="164"/>
      <x:c r="J14" s="164"/>
      <x:c r="K14" s="164"/>
      <x:c r="L14" s="164"/>
      <x:c r="M14" s="164"/>
      <x:c r="N14" s="164"/>
    </x:row>
    <x:row r="15">
      <x:c r="A15" s="126" t="str">
        <x:v>Current Workweek</x:v>
      </x:c>
      <x:c r="B15" s="126"/>
      <x:c r="C15" s="126" t="str">
        <x:v>Current MY_MONTH</x:v>
      </x:c>
      <x:c r="D15" s="126"/>
      <x:c r="E15" s="126" t="str">
        <x:v>Workday Utilization</x:v>
      </x:c>
      <x:c r="F15" s="126"/>
      <x:c r="G15" s="126" t="str">
        <x:v>Events / Week</x:v>
      </x:c>
      <x:c r="H15" s="126"/>
      <x:c r="I15" s="126" t="str">
        <x:v>Revenue / Week</x:v>
      </x:c>
      <x:c r="J15" s="126"/>
      <x:c r="K15" s="126" t="str">
        <x:v>Mapping Holds</x:v>
      </x:c>
      <x:c r="L15" s="126"/>
      <x:c r="M15" s="126" t="str">
        <x:v>Variance Exposure</x:v>
      </x:c>
      <x:c r="N15" s="126"/>
    </x:row>
    <x:row r="16" ht="26" customHeight="1">
      <x:c r="A16" s="134" t="n">
        <x:f>MAX(tblServiceEvents[Workweek #])</x:f>
        <x:v>13</x:v>
      </x:c>
      <x:c r="B16" s="134"/>
      <x:c r="C16" s="134" t="str">
        <x:v>MY_MONTH 3 — CLOSED</x:v>
      </x:c>
      <x:c r="D16" s="134"/>
      <x:c r="E16" s="178" t="n">
        <x:f>IFERROR($E$11/(Analytics!$B$5*5+WEEKDAY(MAXIFS(tblServiceEvents[Service Date],tblServiceEvents[Status],"Completed"),2)),0)</x:f>
        <x:v>0.7076923076923077</x:v>
      </x:c>
      <x:c r="F16" s="178"/>
      <x:c r="G16" s="189" t="n">
        <x:f>IFERROR($A$6/Analytics!$B$5,0)</x:f>
        <x:v>6</x:v>
      </x:c>
      <x:c r="H16" s="189"/>
      <x:c r="I16" s="169" t="n">
        <x:f>IFERROR($G$6/Analytics!$B$5,0)</x:f>
        <x:v>632.0458333333333</x:v>
      </x:c>
      <x:c r="J16" s="169"/>
      <x:c r="K16" s="160" t="n">
        <x:f>COUNTIF(tblLedger[Mapping Status],"MAPPING_HOLD")</x:f>
        <x:v>1</x:v>
      </x:c>
      <x:c r="L16" s="160"/>
      <x:c r="M16" s="190" t="n">
        <x:f>ABS(SUMIFS(tblLedger[Variance],tblLedger[Reconciliation Status],"BREAKDOWN_MISMATCH"))+ABS(SUMIFS(tblLedger[Variance],tblLedger[Reconciliation Status],"ACH_MISMATCH"))</x:f>
        <x:v>49.17</x:v>
      </x:c>
      <x:c r="N16" s="190"/>
    </x:row>
    <x:row r="17" ht="26" customHeight="1">
      <x:c r="A17" s="134"/>
      <x:c r="B17" s="134"/>
      <x:c r="C17" s="134"/>
      <x:c r="D17" s="134"/>
      <x:c r="E17" s="178"/>
      <x:c r="F17" s="178"/>
      <x:c r="G17" s="189"/>
      <x:c r="H17" s="189"/>
      <x:c r="I17" s="169"/>
      <x:c r="J17" s="169"/>
      <x:c r="K17" s="160"/>
      <x:c r="L17" s="160"/>
      <x:c r="M17" s="190"/>
      <x:c r="N17" s="190"/>
    </x:row>
    <x:row r="18" ht="20" customHeight="1">
      <x:c r="A18" s="337" t="str">
        <x:v>Financial-Scope Events: 68  |  Chronology-Only Events Excluded from Finance: 4  |  Self-Healing: ACTIVE  |  Integrity Gate: CONTROL CHECK REQUIRED  |  Quarantined Holds: 1</x:v>
      </x:c>
      <x:c r="B18" s="337"/>
      <x:c r="C18" s="337"/>
      <x:c r="D18" s="337"/>
      <x:c r="E18" s="337"/>
      <x:c r="F18" s="337"/>
      <x:c r="G18" s="337"/>
      <x:c r="H18" s="337"/>
      <x:c r="I18" s="337"/>
      <x:c r="J18" s="337"/>
      <x:c r="K18" s="337"/>
      <x:c r="L18" s="337"/>
      <x:c r="M18" s="337"/>
      <x:c r="N18" s="337"/>
    </x:row>
    <x:row r="19">
      <x:c r="A19" s="164" t="str">
        <x:v>Weekday Performance</x:v>
      </x:c>
      <x:c r="B19" s="164"/>
      <x:c r="C19" s="164"/>
      <x:c r="D19" s="164"/>
      <x:c r="E19" s="164"/>
      <x:c r="F19" s="164"/>
      <x:c r="G19" s="164"/>
      <x:c r="H19"/>
      <x:c r="I19" s="164" t="str">
        <x:v>Top Clients by Confirmed Revenue</x:v>
      </x:c>
      <x:c r="J19" s="164"/>
      <x:c r="K19" s="164"/>
      <x:c r="L19" s="164"/>
      <x:c r="M19" s="164"/>
      <x:c r="N19" s="164"/>
    </x:row>
    <x:row r="20">
      <x:c r="A20" s="191" t="str">
        <x:v>Weekday</x:v>
      </x:c>
      <x:c r="B20" s="191" t="str">
        <x:v>Confirmed Revenue</x:v>
      </x:c>
      <x:c r="C20" s="191" t="str">
        <x:v>Eligible Events</x:v>
      </x:c>
      <x:c r="D20" s="191" t="str">
        <x:v>Avg / Event</x:v>
      </x:c>
      <x:c r="E20" s="191" t="str">
        <x:v>Active Weeks</x:v>
      </x:c>
      <x:c r="F20" s="191" t="str">
        <x:v>Activity Rate</x:v>
      </x:c>
      <x:c r="G20" s="191" t="str">
        <x:v>Revenue Rank</x:v>
      </x:c>
      <x:c r="H20"/>
      <x:c r="I20" s="191" t="str">
        <x:v>Rank</x:v>
      </x:c>
      <x:c r="J20" s="191" t="str">
        <x:v>Client</x:v>
      </x:c>
      <x:c r="K20" s="191" t="str">
        <x:v>Revenue</x:v>
      </x:c>
      <x:c r="L20" s="191" t="str">
        <x:v>Events</x:v>
      </x:c>
      <x:c r="M20" s="191" t="str">
        <x:v>Avg / Event</x:v>
      </x:c>
      <x:c r="N20" s="191" t="str">
        <x:v>Repeat</x:v>
      </x:c>
    </x:row>
    <x:row r="21">
      <x:c r="A21" s="192" t="str">
        <x:f>Analytics!J43</x:f>
        <x:v>Monday</x:v>
      </x:c>
      <x:c r="B21" s="193" t="n">
        <x:f>Analytics!K43</x:f>
        <x:v>1270.49</x:v>
      </x:c>
      <x:c r="C21" s="192" t="n">
        <x:f>Analytics!L43</x:f>
        <x:v>9</x:v>
      </x:c>
      <x:c r="D21" s="193" t="n">
        <x:f>Analytics!M43</x:f>
        <x:v>141.16555555555556</x:v>
      </x:c>
      <x:c r="E21" s="192" t="n">
        <x:f>Analytics!N43</x:f>
        <x:v>9</x:v>
      </x:c>
      <x:c r="F21" s="194" t="n">
        <x:f>Analytics!O43</x:f>
        <x:v>0.6923076923076923</x:v>
      </x:c>
      <x:c r="G21" s="192" t="n">
        <x:f>Analytics!R43</x:f>
        <x:v>4</x:v>
      </x:c>
      <x:c r="H21"/>
      <x:c r="I21" s="192" t="n">
        <x:v>1</x:v>
      </x:c>
      <x:c r="J21" s="192" t="str">
        <x:f>INDEX(tblClientSummary[Client Name],MATCH(LARGE(tblClientSummary[Confirmed Revenue],I21),tblClientSummary[Confirmed Revenue],0))</x:f>
        <x:v>USDA</x:v>
      </x:c>
      <x:c r="K21" s="193" t="n">
        <x:f>LARGE(tblClientSummary[Confirmed Revenue],I21)</x:f>
        <x:v>1355</x:v>
      </x:c>
      <x:c r="L21" s="192" t="n">
        <x:f>INDEX(tblClientSummary[Total Events],MATCH(K21,tblClientSummary[Confirmed Revenue],0))</x:f>
        <x:v>6</x:v>
      </x:c>
      <x:c r="M21" s="193" t="n">
        <x:f>INDEX(tblClientSummary[Avg Revenue / Event],MATCH(K21,tblClientSummary[Confirmed Revenue],0))</x:f>
        <x:v>225.83333333333334</x:v>
      </x:c>
      <x:c r="N21" s="192" t="str">
        <x:f>INDEX(tblClientSummary[Repeat Client],MATCH(K21,tblClientSummary[Confirmed Revenue],0))</x:f>
        <x:v>Yes</x:v>
      </x:c>
    </x:row>
    <x:row r="22">
      <x:c r="A22" s="192" t="str">
        <x:f>Analytics!J44</x:f>
        <x:v>Tuesday</x:v>
      </x:c>
      <x:c r="B22" s="193" t="n">
        <x:f>Analytics!K44</x:f>
        <x:v>1984.3899999999999</x:v>
      </x:c>
      <x:c r="C22" s="192" t="n">
        <x:f>Analytics!L44</x:f>
        <x:v>13</x:v>
      </x:c>
      <x:c r="D22" s="193" t="n">
        <x:f>Analytics!M44</x:f>
        <x:v>152.64538461538461</x:v>
      </x:c>
      <x:c r="E22" s="192" t="n">
        <x:f>Analytics!N44</x:f>
        <x:v>11</x:v>
      </x:c>
      <x:c r="F22" s="194" t="n">
        <x:f>Analytics!O44</x:f>
        <x:v>0.8461538461538461</x:v>
      </x:c>
      <x:c r="G22" s="192" t="n">
        <x:f>Analytics!R44</x:f>
        <x:v>2</x:v>
      </x:c>
      <x:c r="I22" s="192" t="n">
        <x:v>2</x:v>
      </x:c>
      <x:c r="J22" s="192" t="str">
        <x:f>INDEX(tblClientSummary[Client Name],MATCH(LARGE(tblClientSummary[Confirmed Revenue],I22),tblClientSummary[Confirmed Revenue],0))</x:f>
        <x:v>Dunkin</x:v>
      </x:c>
      <x:c r="K22" s="193" t="n">
        <x:f>LARGE(tblClientSummary[Confirmed Revenue],I22)</x:f>
        <x:v>1156.9</x:v>
      </x:c>
      <x:c r="L22" s="192" t="n">
        <x:f>INDEX(tblClientSummary[Total Events],MATCH(K22,tblClientSummary[Confirmed Revenue],0))</x:f>
        <x:v>5</x:v>
      </x:c>
      <x:c r="M22" s="193" t="n">
        <x:f>INDEX(tblClientSummary[Avg Revenue / Event],MATCH(K22,tblClientSummary[Confirmed Revenue],0))</x:f>
        <x:v>231.38000000000002</x:v>
      </x:c>
      <x:c r="N22" s="192" t="str">
        <x:f>INDEX(tblClientSummary[Repeat Client],MATCH(K22,tblClientSummary[Confirmed Revenue],0))</x:f>
        <x:v>Yes</x:v>
      </x:c>
    </x:row>
    <x:row r="23">
      <x:c r="A23" s="192" t="str">
        <x:f>Analytics!J45</x:f>
        <x:v>Wednesday</x:v>
      </x:c>
      <x:c r="B23" s="193" t="n">
        <x:f>Analytics!K45</x:f>
        <x:v>2302.3599999999997</x:v>
      </x:c>
      <x:c r="C23" s="192" t="n">
        <x:f>Analytics!L45</x:f>
        <x:v>16</x:v>
      </x:c>
      <x:c r="D23" s="193" t="n">
        <x:f>Analytics!M45</x:f>
        <x:v>143.89749999999998</x:v>
      </x:c>
      <x:c r="E23" s="192" t="n">
        <x:f>Analytics!N45</x:f>
        <x:v>11</x:v>
      </x:c>
      <x:c r="F23" s="194" t="n">
        <x:f>Analytics!O45</x:f>
        <x:v>0.8461538461538461</x:v>
      </x:c>
      <x:c r="G23" s="192" t="n">
        <x:f>Analytics!R45</x:f>
        <x:v>1</x:v>
      </x:c>
      <x:c r="I23" s="192" t="n">
        <x:v>3</x:v>
      </x:c>
      <x:c r="J23" s="192" t="str">
        <x:f>INDEX(tblClientSummary[Client Name],MATCH(LARGE(tblClientSummary[Confirmed Revenue],I23),tblClientSummary[Confirmed Revenue],0))</x:f>
        <x:v>Bloomingdale's</x:v>
      </x:c>
      <x:c r="K23" s="193" t="n">
        <x:f>LARGE(tblClientSummary[Confirmed Revenue],I23)</x:f>
        <x:v>688</x:v>
      </x:c>
      <x:c r="L23" s="192" t="n">
        <x:f>INDEX(tblClientSummary[Total Events],MATCH(K23,tblClientSummary[Confirmed Revenue],0))</x:f>
        <x:v>2</x:v>
      </x:c>
      <x:c r="M23" s="193" t="n">
        <x:f>INDEX(tblClientSummary[Avg Revenue / Event],MATCH(K23,tblClientSummary[Confirmed Revenue],0))</x:f>
        <x:v>344</x:v>
      </x:c>
      <x:c r="N23" s="192" t="str">
        <x:f>INDEX(tblClientSummary[Repeat Client],MATCH(K23,tblClientSummary[Confirmed Revenue],0))</x:f>
        <x:v>Yes</x:v>
      </x:c>
    </x:row>
    <x:row r="24">
      <x:c r="A24" s="192" t="str">
        <x:f>Analytics!J46</x:f>
        <x:v>Thursday</x:v>
      </x:c>
      <x:c r="B24" s="193" t="n">
        <x:f>Analytics!K46</x:f>
        <x:v>1597.31</x:v>
      </x:c>
      <x:c r="C24" s="192" t="n">
        <x:f>Analytics!L46</x:f>
        <x:v>13</x:v>
      </x:c>
      <x:c r="D24" s="193" t="n">
        <x:f>Analytics!M46</x:f>
        <x:v>122.86999999999999</x:v>
      </x:c>
      <x:c r="E24" s="192" t="n">
        <x:f>Analytics!N46</x:f>
        <x:v>10</x:v>
      </x:c>
      <x:c r="F24" s="194" t="n">
        <x:f>Analytics!O46</x:f>
        <x:v>0.7692307692307693</x:v>
      </x:c>
      <x:c r="G24" s="192" t="n">
        <x:f>Analytics!R46</x:f>
        <x:v>3</x:v>
      </x:c>
      <x:c r="I24" s="192" t="n">
        <x:v>4</x:v>
      </x:c>
      <x:c r="J24" s="192" t="str">
        <x:f>INDEX(tblClientSummary[Client Name],MATCH(LARGE(tblClientSummary[Confirmed Revenue],I24),tblClientSummary[Confirmed Revenue],0))</x:f>
        <x:v>TJ Maxx</x:v>
      </x:c>
      <x:c r="K24" s="193" t="n">
        <x:f>LARGE(tblClientSummary[Confirmed Revenue],I24)</x:f>
        <x:v>552.48</x:v>
      </x:c>
      <x:c r="L24" s="192" t="n">
        <x:f>INDEX(tblClientSummary[Total Events],MATCH(K24,tblClientSummary[Confirmed Revenue],0))</x:f>
        <x:v>7</x:v>
      </x:c>
      <x:c r="M24" s="193" t="n">
        <x:f>INDEX(tblClientSummary[Avg Revenue / Event],MATCH(K24,tblClientSummary[Confirmed Revenue],0))</x:f>
        <x:v>110.49600000000001</x:v>
      </x:c>
      <x:c r="N24" s="192" t="str">
        <x:f>INDEX(tblClientSummary[Repeat Client],MATCH(K24,tblClientSummary[Confirmed Revenue],0))</x:f>
        <x:v>Yes</x:v>
      </x:c>
    </x:row>
    <x:row r="25">
      <x:c r="A25" s="192" t="str">
        <x:f>Analytics!J47</x:f>
        <x:v>Friday</x:v>
      </x:c>
      <x:c r="B25" s="193" t="n">
        <x:f>Analytics!K47</x:f>
        <x:v>430</x:v>
      </x:c>
      <x:c r="C25" s="192" t="n">
        <x:f>Analytics!L47</x:f>
        <x:v>8</x:v>
      </x:c>
      <x:c r="D25" s="193" t="n">
        <x:f>Analytics!M47</x:f>
        <x:v>53.75</x:v>
      </x:c>
      <x:c r="E25" s="192" t="n">
        <x:f>Analytics!N47</x:f>
        <x:v>5</x:v>
      </x:c>
      <x:c r="F25" s="194" t="n">
        <x:f>Analytics!O47</x:f>
        <x:v>0.38461538461538464</x:v>
      </x:c>
      <x:c r="G25" s="192" t="n">
        <x:f>Analytics!R47</x:f>
        <x:v>5</x:v>
      </x:c>
      <x:c r="I25" s="192" t="n">
        <x:v>5</x:v>
      </x:c>
      <x:c r="J25" s="192" t="str">
        <x:f>INDEX(tblClientSummary[Client Name],MATCH(LARGE(tblClientSummary[Confirmed Revenue],I25),tblClientSummary[Confirmed Revenue],0))</x:f>
        <x:v>Macy's</x:v>
      </x:c>
      <x:c r="K25" s="193" t="n">
        <x:f>LARGE(tblClientSummary[Confirmed Revenue],I25)</x:f>
        <x:v>450</x:v>
      </x:c>
      <x:c r="L25" s="192" t="n">
        <x:f>INDEX(tblClientSummary[Total Events],MATCH(K25,tblClientSummary[Confirmed Revenue],0))</x:f>
        <x:v>3</x:v>
      </x:c>
      <x:c r="M25" s="193" t="n">
        <x:f>INDEX(tblClientSummary[Avg Revenue / Event],MATCH(K25,tblClientSummary[Confirmed Revenue],0))</x:f>
        <x:v>150</x:v>
      </x:c>
      <x:c r="N25" s="192" t="str">
        <x:f>INDEX(tblClientSummary[Repeat Client],MATCH(K25,tblClientSummary[Confirmed Revenue],0))</x:f>
        <x:v>Yes</x:v>
      </x:c>
    </x:row>
    <x:row r="28">
      <x:c r="A28" s="164" t="str">
        <x:v>Jurisdiction Snapshot</x:v>
      </x:c>
      <x:c r="B28" s="164"/>
      <x:c r="C28" s="164"/>
      <x:c r="D28" s="164"/>
      <x:c r="E28" s="164"/>
      <x:c r="F28" s="164"/>
      <x:c r="H28" s="164" t="str">
        <x:v>MY_MONTH Snapshot</x:v>
      </x:c>
      <x:c r="I28" s="164"/>
      <x:c r="J28" s="164"/>
      <x:c r="K28" s="164"/>
      <x:c r="L28" s="164"/>
      <x:c r="M28" s="164"/>
      <x:c r="N28" s="164"/>
    </x:row>
    <x:row r="29">
      <x:c r="A29" s="191" t="str">
        <x:v>Jurisdiction</x:v>
      </x:c>
      <x:c r="B29" s="191" t="str">
        <x:v>Events</x:v>
      </x:c>
      <x:c r="C29" s="191" t="str">
        <x:v>Clients</x:v>
      </x:c>
      <x:c r="D29" s="191" t="str">
        <x:v>Revenue</x:v>
      </x:c>
      <x:c r="E29" s="191" t="str">
        <x:v>Avg / Event</x:v>
      </x:c>
      <x:c r="F29" s="191" t="str">
        <x:v>Revenue Share</x:v>
      </x:c>
      <x:c r="H29" s="191" t="str">
        <x:v>MY_MONTH</x:v>
      </x:c>
      <x:c r="I29" s="191" t="str">
        <x:v>Events</x:v>
      </x:c>
      <x:c r="J29" s="191" t="str">
        <x:v>Eligible</x:v>
      </x:c>
      <x:c r="K29" s="191" t="str">
        <x:v>Clients</x:v>
      </x:c>
      <x:c r="L29" s="191" t="str">
        <x:v>Jurisdictions</x:v>
      </x:c>
      <x:c r="M29" s="191" t="str">
        <x:v>Revenue</x:v>
      </x:c>
      <x:c r="N29" s="191" t="str">
        <x:v>Avg / Event</x:v>
      </x:c>
    </x:row>
    <x:row r="30">
      <x:c r="A30" s="192" t="str">
        <x:f>Analytics!A43</x:f>
        <x:v>VA</x:v>
      </x:c>
      <x:c r="B30" s="192" t="n">
        <x:f>Analytics!B43</x:f>
        <x:v>7</x:v>
      </x:c>
      <x:c r="C30" s="192" t="n">
        <x:f>Analytics!D43</x:f>
        <x:v>6</x:v>
      </x:c>
      <x:c r="D30" s="193" t="n">
        <x:f>Analytics!E43</x:f>
        <x:v>1095.5</x:v>
      </x:c>
      <x:c r="E30" s="193" t="n">
        <x:f>Analytics!F43</x:f>
        <x:v>156.5</x:v>
      </x:c>
      <x:c r="F30" s="194" t="n">
        <x:f>Analytics!G43</x:f>
        <x:v>0.14443836483377392</x:v>
      </x:c>
      <x:c r="H30" s="192" t="str">
        <x:f>Analytics!A52</x:f>
        <x:v>MY_MONTH 1</x:v>
      </x:c>
      <x:c r="I30" s="192" t="n">
        <x:f>Analytics!B52</x:f>
        <x:v>20</x:v>
      </x:c>
      <x:c r="J30" s="192" t="n">
        <x:f>Analytics!C52</x:f>
        <x:v>18</x:v>
      </x:c>
      <x:c r="K30" s="192" t="n">
        <x:f>Analytics!D52</x:f>
        <x:v>15</x:v>
      </x:c>
      <x:c r="L30" s="192" t="n">
        <x:f>Analytics!E52</x:f>
        <x:v>4</x:v>
      </x:c>
      <x:c r="M30" s="193" t="n">
        <x:f>Analytics!F52</x:f>
        <x:v>2330.5</x:v>
      </x:c>
      <x:c r="N30" s="193" t="n">
        <x:f>Analytics!G52</x:f>
        <x:v>129.47222222222223</x:v>
      </x:c>
    </x:row>
    <x:row r="31">
      <x:c r="A31" s="192" t="str">
        <x:f>Analytics!A44</x:f>
        <x:v>MD</x:v>
      </x:c>
      <x:c r="B31" s="192" t="n">
        <x:f>Analytics!B44</x:f>
        <x:v>50</x:v>
      </x:c>
      <x:c r="C31" s="192" t="n">
        <x:f>Analytics!D44</x:f>
        <x:v>21</x:v>
      </x:c>
      <x:c r="D31" s="193" t="n">
        <x:f>Analytics!E44</x:f>
        <x:v>4341.189999999999</x:v>
      </x:c>
      <x:c r="E31" s="193" t="n">
        <x:f>Analytics!F44</x:f>
        <x:v>114.24184210526312</x:v>
      </x:c>
      <x:c r="F31" s="194" t="n">
        <x:f>Analytics!G44</x:f>
        <x:v>0.5723727841467191</x:v>
      </x:c>
      <x:c r="H31" s="192" t="str">
        <x:f>Analytics!A53</x:f>
        <x:v>MY_MONTH 2</x:v>
      </x:c>
      <x:c r="I31" s="192" t="n">
        <x:f>Analytics!B53</x:f>
        <x:v>30</x:v>
      </x:c>
      <x:c r="J31" s="192" t="n">
        <x:f>Analytics!C53</x:f>
        <x:v>28</x:v>
      </x:c>
      <x:c r="K31" s="192" t="n">
        <x:f>Analytics!D53</x:f>
        <x:v>18</x:v>
      </x:c>
      <x:c r="L31" s="192" t="n">
        <x:f>Analytics!E53</x:f>
        <x:v>3</x:v>
      </x:c>
      <x:c r="M31" s="193" t="n">
        <x:f>Analytics!F53</x:f>
        <x:v>3186.3199999999997</x:v>
      </x:c>
      <x:c r="N31" s="193" t="n">
        <x:f>Analytics!G53</x:f>
        <x:v>113.79714285714284</x:v>
      </x:c>
    </x:row>
    <x:row r="32">
      <x:c r="A32" s="192" t="str">
        <x:f>Analytics!A45</x:f>
        <x:v>DC</x:v>
      </x:c>
      <x:c r="B32" s="192" t="n">
        <x:f>Analytics!B45</x:f>
        <x:v>11</x:v>
      </x:c>
      <x:c r="C32" s="192" t="n">
        <x:f>Analytics!D45</x:f>
        <x:v>5</x:v>
      </x:c>
      <x:c r="D32" s="193" t="n">
        <x:f>Analytics!E45</x:f>
        <x:v>1637.03</x:v>
      </x:c>
      <x:c r="E32" s="193" t="n">
        <x:f>Analytics!F45</x:f>
        <x:v>163.703</x:v>
      </x:c>
      <x:c r="F32" s="194" t="n">
        <x:f>Analytics!G45</x:f>
        <x:v>0.21583745904503232</x:v>
      </x:c>
      <x:c r="H32" s="192" t="str">
        <x:f>Analytics!A54</x:f>
        <x:v>MY_MONTH 3</x:v>
      </x:c>
      <x:c r="I32" s="192" t="n">
        <x:f>Analytics!B54</x:f>
        <x:v>22</x:v>
      </x:c>
      <x:c r="J32" s="192" t="n">
        <x:f>Analytics!C54</x:f>
        <x:v>13</x:v>
      </x:c>
      <x:c r="K32" s="192" t="n">
        <x:f>Analytics!D54</x:f>
        <x:v>9</x:v>
      </x:c>
      <x:c r="L32" s="192" t="n">
        <x:f>Analytics!E54</x:f>
        <x:v>3</x:v>
      </x:c>
      <x:c r="M32" s="193" t="n">
        <x:f>Analytics!F54</x:f>
        <x:v>2067.73</x:v>
      </x:c>
      <x:c r="N32" s="193" t="n">
        <x:f>Analytics!G54</x:f>
        <x:v>159.05615384615385</x:v>
      </x:c>
    </x:row>
    <x:row r="33">
      <x:c r="A33" s="192" t="str">
        <x:f>Analytics!A46</x:f>
        <x:v>PA</x:v>
      </x:c>
      <x:c r="B33" s="192" t="n">
        <x:f>Analytics!B46</x:f>
        <x:v>3</x:v>
      </x:c>
      <x:c r="C33" s="192" t="n">
        <x:f>Analytics!D46</x:f>
        <x:v>2</x:v>
      </x:c>
      <x:c r="D33" s="193" t="n">
        <x:f>Analytics!E46</x:f>
        <x:v>410</x:v>
      </x:c>
      <x:c r="E33" s="193" t="n">
        <x:f>Analytics!F46</x:f>
        <x:v>136.66666666666666</x:v>
      </x:c>
      <x:c r="F33" s="194" t="n">
        <x:f>Analytics!G46</x:f>
        <x:v>0.054057261142717764</x:v>
      </x:c>
    </x:row>
    <x:row r="34">
      <x:c r="A34" s="192" t="str">
        <x:f>Analytics!A47</x:f>
        <x:v>WV</x:v>
      </x:c>
      <x:c r="B34" s="192" t="n">
        <x:f>Analytics!B47</x:f>
        <x:v>1</x:v>
      </x:c>
      <x:c r="C34" s="192" t="n">
        <x:f>Analytics!D47</x:f>
        <x:v>1</x:v>
      </x:c>
      <x:c r="D34" s="193" t="n">
        <x:f>Analytics!E47</x:f>
        <x:v>100.83</x:v>
      </x:c>
      <x:c r="E34" s="193" t="n">
        <x:f>Analytics!F47</x:f>
        <x:v>100.83</x:v>
      </x:c>
      <x:c r="F34" s="194" t="n">
        <x:f>Analytics!G47</x:f>
        <x:v>0.013294130831756663</x:v>
      </x:c>
    </x:row>
    <x:row r="37">
      <x:c r="A37" s="164" t="str">
        <x:v>Most Recent Completed Events</x:v>
      </x:c>
      <x:c r="B37" s="164"/>
      <x:c r="C37" s="164"/>
      <x:c r="D37" s="164"/>
      <x:c r="E37" s="164"/>
      <x:c r="F37" s="164"/>
      <x:c r="G37" s="164"/>
      <x:c r="H37" s="164"/>
      <x:c r="I37" s="164"/>
      <x:c r="J37" s="164"/>
      <x:c r="K37" s="164"/>
      <x:c r="L37" s="164"/>
      <x:c r="M37" s="164"/>
      <x:c r="N37" s="164"/>
    </x:row>
    <x:row r="38" ht="58" customHeight="1">
      <x:c r="A38" s="191" t="str">
        <x:v>Event #</x:v>
      </x:c>
      <x:c r="B38" s="191" t="str">
        <x:v>Date</x:v>
      </x:c>
      <x:c r="C38" s="191" t="str">
        <x:v>Weekday</x:v>
      </x:c>
      <x:c r="D38" s="191" t="str">
        <x:v>Client</x:v>
      </x:c>
      <x:c r="E38" s="191" t="str">
        <x:v>City</x:v>
      </x:c>
      <x:c r="F38" s="191" t="str">
        <x:v>Jurisdiction</x:v>
      </x:c>
      <x:c r="G38" s="191" t="str">
        <x:v>Status</x:v>
      </x:c>
      <x:c r="H38" s="191" t="str">
        <x:v>Work Orders</x:v>
      </x:c>
      <x:c r="I38" s="191" t="str">
        <x:v>Revenue</x:v>
      </x:c>
      <x:c r="J38" s="191" t="str">
        <x:v>Eligibility</x:v>
      </x:c>
      <x:c r="K38" s="191" t="str">
        <x:v>Visit Type</x:v>
      </x:c>
      <x:c r="L38" s="191" t="str">
        <x:v>Mapping / Financial Note</x:v>
      </x:c>
      <x:c r="M38" s="191" t="str">
        <x:v>Source</x:v>
      </x:c>
      <x:c r="N38" s="191" t="str">
        <x:v>Record ID</x:v>
      </x:c>
    </x:row>
    <x:row r="39" ht="58" customHeight="1">
      <x:c r="A39" s="192" t="n">
        <x:f>MAX(tblServiceEvents[Event #])-0</x:f>
        <x:v>72</x:v>
      </x:c>
      <x:c r="B39" s="195" t="n">
        <x:f>INDEX(tblServiceEvents[Service Date],MATCH($A39,tblServiceEvents[Event #],0))</x:f>
        <x:v>46220</x:v>
      </x:c>
      <x:c r="C39" s="192" t="str">
        <x:f>INDEX(tblServiceEvents[Weekday],MATCH($A39,tblServiceEvents[Event #],0))</x:f>
        <x:v>Friday</x:v>
      </x:c>
      <x:c r="D39" s="192" t="str">
        <x:f>INDEX(tblServiceEvents[Client],MATCH($A39,tblServiceEvents[Event #],0))</x:f>
        <x:v>Miramar</x:v>
      </x:c>
      <x:c r="E39" s="192" t="str">
        <x:f>INDEX(tblServiceEvents[City],MATCH($A39,tblServiceEvents[Event #],0))</x:f>
        <x:v>North Bethesda</x:v>
      </x:c>
      <x:c r="F39" s="192" t="str">
        <x:f>INDEX(tblServiceEvents[Jurisdiction],MATCH($A39,tblServiceEvents[Event #],0))</x:f>
        <x:v>MD</x:v>
      </x:c>
      <x:c r="G39" s="192" t="str">
        <x:f>INDEX(tblServiceEvents[Status],MATCH($A39,tblServiceEvents[Event #],0))</x:f>
        <x:v>Completed</x:v>
      </x:c>
      <x:c r="H39" s="192" t="n">
        <x:f>INDEX(tblServiceEvents[Work Orders],MATCH($A39,tblServiceEvents[Event #],0))</x:f>
        <x:v>5913115</x:v>
      </x:c>
      <x:c r="I39" s="193" t="str">
        <x:f>INDEX(tblServiceEvents[Confirmed Revenue],MATCH($A39,tblServiceEvents[Event #],0))</x:f>
      </x:c>
      <x:c r="J39" s="192" t="str">
        <x:f>INDEX(tblServiceEvents[Revenue Eligibility],MATCH($A39,tblServiceEvents[Event #],0))</x:f>
        <x:v>Excluded</x:v>
      </x:c>
      <x:c r="K39" s="192" t="str">
        <x:f>INDEX(tblServiceEvents[Visit Type],MATCH($A39,tblServiceEvents[Event #],0))</x:f>
        <x:v>Physical Service Visit</x:v>
      </x:c>
      <x:c r="L39" s="196" t="str">
        <x:f>INDEX(tblServiceEvents[Notes],MATCH($A39,tblServiceEvents[Event #],0))</x:f>
        <x:v>Miramar ticket at Hebrew Home closed by the client system after technician arrival and escalation. Promised flat rate $50.00 Speed ACH; completed chronology, but compensation classification and payment breakdown remain unresolved.</x:v>
      </x:c>
      <x:c r="M39" s="196" t="str">
        <x:f>INDEX(tblServiceEvents[Source / Evidence],MATCH($A39,tblServiceEvents[Event #],0))</x:f>
        <x:v>WO 5913115 + user-authoritative closed-ticket completion + Omnicare/Eric call notes</x:v>
      </x:c>
      <x:c r="N39" s="192" t="str">
        <x:f>INDEX(tblServiceEvents[Physical Visit ID],MATCH($A39,tblServiceEvents[Event #],0))</x:f>
        <x:v>EVT-0072</x:v>
      </x:c>
    </x:row>
    <x:row r="40" ht="58" customHeight="1">
      <x:c r="A40" s="192" t="n">
        <x:f>MAX(tblServiceEvents[Event #])-1</x:f>
        <x:v>71</x:v>
      </x:c>
      <x:c r="B40" s="195" t="n">
        <x:f>INDEX(tblServiceEvents[Service Date],MATCH($A40,tblServiceEvents[Event #],0))</x:f>
        <x:v>46220</x:v>
      </x:c>
      <x:c r="C40" s="192" t="str">
        <x:f>INDEX(tblServiceEvents[Weekday],MATCH($A40,tblServiceEvents[Event #],0))</x:f>
        <x:v>Friday</x:v>
      </x:c>
      <x:c r="D40" s="192" t="str">
        <x:f>INDEX(tblServiceEvents[Client],MATCH($A40,tblServiceEvents[Event #],0))</x:f>
        <x:v>WeWork</x:v>
      </x:c>
      <x:c r="E40" s="192" t="str">
        <x:f>INDEX(tblServiceEvents[City],MATCH($A40,tblServiceEvents[Event #],0))</x:f>
        <x:v>Washington</x:v>
      </x:c>
      <x:c r="F40" s="192" t="str">
        <x:f>INDEX(tblServiceEvents[Jurisdiction],MATCH($A40,tblServiceEvents[Event #],0))</x:f>
        <x:v>DC</x:v>
      </x:c>
      <x:c r="G40" s="192" t="str">
        <x:f>INDEX(tblServiceEvents[Status],MATCH($A40,tblServiceEvents[Event #],0))</x:f>
        <x:v>Completed</x:v>
      </x:c>
      <x:c r="H40" s="192" t="n">
        <x:f>INDEX(tblServiceEvents[Work Orders],MATCH($A40,tblServiceEvents[Event #],0))</x:f>
        <x:v>5918348</x:v>
      </x:c>
      <x:c r="I40" s="193" t="str">
        <x:f>INDEX(tblServiceEvents[Confirmed Revenue],MATCH($A40,tblServiceEvents[Event #],0))</x:f>
      </x:c>
      <x:c r="J40" s="192" t="str">
        <x:f>INDEX(tblServiceEvents[Revenue Eligibility],MATCH($A40,tblServiceEvents[Event #],0))</x:f>
        <x:v>Excluded</x:v>
      </x:c>
      <x:c r="K40" s="192" t="str">
        <x:f>INDEX(tblServiceEvents[Visit Type],MATCH($A40,tblServiceEvents[Event #],0))</x:f>
        <x:v>Physical Service Visit</x:v>
      </x:c>
      <x:c r="L40" s="196" t="str">
        <x:f>INDEX(tblServiceEvents[Notes],MATCH($A40,tblServiceEvents[Event #],0))</x:f>
        <x:v>WeWork DC18 morning assignment completed. APP-2100-80-BT installation assignment; hourly rate $45.00 via ACH; final payment breakdown pending.</x:v>
      </x:c>
      <x:c r="M40" s="196" t="str">
        <x:f>INDEX(tblServiceEvents[Source / Evidence],MATCH($A40,tblServiceEvents[Event #],0))</x:f>
        <x:v>WO 5918348 ticket details + user-authoritative completion</x:v>
      </x:c>
      <x:c r="N40" s="192" t="str">
        <x:f>INDEX(tblServiceEvents[Physical Visit ID],MATCH($A40,tblServiceEvents[Event #],0))</x:f>
        <x:v>EVT-0071</x:v>
      </x:c>
    </x:row>
    <x:row r="41" ht="58" customHeight="1">
      <x:c r="A41" s="192" t="n">
        <x:f>MAX(tblServiceEvents[Event #])-2</x:f>
        <x:v>70</x:v>
      </x:c>
      <x:c r="B41" s="195" t="n">
        <x:f>INDEX(tblServiceEvents[Service Date],MATCH($A41,tblServiceEvents[Event #],0))</x:f>
        <x:v>46219</x:v>
      </x:c>
      <x:c r="C41" s="192" t="str">
        <x:f>INDEX(tblServiceEvents[Weekday],MATCH($A41,tblServiceEvents[Event #],0))</x:f>
        <x:v>Thursday</x:v>
      </x:c>
      <x:c r="D41" s="192" t="str">
        <x:f>INDEX(tblServiceEvents[Client],MATCH($A41,tblServiceEvents[Event #],0))</x:f>
        <x:v>Giant Food Stores</x:v>
      </x:c>
      <x:c r="E41" s="192" t="str">
        <x:f>INDEX(tblServiceEvents[City],MATCH($A41,tblServiceEvents[Event #],0))</x:f>
        <x:v>Olney</x:v>
      </x:c>
      <x:c r="F41" s="192" t="str">
        <x:f>INDEX(tblServiceEvents[Jurisdiction],MATCH($A41,tblServiceEvents[Event #],0))</x:f>
        <x:v>MD</x:v>
      </x:c>
      <x:c r="G41" s="192" t="str">
        <x:f>INDEX(tblServiceEvents[Status],MATCH($A41,tblServiceEvents[Event #],0))</x:f>
        <x:v>Completed</x:v>
      </x:c>
      <x:c r="H41" s="192" t="n">
        <x:f>INDEX(tblServiceEvents[Work Orders],MATCH($A41,tblServiceEvents[Event #],0))</x:f>
        <x:v>5918899</x:v>
      </x:c>
      <x:c r="I41" s="193" t="str">
        <x:f>INDEX(tblServiceEvents[Confirmed Revenue],MATCH($A41,tblServiceEvents[Event #],0))</x:f>
      </x:c>
      <x:c r="J41" s="192" t="str">
        <x:f>INDEX(tblServiceEvents[Revenue Eligibility],MATCH($A41,tblServiceEvents[Event #],0))</x:f>
        <x:v>Excluded</x:v>
      </x:c>
      <x:c r="K41" s="192" t="str">
        <x:f>INDEX(tblServiceEvents[Visit Type],MATCH($A41,tblServiceEvents[Event #],0))</x:f>
        <x:v>Physical Service Visit</x:v>
      </x:c>
      <x:c r="L41" s="196" t="str">
        <x:f>INDEX(tblServiceEvents[Notes],MATCH($A41,tblServiceEvents[Event #],0))</x:f>
        <x:v>Giant Food Olney HCL network troubleshooting completed and technician released. Roof and server-room cabling were traced and tested; final payment breakdown pending.</x:v>
      </x:c>
      <x:c r="M41" s="196" t="str">
        <x:f>INDEX(tblServiceEvents[Source / Evidence],MATCH($A41,tblServiceEvents[Event #],0))</x:f>
        <x:v>User-authoritative completion + onsite troubleshooting notes</x:v>
      </x:c>
      <x:c r="N41" s="192" t="str">
        <x:f>INDEX(tblServiceEvents[Physical Visit ID],MATCH($A41,tblServiceEvents[Event #],0))</x:f>
        <x:v>EVT-0070</x:v>
      </x:c>
    </x:row>
    <x:row r="42" ht="58" customHeight="1">
      <x:c r="A42" s="192" t="n">
        <x:f>MAX(tblServiceEvents[Event #])-3</x:f>
        <x:v>69</x:v>
      </x:c>
      <x:c r="B42" s="195" t="n">
        <x:f>INDEX(tblServiceEvents[Service Date],MATCH($A42,tblServiceEvents[Event #],0))</x:f>
        <x:v>46219</x:v>
      </x:c>
      <x:c r="C42" s="192" t="str">
        <x:f>INDEX(tblServiceEvents[Weekday],MATCH($A42,tblServiceEvents[Event #],0))</x:f>
        <x:v>Thursday</x:v>
      </x:c>
      <x:c r="D42" s="192" t="str">
        <x:f>INDEX(tblServiceEvents[Client],MATCH($A42,tblServiceEvents[Event #],0))</x:f>
        <x:v>TJ Maxx</x:v>
      </x:c>
      <x:c r="E42" s="192" t="str">
        <x:f>INDEX(tblServiceEvents[City],MATCH($A42,tblServiceEvents[Event #],0))</x:f>
        <x:v>Columbia</x:v>
      </x:c>
      <x:c r="F42" s="192" t="str">
        <x:f>INDEX(tblServiceEvents[Jurisdiction],MATCH($A42,tblServiceEvents[Event #],0))</x:f>
        <x:v>MD</x:v>
      </x:c>
      <x:c r="G42" s="192" t="str">
        <x:f>INDEX(tblServiceEvents[Status],MATCH($A42,tblServiceEvents[Event #],0))</x:f>
        <x:v>Completed</x:v>
      </x:c>
      <x:c r="H42" s="192" t="n">
        <x:f>INDEX(tblServiceEvents[Work Orders],MATCH($A42,tblServiceEvents[Event #],0))</x:f>
        <x:v>5909418</x:v>
      </x:c>
      <x:c r="I42" s="193" t="str">
        <x:f>INDEX(tblServiceEvents[Confirmed Revenue],MATCH($A42,tblServiceEvents[Event #],0))</x:f>
      </x:c>
      <x:c r="J42" s="192" t="str">
        <x:f>INDEX(tblServiceEvents[Revenue Eligibility],MATCH($A42,tblServiceEvents[Event #],0))</x:f>
        <x:v>Excluded</x:v>
      </x:c>
      <x:c r="K42" s="192" t="str">
        <x:f>INDEX(tblServiceEvents[Visit Type],MATCH($A42,tblServiceEvents[Event #],0))</x:f>
        <x:v>Physical Service Visit</x:v>
      </x:c>
      <x:c r="L42" s="196" t="str">
        <x:f>INDEX(tblServiceEvents[Notes],MATCH($A42,tblServiceEvents[Event #],0))</x:f>
        <x:v>TJ Maxx Columbia visit completed. Hourly rate $40.00; final payment breakdown pending.</x:v>
      </x:c>
      <x:c r="M42" s="196" t="str">
        <x:f>INDEX(tblServiceEvents[Source / Evidence],MATCH($A42,tblServiceEvents[Event #],0))</x:f>
        <x:v>User-authoritative completion + ticket details</x:v>
      </x:c>
      <x:c r="N42" s="192" t="str">
        <x:f>INDEX(tblServiceEvents[Physical Visit ID],MATCH($A42,tblServiceEvents[Event #],0))</x:f>
        <x:v>EVT-0069</x:v>
      </x:c>
    </x:row>
    <x:row r="43" ht="58" customHeight="1">
      <x:c r="A43" s="192" t="n">
        <x:f>MAX(tblServiceEvents[Event #])-4</x:f>
        <x:v>68</x:v>
      </x:c>
      <x:c r="B43" s="195" t="n">
        <x:f>INDEX(tblServiceEvents[Service Date],MATCH($A43,tblServiceEvents[Event #],0))</x:f>
        <x:v>46218</x:v>
      </x:c>
      <x:c r="C43" s="192" t="str">
        <x:f>INDEX(tblServiceEvents[Weekday],MATCH($A43,tblServiceEvents[Event #],0))</x:f>
        <x:v>Wednesday</x:v>
      </x:c>
      <x:c r="D43" s="192" t="str">
        <x:f>INDEX(tblServiceEvents[Client],MATCH($A43,tblServiceEvents[Event #],0))</x:f>
        <x:v>Dunkin</x:v>
      </x:c>
      <x:c r="E43" s="192" t="str">
        <x:f>INDEX(tblServiceEvents[City],MATCH($A43,tblServiceEvents[Event #],0))</x:f>
        <x:v>Fallston</x:v>
      </x:c>
      <x:c r="F43" s="192" t="str">
        <x:f>INDEX(tblServiceEvents[Jurisdiction],MATCH($A43,tblServiceEvents[Event #],0))</x:f>
        <x:v>MD</x:v>
      </x:c>
      <x:c r="G43" s="192" t="str">
        <x:f>INDEX(tblServiceEvents[Status],MATCH($A43,tblServiceEvents[Event #],0))</x:f>
        <x:v>Completed</x:v>
      </x:c>
      <x:c r="H43" s="192" t="n">
        <x:f>INDEX(tblServiceEvents[Work Orders],MATCH($A43,tblServiceEvents[Event #],0))</x:f>
        <x:v>5900854</x:v>
      </x:c>
      <x:c r="I43" s="193" t="n">
        <x:f>INDEX(tblServiceEvents[Confirmed Revenue],MATCH($A43,tblServiceEvents[Event #],0))</x:f>
        <x:v>350</x:v>
      </x:c>
      <x:c r="J43" s="192" t="str">
        <x:f>INDEX(tblServiceEvents[Revenue Eligibility],MATCH($A43,tblServiceEvents[Event #],0))</x:f>
        <x:v>Eligible</x:v>
      </x:c>
      <x:c r="K43" s="192" t="str">
        <x:f>INDEX(tblServiceEvents[Visit Type],MATCH($A43,tblServiceEvents[Event #],0))</x:f>
        <x:v>Physical Service Visit</x:v>
      </x:c>
      <x:c r="L43" s="196" t="str">
        <x:f>INDEX(tblServiceEvents[Notes],MATCH($A43,tblServiceEvents[Event #],0))</x:f>
        <x:v>Dunkin Fallston visit completed. Payment breakdown confirmed at $350.00; Speed ACH expected 2026-07-29.</x:v>
      </x:c>
      <x:c r="M43" s="196" t="str">
        <x:f>INDEX(tblServiceEvents[Source / Evidence],MATCH($A43,tblServiceEvents[Event #],0))</x:f>
        <x:v>User-authoritative completion + Gmail payment breakdown</x:v>
      </x:c>
      <x:c r="N43" s="192" t="str">
        <x:f>INDEX(tblServiceEvents[Physical Visit ID],MATCH($A43,tblServiceEvents[Event #],0))</x:f>
        <x:v>EVT-0068</x:v>
      </x:c>
    </x:row>
    <x:row r="44" ht="22" customHeight="1">
      <x:c r="A44" s="316" t="str">
        <x:v>Visual Analytics</x:v>
      </x:c>
      <x:c r="B44" s="316"/>
      <x:c r="C44" s="316"/>
      <x:c r="D44" s="316"/>
      <x:c r="E44" s="316"/>
      <x:c r="F44" s="316"/>
      <x:c r="G44" s="316"/>
      <x:c r="H44" s="316"/>
      <x:c r="I44" s="316"/>
      <x:c r="J44" s="316"/>
      <x:c r="K44" s="316"/>
      <x:c r="L44" s="316"/>
      <x:c r="M44" s="316"/>
      <x:c r="N44" s="316"/>
    </x:row>
  </x:sheetData>
  <x:mergeCells>
    <x:mergeCell ref="A1:N2"/>
    <x:mergeCell ref="A3:N3"/>
    <x:mergeCell ref="A5:B5"/>
    <x:mergeCell ref="A6:B7"/>
    <x:mergeCell ref="C5:D5"/>
    <x:mergeCell ref="C6:D7"/>
    <x:mergeCell ref="E5:F5"/>
    <x:mergeCell ref="E6:F7"/>
    <x:mergeCell ref="G5:H5"/>
    <x:mergeCell ref="G6:H7"/>
    <x:mergeCell ref="I5:J5"/>
    <x:mergeCell ref="I6:J7"/>
    <x:mergeCell ref="K5:L5"/>
    <x:mergeCell ref="K6:L7"/>
    <x:mergeCell ref="M5:N5"/>
    <x:mergeCell ref="M6:N7"/>
    <x:mergeCell ref="A9:N9"/>
    <x:mergeCell ref="A10:B10"/>
    <x:mergeCell ref="A11:B12"/>
    <x:mergeCell ref="C10:D10"/>
    <x:mergeCell ref="C11:D12"/>
    <x:mergeCell ref="E10:F10"/>
    <x:mergeCell ref="E11:F12"/>
    <x:mergeCell ref="G10:H10"/>
    <x:mergeCell ref="G11:H12"/>
    <x:mergeCell ref="I10:J10"/>
    <x:mergeCell ref="I11:J12"/>
    <x:mergeCell ref="K10:L10"/>
    <x:mergeCell ref="K11:L12"/>
    <x:mergeCell ref="M10:N10"/>
    <x:mergeCell ref="M11:N12"/>
    <x:mergeCell ref="A14:N14"/>
    <x:mergeCell ref="A15:B15"/>
    <x:mergeCell ref="A16:B17"/>
    <x:mergeCell ref="C15:D15"/>
    <x:mergeCell ref="C16:D17"/>
    <x:mergeCell ref="E15:F15"/>
    <x:mergeCell ref="E16:F17"/>
    <x:mergeCell ref="G15:H15"/>
    <x:mergeCell ref="G16:H17"/>
    <x:mergeCell ref="I15:J15"/>
    <x:mergeCell ref="I16:J17"/>
    <x:mergeCell ref="K15:L15"/>
    <x:mergeCell ref="K16:L17"/>
    <x:mergeCell ref="M15:N15"/>
    <x:mergeCell ref="M16:N17"/>
    <x:mergeCell ref="A19:G19"/>
    <x:mergeCell ref="I19:N19"/>
    <x:mergeCell ref="A28:F28"/>
    <x:mergeCell ref="H28:N28"/>
    <x:mergeCell ref="A37:N37"/>
    <x:mergeCell ref="A44:N44"/>
    <x:mergeCell ref="A18:N18"/>
  </x:mergeCells>
  <x:conditionalFormatting sqref="B21:B25">
    <x:cfRule type="dataBar" priority="1">
      <x:dataBar>
        <x:cfvo type="min"/>
        <x:cfvo type="max"/>
        <x:color rgb="FF5B9BD5"/>
      </x:dataBar>
      <x:extLst>
        <x:ext xmlns:x14="http://schemas.microsoft.com/office/spreadsheetml/2009/9/main" uri="{B025F937-C7B1-47D3-B67F-A62EFF666E3E}">
          <x14:id>{E5D2A047-4238-8741-E2B3-85669B88D1C8}</x14:id>
        </x:ext>
      </x:extLst>
    </x:cfRule>
  </x:conditionalFormatting>
  <x:conditionalFormatting sqref="I6:J7">
    <x:cfRule type="expression" dxfId="21" priority="7">
      <x:formula>$I$6=0</x:formula>
    </x:cfRule>
    <x:cfRule type="expression" dxfId="22" priority="8">
      <x:formula>AND($I$6&gt;=1,$I$6&lt;=2)</x:formula>
    </x:cfRule>
    <x:cfRule type="expression" dxfId="23" priority="9">
      <x:formula>$I$6&gt;=3</x:formula>
    </x:cfRule>
  </x:conditionalFormatting>
  <x:conditionalFormatting sqref="K6:L7">
    <x:cfRule type="expression" dxfId="24" priority="10">
      <x:formula>$K$6=0</x:formula>
    </x:cfRule>
    <x:cfRule type="expression" dxfId="25" priority="11">
      <x:formula>AND($K$6&gt;=1,$K$6&lt;=4)</x:formula>
    </x:cfRule>
    <x:cfRule type="expression" dxfId="26" priority="12">
      <x:formula>$K$6&gt;=5</x:formula>
    </x:cfRule>
  </x:conditionalFormatting>
  <x:conditionalFormatting sqref="M6:N7">
    <x:cfRule type="expression" dxfId="27" priority="13">
      <x:formula>$M$6=0</x:formula>
    </x:cfRule>
    <x:cfRule type="expression" dxfId="28" priority="14">
      <x:formula>AND($M$6&gt;=1,$M$6&lt;=5)</x:formula>
    </x:cfRule>
    <x:cfRule type="expression" dxfId="29" priority="15">
      <x:formula>$M$6&gt;=6</x:formula>
    </x:cfRule>
  </x:conditionalFormatting>
  <x:conditionalFormatting sqref="I11:J12">
    <x:cfRule type="expression" dxfId="30" priority="16">
      <x:formula>$I$11&gt;=0.95</x:formula>
    </x:cfRule>
    <x:cfRule type="expression" dxfId="31" priority="17">
      <x:formula>AND($I$11&gt;=0.85,$I$11&lt;0.95)</x:formula>
    </x:cfRule>
    <x:cfRule type="expression" dxfId="32" priority="18">
      <x:formula>$I$11&lt;0.85</x:formula>
    </x:cfRule>
  </x:conditionalFormatting>
  <x:conditionalFormatting sqref="K11:L12">
    <x:cfRule type="expression" dxfId="33" priority="19">
      <x:formula>$K$11&gt;=0.95</x:formula>
    </x:cfRule>
    <x:cfRule type="expression" dxfId="34" priority="20">
      <x:formula>AND($K$11&gt;=0.85,$K$11&lt;0.95)</x:formula>
    </x:cfRule>
    <x:cfRule type="expression" dxfId="35" priority="21">
      <x:formula>$K$11&lt;0.85</x:formula>
    </x:cfRule>
  </x:conditionalFormatting>
  <x:conditionalFormatting sqref="M11:N12">
    <x:cfRule type="expression" dxfId="36" priority="22">
      <x:formula>$M$11=0</x:formula>
    </x:cfRule>
    <x:cfRule type="expression" dxfId="37" priority="23">
      <x:formula>$M$11&gt;0</x:formula>
    </x:cfRule>
  </x:conditionalFormatting>
  <x:conditionalFormatting sqref="E16:F17">
    <x:cfRule type="expression" dxfId="38" priority="24">
      <x:formula>$E$16&gt;=0.80</x:formula>
    </x:cfRule>
    <x:cfRule type="expression" dxfId="39" priority="25">
      <x:formula>AND($E$16&gt;=0.60,$E$16&lt;0.80)</x:formula>
    </x:cfRule>
    <x:cfRule type="expression" dxfId="40" priority="26">
      <x:formula>$E$16&lt;0.60</x:formula>
    </x:cfRule>
  </x:conditionalFormatting>
  <x:conditionalFormatting sqref="K16:L17">
    <x:cfRule type="expression" dxfId="41" priority="27">
      <x:formula>$K$16=0</x:formula>
    </x:cfRule>
    <x:cfRule type="expression" dxfId="42" priority="28">
      <x:formula>$K$16&gt;0</x:formula>
    </x:cfRule>
  </x:conditionalFormatting>
  <x:conditionalFormatting sqref="M16:N17">
    <x:cfRule type="expression" dxfId="43" priority="29">
      <x:formula>$M$16=0</x:formula>
    </x:cfRule>
    <x:cfRule type="expression" dxfId="44" priority="30">
      <x:formula>$M$16&gt;0</x:formula>
    </x:cfRule>
  </x:conditionalFormatting>
  <x:conditionalFormatting sqref="G39:G43">
    <x:cfRule type="expression" dxfId="45" priority="31">
      <x:formula>$G39="Completed"</x:formula>
    </x:cfRule>
    <x:cfRule type="expression" dxfId="46" priority="32">
      <x:formula>$G39="Scheduled"</x:formula>
    </x:cfRule>
  </x:conditionalFormatting>
  <x:conditionalFormatting sqref="J39:J43">
    <x:cfRule type="expression" dxfId="47" priority="33">
      <x:formula>$J39="Eligible"</x:formula>
    </x:cfRule>
    <x:cfRule type="expression" dxfId="48" priority="34">
      <x:formula>$J39="Excluded"</x:formula>
    </x:cfRule>
  </x:conditionalFormatting>
  <x:conditionalFormatting sqref="A18:N18">
    <x:cfRule type="expression" dxfId="134" priority="35">
      <x:formula>ISNUMBER(SEARCH("Integrity Gate: PASS",$A18))</x:formula>
    </x:cfRule>
    <x:cfRule type="expression" dxfId="135" priority="36">
      <x:formula>ISNUMBER(SEARCH("Integrity Gate: FAIL",$A18))</x:formula>
    </x:cfRule>
  </x:conditionalFormatting>
  <x:pageMargins left="0.7" right="0.7" top="0.75" bottom="0.75" header="0.3" footer="0.3"/>
  <x:drawing xmlns:r="http://schemas.openxmlformats.org/officeDocument/2006/relationships" r:id="R52149f6dfdb4456e"/>
  <x:extLst>
    <x:ext xmlns:x14="http://schemas.microsoft.com/office/spreadsheetml/2009/9/main" xmlns:xm="http://schemas.microsoft.com/office/excel/2006/main" uri="{78C0D931-6437-407d-A8EE-F0AAD7539E65}">
      <x14:conditionalFormattings>
        <x14:conditionalFormatting>
          <x14:cfRule type="dataBar" priority="1" id="{E5D2A047-4238-8741-E2B3-85669B88D1C8}">
            <x14:dataBar gradient="1">
              <x14:cfvo type="min"/>
              <x14:cfvo type="max"/>
              <x14:fillColor rgb="FF5B9BD5"/>
            </x14:dataBar>
          </x14:cfRule>
          <xm:sqref>B21:B25</xm:sqref>
        </x14:conditionalFormatting>
      </x14:conditionalFormattings>
    </x:ext>
  </x:extLst>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16" hidden="0" customWidth="1"/>
    <x:col min="3" max="3" width="13" hidden="0" customWidth="1"/>
    <x:col min="4" max="4" width="12" hidden="0" customWidth="1"/>
    <x:col min="5" max="5" width="12" hidden="0" customWidth="1"/>
    <x:col min="6" max="6" width="14" hidden="0" customWidth="1"/>
    <x:col min="7" max="7" width="12" hidden="0" customWidth="1"/>
    <x:col min="8" max="8" width="28" hidden="0" customWidth="1"/>
    <x:col min="9" max="9" width="28" hidden="0" customWidth="1"/>
    <x:col min="10" max="10" width="20" hidden="0" customWidth="1"/>
    <x:col min="11" max="11" width="18" hidden="0" customWidth="1"/>
    <x:col min="12" max="12" width="18" hidden="0" customWidth="1"/>
    <x:col min="13" max="13" width="10" hidden="0" customWidth="1"/>
    <x:col min="14" max="14" width="14" hidden="0" customWidth="1"/>
    <x:col min="15" max="15" width="22" hidden="0" customWidth="1"/>
    <x:col min="16" max="16" width="14" hidden="0" customWidth="1"/>
    <x:col min="17" max="17" width="22" hidden="0" customWidth="1"/>
    <x:col min="18" max="18" width="14" hidden="0" customWidth="1"/>
    <x:col min="19" max="19" width="28" hidden="0" customWidth="1"/>
    <x:col min="20" max="20" width="16" hidden="0" customWidth="1"/>
    <x:col min="21" max="21" width="18" hidden="0" customWidth="1"/>
    <x:col min="22" max="22" width="42" hidden="0" customWidth="1"/>
    <x:col min="23" max="23" width="30" hidden="0" customWidth="1"/>
    <x:col min="24" max="24" width="16" hidden="0" customWidth="1"/>
    <x:col min="25" max="25" width="30" hidden="0" customWidth="1"/>
    <x:col min="26" max="26" width="18" hidden="0" customWidth="1"/>
  </x:cols>
  <x:sheetData>
    <x:row r="1">
      <x:c r="A1" s="55" t="str">
        <x:v>Event #</x:v>
      </x:c>
      <x:c r="B1" s="55" t="str">
        <x:v>Physical Visit ID</x:v>
      </x:c>
      <x:c r="C1" s="55" t="str">
        <x:v>Service Date</x:v>
      </x:c>
      <x:c r="D1" s="55" t="str">
        <x:v>Weekday</x:v>
      </x:c>
      <x:c r="E1" s="55" t="str">
        <x:v>Workweek #</x:v>
      </x:c>
      <x:c r="F1" s="55" t="str">
        <x:v>MY_MONTH</x:v>
      </x:c>
      <x:c r="G1" s="55" t="str">
        <x:v>Client ID</x:v>
      </x:c>
      <x:c r="H1" s="55" t="str">
        <x:v>Client</x:v>
      </x:c>
      <x:c r="I1" s="55" t="str">
        <x:v>Site Name</x:v>
      </x:c>
      <x:c r="J1" s="55" t="str">
        <x:v>Address</x:v>
      </x:c>
      <x:c r="K1" s="55" t="str">
        <x:v>City</x:v>
      </x:c>
      <x:c r="L1" s="55" t="str">
        <x:v>State</x:v>
      </x:c>
      <x:c r="M1" s="55" t="str">
        <x:v>ZIP</x:v>
      </x:c>
      <x:c r="N1" s="55" t="str">
        <x:v>Jurisdiction</x:v>
      </x:c>
      <x:c r="O1" s="55" t="str">
        <x:v>Location Key</x:v>
      </x:c>
      <x:c r="P1" s="55" t="str">
        <x:v>Status</x:v>
      </x:c>
      <x:c r="Q1" s="55" t="str">
        <x:v>Visit Type</x:v>
      </x:c>
      <x:c r="R1" s="55" t="str">
        <x:v>Work Order Count</x:v>
      </x:c>
      <x:c r="S1" s="55" t="str">
        <x:v>Work Orders</x:v>
      </x:c>
      <x:c r="T1" s="55" t="str">
        <x:v>Confirmed Revenue</x:v>
      </x:c>
      <x:c r="U1" s="55" t="str">
        <x:v>Revenue Eligibility</x:v>
      </x:c>
      <x:c r="V1" s="55" t="str">
        <x:v>Notes</x:v>
      </x:c>
      <x:c r="W1" s="55" t="str">
        <x:v>Source / Evidence</x:v>
      </x:c>
      <x:c r="X1" s="52" t="str">
        <x:v>Financial Scope</x:v>
      </x:c>
      <x:c r="Y1" s="52" t="str">
        <x:v>Financial Exclusion Reason</x:v>
      </x:c>
      <x:c r="Z1" s="52" t="str">
        <x:v>Breakdown Expected</x:v>
      </x:c>
      <x:c r="AA1" s="52"/>
      <x:c r="AB1" s="52"/>
      <x:c r="AC1" s="52"/>
      <x:c r="AD1" s="52"/>
      <x:c r="AE1" s="52"/>
    </x:row>
    <x:row r="2">
      <x:c r="A2" t="n">
        <x:v>1</x:v>
      </x:c>
      <x:c r="B2" s="402" t="str">
        <x:f>IF(A2="","","EVT-"&amp;TEXT(A2,"0000"))</x:f>
        <x:v>EVT-0001</x:v>
      </x:c>
      <x:c r="C2" s="35" t="n">
        <x:v>46132</x:v>
      </x:c>
      <x:c r="D2" s="403" t="str">
        <x:f>IF(C2="","",TEXT(C2,"dddd"))</x:f>
        <x:v>Monday</x:v>
      </x:c>
      <x:c r="E2" t="n">
        <x:v>1</x:v>
      </x:c>
      <x:c r="F2" t="str">
        <x:v>MY_MONTH 1</x:v>
      </x:c>
      <x:c r="G2" t="str">
        <x:v>CL-001</x:v>
      </x:c>
      <x:c r="H2" t="str">
        <x:v>Macy's</x:v>
      </x:c>
      <x:c r="I2" t="str">
        <x:v>Macy's</x:v>
      </x:c>
      <x:c r="J2"/>
      <x:c r="K2" t="str">
        <x:v>Fairfax</x:v>
      </x:c>
      <x:c r="L2" t="str">
        <x:v>Virginia</x:v>
      </x:c>
      <x:c r="M2" s="24"/>
      <x:c r="N2" t="str">
        <x:v>VA</x:v>
      </x:c>
      <x:c r="O2" s="403" t="str">
        <x:f>IF(OR(K2="",N2=""),"",K2&amp;"|"&amp;N2)</x:f>
        <x:v>Fairfax|VA</x:v>
      </x:c>
      <x:c r="P2" t="str">
        <x:v>Completed</x:v>
      </x:c>
      <x:c r="Q2" t="str">
        <x:v>Physical Service Visit</x:v>
      </x:c>
      <x:c r="R2" t="n">
        <x:v>1</x:v>
      </x:c>
      <x:c r="S2" t="str">
        <x:v>5847113</x:v>
      </x:c>
      <x:c r="T2" s="24" t="n">
        <x:v>90</x:v>
      </x:c>
      <x:c r="U2" s="403" t="str">
        <x:f>IF(X2="Excluded","Excluded",IF(T2&gt;0,"Eligible","Excluded"))</x:f>
        <x:v>Eligible</x:v>
      </x:c>
      <x:c r="V2" t="str">
        <x:v>VA model from prior approved calculation.</x:v>
      </x:c>
      <x:c r="W2" t="str">
        <x:v>Timeline + Service Calendar + Canonical Ledger</x:v>
      </x:c>
      <x:c r="X2" t="str">
        <x:v>Included</x:v>
      </x:c>
      <x:c r="Y2" s="329"/>
      <x:c r="Z2" s="403" t="str">
        <x:f>IF(X2="","",IF(X2="Excluded","No","Yes"))</x:f>
        <x:v>Yes</x:v>
      </x:c>
    </x:row>
    <x:row r="3">
      <x:c r="A3" t="n">
        <x:v>2</x:v>
      </x:c>
      <x:c r="B3" s="402" t="str">
        <x:f>IF(A3="","","EVT-"&amp;TEXT(A3,"0000"))</x:f>
        <x:v>EVT-0002</x:v>
      </x:c>
      <x:c r="C3" s="35" t="n">
        <x:v>46133</x:v>
      </x:c>
      <x:c r="D3" s="403" t="str">
        <x:f>IF(C3="","",TEXT(C3,"dddd"))</x:f>
        <x:v>Tuesday</x:v>
      </x:c>
      <x:c r="E3" t="n">
        <x:v>1</x:v>
      </x:c>
      <x:c r="F3" t="str">
        <x:v>MY_MONTH 1</x:v>
      </x:c>
      <x:c r="G3" t="str">
        <x:v>CL-002</x:v>
      </x:c>
      <x:c r="H3" t="str">
        <x:v>Bloomingdale's</x:v>
      </x:c>
      <x:c r="I3" t="str">
        <x:v>Bloomingdale's</x:v>
      </x:c>
      <x:c r="J3"/>
      <x:c r="K3" t="str">
        <x:v>Tysons</x:v>
      </x:c>
      <x:c r="L3" t="str">
        <x:v>Virginia</x:v>
      </x:c>
      <x:c r="M3" s="24"/>
      <x:c r="N3" t="str">
        <x:v>VA</x:v>
      </x:c>
      <x:c r="O3" s="403" t="str">
        <x:f>IF(OR(K3="",N3=""),"",K3&amp;"|"&amp;N3)</x:f>
        <x:v>Tysons|VA</x:v>
      </x:c>
      <x:c r="P3" t="str">
        <x:v>Completed</x:v>
      </x:c>
      <x:c r="Q3" t="str">
        <x:v>Physical Service Visit</x:v>
      </x:c>
      <x:c r="R3" t="n">
        <x:v>1</x:v>
      </x:c>
      <x:c r="S3" t="str">
        <x:v>5860365</x:v>
      </x:c>
      <x:c r="T3" s="24" t="n">
        <x:v>344</x:v>
      </x:c>
      <x:c r="U3" s="403" t="str">
        <x:f>IF(X3="Excluded","Excluded",IF(T3&gt;0,"Eligible","Excluded"))</x:f>
        <x:v>Eligible</x:v>
      </x:c>
      <x:c r="V3" t="str">
        <x:v>8-hour assist tech; effective $43/hr.</x:v>
      </x:c>
      <x:c r="W3" t="str">
        <x:v>Timeline + Service Calendar + Canonical Ledger</x:v>
      </x:c>
      <x:c r="X3" t="str">
        <x:v>Included</x:v>
      </x:c>
      <x:c r="Y3" s="329"/>
      <x:c r="Z3" s="403" t="str">
        <x:f>IF(X3="","",IF(X3="Excluded","No","Yes"))</x:f>
        <x:v>Yes</x:v>
      </x:c>
    </x:row>
    <x:row r="4">
      <x:c r="A4" t="n">
        <x:v>3</x:v>
      </x:c>
      <x:c r="B4" s="402" t="str">
        <x:f>IF(A4="","","EVT-"&amp;TEXT(A4,"0000"))</x:f>
        <x:v>EVT-0003</x:v>
      </x:c>
      <x:c r="C4" s="35" t="n">
        <x:v>46134</x:v>
      </x:c>
      <x:c r="D4" s="403" t="str">
        <x:f>IF(C4="","",TEXT(C4,"dddd"))</x:f>
        <x:v>Wednesday</x:v>
      </x:c>
      <x:c r="E4" t="n">
        <x:v>1</x:v>
      </x:c>
      <x:c r="F4" t="str">
        <x:v>MY_MONTH 1</x:v>
      </x:c>
      <x:c r="G4" t="str">
        <x:v>CL-002</x:v>
      </x:c>
      <x:c r="H4" t="str">
        <x:v>Bloomingdale's</x:v>
      </x:c>
      <x:c r="I4" t="str">
        <x:v>Bloomingdale's</x:v>
      </x:c>
      <x:c r="J4"/>
      <x:c r="K4" t="str">
        <x:v>Tysons</x:v>
      </x:c>
      <x:c r="L4" t="str">
        <x:v>Virginia</x:v>
      </x:c>
      <x:c r="M4" s="24"/>
      <x:c r="N4" t="str">
        <x:v>VA</x:v>
      </x:c>
      <x:c r="O4" s="403" t="str">
        <x:f>IF(OR(K4="",N4=""),"",K4&amp;"|"&amp;N4)</x:f>
        <x:v>Tysons|VA</x:v>
      </x:c>
      <x:c r="P4" t="str">
        <x:v>Completed</x:v>
      </x:c>
      <x:c r="Q4" t="str">
        <x:v>Physical Service Visit</x:v>
      </x:c>
      <x:c r="R4" t="n">
        <x:v>1</x:v>
      </x:c>
      <x:c r="S4" t="str">
        <x:v>5860393</x:v>
      </x:c>
      <x:c r="T4" s="24" t="n">
        <x:v>344</x:v>
      </x:c>
      <x:c r="U4" s="403" t="str">
        <x:f>IF(X4="Excluded","Excluded",IF(T4&gt;0,"Eligible","Excluded"))</x:f>
        <x:v>Eligible</x:v>
      </x:c>
      <x:c r="V4" t="str">
        <x:v>8-hour assist tech; effective $43/hr.</x:v>
      </x:c>
      <x:c r="W4" t="str">
        <x:v>Timeline + Service Calendar + Canonical Ledger</x:v>
      </x:c>
      <x:c r="X4" t="str">
        <x:v>Included</x:v>
      </x:c>
      <x:c r="Y4" s="329"/>
      <x:c r="Z4" s="403" t="str">
        <x:f>IF(X4="","",IF(X4="Excluded","No","Yes"))</x:f>
        <x:v>Yes</x:v>
      </x:c>
    </x:row>
    <x:row r="5">
      <x:c r="A5" t="n">
        <x:v>4</x:v>
      </x:c>
      <x:c r="B5" s="402" t="str">
        <x:f>IF(A5="","","EVT-"&amp;TEXT(A5,"0000"))</x:f>
        <x:v>EVT-0004</x:v>
      </x:c>
      <x:c r="C5" s="35" t="n">
        <x:v>46135</x:v>
      </x:c>
      <x:c r="D5" s="403" t="str">
        <x:f>IF(C5="","",TEXT(C5,"dddd"))</x:f>
        <x:v>Thursday</x:v>
      </x:c>
      <x:c r="E5" t="n">
        <x:v>1</x:v>
      </x:c>
      <x:c r="F5" t="str">
        <x:v>MY_MONTH 1</x:v>
      </x:c>
      <x:c r="G5" t="str">
        <x:v>CL-001</x:v>
      </x:c>
      <x:c r="H5" t="str">
        <x:v>Macy's</x:v>
      </x:c>
      <x:c r="I5" t="str">
        <x:v>Macy's</x:v>
      </x:c>
      <x:c r="J5"/>
      <x:c r="K5" t="str">
        <x:v>Frederick</x:v>
      </x:c>
      <x:c r="L5" t="str">
        <x:v>Maryland</x:v>
      </x:c>
      <x:c r="M5" s="24"/>
      <x:c r="N5" t="str">
        <x:v>MD</x:v>
      </x:c>
      <x:c r="O5" s="403" t="str">
        <x:f>IF(OR(K5="",N5=""),"",K5&amp;"|"&amp;N5)</x:f>
        <x:v>Frederick|MD</x:v>
      </x:c>
      <x:c r="P5" t="str">
        <x:v>Completed</x:v>
      </x:c>
      <x:c r="Q5" t="str">
        <x:v>Physical Service Visit</x:v>
      </x:c>
      <x:c r="R5" t="n">
        <x:v>1</x:v>
      </x:c>
      <x:c r="S5" t="str">
        <x:v>5874484</x:v>
      </x:c>
      <x:c r="T5" s="24" t="n">
        <x:v>180</x:v>
      </x:c>
      <x:c r="U5" s="403" t="str">
        <x:f>IF(X5="Excluded","Excluded",IF(T5&gt;0,"Eligible","Excluded"))</x:f>
        <x:v>Eligible</x:v>
      </x:c>
      <x:c r="V5" t="str">
        <x:v>Maryland revenue included; hours inferred at $45/hr.</x:v>
      </x:c>
      <x:c r="W5" t="str">
        <x:v>Timeline + Service Calendar + Canonical Ledger</x:v>
      </x:c>
      <x:c r="X5" t="str">
        <x:v>Included</x:v>
      </x:c>
      <x:c r="Y5" s="329"/>
      <x:c r="Z5" s="403" t="str">
        <x:f>IF(X5="","",IF(X5="Excluded","No","Yes"))</x:f>
        <x:v>Yes</x:v>
      </x:c>
    </x:row>
    <x:row r="6">
      <x:c r="A6" t="n">
        <x:v>5</x:v>
      </x:c>
      <x:c r="B6" s="402" t="str">
        <x:f>IF(A6="","","EVT-"&amp;TEXT(A6,"0000"))</x:f>
        <x:v>EVT-0005</x:v>
      </x:c>
      <x:c r="C6" s="35" t="n">
        <x:v>46136</x:v>
      </x:c>
      <x:c r="D6" s="403" t="str">
        <x:f>IF(C6="","",TEXT(C6,"dddd"))</x:f>
        <x:v>Friday</x:v>
      </x:c>
      <x:c r="E6" t="n">
        <x:v>1</x:v>
      </x:c>
      <x:c r="F6" t="str">
        <x:v>MY_MONTH 1</x:v>
      </x:c>
      <x:c r="G6" t="str">
        <x:v>CL-003</x:v>
      </x:c>
      <x:c r="H6" t="str">
        <x:v>Hampton Inn &amp; Suites</x:v>
      </x:c>
      <x:c r="I6" t="str">
        <x:v>Hampton Inn &amp; Suites</x:v>
      </x:c>
      <x:c r="J6"/>
      <x:c r="K6" t="str">
        <x:v>Washington</x:v>
      </x:c>
      <x:c r="L6" t="str">
        <x:v>Washington, DC</x:v>
      </x:c>
      <x:c r="M6" s="24"/>
      <x:c r="N6" t="str">
        <x:v>DC</x:v>
      </x:c>
      <x:c r="O6" s="403" t="str">
        <x:f>IF(OR(K6="",N6=""),"",K6&amp;"|"&amp;N6)</x:f>
        <x:v>Washington|DC</x:v>
      </x:c>
      <x:c r="P6" t="str">
        <x:v>Completed</x:v>
      </x:c>
      <x:c r="Q6" t="str">
        <x:v>Physical Service Visit</x:v>
      </x:c>
      <x:c r="R6" t="n">
        <x:v>1</x:v>
      </x:c>
      <x:c r="S6" t="str">
        <x:v>5876589</x:v>
      </x:c>
      <x:c r="T6" s="24" t="n">
        <x:v>50</x:v>
      </x:c>
      <x:c r="U6" s="403" t="str">
        <x:f>IF(X6="Excluded","Excluded",IF(T6&gt;0,"Eligible","Excluded"))</x:f>
        <x:v>Eligible</x:v>
      </x:c>
      <x:c r="V6" t="str">
        <x:v>DC flat/equivalent event.</x:v>
      </x:c>
      <x:c r="W6" t="str">
        <x:v>Timeline + Service Calendar + Canonical Ledger</x:v>
      </x:c>
      <x:c r="X6" t="str">
        <x:v>Included</x:v>
      </x:c>
      <x:c r="Y6" s="329"/>
      <x:c r="Z6" s="403" t="str">
        <x:f>IF(X6="","",IF(X6="Excluded","No","Yes"))</x:f>
        <x:v>Yes</x:v>
      </x:c>
    </x:row>
    <x:row r="7">
      <x:c r="A7" t="n">
        <x:v>6</x:v>
      </x:c>
      <x:c r="B7" s="402" t="str">
        <x:f>IF(A7="","","EVT-"&amp;TEXT(A7,"0000"))</x:f>
        <x:v>EVT-0006</x:v>
      </x:c>
      <x:c r="C7" s="35" t="n">
        <x:v>46139</x:v>
      </x:c>
      <x:c r="D7" s="403" t="str">
        <x:f>IF(C7="","",TEXT(C7,"dddd"))</x:f>
        <x:v>Monday</x:v>
      </x:c>
      <x:c r="E7" t="n">
        <x:v>2</x:v>
      </x:c>
      <x:c r="F7" t="str">
        <x:v>MY_MONTH 1</x:v>
      </x:c>
      <x:c r="G7" t="str">
        <x:v>CL-001</x:v>
      </x:c>
      <x:c r="H7" t="str">
        <x:v>Macy's</x:v>
      </x:c>
      <x:c r="I7" t="str">
        <x:v>Macy's</x:v>
      </x:c>
      <x:c r="J7"/>
      <x:c r="K7" t="str">
        <x:v>Frederick</x:v>
      </x:c>
      <x:c r="L7" t="str">
        <x:v>Maryland</x:v>
      </x:c>
      <x:c r="M7" s="24"/>
      <x:c r="N7" t="str">
        <x:v>MD</x:v>
      </x:c>
      <x:c r="O7" s="403" t="str">
        <x:f>IF(OR(K7="",N7=""),"",K7&amp;"|"&amp;N7)</x:f>
        <x:v>Frederick|MD</x:v>
      </x:c>
      <x:c r="P7" t="str">
        <x:v>Completed</x:v>
      </x:c>
      <x:c r="Q7" t="str">
        <x:v>Physical Service Visit</x:v>
      </x:c>
      <x:c r="R7" t="n">
        <x:v>1</x:v>
      </x:c>
      <x:c r="S7" t="str">
        <x:v>5874982</x:v>
      </x:c>
      <x:c r="T7" s="24" t="n">
        <x:v>180</x:v>
      </x:c>
      <x:c r="U7" s="403" t="str">
        <x:f>IF(X7="Excluded","Excluded",IF(T7&gt;0,"Eligible","Excluded"))</x:f>
        <x:v>Eligible</x:v>
      </x:c>
      <x:c r="V7" t="str">
        <x:v>Maryland revenue included; hours inferred at $45/hr.</x:v>
      </x:c>
      <x:c r="W7" t="str">
        <x:v>Timeline + Service Calendar + Canonical Ledger</x:v>
      </x:c>
      <x:c r="X7" t="str">
        <x:v>Included</x:v>
      </x:c>
      <x:c r="Y7" s="329"/>
      <x:c r="Z7" s="403" t="str">
        <x:f>IF(X7="","",IF(X7="Excluded","No","Yes"))</x:f>
        <x:v>Yes</x:v>
      </x:c>
    </x:row>
    <x:row r="8">
      <x:c r="A8" t="n">
        <x:v>7</x:v>
      </x:c>
      <x:c r="B8" s="402" t="str">
        <x:f>IF(A8="","","EVT-"&amp;TEXT(A8,"0000"))</x:f>
        <x:v>EVT-0007</x:v>
      </x:c>
      <x:c r="C8" s="35" t="n">
        <x:v>46141</x:v>
      </x:c>
      <x:c r="D8" s="403" t="str">
        <x:f>IF(C8="","",TEXT(C8,"dddd"))</x:f>
        <x:v>Wednesday</x:v>
      </x:c>
      <x:c r="E8" t="n">
        <x:v>2</x:v>
      </x:c>
      <x:c r="F8" t="str">
        <x:v>MY_MONTH 1</x:v>
      </x:c>
      <x:c r="G8" t="str">
        <x:v>CL-004</x:v>
      </x:c>
      <x:c r="H8" t="str">
        <x:v>Davis Polk &amp; Wardwell</x:v>
      </x:c>
      <x:c r="I8" t="str">
        <x:v>Davis Polk &amp; Wardwell</x:v>
      </x:c>
      <x:c r="J8"/>
      <x:c r="K8" t="str">
        <x:v>Washington</x:v>
      </x:c>
      <x:c r="L8" t="str">
        <x:v>Washington, DC</x:v>
      </x:c>
      <x:c r="M8" s="24"/>
      <x:c r="N8" t="str">
        <x:v>DC</x:v>
      </x:c>
      <x:c r="O8" s="403" t="str">
        <x:f>IF(OR(K8="",N8=""),"",K8&amp;"|"&amp;N8)</x:f>
        <x:v>Washington|DC</x:v>
      </x:c>
      <x:c r="P8" t="str">
        <x:v>Completed</x:v>
      </x:c>
      <x:c r="Q8" t="str">
        <x:v>Physical Service Visit</x:v>
      </x:c>
      <x:c r="R8" t="n">
        <x:v>1</x:v>
      </x:c>
      <x:c r="S8" t="str">
        <x:v>5876638</x:v>
      </x:c>
      <x:c r="T8" s="24" t="n">
        <x:v>50</x:v>
      </x:c>
      <x:c r="U8" s="403" t="str">
        <x:f>IF(X8="Excluded","Excluded",IF(T8&gt;0,"Eligible","Excluded"))</x:f>
        <x:v>Eligible</x:v>
      </x:c>
      <x:c r="V8" t="str">
        <x:v>DC flat/equivalent event.</x:v>
      </x:c>
      <x:c r="W8" t="str">
        <x:v>Timeline + Service Calendar + Canonical Ledger</x:v>
      </x:c>
      <x:c r="X8" t="str">
        <x:v>Included</x:v>
      </x:c>
      <x:c r="Y8" s="329"/>
      <x:c r="Z8" s="403" t="str">
        <x:f>IF(X8="","",IF(X8="Excluded","No","Yes"))</x:f>
        <x:v>Yes</x:v>
      </x:c>
    </x:row>
    <x:row r="9">
      <x:c r="A9" t="n">
        <x:v>8</x:v>
      </x:c>
      <x:c r="B9" s="402" t="str">
        <x:f>IF(A9="","","EVT-"&amp;TEXT(A9,"0000"))</x:f>
        <x:v>EVT-0008</x:v>
      </x:c>
      <x:c r="C9" s="35" t="n">
        <x:v>46141</x:v>
      </x:c>
      <x:c r="D9" s="403" t="str">
        <x:f>IF(C9="","",TEXT(C9,"dddd"))</x:f>
        <x:v>Wednesday</x:v>
      </x:c>
      <x:c r="E9" t="n">
        <x:v>2</x:v>
      </x:c>
      <x:c r="F9" t="str">
        <x:v>MY_MONTH 1</x:v>
      </x:c>
      <x:c r="G9" t="str">
        <x:v>CL-005</x:v>
      </x:c>
      <x:c r="H9" t="str">
        <x:v>Hebrew Home of Greater Washington</x:v>
      </x:c>
      <x:c r="I9" t="str">
        <x:v>Hebrew Home of Greater Washington</x:v>
      </x:c>
      <x:c r="J9"/>
      <x:c r="K9" t="str">
        <x:v>North Bethesda</x:v>
      </x:c>
      <x:c r="L9" t="str">
        <x:v>Maryland</x:v>
      </x:c>
      <x:c r="M9" s="24"/>
      <x:c r="N9" t="str">
        <x:v>MD</x:v>
      </x:c>
      <x:c r="O9" s="403" t="str">
        <x:f>IF(OR(K9="",N9=""),"",K9&amp;"|"&amp;N9)</x:f>
        <x:v>North Bethesda|MD</x:v>
      </x:c>
      <x:c r="P9" t="str">
        <x:v>Completed</x:v>
      </x:c>
      <x:c r="Q9" t="str">
        <x:v>Physical Service Visit</x:v>
      </x:c>
      <x:c r="R9" t="n">
        <x:v>1</x:v>
      </x:c>
      <x:c r="S9" t="str">
        <x:v>5878985</x:v>
      </x:c>
      <x:c r="T9" s="24" t="n">
        <x:v>45</x:v>
      </x:c>
      <x:c r="U9" s="403" t="str">
        <x:f>IF(X9="Excluded","Excluded",IF(T9&gt;0,"Eligible","Excluded"))</x:f>
        <x:v>Eligible</x:v>
      </x:c>
      <x:c r="V9" t="str">
        <x:v>Maryland revenue included.</x:v>
      </x:c>
      <x:c r="W9" t="str">
        <x:v>Timeline + Service Calendar + Canonical Ledger</x:v>
      </x:c>
      <x:c r="X9" t="str">
        <x:v>Included</x:v>
      </x:c>
      <x:c r="Y9" s="329"/>
      <x:c r="Z9" s="403" t="str">
        <x:f>IF(X9="","",IF(X9="Excluded","No","Yes"))</x:f>
        <x:v>Yes</x:v>
      </x:c>
    </x:row>
    <x:row r="10">
      <x:c r="A10" t="n">
        <x:v>9</x:v>
      </x:c>
      <x:c r="B10" s="402" t="str">
        <x:f>IF(A10="","","EVT-"&amp;TEXT(A10,"0000"))</x:f>
        <x:v>EVT-0009</x:v>
      </x:c>
      <x:c r="C10" s="35" t="n">
        <x:v>46142</x:v>
      </x:c>
      <x:c r="D10" s="403" t="str">
        <x:f>IF(C10="","",TEXT(C10,"dddd"))</x:f>
        <x:v>Thursday</x:v>
      </x:c>
      <x:c r="E10" t="n">
        <x:v>2</x:v>
      </x:c>
      <x:c r="F10" t="str">
        <x:v>MY_MONTH 1</x:v>
      </x:c>
      <x:c r="G10" t="str">
        <x:v>CL-006</x:v>
      </x:c>
      <x:c r="H10" t="str">
        <x:v>7-Eleven</x:v>
      </x:c>
      <x:c r="I10" t="str">
        <x:v>7-Eleven</x:v>
      </x:c>
      <x:c r="J10"/>
      <x:c r="K10" t="str">
        <x:v>Baltimore</x:v>
      </x:c>
      <x:c r="L10" t="str">
        <x:v>Maryland</x:v>
      </x:c>
      <x:c r="M10" s="24"/>
      <x:c r="N10" t="str">
        <x:v>MD</x:v>
      </x:c>
      <x:c r="O10" s="403" t="str">
        <x:f>IF(OR(K10="",N10=""),"",K10&amp;"|"&amp;N10)</x:f>
        <x:v>Baltimore|MD</x:v>
      </x:c>
      <x:c r="P10" t="str">
        <x:v>Completed</x:v>
      </x:c>
      <x:c r="Q10" t="str">
        <x:v>Physical Service Visit</x:v>
      </x:c>
      <x:c r="R10" t="n">
        <x:v>1</x:v>
      </x:c>
      <x:c r="S10" t="str">
        <x:v>UNRESOLVED-E009</x:v>
      </x:c>
      <x:c r="T10" s="24"/>
      <x:c r="U10" s="403" t="str">
        <x:f>IF(X10="Excluded","Excluded",IF(T10&gt;0,"Eligible","Excluded"))</x:f>
        <x:v>Excluded</x:v>
      </x:c>
      <x:c r="V10" t="str">
        <x:v>User instructed to ignore #9 for this calculation.</x:v>
      </x:c>
      <x:c r="W10" t="str">
        <x:v>Timeline + Service Calendar + Canonical Ledger</x:v>
      </x:c>
      <x:c r="X10" t="str">
        <x:v>Excluded</x:v>
      </x:c>
      <x:c r="Y10" s="329" t="str">
        <x:v>Chronology-only legacy event</x:v>
      </x:c>
      <x:c r="Z10" s="403" t="str">
        <x:f>IF(X10="","",IF(X10="Excluded","No","Yes"))</x:f>
        <x:v>No</x:v>
      </x:c>
    </x:row>
    <x:row r="11">
      <x:c r="A11" t="n">
        <x:v>10</x:v>
      </x:c>
      <x:c r="B11" s="402" t="str">
        <x:f>IF(A11="","","EVT-"&amp;TEXT(A11,"0000"))</x:f>
        <x:v>EVT-0010</x:v>
      </x:c>
      <x:c r="C11" s="35" t="n">
        <x:v>46147</x:v>
      </x:c>
      <x:c r="D11" s="403" t="str">
        <x:f>IF(C11="","",TEXT(C11,"dddd"))</x:f>
        <x:v>Tuesday</x:v>
      </x:c>
      <x:c r="E11" t="n">
        <x:v>3</x:v>
      </x:c>
      <x:c r="F11" t="str">
        <x:v>MY_MONTH 1</x:v>
      </x:c>
      <x:c r="G11" t="str">
        <x:v>CL-007</x:v>
      </x:c>
      <x:c r="H11" t="str">
        <x:v>Giant Food Stores</x:v>
      </x:c>
      <x:c r="I11" t="str">
        <x:v>Giant Food Stores</x:v>
      </x:c>
      <x:c r="J11"/>
      <x:c r="K11" t="str">
        <x:v>Hanover</x:v>
      </x:c>
      <x:c r="L11" t="str">
        <x:v>Pennsylvania</x:v>
      </x:c>
      <x:c r="M11" s="24"/>
      <x:c r="N11" t="str">
        <x:v>PA</x:v>
      </x:c>
      <x:c r="O11" s="403" t="str">
        <x:f>IF(OR(K11="",N11=""),"",K11&amp;"|"&amp;N11)</x:f>
        <x:v>Hanover|PA</x:v>
      </x:c>
      <x:c r="P11" t="str">
        <x:v>Completed</x:v>
      </x:c>
      <x:c r="Q11" t="str">
        <x:v>Physical Service Visit</x:v>
      </x:c>
      <x:c r="R11" t="n">
        <x:v>1</x:v>
      </x:c>
      <x:c r="S11" t="str">
        <x:v>5882097</x:v>
      </x:c>
      <x:c r="T11" s="24" t="n">
        <x:v>212.5</x:v>
      </x:c>
      <x:c r="U11" s="403" t="str">
        <x:f>IF(X11="Excluded","Excluded",IF(T11&gt;0,"Eligible","Excluded"))</x:f>
        <x:v>Eligible</x:v>
      </x:c>
      <x:c r="V11" t="str">
        <x:v>Corrected: Hanover PA WO 5882097.</x:v>
      </x:c>
      <x:c r="W11" t="str">
        <x:v>Timeline + Service Calendar + Canonical Ledger</x:v>
      </x:c>
      <x:c r="X11" t="str">
        <x:v>Included</x:v>
      </x:c>
      <x:c r="Y11" s="329"/>
      <x:c r="Z11" s="403" t="str">
        <x:f>IF(X11="","",IF(X11="Excluded","No","Yes"))</x:f>
        <x:v>Yes</x:v>
      </x:c>
    </x:row>
    <x:row r="12">
      <x:c r="A12" t="n">
        <x:v>11</x:v>
      </x:c>
      <x:c r="B12" s="402" t="str">
        <x:f>IF(A12="","","EVT-"&amp;TEXT(A12,"0000"))</x:f>
        <x:v>EVT-0011</x:v>
      </x:c>
      <x:c r="C12" s="35" t="n">
        <x:v>46153</x:v>
      </x:c>
      <x:c r="D12" s="403" t="str">
        <x:f>IF(C12="","",TEXT(C12,"dddd"))</x:f>
        <x:v>Monday</x:v>
      </x:c>
      <x:c r="E12" t="n">
        <x:v>4</x:v>
      </x:c>
      <x:c r="F12" t="str">
        <x:v>MY_MONTH 1</x:v>
      </x:c>
      <x:c r="G12" t="str">
        <x:v>CL-008</x:v>
      </x:c>
      <x:c r="H12" t="str">
        <x:v>Food Lion</x:v>
      </x:c>
      <x:c r="I12" t="str">
        <x:v>Food Lion</x:v>
      </x:c>
      <x:c r="J12"/>
      <x:c r="K12" t="str">
        <x:v>Leesburg</x:v>
      </x:c>
      <x:c r="L12" t="str">
        <x:v>Virginia</x:v>
      </x:c>
      <x:c r="M12" s="24"/>
      <x:c r="N12" t="str">
        <x:v>VA</x:v>
      </x:c>
      <x:c r="O12" s="403" t="str">
        <x:f>IF(OR(K12="",N12=""),"",K12&amp;"|"&amp;N12)</x:f>
        <x:v>Leesburg|VA</x:v>
      </x:c>
      <x:c r="P12" t="str">
        <x:v>Completed</x:v>
      </x:c>
      <x:c r="Q12" t="str">
        <x:v>Physical Service Visit</x:v>
      </x:c>
      <x:c r="R12" t="n">
        <x:v>1</x:v>
      </x:c>
      <x:c r="S12" t="str">
        <x:v>5884987</x:v>
      </x:c>
      <x:c r="T12" s="24" t="n">
        <x:v>157.5</x:v>
      </x:c>
      <x:c r="U12" s="403" t="str">
        <x:f>IF(X12="Excluded","Excluded",IF(T12&gt;0,"Eligible","Excluded"))</x:f>
        <x:v>Eligible</x:v>
      </x:c>
      <x:c r="V12" t="str">
        <x:v>VA model uses payment breakdown amount.</x:v>
      </x:c>
      <x:c r="W12" t="str">
        <x:v>Timeline + Service Calendar + Canonical Ledger</x:v>
      </x:c>
      <x:c r="X12" t="str">
        <x:v>Included</x:v>
      </x:c>
      <x:c r="Y12" s="329"/>
      <x:c r="Z12" s="403" t="str">
        <x:f>IF(X12="","",IF(X12="Excluded","No","Yes"))</x:f>
        <x:v>Yes</x:v>
      </x:c>
    </x:row>
    <x:row r="13">
      <x:c r="A13" t="n">
        <x:v>12</x:v>
      </x:c>
      <x:c r="B13" s="402" t="str">
        <x:f>IF(A13="","","EVT-"&amp;TEXT(A13,"0000"))</x:f>
        <x:v>EVT-0012</x:v>
      </x:c>
      <x:c r="C13" s="35" t="n">
        <x:v>46154</x:v>
      </x:c>
      <x:c r="D13" s="403" t="str">
        <x:f>IF(C13="","",TEXT(C13,"dddd"))</x:f>
        <x:v>Tuesday</x:v>
      </x:c>
      <x:c r="E13" t="n">
        <x:v>4</x:v>
      </x:c>
      <x:c r="F13" t="str">
        <x:v>MY_MONTH 1</x:v>
      </x:c>
      <x:c r="G13" t="str">
        <x:v>CL-009</x:v>
      </x:c>
      <x:c r="H13" t="str">
        <x:v>Weis Markets</x:v>
      </x:c>
      <x:c r="I13" t="str">
        <x:v>Weis Markets</x:v>
      </x:c>
      <x:c r="J13"/>
      <x:c r="K13" t="str">
        <x:v>Chambersburg</x:v>
      </x:c>
      <x:c r="L13" t="str">
        <x:v>Pennsylvania</x:v>
      </x:c>
      <x:c r="M13" s="24"/>
      <x:c r="N13" t="str">
        <x:v>PA</x:v>
      </x:c>
      <x:c r="O13" s="403" t="str">
        <x:f>IF(OR(K13="",N13=""),"",K13&amp;"|"&amp;N13)</x:f>
        <x:v>Chambersburg|PA</x:v>
      </x:c>
      <x:c r="P13" t="str">
        <x:v>Completed</x:v>
      </x:c>
      <x:c r="Q13" t="str">
        <x:v>Physical Service Visit</x:v>
      </x:c>
      <x:c r="R13" t="n">
        <x:v>1</x:v>
      </x:c>
      <x:c r="S13" t="str">
        <x:v>5884369</x:v>
      </x:c>
      <x:c r="T13" s="24" t="n">
        <x:v>85</x:v>
      </x:c>
      <x:c r="U13" s="403" t="str">
        <x:f>IF(X13="Excluded","Excluded",IF(T13&gt;0,"Eligible","Excluded"))</x:f>
        <x:v>Eligible</x:v>
      </x:c>
      <x:c r="V13" t="str">
        <x:v>User approved 2-hour $42.50/hr equivalent.</x:v>
      </x:c>
      <x:c r="W13" t="str">
        <x:v>Timeline + Service Calendar + Canonical Ledger</x:v>
      </x:c>
      <x:c r="X13" t="str">
        <x:v>Included</x:v>
      </x:c>
      <x:c r="Y13" s="329"/>
      <x:c r="Z13" s="403" t="str">
        <x:f>IF(X13="","",IF(X13="Excluded","No","Yes"))</x:f>
        <x:v>Yes</x:v>
      </x:c>
    </x:row>
    <x:row r="14">
      <x:c r="A14" t="n">
        <x:v>13</x:v>
      </x:c>
      <x:c r="B14" s="402" t="str">
        <x:f>IF(A14="","","EVT-"&amp;TEXT(A14,"0000"))</x:f>
        <x:v>EVT-0013</x:v>
      </x:c>
      <x:c r="C14" s="35" t="n">
        <x:v>46155</x:v>
      </x:c>
      <x:c r="D14" s="403" t="str">
        <x:f>IF(C14="","",TEXT(C14,"dddd"))</x:f>
        <x:v>Wednesday</x:v>
      </x:c>
      <x:c r="E14" t="n">
        <x:v>4</x:v>
      </x:c>
      <x:c r="F14" t="str">
        <x:v>MY_MONTH 1</x:v>
      </x:c>
      <x:c r="G14" t="str">
        <x:v>CL-010</x:v>
      </x:c>
      <x:c r="H14" t="str">
        <x:v>Office of MD Senator Chris Van Hollen</x:v>
      </x:c>
      <x:c r="I14" t="str">
        <x:v>Office of MD Senator Chris Van Hollen</x:v>
      </x:c>
      <x:c r="J14"/>
      <x:c r="K14" t="str">
        <x:v>Rockville</x:v>
      </x:c>
      <x:c r="L14" t="str">
        <x:v>Maryland</x:v>
      </x:c>
      <x:c r="M14" s="24"/>
      <x:c r="N14" t="str">
        <x:v>MD</x:v>
      </x:c>
      <x:c r="O14" s="403" t="str">
        <x:f>IF(OR(K14="",N14=""),"",K14&amp;"|"&amp;N14)</x:f>
        <x:v>Rockville|MD</x:v>
      </x:c>
      <x:c r="P14" t="str">
        <x:v>Completed</x:v>
      </x:c>
      <x:c r="Q14" t="str">
        <x:v>Physical Service Visit</x:v>
      </x:c>
      <x:c r="R14" t="n">
        <x:v>1</x:v>
      </x:c>
      <x:c r="S14" t="str">
        <x:v>5885429</x:v>
      </x:c>
      <x:c r="T14" s="24" t="n">
        <x:v>50</x:v>
      </x:c>
      <x:c r="U14" s="403" t="str">
        <x:f>IF(X14="Excluded","Excluded",IF(T14&gt;0,"Eligible","Excluded"))</x:f>
        <x:v>Eligible</x:v>
      </x:c>
      <x:c r="V14" t="str">
        <x:v>Maryland revenue included; Senate model estimated at $40/hr.</x:v>
      </x:c>
      <x:c r="W14" t="str">
        <x:v>Timeline + Service Calendar + Canonical Ledger</x:v>
      </x:c>
      <x:c r="X14" t="str">
        <x:v>Included</x:v>
      </x:c>
      <x:c r="Y14" s="329"/>
      <x:c r="Z14" s="403" t="str">
        <x:f>IF(X14="","",IF(X14="Excluded","No","Yes"))</x:f>
        <x:v>Yes</x:v>
      </x:c>
    </x:row>
    <x:row r="15">
      <x:c r="A15" t="n">
        <x:v>14</x:v>
      </x:c>
      <x:c r="B15" s="402" t="str">
        <x:f>IF(A15="","","EVT-"&amp;TEXT(A15,"0000"))</x:f>
        <x:v>EVT-0014</x:v>
      </x:c>
      <x:c r="C15" s="35" t="n">
        <x:v>46155</x:v>
      </x:c>
      <x:c r="D15" s="403" t="str">
        <x:f>IF(C15="","",TEXT(C15,"dddd"))</x:f>
        <x:v>Wednesday</x:v>
      </x:c>
      <x:c r="E15" t="n">
        <x:v>4</x:v>
      </x:c>
      <x:c r="F15" t="str">
        <x:v>MY_MONTH 1</x:v>
      </x:c>
      <x:c r="G15" t="str">
        <x:v>CL-011</x:v>
      </x:c>
      <x:c r="H15" t="str">
        <x:v>Residential – Annapolis Neck, MD</x:v>
      </x:c>
      <x:c r="I15" t="str">
        <x:v>Residential</x:v>
      </x:c>
      <x:c r="J15"/>
      <x:c r="K15" t="str">
        <x:v>Annapolis Neck</x:v>
      </x:c>
      <x:c r="L15" t="str">
        <x:v>Maryland</x:v>
      </x:c>
      <x:c r="M15" s="24"/>
      <x:c r="N15" t="str">
        <x:v>MD</x:v>
      </x:c>
      <x:c r="O15" s="403" t="str">
        <x:f>IF(OR(K15="",N15=""),"",K15&amp;"|"&amp;N15)</x:f>
        <x:v>Annapolis Neck|MD</x:v>
      </x:c>
      <x:c r="P15" t="str">
        <x:v>Completed</x:v>
      </x:c>
      <x:c r="Q15" t="str">
        <x:v>Physical Service Visit</x:v>
      </x:c>
      <x:c r="R15" t="n">
        <x:v>1</x:v>
      </x:c>
      <x:c r="S15" t="str">
        <x:v>UNRESOLVED-E014</x:v>
      </x:c>
      <x:c r="T15" s="24"/>
      <x:c r="U15" s="403" t="str">
        <x:f>IF(X15="Excluded","Excluded",IF(T15&gt;0,"Eligible","Excluded"))</x:f>
        <x:v>Excluded</x:v>
      </x:c>
      <x:c r="V15" t="str">
        <x:v>User instructed to ignore #14 for this calculation.</x:v>
      </x:c>
      <x:c r="W15" t="str">
        <x:v>Timeline + Service Calendar + Canonical Ledger</x:v>
      </x:c>
      <x:c r="X15" t="str">
        <x:v>Excluded</x:v>
      </x:c>
      <x:c r="Y15" s="329" t="str">
        <x:v>Chronology-only legacy event</x:v>
      </x:c>
      <x:c r="Z15" s="403" t="str">
        <x:f>IF(X15="","",IF(X15="Excluded","No","Yes"))</x:f>
        <x:v>No</x:v>
      </x:c>
    </x:row>
    <x:row r="16">
      <x:c r="A16" t="n">
        <x:v>15</x:v>
      </x:c>
      <x:c r="B16" s="402" t="str">
        <x:f>IF(A16="","","EVT-"&amp;TEXT(A16,"0000"))</x:f>
        <x:v>EVT-0015</x:v>
      </x:c>
      <x:c r="C16" s="35" t="n">
        <x:v>46156</x:v>
      </x:c>
      <x:c r="D16" s="403" t="str">
        <x:f>IF(C16="","",TEXT(C16,"dddd"))</x:f>
        <x:v>Thursday</x:v>
      </x:c>
      <x:c r="E16" t="n">
        <x:v>4</x:v>
      </x:c>
      <x:c r="F16" t="str">
        <x:v>MY_MONTH 1</x:v>
      </x:c>
      <x:c r="G16" t="str">
        <x:v>CL-012</x:v>
      </x:c>
      <x:c r="H16" t="str">
        <x:v>Verizon</x:v>
      </x:c>
      <x:c r="I16" t="str">
        <x:v>Verizon</x:v>
      </x:c>
      <x:c r="J16"/>
      <x:c r="K16" t="str">
        <x:v>College Park</x:v>
      </x:c>
      <x:c r="L16" t="str">
        <x:v>Maryland</x:v>
      </x:c>
      <x:c r="M16" s="24"/>
      <x:c r="N16" t="str">
        <x:v>MD</x:v>
      </x:c>
      <x:c r="O16" s="403" t="str">
        <x:f>IF(OR(K16="",N16=""),"",K16&amp;"|"&amp;N16)</x:f>
        <x:v>College Park|MD</x:v>
      </x:c>
      <x:c r="P16" t="str">
        <x:v>Completed</x:v>
      </x:c>
      <x:c r="Q16" t="str">
        <x:v>Physical Service Visit</x:v>
      </x:c>
      <x:c r="R16" t="n">
        <x:v>1</x:v>
      </x:c>
      <x:c r="S16" t="str">
        <x:v>5886658</x:v>
      </x:c>
      <x:c r="T16" s="24" t="n">
        <x:v>75</x:v>
      </x:c>
      <x:c r="U16" s="403" t="str">
        <x:f>IF(X16="Excluded","Excluded",IF(T16&gt;0,"Eligible","Excluded"))</x:f>
        <x:v>Eligible</x:v>
      </x:c>
      <x:c r="V16" t="str">
        <x:v>Maryland revenue included; hours inferred.</x:v>
      </x:c>
      <x:c r="W16" t="str">
        <x:v>Timeline + Service Calendar + Canonical Ledger</x:v>
      </x:c>
      <x:c r="X16" t="str">
        <x:v>Included</x:v>
      </x:c>
      <x:c r="Y16" s="329"/>
      <x:c r="Z16" s="403" t="str">
        <x:f>IF(X16="","",IF(X16="Excluded","No","Yes"))</x:f>
        <x:v>Yes</x:v>
      </x:c>
    </x:row>
    <x:row r="17">
      <x:c r="A17" t="n">
        <x:v>16</x:v>
      </x:c>
      <x:c r="B17" s="402" t="str">
        <x:f>IF(A17="","","EVT-"&amp;TEXT(A17,"0000"))</x:f>
        <x:v>EVT-0016</x:v>
      </x:c>
      <x:c r="C17" s="35" t="n">
        <x:v>46157</x:v>
      </x:c>
      <x:c r="D17" s="403" t="str">
        <x:f>IF(C17="","",TEXT(C17,"dddd"))</x:f>
        <x:v>Friday</x:v>
      </x:c>
      <x:c r="E17" t="n">
        <x:v>4</x:v>
      </x:c>
      <x:c r="F17" t="str">
        <x:v>MY_MONTH 1</x:v>
      </x:c>
      <x:c r="G17" t="str">
        <x:v>CL-013</x:v>
      </x:c>
      <x:c r="H17" t="str">
        <x:v>Atrium Village</x:v>
      </x:c>
      <x:c r="I17" t="str">
        <x:v>Atrium Village</x:v>
      </x:c>
      <x:c r="J17"/>
      <x:c r="K17" t="str">
        <x:v>Owings Mills</x:v>
      </x:c>
      <x:c r="L17" t="str">
        <x:v>Maryland</x:v>
      </x:c>
      <x:c r="M17" s="24"/>
      <x:c r="N17" t="str">
        <x:v>MD</x:v>
      </x:c>
      <x:c r="O17" s="403" t="str">
        <x:f>IF(OR(K17="",N17=""),"",K17&amp;"|"&amp;N17)</x:f>
        <x:v>Owings Mills|MD</x:v>
      </x:c>
      <x:c r="P17" t="str">
        <x:v>Completed</x:v>
      </x:c>
      <x:c r="Q17" t="str">
        <x:v>Physical Service Visit</x:v>
      </x:c>
      <x:c r="R17" t="n">
        <x:v>1</x:v>
      </x:c>
      <x:c r="S17" t="str">
        <x:v>5887090</x:v>
      </x:c>
      <x:c r="T17" s="24" t="n">
        <x:v>45</x:v>
      </x:c>
      <x:c r="U17" s="403" t="str">
        <x:f>IF(X17="Excluded","Excluded",IF(T17&gt;0,"Eligible","Excluded"))</x:f>
        <x:v>Eligible</x:v>
      </x:c>
      <x:c r="V17" t="str">
        <x:v>Maryland revenue included.</x:v>
      </x:c>
      <x:c r="W17" t="str">
        <x:v>Timeline + Service Calendar + Canonical Ledger</x:v>
      </x:c>
      <x:c r="X17" t="str">
        <x:v>Included</x:v>
      </x:c>
      <x:c r="Y17" s="329"/>
      <x:c r="Z17" s="403" t="str">
        <x:f>IF(X17="","",IF(X17="Excluded","No","Yes"))</x:f>
        <x:v>Yes</x:v>
      </x:c>
    </x:row>
    <x:row r="18">
      <x:c r="A18" t="n">
        <x:v>17</x:v>
      </x:c>
      <x:c r="B18" s="402" t="str">
        <x:f>IF(A18="","","EVT-"&amp;TEXT(A18,"0000"))</x:f>
        <x:v>EVT-0017</x:v>
      </x:c>
      <x:c r="C18" s="35" t="n">
        <x:v>46161</x:v>
      </x:c>
      <x:c r="D18" s="403" t="str">
        <x:f>IF(C18="","",TEXT(C18,"dddd"))</x:f>
        <x:v>Tuesday</x:v>
      </x:c>
      <x:c r="E18" t="n">
        <x:v>5</x:v>
      </x:c>
      <x:c r="F18" t="str">
        <x:v>MY_MONTH 1</x:v>
      </x:c>
      <x:c r="G18" t="str">
        <x:v>CL-014</x:v>
      </x:c>
      <x:c r="H18" t="str">
        <x:v>Maryland Baptist Age Home</x:v>
      </x:c>
      <x:c r="I18" t="str">
        <x:v>Maryland Baptist Age Home</x:v>
      </x:c>
      <x:c r="J18"/>
      <x:c r="K18" t="str">
        <x:v>Baltimore</x:v>
      </x:c>
      <x:c r="L18" t="str">
        <x:v>Maryland</x:v>
      </x:c>
      <x:c r="M18" s="24"/>
      <x:c r="N18" t="str">
        <x:v>MD</x:v>
      </x:c>
      <x:c r="O18" s="403" t="str">
        <x:f>IF(OR(K18="",N18=""),"",K18&amp;"|"&amp;N18)</x:f>
        <x:v>Baltimore|MD</x:v>
      </x:c>
      <x:c r="P18" t="str">
        <x:v>Completed</x:v>
      </x:c>
      <x:c r="Q18" t="str">
        <x:v>Physical Service Visit</x:v>
      </x:c>
      <x:c r="R18" t="n">
        <x:v>1</x:v>
      </x:c>
      <x:c r="S18" t="str">
        <x:v>5887094</x:v>
      </x:c>
      <x:c r="T18" s="24" t="n">
        <x:v>50</x:v>
      </x:c>
      <x:c r="U18" s="403" t="str">
        <x:f>IF(X18="Excluded","Excluded",IF(T18&gt;0,"Eligible","Excluded"))</x:f>
        <x:v>Eligible</x:v>
      </x:c>
      <x:c r="V18" t="str">
        <x:v>Maryland revenue included.</x:v>
      </x:c>
      <x:c r="W18" t="str">
        <x:v>Timeline + Service Calendar + Canonical Ledger</x:v>
      </x:c>
      <x:c r="X18" t="str">
        <x:v>Included</x:v>
      </x:c>
      <x:c r="Y18" s="329"/>
      <x:c r="Z18" s="403" t="str">
        <x:f>IF(X18="","",IF(X18="Excluded","No","Yes"))</x:f>
        <x:v>Yes</x:v>
      </x:c>
    </x:row>
    <x:row r="19">
      <x:c r="A19" t="n">
        <x:v>18</x:v>
      </x:c>
      <x:c r="B19" s="402" t="str">
        <x:f>IF(A19="","","EVT-"&amp;TEXT(A19,"0000"))</x:f>
        <x:v>EVT-0018</x:v>
      </x:c>
      <x:c r="C19" s="35" t="n">
        <x:v>46162</x:v>
      </x:c>
      <x:c r="D19" s="403" t="str">
        <x:f>IF(C19="","",TEXT(C19,"dddd"))</x:f>
        <x:v>Wednesday</x:v>
      </x:c>
      <x:c r="E19" t="n">
        <x:v>5</x:v>
      </x:c>
      <x:c r="F19" t="str">
        <x:v>MY_MONTH 1</x:v>
      </x:c>
      <x:c r="G19" t="str">
        <x:v>CL-015</x:v>
      </x:c>
      <x:c r="H19" t="str">
        <x:v>Under Armour</x:v>
      </x:c>
      <x:c r="I19" t="str">
        <x:v>Under Armour Day 1</x:v>
      </x:c>
      <x:c r="J19"/>
      <x:c r="K19" t="str">
        <x:v>Hanover</x:v>
      </x:c>
      <x:c r="L19" t="str">
        <x:v>Maryland</x:v>
      </x:c>
      <x:c r="M19" s="24"/>
      <x:c r="N19" t="str">
        <x:v>MD</x:v>
      </x:c>
      <x:c r="O19" s="403" t="str">
        <x:f>IF(OR(K19="",N19=""),"",K19&amp;"|"&amp;N19)</x:f>
        <x:v>Hanover|MD</x:v>
      </x:c>
      <x:c r="P19" t="str">
        <x:v>Completed</x:v>
      </x:c>
      <x:c r="Q19" t="str">
        <x:v>Physical Service Visit</x:v>
      </x:c>
      <x:c r="R19" t="n">
        <x:v>1</x:v>
      </x:c>
      <x:c r="S19" t="str">
        <x:v>5889356</x:v>
      </x:c>
      <x:c r="T19" s="24" t="n">
        <x:v>106.67</x:v>
      </x:c>
      <x:c r="U19" s="403" t="str">
        <x:f>IF(X19="Excluded","Excluded",IF(T19&gt;0,"Eligible","Excluded"))</x:f>
        <x:v>Eligible</x:v>
      </x:c>
      <x:c r="V19" t="str">
        <x:v>Under Armour Day 1 split; total UA rounded to $260 with Day 2.</x:v>
      </x:c>
      <x:c r="W19" t="str">
        <x:v>Timeline + Service Calendar + Canonical Ledger</x:v>
      </x:c>
      <x:c r="X19" t="str">
        <x:v>Included</x:v>
      </x:c>
      <x:c r="Y19" s="329"/>
      <x:c r="Z19" s="403" t="str">
        <x:f>IF(X19="","",IF(X19="Excluded","No","Yes"))</x:f>
        <x:v>Yes</x:v>
      </x:c>
    </x:row>
    <x:row r="20">
      <x:c r="A20" t="n">
        <x:v>19</x:v>
      </x:c>
      <x:c r="B20" s="402" t="str">
        <x:f>IF(A20="","","EVT-"&amp;TEXT(A20,"0000"))</x:f>
        <x:v>EVT-0019</x:v>
      </x:c>
      <x:c r="C20" s="35" t="n">
        <x:v>46163</x:v>
      </x:c>
      <x:c r="D20" s="403" t="str">
        <x:f>IF(C20="","",TEXT(C20,"dddd"))</x:f>
        <x:v>Thursday</x:v>
      </x:c>
      <x:c r="E20" t="n">
        <x:v>5</x:v>
      </x:c>
      <x:c r="F20" t="str">
        <x:v>MY_MONTH 1</x:v>
      </x:c>
      <x:c r="G20" t="str">
        <x:v>CL-015</x:v>
      </x:c>
      <x:c r="H20" t="str">
        <x:v>Under Armour</x:v>
      </x:c>
      <x:c r="I20" t="str">
        <x:v>Under Armour Day 2</x:v>
      </x:c>
      <x:c r="J20"/>
      <x:c r="K20" t="str">
        <x:v>Hanover</x:v>
      </x:c>
      <x:c r="L20" t="str">
        <x:v>Maryland</x:v>
      </x:c>
      <x:c r="M20" s="24"/>
      <x:c r="N20" t="str">
        <x:v>MD</x:v>
      </x:c>
      <x:c r="O20" s="403" t="str">
        <x:f>IF(OR(K20="",N20=""),"",K20&amp;"|"&amp;N20)</x:f>
        <x:v>Hanover|MD</x:v>
      </x:c>
      <x:c r="P20" t="str">
        <x:v>Completed</x:v>
      </x:c>
      <x:c r="Q20" t="str">
        <x:v>Physical Service Visit</x:v>
      </x:c>
      <x:c r="R20" t="n">
        <x:v>1</x:v>
      </x:c>
      <x:c r="S20" t="str">
        <x:v>5889356-D2</x:v>
      </x:c>
      <x:c r="T20" s="24" t="n">
        <x:v>153.33</x:v>
      </x:c>
      <x:c r="U20" s="403" t="str">
        <x:f>IF(X20="Excluded","Excluded",IF(T20&gt;0,"Eligible","Excluded"))</x:f>
        <x:v>Eligible</x:v>
      </x:c>
      <x:c r="V20" t="str">
        <x:v>Under Armour Day 2 split; total UA rounded to $260 with Day 1.</x:v>
      </x:c>
      <x:c r="W20" t="str">
        <x:v>Timeline + Service Calendar + Canonical Ledger</x:v>
      </x:c>
      <x:c r="X20" t="str">
        <x:v>Included</x:v>
      </x:c>
      <x:c r="Y20" s="329"/>
      <x:c r="Z20" s="403" t="str">
        <x:f>IF(X20="","",IF(X20="Excluded","No","Yes"))</x:f>
        <x:v>Yes</x:v>
      </x:c>
    </x:row>
    <x:row r="21">
      <x:c r="A21" t="n">
        <x:v>20</x:v>
      </x:c>
      <x:c r="B21" s="402" t="str">
        <x:f>IF(A21="","","EVT-"&amp;TEXT(A21,"0000"))</x:f>
        <x:v>EVT-0020</x:v>
      </x:c>
      <x:c r="C21" s="35" t="n">
        <x:v>46163</x:v>
      </x:c>
      <x:c r="D21" s="403" t="str">
        <x:f>IF(C21="","",TEXT(C21,"dddd"))</x:f>
        <x:v>Thursday</x:v>
      </x:c>
      <x:c r="E21" t="n">
        <x:v>5</x:v>
      </x:c>
      <x:c r="F21" t="str">
        <x:v>MY_MONTH 1</x:v>
      </x:c>
      <x:c r="G21" t="str">
        <x:v>CL-007</x:v>
      </x:c>
      <x:c r="H21" t="str">
        <x:v>Giant Food Stores</x:v>
      </x:c>
      <x:c r="I21" t="str">
        <x:v>Giant / Martin's</x:v>
      </x:c>
      <x:c r="J21"/>
      <x:c r="K21" t="str">
        <x:v>Red Lion</x:v>
      </x:c>
      <x:c r="L21" t="str">
        <x:v>Pennsylvania</x:v>
      </x:c>
      <x:c r="M21" s="24"/>
      <x:c r="N21" t="str">
        <x:v>PA</x:v>
      </x:c>
      <x:c r="O21" s="403" t="str">
        <x:f>IF(OR(K21="",N21=""),"",K21&amp;"|"&amp;N21)</x:f>
        <x:v>Red Lion|PA</x:v>
      </x:c>
      <x:c r="P21" t="str">
        <x:v>Completed</x:v>
      </x:c>
      <x:c r="Q21" t="str">
        <x:v>Physical Service Visit</x:v>
      </x:c>
      <x:c r="R21" t="n">
        <x:v>1</x:v>
      </x:c>
      <x:c r="S21" t="str">
        <x:v>5890220</x:v>
      </x:c>
      <x:c r="T21" s="24" t="n">
        <x:v>112.5</x:v>
      </x:c>
      <x:c r="U21" s="403" t="str">
        <x:f>IF(X21="Excluded","Excluded",IF(T21&gt;0,"Eligible","Excluded"))</x:f>
        <x:v>Eligible</x:v>
      </x:c>
      <x:c r="V21" t="str">
        <x:v>Corrected: Red Lion PA WO 5890220.</x:v>
      </x:c>
      <x:c r="W21" t="str">
        <x:v>Timeline + Service Calendar + Canonical Ledger</x:v>
      </x:c>
      <x:c r="X21" t="str">
        <x:v>Included</x:v>
      </x:c>
      <x:c r="Y21" s="329"/>
      <x:c r="Z21" s="403" t="str">
        <x:f>IF(X21="","",IF(X21="Excluded","No","Yes"))</x:f>
        <x:v>Yes</x:v>
      </x:c>
    </x:row>
    <x:row r="22">
      <x:c r="A22" t="n">
        <x:v>21</x:v>
      </x:c>
      <x:c r="B22" s="402" t="str">
        <x:f>IF(A22="","","EVT-"&amp;TEXT(A22,"0000"))</x:f>
        <x:v>EVT-0021</x:v>
      </x:c>
      <x:c r="C22" s="35" t="n">
        <x:v>46168</x:v>
      </x:c>
      <x:c r="D22" s="403" t="str">
        <x:f>IF(C22="","",TEXT(C22,"dddd"))</x:f>
        <x:v>Tuesday</x:v>
      </x:c>
      <x:c r="E22" t="n">
        <x:v>6</x:v>
      </x:c>
      <x:c r="F22" t="str">
        <x:v>MY_MONTH 2</x:v>
      </x:c>
      <x:c r="G22" t="str">
        <x:v>CL-008</x:v>
      </x:c>
      <x:c r="H22" t="str">
        <x:v>Food Lion</x:v>
      </x:c>
      <x:c r="I22" t="str">
        <x:v>Food Lion</x:v>
      </x:c>
      <x:c r="J22"/>
      <x:c r="K22" t="str">
        <x:v>Middle River</x:v>
      </x:c>
      <x:c r="L22" t="str">
        <x:v>Maryland</x:v>
      </x:c>
      <x:c r="M22" s="24"/>
      <x:c r="N22" t="str">
        <x:v>MD</x:v>
      </x:c>
      <x:c r="O22" s="403" t="str">
        <x:f>IF(OR(K22="",N22=""),"",K22&amp;"|"&amp;N22)</x:f>
        <x:v>Middle River|MD</x:v>
      </x:c>
      <x:c r="P22" t="str">
        <x:v>Completed</x:v>
      </x:c>
      <x:c r="Q22" t="str">
        <x:v>Physical Service Visit</x:v>
      </x:c>
      <x:c r="R22" t="n">
        <x:v>1</x:v>
      </x:c>
      <x:c r="S22" t="str">
        <x:v>5892123</x:v>
      </x:c>
      <x:c r="T22" s="24" t="n">
        <x:v>97.91</x:v>
      </x:c>
      <x:c r="U22" s="403" t="str">
        <x:f>IF(X22="Excluded","Excluded",IF(T22&gt;0,"Eligible","Excluded"))</x:f>
        <x:v>Eligible</x:v>
      </x:c>
      <x:c r="V22" t="str">
        <x:v>Maryland revenue included; hours inferred.</x:v>
      </x:c>
      <x:c r="W22" t="str">
        <x:v>Timeline + Service Calendar + Canonical Ledger</x:v>
      </x:c>
      <x:c r="X22" t="str">
        <x:v>Included</x:v>
      </x:c>
      <x:c r="Y22" s="329"/>
      <x:c r="Z22" s="403" t="str">
        <x:f>IF(X22="","",IF(X22="Excluded","No","Yes"))</x:f>
        <x:v>Yes</x:v>
      </x:c>
    </x:row>
    <x:row r="23">
      <x:c r="A23" t="n">
        <x:v>22</x:v>
      </x:c>
      <x:c r="B23" s="402" t="str">
        <x:f>IF(A23="","","EVT-"&amp;TEXT(A23,"0000"))</x:f>
        <x:v>EVT-0022</x:v>
      </x:c>
      <x:c r="C23" s="35" t="n">
        <x:v>46168</x:v>
      </x:c>
      <x:c r="D23" s="403" t="str">
        <x:f>IF(C23="","",TEXT(C23,"dddd"))</x:f>
        <x:v>Tuesday</x:v>
      </x:c>
      <x:c r="E23" t="n">
        <x:v>6</x:v>
      </x:c>
      <x:c r="F23" t="str">
        <x:v>MY_MONTH 2</x:v>
      </x:c>
      <x:c r="G23" t="str">
        <x:v>CL-016</x:v>
      </x:c>
      <x:c r="H23" t="str">
        <x:v>HomeGoods</x:v>
      </x:c>
      <x:c r="I23" t="str">
        <x:v>HomeGoods</x:v>
      </x:c>
      <x:c r="J23"/>
      <x:c r="K23" t="str">
        <x:v>Gaithersburg</x:v>
      </x:c>
      <x:c r="L23" t="str">
        <x:v>Maryland</x:v>
      </x:c>
      <x:c r="M23" s="24"/>
      <x:c r="N23" t="str">
        <x:v>MD</x:v>
      </x:c>
      <x:c r="O23" s="403" t="str">
        <x:f>IF(OR(K23="",N23=""),"",K23&amp;"|"&amp;N23)</x:f>
        <x:v>Gaithersburg|MD</x:v>
      </x:c>
      <x:c r="P23" t="str">
        <x:v>Completed</x:v>
      </x:c>
      <x:c r="Q23" t="str">
        <x:v>Physical Service Visit</x:v>
      </x:c>
      <x:c r="R23" t="n">
        <x:v>1</x:v>
      </x:c>
      <x:c r="S23" t="str">
        <x:v>5889718</x:v>
      </x:c>
      <x:c r="T23" s="24" t="n">
        <x:v>50</x:v>
      </x:c>
      <x:c r="U23" s="403" t="str">
        <x:f>IF(X23="Excluded","Excluded",IF(T23&gt;0,"Eligible","Excluded"))</x:f>
        <x:v>Eligible</x:v>
      </x:c>
      <x:c r="V23" t="str">
        <x:v>Maryland revenue included; hours inferred.</x:v>
      </x:c>
      <x:c r="W23" t="str">
        <x:v>Timeline + Service Calendar + Canonical Ledger</x:v>
      </x:c>
      <x:c r="X23" t="str">
        <x:v>Included</x:v>
      </x:c>
      <x:c r="Y23" s="329"/>
      <x:c r="Z23" s="403" t="str">
        <x:f>IF(X23="","",IF(X23="Excluded","No","Yes"))</x:f>
        <x:v>Yes</x:v>
      </x:c>
    </x:row>
    <x:row r="24">
      <x:c r="A24" t="n">
        <x:v>23</x:v>
      </x:c>
      <x:c r="B24" s="402" t="str">
        <x:f>IF(A24="","","EVT-"&amp;TEXT(A24,"0000"))</x:f>
        <x:v>EVT-0023</x:v>
      </x:c>
      <x:c r="C24" s="35" t="n">
        <x:v>46169</x:v>
      </x:c>
      <x:c r="D24" s="403" t="str">
        <x:f>IF(C24="","",TEXT(C24,"dddd"))</x:f>
        <x:v>Wednesday</x:v>
      </x:c>
      <x:c r="E24" t="n">
        <x:v>6</x:v>
      </x:c>
      <x:c r="F24" t="str">
        <x:v>MY_MONTH 2</x:v>
      </x:c>
      <x:c r="G24" t="str">
        <x:v>CL-017</x:v>
      </x:c>
      <x:c r="H24" t="str">
        <x:v>Joint Base Andrews</x:v>
      </x:c>
      <x:c r="I24" t="str">
        <x:v>Joint Base Andrews</x:v>
      </x:c>
      <x:c r="J24"/>
      <x:c r="K24" t="str">
        <x:v>Andrews AFB</x:v>
      </x:c>
      <x:c r="L24" t="str">
        <x:v>Maryland</x:v>
      </x:c>
      <x:c r="M24" s="24"/>
      <x:c r="N24" t="str">
        <x:v>MD</x:v>
      </x:c>
      <x:c r="O24" s="403" t="str">
        <x:f>IF(OR(K24="",N24=""),"",K24&amp;"|"&amp;N24)</x:f>
        <x:v>Andrews AFB|MD</x:v>
      </x:c>
      <x:c r="P24" t="str">
        <x:v>Completed</x:v>
      </x:c>
      <x:c r="Q24" t="str">
        <x:v>Physical Service Visit</x:v>
      </x:c>
      <x:c r="R24" t="n">
        <x:v>1</x:v>
      </x:c>
      <x:c r="S24" t="str">
        <x:v>UNRESOLVED-E023</x:v>
      </x:c>
      <x:c r="T24" s="24"/>
      <x:c r="U24" s="403" t="str">
        <x:f>IF(X24="Excluded","Excluded",IF(T24&gt;0,"Eligible","Excluded"))</x:f>
        <x:v>Excluded</x:v>
      </x:c>
      <x:c r="V24" t="str">
        <x:v>User instructed to ignore #23 for this calculation.</x:v>
      </x:c>
      <x:c r="W24" t="str">
        <x:v>Timeline + Service Calendar + Canonical Ledger</x:v>
      </x:c>
      <x:c r="X24" t="str">
        <x:v>Excluded</x:v>
      </x:c>
      <x:c r="Y24" s="329" t="str">
        <x:v>Chronology-only legacy event</x:v>
      </x:c>
      <x:c r="Z24" s="403" t="str">
        <x:f>IF(X24="","",IF(X24="Excluded","No","Yes"))</x:f>
        <x:v>No</x:v>
      </x:c>
    </x:row>
    <x:row r="25">
      <x:c r="A25" t="n">
        <x:v>24</x:v>
      </x:c>
      <x:c r="B25" s="402" t="str">
        <x:f>IF(A25="","","EVT-"&amp;TEXT(A25,"0000"))</x:f>
        <x:v>EVT-0024</x:v>
      </x:c>
      <x:c r="C25" s="35" t="n">
        <x:v>46169</x:v>
      </x:c>
      <x:c r="D25" s="403" t="str">
        <x:f>IF(C25="","",TEXT(C25,"dddd"))</x:f>
        <x:v>Wednesday</x:v>
      </x:c>
      <x:c r="E25" t="n">
        <x:v>6</x:v>
      </x:c>
      <x:c r="F25" t="str">
        <x:v>MY_MONTH 2</x:v>
      </x:c>
      <x:c r="G25" t="str">
        <x:v>CL-018</x:v>
      </x:c>
      <x:c r="H25" t="str">
        <x:v>USDA</x:v>
      </x:c>
      <x:c r="I25" t="str">
        <x:v>USDA Day 1</x:v>
      </x:c>
      <x:c r="J25"/>
      <x:c r="K25" t="str">
        <x:v>Washington</x:v>
      </x:c>
      <x:c r="L25" t="str">
        <x:v>Washington, DC</x:v>
      </x:c>
      <x:c r="M25" s="24"/>
      <x:c r="N25" t="str">
        <x:v>DC</x:v>
      </x:c>
      <x:c r="O25" s="403" t="str">
        <x:f>IF(OR(K25="",N25=""),"",K25&amp;"|"&amp;N25)</x:f>
        <x:v>Washington|DC</x:v>
      </x:c>
      <x:c r="P25" t="str">
        <x:v>Completed</x:v>
      </x:c>
      <x:c r="Q25" t="str">
        <x:v>Physical Service Visit</x:v>
      </x:c>
      <x:c r="R25" t="n">
        <x:v>1</x:v>
      </x:c>
      <x:c r="S25" t="str">
        <x:v>USDA-SPECIAL-E024</x:v>
      </x:c>
      <x:c r="T25" s="24" t="n">
        <x:v>200</x:v>
      </x:c>
      <x:c r="U25" s="403" t="str">
        <x:f>IF(X25="Excluded","Excluded",IF(T25&gt;0,"Eligible","Excluded"))</x:f>
        <x:v>Eligible</x:v>
      </x:c>
      <x:c r="V25" t="str">
        <x:v>USDA corrected day allocation: $200 / 5 hrs @ $40/hr.</x:v>
      </x:c>
      <x:c r="W25" t="str">
        <x:v>Timeline + Service Calendar + Canonical Ledger</x:v>
      </x:c>
      <x:c r="X25" t="str">
        <x:v>Included</x:v>
      </x:c>
      <x:c r="Y25" s="329"/>
      <x:c r="Z25" s="403" t="str">
        <x:f>IF(X25="","",IF(X25="Excluded","No","Yes"))</x:f>
        <x:v>Yes</x:v>
      </x:c>
    </x:row>
    <x:row r="26">
      <x:c r="A26" t="n">
        <x:v>25</x:v>
      </x:c>
      <x:c r="B26" s="402" t="str">
        <x:f>IF(A26="","","EVT-"&amp;TEXT(A26,"0000"))</x:f>
        <x:v>EVT-0025</x:v>
      </x:c>
      <x:c r="C26" s="35" t="n">
        <x:v>46170</x:v>
      </x:c>
      <x:c r="D26" s="403" t="str">
        <x:f>IF(C26="","",TEXT(C26,"dddd"))</x:f>
        <x:v>Thursday</x:v>
      </x:c>
      <x:c r="E26" t="n">
        <x:v>6</x:v>
      </x:c>
      <x:c r="F26" t="str">
        <x:v>MY_MONTH 2</x:v>
      </x:c>
      <x:c r="G26" t="str">
        <x:v>CL-019</x:v>
      </x:c>
      <x:c r="H26" t="str">
        <x:v>PepsiCo</x:v>
      </x:c>
      <x:c r="I26" t="str">
        <x:v>PepsiCo</x:v>
      </x:c>
      <x:c r="J26"/>
      <x:c r="K26" t="str">
        <x:v>Cheverly</x:v>
      </x:c>
      <x:c r="L26" t="str">
        <x:v>Maryland</x:v>
      </x:c>
      <x:c r="M26" s="24"/>
      <x:c r="N26" t="str">
        <x:v>MD</x:v>
      </x:c>
      <x:c r="O26" s="403" t="str">
        <x:f>IF(OR(K26="",N26=""),"",K26&amp;"|"&amp;N26)</x:f>
        <x:v>Cheverly|MD</x:v>
      </x:c>
      <x:c r="P26" t="str">
        <x:v>Completed</x:v>
      </x:c>
      <x:c r="Q26" t="str">
        <x:v>Physical Service Visit</x:v>
      </x:c>
      <x:c r="R26" t="n">
        <x:v>1</x:v>
      </x:c>
      <x:c r="S26" t="str">
        <x:v>UNRESOLVED-E025</x:v>
      </x:c>
      <x:c r="T26" s="24"/>
      <x:c r="U26" s="403" t="str">
        <x:f>IF(X26="Excluded","Excluded",IF(T26&gt;0,"Eligible","Excluded"))</x:f>
        <x:v>Excluded</x:v>
      </x:c>
      <x:c r="V26" t="str">
        <x:v>User instructed to ignore #25 for this calculation.</x:v>
      </x:c>
      <x:c r="W26" t="str">
        <x:v>Timeline + Service Calendar + Canonical Ledger</x:v>
      </x:c>
      <x:c r="X26" t="str">
        <x:v>Excluded</x:v>
      </x:c>
      <x:c r="Y26" s="329" t="str">
        <x:v>Chronology-only legacy event</x:v>
      </x:c>
      <x:c r="Z26" s="403" t="str">
        <x:f>IF(X26="","",IF(X26="Excluded","No","Yes"))</x:f>
        <x:v>No</x:v>
      </x:c>
    </x:row>
    <x:row r="27">
      <x:c r="A27" t="n">
        <x:v>26</x:v>
      </x:c>
      <x:c r="B27" s="402" t="str">
        <x:f>IF(A27="","","EVT-"&amp;TEXT(A27,"0000"))</x:f>
        <x:v>EVT-0026</x:v>
      </x:c>
      <x:c r="C27" s="35" t="n">
        <x:v>46170</x:v>
      </x:c>
      <x:c r="D27" s="403" t="str">
        <x:f>IF(C27="","",TEXT(C27,"dddd"))</x:f>
        <x:v>Thursday</x:v>
      </x:c>
      <x:c r="E27" t="n">
        <x:v>6</x:v>
      </x:c>
      <x:c r="F27" t="str">
        <x:v>MY_MONTH 2</x:v>
      </x:c>
      <x:c r="G27" t="str">
        <x:v>CL-018</x:v>
      </x:c>
      <x:c r="H27" t="str">
        <x:v>USDA</x:v>
      </x:c>
      <x:c r="I27" t="str">
        <x:v>USDA Day 2</x:v>
      </x:c>
      <x:c r="J27"/>
      <x:c r="K27" t="str">
        <x:v>Washington</x:v>
      </x:c>
      <x:c r="L27" t="str">
        <x:v>Washington, DC</x:v>
      </x:c>
      <x:c r="M27" s="24"/>
      <x:c r="N27" t="str">
        <x:v>DC</x:v>
      </x:c>
      <x:c r="O27" s="403" t="str">
        <x:f>IF(OR(K27="",N27=""),"",K27&amp;"|"&amp;N27)</x:f>
        <x:v>Washington|DC</x:v>
      </x:c>
      <x:c r="P27" t="str">
        <x:v>Completed</x:v>
      </x:c>
      <x:c r="Q27" t="str">
        <x:v>Physical Service Visit</x:v>
      </x:c>
      <x:c r="R27" t="n">
        <x:v>1</x:v>
      </x:c>
      <x:c r="S27" t="str">
        <x:v>USDA-SPECIAL-E026</x:v>
      </x:c>
      <x:c r="T27" s="24" t="n">
        <x:v>175</x:v>
      </x:c>
      <x:c r="U27" s="403" t="str">
        <x:f>IF(X27="Excluded","Excluded",IF(T27&gt;0,"Eligible","Excluded"))</x:f>
        <x:v>Eligible</x:v>
      </x:c>
      <x:c r="V27" t="str">
        <x:v>USDA corrected day allocation: $175 / 4.375 hrs @ $40/hr.</x:v>
      </x:c>
      <x:c r="W27" t="str">
        <x:v>Timeline + Service Calendar + Canonical Ledger</x:v>
      </x:c>
      <x:c r="X27" t="str">
        <x:v>Included</x:v>
      </x:c>
      <x:c r="Y27" s="329"/>
      <x:c r="Z27" s="403" t="str">
        <x:f>IF(X27="","",IF(X27="Excluded","No","Yes"))</x:f>
        <x:v>Yes</x:v>
      </x:c>
    </x:row>
    <x:row r="28">
      <x:c r="A28" t="n">
        <x:v>27</x:v>
      </x:c>
      <x:c r="B28" s="402" t="str">
        <x:f>IF(A28="","","EVT-"&amp;TEXT(A28,"0000"))</x:f>
        <x:v>EVT-0027</x:v>
      </x:c>
      <x:c r="C28" s="35" t="n">
        <x:v>46174</x:v>
      </x:c>
      <x:c r="D28" s="403" t="str">
        <x:f>IF(C28="","",TEXT(C28,"dddd"))</x:f>
        <x:v>Monday</x:v>
      </x:c>
      <x:c r="E28" t="n">
        <x:v>7</x:v>
      </x:c>
      <x:c r="F28" t="str">
        <x:v>MY_MONTH 2</x:v>
      </x:c>
      <x:c r="G28" t="str">
        <x:v>CL-018</x:v>
      </x:c>
      <x:c r="H28" t="str">
        <x:v>USDA</x:v>
      </x:c>
      <x:c r="I28" t="str">
        <x:v>USDA Day 3</x:v>
      </x:c>
      <x:c r="J28"/>
      <x:c r="K28" t="str">
        <x:v>Washington</x:v>
      </x:c>
      <x:c r="L28" t="str">
        <x:v>Washington, DC</x:v>
      </x:c>
      <x:c r="M28" s="24"/>
      <x:c r="N28" t="str">
        <x:v>DC</x:v>
      </x:c>
      <x:c r="O28" s="403" t="str">
        <x:f>IF(OR(K28="",N28=""),"",K28&amp;"|"&amp;N28)</x:f>
        <x:v>Washington|DC</x:v>
      </x:c>
      <x:c r="P28" t="str">
        <x:v>Completed</x:v>
      </x:c>
      <x:c r="Q28" t="str">
        <x:v>Physical Service Visit</x:v>
      </x:c>
      <x:c r="R28" t="n">
        <x:v>1</x:v>
      </x:c>
      <x:c r="S28" t="str">
        <x:v>USDA-SPECIAL-E027</x:v>
      </x:c>
      <x:c r="T28" s="24" t="n">
        <x:v>320</x:v>
      </x:c>
      <x:c r="U28" s="403" t="str">
        <x:f>IF(X28="Excluded","Excluded",IF(T28&gt;0,"Eligible","Excluded"))</x:f>
        <x:v>Eligible</x:v>
      </x:c>
      <x:c r="V28" t="str">
        <x:v>USDA corrected day allocation: $320 / 8 hrs @ $40/hr.</x:v>
      </x:c>
      <x:c r="W28" t="str">
        <x:v>Timeline + Service Calendar + Canonical Ledger</x:v>
      </x:c>
      <x:c r="X28" t="str">
        <x:v>Included</x:v>
      </x:c>
      <x:c r="Y28" s="329"/>
      <x:c r="Z28" s="403" t="str">
        <x:f>IF(X28="","",IF(X28="Excluded","No","Yes"))</x:f>
        <x:v>Yes</x:v>
      </x:c>
    </x:row>
    <x:row r="29">
      <x:c r="A29" t="n">
        <x:v>28</x:v>
      </x:c>
      <x:c r="B29" s="402" t="str">
        <x:f>IF(A29="","","EVT-"&amp;TEXT(A29,"0000"))</x:f>
        <x:v>EVT-0028</x:v>
      </x:c>
      <x:c r="C29" s="35" t="n">
        <x:v>46175</x:v>
      </x:c>
      <x:c r="D29" s="403" t="str">
        <x:f>IF(C29="","",TEXT(C29,"dddd"))</x:f>
        <x:v>Tuesday</x:v>
      </x:c>
      <x:c r="E29" t="n">
        <x:v>7</x:v>
      </x:c>
      <x:c r="F29" t="str">
        <x:v>MY_MONTH 2</x:v>
      </x:c>
      <x:c r="G29" t="str">
        <x:v>CL-018</x:v>
      </x:c>
      <x:c r="H29" t="str">
        <x:v>USDA</x:v>
      </x:c>
      <x:c r="I29" t="str">
        <x:v>USDA Day 4</x:v>
      </x:c>
      <x:c r="J29"/>
      <x:c r="K29" t="str">
        <x:v>Washington</x:v>
      </x:c>
      <x:c r="L29" t="str">
        <x:v>Washington, DC</x:v>
      </x:c>
      <x:c r="M29" s="24"/>
      <x:c r="N29" t="str">
        <x:v>DC</x:v>
      </x:c>
      <x:c r="O29" s="403" t="str">
        <x:f>IF(OR(K29="",N29=""),"",K29&amp;"|"&amp;N29)</x:f>
        <x:v>Washington|DC</x:v>
      </x:c>
      <x:c r="P29" t="str">
        <x:v>Completed</x:v>
      </x:c>
      <x:c r="Q29" t="str">
        <x:v>Physical Service Visit</x:v>
      </x:c>
      <x:c r="R29" t="n">
        <x:v>1</x:v>
      </x:c>
      <x:c r="S29" t="str">
        <x:v>USDA-SPECIAL-E028</x:v>
      </x:c>
      <x:c r="T29" s="24" t="n">
        <x:v>320</x:v>
      </x:c>
      <x:c r="U29" s="403" t="str">
        <x:f>IF(X29="Excluded","Excluded",IF(T29&gt;0,"Eligible","Excluded"))</x:f>
        <x:v>Eligible</x:v>
      </x:c>
      <x:c r="V29" t="str">
        <x:v>USDA corrected day allocation: $320 / 8 hrs @ $40/hr.</x:v>
      </x:c>
      <x:c r="W29" t="str">
        <x:v>Timeline + Service Calendar + Canonical Ledger</x:v>
      </x:c>
      <x:c r="X29" t="str">
        <x:v>Included</x:v>
      </x:c>
      <x:c r="Y29" s="329"/>
      <x:c r="Z29" s="403" t="str">
        <x:f>IF(X29="","",IF(X29="Excluded","No","Yes"))</x:f>
        <x:v>Yes</x:v>
      </x:c>
    </x:row>
    <x:row r="30">
      <x:c r="A30" t="n">
        <x:v>29</x:v>
      </x:c>
      <x:c r="B30" s="402" t="str">
        <x:f>IF(A30="","","EVT-"&amp;TEXT(A30,"0000"))</x:f>
        <x:v>EVT-0029</x:v>
      </x:c>
      <x:c r="C30" s="35" t="n">
        <x:v>46176</x:v>
      </x:c>
      <x:c r="D30" s="403" t="str">
        <x:f>IF(C30="","",TEXT(C30,"dddd"))</x:f>
        <x:v>Wednesday</x:v>
      </x:c>
      <x:c r="E30" t="n">
        <x:v>7</x:v>
      </x:c>
      <x:c r="F30" t="str">
        <x:v>MY_MONTH 2</x:v>
      </x:c>
      <x:c r="G30" t="str">
        <x:v>CL-018</x:v>
      </x:c>
      <x:c r="H30" t="str">
        <x:v>USDA</x:v>
      </x:c>
      <x:c r="I30" t="str">
        <x:v>USDA Day 5</x:v>
      </x:c>
      <x:c r="J30"/>
      <x:c r="K30" t="str">
        <x:v>Washington</x:v>
      </x:c>
      <x:c r="L30" t="str">
        <x:v>Washington, DC</x:v>
      </x:c>
      <x:c r="M30" s="24"/>
      <x:c r="N30" t="str">
        <x:v>DC</x:v>
      </x:c>
      <x:c r="O30" s="403" t="str">
        <x:f>IF(OR(K30="",N30=""),"",K30&amp;"|"&amp;N30)</x:f>
        <x:v>Washington|DC</x:v>
      </x:c>
      <x:c r="P30" t="str">
        <x:v>Completed</x:v>
      </x:c>
      <x:c r="Q30" t="str">
        <x:v>Physical Service Visit</x:v>
      </x:c>
      <x:c r="R30" t="n">
        <x:v>1</x:v>
      </x:c>
      <x:c r="S30" t="str">
        <x:v>USDA-SPECIAL-E029</x:v>
      </x:c>
      <x:c r="T30" s="24" t="n">
        <x:v>200</x:v>
      </x:c>
      <x:c r="U30" s="403" t="str">
        <x:f>IF(X30="Excluded","Excluded",IF(T30&gt;0,"Eligible","Excluded"))</x:f>
        <x:v>Eligible</x:v>
      </x:c>
      <x:c r="V30" t="str">
        <x:v>USDA corrected day allocation: $200 / 5 hrs @ $40/hr.</x:v>
      </x:c>
      <x:c r="W30" t="str">
        <x:v>Timeline + Service Calendar + Canonical Ledger</x:v>
      </x:c>
      <x:c r="X30" t="str">
        <x:v>Included</x:v>
      </x:c>
      <x:c r="Y30" s="329"/>
      <x:c r="Z30" s="403" t="str">
        <x:f>IF(X30="","",IF(X30="Excluded","No","Yes"))</x:f>
        <x:v>Yes</x:v>
      </x:c>
    </x:row>
    <x:row r="31">
      <x:c r="A31" t="n">
        <x:v>30</x:v>
      </x:c>
      <x:c r="B31" s="402" t="str">
        <x:f>IF(A31="","","EVT-"&amp;TEXT(A31,"0000"))</x:f>
        <x:v>EVT-0030</x:v>
      </x:c>
      <x:c r="C31" s="35" t="n">
        <x:v>46176</x:v>
      </x:c>
      <x:c r="D31" s="403" t="str">
        <x:f>IF(C31="","",TEXT(C31,"dddd"))</x:f>
        <x:v>Wednesday</x:v>
      </x:c>
      <x:c r="E31" t="n">
        <x:v>7</x:v>
      </x:c>
      <x:c r="F31" t="str">
        <x:v>MY_MONTH 2</x:v>
      </x:c>
      <x:c r="G31" t="str">
        <x:v>CL-020</x:v>
      </x:c>
      <x:c r="H31" t="str">
        <x:v>TJ Maxx</x:v>
      </x:c>
      <x:c r="I31" t="str">
        <x:v>TJ Maxx</x:v>
      </x:c>
      <x:c r="J31"/>
      <x:c r="K31" t="str">
        <x:v>Rockville</x:v>
      </x:c>
      <x:c r="L31" t="str">
        <x:v>Maryland</x:v>
      </x:c>
      <x:c r="M31" s="24"/>
      <x:c r="N31" t="str">
        <x:v>MD</x:v>
      </x:c>
      <x:c r="O31" s="403" t="str">
        <x:f>IF(OR(K31="",N31=""),"",K31&amp;"|"&amp;N31)</x:f>
        <x:v>Rockville|MD</x:v>
      </x:c>
      <x:c r="P31" t="str">
        <x:v>Completed</x:v>
      </x:c>
      <x:c r="Q31" t="str">
        <x:v>Physical Service Visit</x:v>
      </x:c>
      <x:c r="R31" t="n">
        <x:v>1</x:v>
      </x:c>
      <x:c r="S31" t="str">
        <x:v>5896733</x:v>
      </x:c>
      <x:c r="T31" s="24" t="n">
        <x:v>96.66</x:v>
      </x:c>
      <x:c r="U31" s="403" t="str">
        <x:f>IF(X31="Excluded","Excluded",IF(T31&gt;0,"Eligible","Excluded"))</x:f>
        <x:v>Eligible</x:v>
      </x:c>
      <x:c r="V31" t="str">
        <x:v>Event #30 TJ Maxx Rockville verified at $96.66.</x:v>
      </x:c>
      <x:c r="W31" t="str">
        <x:v>Timeline + Service Calendar + Canonical Ledger</x:v>
      </x:c>
      <x:c r="X31" t="str">
        <x:v>Included</x:v>
      </x:c>
      <x:c r="Y31" s="329"/>
      <x:c r="Z31" s="403" t="str">
        <x:f>IF(X31="","",IF(X31="Excluded","No","Yes"))</x:f>
        <x:v>Yes</x:v>
      </x:c>
    </x:row>
    <x:row r="32">
      <x:c r="A32" t="n">
        <x:v>31</x:v>
      </x:c>
      <x:c r="B32" s="402" t="str">
        <x:f>IF(A32="","","EVT-"&amp;TEXT(A32,"0000"))</x:f>
        <x:v>EVT-0031</x:v>
      </x:c>
      <x:c r="C32" s="35" t="n">
        <x:v>46177</x:v>
      </x:c>
      <x:c r="D32" s="403" t="str">
        <x:f>IF(C32="","",TEXT(C32,"dddd"))</x:f>
        <x:v>Thursday</x:v>
      </x:c>
      <x:c r="E32" t="n">
        <x:v>7</x:v>
      </x:c>
      <x:c r="F32" t="str">
        <x:v>MY_MONTH 2</x:v>
      </x:c>
      <x:c r="G32" t="str">
        <x:v>CL-018</x:v>
      </x:c>
      <x:c r="H32" t="str">
        <x:v>USDA</x:v>
      </x:c>
      <x:c r="I32" t="str">
        <x:v>USDA Day 6</x:v>
      </x:c>
      <x:c r="J32"/>
      <x:c r="K32" t="str">
        <x:v>Washington</x:v>
      </x:c>
      <x:c r="L32" t="str">
        <x:v>Washington, DC</x:v>
      </x:c>
      <x:c r="M32" s="24"/>
      <x:c r="N32" t="str">
        <x:v>DC</x:v>
      </x:c>
      <x:c r="O32" s="403" t="str">
        <x:f>IF(OR(K32="",N32=""),"",K32&amp;"|"&amp;N32)</x:f>
        <x:v>Washington|DC</x:v>
      </x:c>
      <x:c r="P32" t="str">
        <x:v>Completed</x:v>
      </x:c>
      <x:c r="Q32" t="str">
        <x:v>Physical Service Visit</x:v>
      </x:c>
      <x:c r="R32" t="n">
        <x:v>1</x:v>
      </x:c>
      <x:c r="S32" t="str">
        <x:v>USDA-SPECIAL-E031</x:v>
      </x:c>
      <x:c r="T32" s="24" t="n">
        <x:v>140</x:v>
      </x:c>
      <x:c r="U32" s="403" t="str">
        <x:f>IF(X32="Excluded","Excluded",IF(T32&gt;0,"Eligible","Excluded"))</x:f>
        <x:v>Eligible</x:v>
      </x:c>
      <x:c r="V32" t="str">
        <x:v>USDA corrected day allocation: $140 / 3.5 hrs @ $40/hr.</x:v>
      </x:c>
      <x:c r="W32" t="str">
        <x:v>Timeline + Service Calendar + Canonical Ledger</x:v>
      </x:c>
      <x:c r="X32" t="str">
        <x:v>Included</x:v>
      </x:c>
      <x:c r="Y32" s="329"/>
      <x:c r="Z32" s="403" t="str">
        <x:f>IF(X32="","",IF(X32="Excluded","No","Yes"))</x:f>
        <x:v>Yes</x:v>
      </x:c>
    </x:row>
    <x:row r="33">
      <x:c r="A33" t="n">
        <x:v>32</x:v>
      </x:c>
      <x:c r="B33" s="402" t="str">
        <x:f>IF(A33="","","EVT-"&amp;TEXT(A33,"0000"))</x:f>
        <x:v>EVT-0032</x:v>
      </x:c>
      <x:c r="C33" s="35" t="n">
        <x:v>46178</x:v>
      </x:c>
      <x:c r="D33" s="403" t="str">
        <x:f>IF(C33="","",TEXT(C33,"dddd"))</x:f>
        <x:v>Friday</x:v>
      </x:c>
      <x:c r="E33" t="n">
        <x:v>7</x:v>
      </x:c>
      <x:c r="F33" t="str">
        <x:v>MY_MONTH 2</x:v>
      </x:c>
      <x:c r="G33" t="str">
        <x:v>CL-021</x:v>
      </x:c>
      <x:c r="H33" t="str">
        <x:v>Hilton Garden Inn</x:v>
      </x:c>
      <x:c r="I33" t="str">
        <x:v>Hilton Garden Inn</x:v>
      </x:c>
      <x:c r="J33"/>
      <x:c r="K33" t="str">
        <x:v>Fairfax</x:v>
      </x:c>
      <x:c r="L33" t="str">
        <x:v>Virginia</x:v>
      </x:c>
      <x:c r="M33" s="24"/>
      <x:c r="N33" t="str">
        <x:v>VA</x:v>
      </x:c>
      <x:c r="O33" s="403" t="str">
        <x:f>IF(OR(K33="",N33=""),"",K33&amp;"|"&amp;N33)</x:f>
        <x:v>Fairfax|VA</x:v>
      </x:c>
      <x:c r="P33" t="str">
        <x:v>Completed</x:v>
      </x:c>
      <x:c r="Q33" t="str">
        <x:v>Physical Service Visit</x:v>
      </x:c>
      <x:c r="R33" t="n">
        <x:v>1</x:v>
      </x:c>
      <x:c r="S33" t="str">
        <x:v>5898007</x:v>
      </x:c>
      <x:c r="T33" s="24" t="n">
        <x:v>25</x:v>
      </x:c>
      <x:c r="U33" s="403" t="str">
        <x:f>IF(X33="Excluded","Excluded",IF(T33&gt;0,"Eligible","Excluded"))</x:f>
        <x:v>Eligible</x:v>
      </x:c>
      <x:c r="V33" t="str">
        <x:v>VA Hilton Garden Inn historical row.</x:v>
      </x:c>
      <x:c r="W33" t="str">
        <x:v>Timeline + Service Calendar + Canonical Ledger</x:v>
      </x:c>
      <x:c r="X33" t="str">
        <x:v>Included</x:v>
      </x:c>
      <x:c r="Y33" s="329"/>
      <x:c r="Z33" s="403" t="str">
        <x:f>IF(X33="","",IF(X33="Excluded","No","Yes"))</x:f>
        <x:v>Yes</x:v>
      </x:c>
    </x:row>
    <x:row r="34">
      <x:c r="A34" t="n">
        <x:v>33</x:v>
      </x:c>
      <x:c r="B34" s="402" t="str">
        <x:f>IF(A34="","","EVT-"&amp;TEXT(A34,"0000"))</x:f>
        <x:v>EVT-0033</x:v>
      </x:c>
      <x:c r="C34" s="35" t="n">
        <x:v>46178</x:v>
      </x:c>
      <x:c r="D34" s="403" t="str">
        <x:f>IF(C34="","",TEXT(C34,"dddd"))</x:f>
        <x:v>Friday</x:v>
      </x:c>
      <x:c r="E34" t="n">
        <x:v>7</x:v>
      </x:c>
      <x:c r="F34" t="str">
        <x:v>MY_MONTH 2</x:v>
      </x:c>
      <x:c r="G34" t="str">
        <x:v>CL-005</x:v>
      </x:c>
      <x:c r="H34" t="str">
        <x:v>Hebrew Home of Greater Washington</x:v>
      </x:c>
      <x:c r="I34" t="str">
        <x:v>Hebrew Home of Greater Washington</x:v>
      </x:c>
      <x:c r="J34"/>
      <x:c r="K34" t="str">
        <x:v>North Bethesda</x:v>
      </x:c>
      <x:c r="L34" t="str">
        <x:v>Maryland</x:v>
      </x:c>
      <x:c r="M34" s="24"/>
      <x:c r="N34" t="str">
        <x:v>MD</x:v>
      </x:c>
      <x:c r="O34" s="403" t="str">
        <x:f>IF(OR(K34="",N34=""),"",K34&amp;"|"&amp;N34)</x:f>
        <x:v>North Bethesda|MD</x:v>
      </x:c>
      <x:c r="P34" t="str">
        <x:v>Completed</x:v>
      </x:c>
      <x:c r="Q34" t="str">
        <x:v>Physical Service Visit</x:v>
      </x:c>
      <x:c r="R34" t="n">
        <x:v>1</x:v>
      </x:c>
      <x:c r="S34" t="str">
        <x:v>5896039</x:v>
      </x:c>
      <x:c r="T34" s="24" t="n">
        <x:v>50</x:v>
      </x:c>
      <x:c r="U34" s="403" t="str">
        <x:f>IF(X34="Excluded","Excluded",IF(T34&gt;0,"Eligible","Excluded"))</x:f>
        <x:v>Eligible</x:v>
      </x:c>
      <x:c r="V34" t="str">
        <x:v>Maryland revenue included.</x:v>
      </x:c>
      <x:c r="W34" t="str">
        <x:v>Timeline + Service Calendar + Canonical Ledger</x:v>
      </x:c>
      <x:c r="X34" t="str">
        <x:v>Included</x:v>
      </x:c>
      <x:c r="Y34" s="329"/>
      <x:c r="Z34" s="403" t="str">
        <x:f>IF(X34="","",IF(X34="Excluded","No","Yes"))</x:f>
        <x:v>Yes</x:v>
      </x:c>
    </x:row>
    <x:row r="35">
      <x:c r="A35" t="n">
        <x:v>34</x:v>
      </x:c>
      <x:c r="B35" s="402" t="str">
        <x:f>IF(A35="","","EVT-"&amp;TEXT(A35,"0000"))</x:f>
        <x:v>EVT-0034</x:v>
      </x:c>
      <x:c r="C35" s="35" t="n">
        <x:v>46178</x:v>
      </x:c>
      <x:c r="D35" s="403" t="str">
        <x:f>IF(C35="","",TEXT(C35,"dddd"))</x:f>
        <x:v>Friday</x:v>
      </x:c>
      <x:c r="E35" t="n">
        <x:v>7</x:v>
      </x:c>
      <x:c r="F35" t="str">
        <x:v>MY_MONTH 2</x:v>
      </x:c>
      <x:c r="G35" t="str">
        <x:v>CL-020</x:v>
      </x:c>
      <x:c r="H35" t="str">
        <x:v>TJ Maxx</x:v>
      </x:c>
      <x:c r="I35" t="str">
        <x:v>TJ Maxx</x:v>
      </x:c>
      <x:c r="J35"/>
      <x:c r="K35" t="str">
        <x:v>Annapolis</x:v>
      </x:c>
      <x:c r="L35" t="str">
        <x:v>Maryland</x:v>
      </x:c>
      <x:c r="M35" s="24"/>
      <x:c r="N35" t="str">
        <x:v>MD</x:v>
      </x:c>
      <x:c r="O35" s="403" t="str">
        <x:f>IF(OR(K35="",N35=""),"",K35&amp;"|"&amp;N35)</x:f>
        <x:v>Annapolis|MD</x:v>
      </x:c>
      <x:c r="P35" t="str">
        <x:v>Completed</x:v>
      </x:c>
      <x:c r="Q35" t="str">
        <x:v>Physical Service Visit</x:v>
      </x:c>
      <x:c r="R35" t="n">
        <x:v>1</x:v>
      </x:c>
      <x:c r="S35" t="str">
        <x:v>5898904</x:v>
      </x:c>
      <x:c r="T35" s="24" t="n">
        <x:v>70</x:v>
      </x:c>
      <x:c r="U35" s="403" t="str">
        <x:f>IF(X35="Excluded","Excluded",IF(T35&gt;0,"Eligible","Excluded"))</x:f>
        <x:v>Eligible</x:v>
      </x:c>
      <x:c r="V35" t="str">
        <x:v>Maryland revenue included.</x:v>
      </x:c>
      <x:c r="W35" t="str">
        <x:v>Timeline + Service Calendar + Canonical Ledger</x:v>
      </x:c>
      <x:c r="X35" t="str">
        <x:v>Included</x:v>
      </x:c>
      <x:c r="Y35" s="329"/>
      <x:c r="Z35" s="403" t="str">
        <x:f>IF(X35="","",IF(X35="Excluded","No","Yes"))</x:f>
        <x:v>Yes</x:v>
      </x:c>
    </x:row>
    <x:row r="36">
      <x:c r="A36" t="n">
        <x:v>35</x:v>
      </x:c>
      <x:c r="B36" s="402" t="str">
        <x:f>IF(A36="","","EVT-"&amp;TEXT(A36,"0000"))</x:f>
        <x:v>EVT-0035</x:v>
      </x:c>
      <x:c r="C36" s="35" t="n">
        <x:v>46181</x:v>
      </x:c>
      <x:c r="D36" s="403" t="str">
        <x:f>IF(C36="","",TEXT(C36,"dddd"))</x:f>
        <x:v>Monday</x:v>
      </x:c>
      <x:c r="E36" t="n">
        <x:v>8</x:v>
      </x:c>
      <x:c r="F36" t="str">
        <x:v>MY_MONTH 2</x:v>
      </x:c>
      <x:c r="G36" t="str">
        <x:v>CL-022</x:v>
      </x:c>
      <x:c r="H36" t="str">
        <x:v>Marshalls</x:v>
      </x:c>
      <x:c r="I36" t="str">
        <x:v>Marshalls</x:v>
      </x:c>
      <x:c r="J36"/>
      <x:c r="K36" t="str">
        <x:v>Dunkirk</x:v>
      </x:c>
      <x:c r="L36" t="str">
        <x:v>Maryland</x:v>
      </x:c>
      <x:c r="M36" s="24"/>
      <x:c r="N36" t="str">
        <x:v>MD</x:v>
      </x:c>
      <x:c r="O36" s="403" t="str">
        <x:f>IF(OR(K36="",N36=""),"",K36&amp;"|"&amp;N36)</x:f>
        <x:v>Dunkirk|MD</x:v>
      </x:c>
      <x:c r="P36" t="str">
        <x:v>Completed</x:v>
      </x:c>
      <x:c r="Q36" t="str">
        <x:v>Physical Service Visit</x:v>
      </x:c>
      <x:c r="R36" t="n">
        <x:v>1</x:v>
      </x:c>
      <x:c r="S36" t="str">
        <x:v>5899056</x:v>
      </x:c>
      <x:c r="T36" s="24" t="n">
        <x:v>70</x:v>
      </x:c>
      <x:c r="U36" s="403" t="str">
        <x:f>IF(X36="Excluded","Excluded",IF(T36&gt;0,"Eligible","Excluded"))</x:f>
        <x:v>Eligible</x:v>
      </x:c>
      <x:c r="V36" t="str">
        <x:v>Payment breakdown reissued/verified; no financial change.</x:v>
      </x:c>
      <x:c r="W36" t="str">
        <x:v>Timeline + Service Calendar + Canonical Ledger</x:v>
      </x:c>
      <x:c r="X36" t="str">
        <x:v>Included</x:v>
      </x:c>
      <x:c r="Y36" s="329"/>
      <x:c r="Z36" s="403" t="str">
        <x:f>IF(X36="","",IF(X36="Excluded","No","Yes"))</x:f>
        <x:v>Yes</x:v>
      </x:c>
    </x:row>
    <x:row r="37">
      <x:c r="A37" t="n">
        <x:v>36</x:v>
      </x:c>
      <x:c r="B37" s="402" t="str">
        <x:f>IF(A37="","","EVT-"&amp;TEXT(A37,"0000"))</x:f>
        <x:v>EVT-0036</x:v>
      </x:c>
      <x:c r="C37" s="35" t="n">
        <x:v>46182</x:v>
      </x:c>
      <x:c r="D37" s="403" t="str">
        <x:f>IF(C37="","",TEXT(C37,"dddd"))</x:f>
        <x:v>Tuesday</x:v>
      </x:c>
      <x:c r="E37" t="n">
        <x:v>8</x:v>
      </x:c>
      <x:c r="F37" t="str">
        <x:v>MY_MONTH 2</x:v>
      </x:c>
      <x:c r="G37" t="str">
        <x:v>CL-003</x:v>
      </x:c>
      <x:c r="H37" t="str">
        <x:v>Hampton Inn &amp; Suites</x:v>
      </x:c>
      <x:c r="I37" t="str">
        <x:v>Hampton Inn &amp; Suites</x:v>
      </x:c>
      <x:c r="J37"/>
      <x:c r="K37" t="str">
        <x:v>Edgewood</x:v>
      </x:c>
      <x:c r="L37" t="str">
        <x:v>Maryland</x:v>
      </x:c>
      <x:c r="M37" s="24"/>
      <x:c r="N37" t="str">
        <x:v>MD</x:v>
      </x:c>
      <x:c r="O37" s="403" t="str">
        <x:f>IF(OR(K37="",N37=""),"",K37&amp;"|"&amp;N37)</x:f>
        <x:v>Edgewood|MD</x:v>
      </x:c>
      <x:c r="P37" t="str">
        <x:v>Completed</x:v>
      </x:c>
      <x:c r="Q37" t="str">
        <x:v>Physical Service Visit</x:v>
      </x:c>
      <x:c r="R37" t="n">
        <x:v>1</x:v>
      </x:c>
      <x:c r="S37" t="str">
        <x:v>5899295</x:v>
      </x:c>
      <x:c r="T37" s="24" t="n">
        <x:v>65</x:v>
      </x:c>
      <x:c r="U37" s="403" t="str">
        <x:f>IF(X37="Excluded","Excluded",IF(T37&gt;0,"Eligible","Excluded"))</x:f>
        <x:v>Eligible</x:v>
      </x:c>
      <x:c r="V37" t="str">
        <x:v>Maryland revenue included.</x:v>
      </x:c>
      <x:c r="W37" t="str">
        <x:v>Timeline + Service Calendar + Canonical Ledger</x:v>
      </x:c>
      <x:c r="X37" t="str">
        <x:v>Included</x:v>
      </x:c>
      <x:c r="Y37" s="329"/>
      <x:c r="Z37" s="403" t="str">
        <x:f>IF(X37="","",IF(X37="Excluded","No","Yes"))</x:f>
        <x:v>Yes</x:v>
      </x:c>
    </x:row>
    <x:row r="38">
      <x:c r="A38" t="n">
        <x:v>37</x:v>
      </x:c>
      <x:c r="B38" s="402" t="str">
        <x:f>IF(A38="","","EVT-"&amp;TEXT(A38,"0000"))</x:f>
        <x:v>EVT-0037</x:v>
      </x:c>
      <x:c r="C38" s="35" t="n">
        <x:v>46182</x:v>
      </x:c>
      <x:c r="D38" s="403" t="str">
        <x:f>IF(C38="","",TEXT(C38,"dddd"))</x:f>
        <x:v>Tuesday</x:v>
      </x:c>
      <x:c r="E38" t="n">
        <x:v>8</x:v>
      </x:c>
      <x:c r="F38" t="str">
        <x:v>MY_MONTH 2</x:v>
      </x:c>
      <x:c r="G38" t="str">
        <x:v>CL-016</x:v>
      </x:c>
      <x:c r="H38" t="str">
        <x:v>HomeGoods</x:v>
      </x:c>
      <x:c r="I38" t="str">
        <x:v>HomeGoods</x:v>
      </x:c>
      <x:c r="J38"/>
      <x:c r="K38" t="str">
        <x:v>Sterling</x:v>
      </x:c>
      <x:c r="L38" t="str">
        <x:v>Virginia</x:v>
      </x:c>
      <x:c r="M38" s="24"/>
      <x:c r="N38" t="str">
        <x:v>VA</x:v>
      </x:c>
      <x:c r="O38" s="403" t="str">
        <x:f>IF(OR(K38="",N38=""),"",K38&amp;"|"&amp;N38)</x:f>
        <x:v>Sterling|VA</x:v>
      </x:c>
      <x:c r="P38" t="str">
        <x:v>Completed</x:v>
      </x:c>
      <x:c r="Q38" t="str">
        <x:v>Physical Service Visit</x:v>
      </x:c>
      <x:c r="R38" t="n">
        <x:v>1</x:v>
      </x:c>
      <x:c r="S38" t="str">
        <x:v>5899715</x:v>
      </x:c>
      <x:c r="T38" s="24" t="n">
        <x:v>90</x:v>
      </x:c>
      <x:c r="U38" s="403" t="str">
        <x:f>IF(X38="Excluded","Excluded",IF(T38&gt;0,"Eligible","Excluded"))</x:f>
        <x:v>Eligible</x:v>
      </x:c>
      <x:c r="V38" t="str">
        <x:v>VA revenue included.</x:v>
      </x:c>
      <x:c r="W38" t="str">
        <x:v>Timeline + Service Calendar + Canonical Ledger</x:v>
      </x:c>
      <x:c r="X38" t="str">
        <x:v>Included</x:v>
      </x:c>
      <x:c r="Y38" s="329"/>
      <x:c r="Z38" s="403" t="str">
        <x:f>IF(X38="","",IF(X38="Excluded","No","Yes"))</x:f>
        <x:v>Yes</x:v>
      </x:c>
    </x:row>
    <x:row r="39">
      <x:c r="A39" t="n">
        <x:v>38</x:v>
      </x:c>
      <x:c r="B39" s="402" t="str">
        <x:f>IF(A39="","","EVT-"&amp;TEXT(A39,"0000"))</x:f>
        <x:v>EVT-0038</x:v>
      </x:c>
      <x:c r="C39" s="35" t="n">
        <x:v>46183</x:v>
      </x:c>
      <x:c r="D39" s="403" t="str">
        <x:f>IF(C39="","",TEXT(C39,"dddd"))</x:f>
        <x:v>Wednesday</x:v>
      </x:c>
      <x:c r="E39" t="n">
        <x:v>8</x:v>
      </x:c>
      <x:c r="F39" t="str">
        <x:v>MY_MONTH 2</x:v>
      </x:c>
      <x:c r="G39" t="str">
        <x:v>CL-006</x:v>
      </x:c>
      <x:c r="H39" t="str">
        <x:v>7-Eleven</x:v>
      </x:c>
      <x:c r="I39" t="str">
        <x:v>7-Eleven</x:v>
      </x:c>
      <x:c r="J39"/>
      <x:c r="K39" t="str">
        <x:v>Lanham</x:v>
      </x:c>
      <x:c r="L39" t="str">
        <x:v>Maryland</x:v>
      </x:c>
      <x:c r="M39" s="24"/>
      <x:c r="N39" t="str">
        <x:v>MD</x:v>
      </x:c>
      <x:c r="O39" s="403" t="str">
        <x:f>IF(OR(K39="",N39=""),"",K39&amp;"|"&amp;N39)</x:f>
        <x:v>Lanham|MD</x:v>
      </x:c>
      <x:c r="P39" t="str">
        <x:v>Completed</x:v>
      </x:c>
      <x:c r="Q39" t="str">
        <x:v>Physical Service Visit</x:v>
      </x:c>
      <x:c r="R39" t="n">
        <x:v>1</x:v>
      </x:c>
      <x:c r="S39" t="str">
        <x:v>5900102</x:v>
      </x:c>
      <x:c r="T39" s="24" t="n">
        <x:v>240</x:v>
      </x:c>
      <x:c r="U39" s="403" t="str">
        <x:f>IF(X39="Excluded","Excluded",IF(T39&gt;0,"Eligible","Excluded"))</x:f>
        <x:v>Eligible</x:v>
      </x:c>
      <x:c r="V39" t="str">
        <x:v>7-Eleven dispute cleared at $240.</x:v>
      </x:c>
      <x:c r="W39" t="str">
        <x:v>Timeline + Service Calendar + Canonical Ledger</x:v>
      </x:c>
      <x:c r="X39" t="str">
        <x:v>Included</x:v>
      </x:c>
      <x:c r="Y39" s="329"/>
      <x:c r="Z39" s="403" t="str">
        <x:f>IF(X39="","",IF(X39="Excluded","No","Yes"))</x:f>
        <x:v>Yes</x:v>
      </x:c>
    </x:row>
    <x:row r="40">
      <x:c r="A40" t="n">
        <x:v>39</x:v>
      </x:c>
      <x:c r="B40" s="402" t="str">
        <x:f>IF(A40="","","EVT-"&amp;TEXT(A40,"0000"))</x:f>
        <x:v>EVT-0039</x:v>
      </x:c>
      <x:c r="C40" s="35" t="n">
        <x:v>46183</x:v>
      </x:c>
      <x:c r="D40" s="403" t="str">
        <x:f>IF(C40="","",TEXT(C40,"dddd"))</x:f>
        <x:v>Wednesday</x:v>
      </x:c>
      <x:c r="E40" t="n">
        <x:v>8</x:v>
      </x:c>
      <x:c r="F40" t="str">
        <x:v>MY_MONTH 2</x:v>
      </x:c>
      <x:c r="G40" t="str">
        <x:v>CL-020</x:v>
      </x:c>
      <x:c r="H40" t="str">
        <x:v>TJ Maxx</x:v>
      </x:c>
      <x:c r="I40" t="str">
        <x:v>TJ Maxx</x:v>
      </x:c>
      <x:c r="J40"/>
      <x:c r="K40" t="str">
        <x:v>Annapolis</x:v>
      </x:c>
      <x:c r="L40" t="str">
        <x:v>Maryland</x:v>
      </x:c>
      <x:c r="M40" s="24"/>
      <x:c r="N40" t="str">
        <x:v>MD</x:v>
      </x:c>
      <x:c r="O40" s="403" t="str">
        <x:f>IF(OR(K40="",N40=""),"",K40&amp;"|"&amp;N40)</x:f>
        <x:v>Annapolis|MD</x:v>
      </x:c>
      <x:c r="P40" t="str">
        <x:v>Completed</x:v>
      </x:c>
      <x:c r="Q40" t="str">
        <x:v>Physical Service Visit</x:v>
      </x:c>
      <x:c r="R40" t="n">
        <x:v>1</x:v>
      </x:c>
      <x:c r="S40" t="str">
        <x:v>5900492</x:v>
      </x:c>
      <x:c r="T40" s="24" t="n">
        <x:v>90</x:v>
      </x:c>
      <x:c r="U40" s="403" t="str">
        <x:f>IF(X40="Excluded","Excluded",IF(T40&gt;0,"Eligible","Excluded"))</x:f>
        <x:v>Eligible</x:v>
      </x:c>
      <x:c r="V40" t="str">
        <x:v>Payment breakdown reissued/verified; no financial change.</x:v>
      </x:c>
      <x:c r="W40" t="str">
        <x:v>Timeline + Service Calendar + Canonical Ledger</x:v>
      </x:c>
      <x:c r="X40" t="str">
        <x:v>Included</x:v>
      </x:c>
      <x:c r="Y40" s="329"/>
      <x:c r="Z40" s="403" t="str">
        <x:f>IF(X40="","",IF(X40="Excluded","No","Yes"))</x:f>
        <x:v>Yes</x:v>
      </x:c>
    </x:row>
    <x:row r="41">
      <x:c r="A41" t="n">
        <x:v>40</x:v>
      </x:c>
      <x:c r="B41" s="402" t="str">
        <x:f>IF(A41="","","EVT-"&amp;TEXT(A41,"0000"))</x:f>
        <x:v>EVT-0040</x:v>
      </x:c>
      <x:c r="C41" s="35" t="n">
        <x:v>46183</x:v>
      </x:c>
      <x:c r="D41" s="403" t="str">
        <x:f>IF(C41="","",TEXT(C41,"dddd"))</x:f>
        <x:v>Wednesday</x:v>
      </x:c>
      <x:c r="E41" t="n">
        <x:v>8</x:v>
      </x:c>
      <x:c r="F41" t="str">
        <x:v>MY_MONTH 2</x:v>
      </x:c>
      <x:c r="G41" t="str">
        <x:v>CL-011</x:v>
      </x:c>
      <x:c r="H41" t="str">
        <x:v>Residential – Annapolis Neck, MD</x:v>
      </x:c>
      <x:c r="I41" t="str">
        <x:v>Residential</x:v>
      </x:c>
      <x:c r="J41"/>
      <x:c r="K41" t="str">
        <x:v>Annapolis Neck</x:v>
      </x:c>
      <x:c r="L41" t="str">
        <x:v>Maryland</x:v>
      </x:c>
      <x:c r="M41" s="24"/>
      <x:c r="N41" t="str">
        <x:v>MD</x:v>
      </x:c>
      <x:c r="O41" s="403" t="str">
        <x:f>IF(OR(K41="",N41=""),"",K41&amp;"|"&amp;N41)</x:f>
        <x:v>Annapolis Neck|MD</x:v>
      </x:c>
      <x:c r="P41" t="str">
        <x:v>Completed</x:v>
      </x:c>
      <x:c r="Q41" t="str">
        <x:v>Physical Service Visit</x:v>
      </x:c>
      <x:c r="R41" t="n">
        <x:v>1</x:v>
      </x:c>
      <x:c r="S41" t="str">
        <x:v>5877236</x:v>
      </x:c>
      <x:c r="T41" s="24" t="n">
        <x:v>60</x:v>
      </x:c>
      <x:c r="U41" s="403" t="str">
        <x:f>IF(X41="Excluded","Excluded",IF(T41&gt;0,"Eligible","Excluded"))</x:f>
        <x:v>Eligible</x:v>
      </x:c>
      <x:c r="V41" t="str">
        <x:v>Dynabook repair completed.</x:v>
      </x:c>
      <x:c r="W41" t="str">
        <x:v>Timeline + Service Calendar + Canonical Ledger</x:v>
      </x:c>
      <x:c r="X41" t="str">
        <x:v>Included</x:v>
      </x:c>
      <x:c r="Y41" s="329"/>
      <x:c r="Z41" s="403" t="str">
        <x:f>IF(X41="","",IF(X41="Excluded","No","Yes"))</x:f>
        <x:v>Yes</x:v>
      </x:c>
    </x:row>
    <x:row r="42">
      <x:c r="A42" t="n">
        <x:v>41</x:v>
      </x:c>
      <x:c r="B42" s="402" t="str">
        <x:f>IF(A42="","","EVT-"&amp;TEXT(A42,"0000"))</x:f>
        <x:v>EVT-0041</x:v>
      </x:c>
      <x:c r="C42" s="35" t="n">
        <x:v>46184</x:v>
      </x:c>
      <x:c r="D42" s="403" t="str">
        <x:f>IF(C42="","",TEXT(C42,"dddd"))</x:f>
        <x:v>Thursday</x:v>
      </x:c>
      <x:c r="E42" t="n">
        <x:v>8</x:v>
      </x:c>
      <x:c r="F42" t="str">
        <x:v>MY_MONTH 2</x:v>
      </x:c>
      <x:c r="G42" t="str">
        <x:v>CL-023</x:v>
      </x:c>
      <x:c r="H42" t="str">
        <x:v>Baskin-Robbins</x:v>
      </x:c>
      <x:c r="I42" t="str">
        <x:v>Baskin Robbins</x:v>
      </x:c>
      <x:c r="J42"/>
      <x:c r="K42" t="str">
        <x:v>Falls Church</x:v>
      </x:c>
      <x:c r="L42" t="str">
        <x:v>Virginia</x:v>
      </x:c>
      <x:c r="M42" s="24"/>
      <x:c r="N42" t="str">
        <x:v>VA</x:v>
      </x:c>
      <x:c r="O42" s="403" t="str">
        <x:f>IF(OR(K42="",N42=""),"",K42&amp;"|"&amp;N42)</x:f>
        <x:v>Falls Church|VA</x:v>
      </x:c>
      <x:c r="P42" t="str">
        <x:v>Completed</x:v>
      </x:c>
      <x:c r="Q42" t="str">
        <x:v>Physical Service Visit</x:v>
      </x:c>
      <x:c r="R42" t="n">
        <x:v>1</x:v>
      </x:c>
      <x:c r="S42" t="str">
        <x:v>5887374</x:v>
      </x:c>
      <x:c r="T42" s="24" t="n">
        <x:v>45</x:v>
      </x:c>
      <x:c r="U42" s="403" t="str">
        <x:f>IF(X42="Excluded","Excluded",IF(T42&gt;0,"Eligible","Excluded"))</x:f>
        <x:v>Eligible</x:v>
      </x:c>
      <x:c r="V42" t="str">
        <x:v>Corrected: WO 5887374 = Baskin Robbins. Breakdown and ACH confirmed at $45.</x:v>
      </x:c>
      <x:c r="W42" t="str">
        <x:v>Timeline + Service Calendar + Canonical Ledger</x:v>
      </x:c>
      <x:c r="X42" t="str">
        <x:v>Included</x:v>
      </x:c>
      <x:c r="Y42" s="329"/>
      <x:c r="Z42" s="403" t="str">
        <x:f>IF(X42="","",IF(X42="Excluded","No","Yes"))</x:f>
        <x:v>Yes</x:v>
      </x:c>
    </x:row>
    <x:row r="43">
      <x:c r="A43" t="n">
        <x:v>42</x:v>
      </x:c>
      <x:c r="B43" s="402" t="str">
        <x:f>IF(A43="","","EVT-"&amp;TEXT(A43,"0000"))</x:f>
        <x:v>EVT-0042</x:v>
      </x:c>
      <x:c r="C43" s="35" t="n">
        <x:v>46184</x:v>
      </x:c>
      <x:c r="D43" s="403" t="str">
        <x:f>IF(C43="","",TEXT(C43,"dddd"))</x:f>
        <x:v>Thursday</x:v>
      </x:c>
      <x:c r="E43" t="n">
        <x:v>8</x:v>
      </x:c>
      <x:c r="F43" t="str">
        <x:v>MY_MONTH 2</x:v>
      </x:c>
      <x:c r="G43" t="str">
        <x:v>CL-012</x:v>
      </x:c>
      <x:c r="H43" t="str">
        <x:v>Verizon</x:v>
      </x:c>
      <x:c r="I43" t="str">
        <x:v>Verizon</x:v>
      </x:c>
      <x:c r="J43"/>
      <x:c r="K43" t="str">
        <x:v>Ellicott City</x:v>
      </x:c>
      <x:c r="L43" t="str">
        <x:v>Maryland</x:v>
      </x:c>
      <x:c r="M43" s="24"/>
      <x:c r="N43" t="str">
        <x:v>MD</x:v>
      </x:c>
      <x:c r="O43" s="403" t="str">
        <x:f>IF(OR(K43="",N43=""),"",K43&amp;"|"&amp;N43)</x:f>
        <x:v>Ellicott City|MD</x:v>
      </x:c>
      <x:c r="P43" t="str">
        <x:v>Completed</x:v>
      </x:c>
      <x:c r="Q43" t="str">
        <x:v>Physical Service Visit</x:v>
      </x:c>
      <x:c r="R43" t="n">
        <x:v>1</x:v>
      </x:c>
      <x:c r="S43" t="str">
        <x:v>5901061</x:v>
      </x:c>
      <x:c r="T43" s="24" t="n">
        <x:v>50</x:v>
      </x:c>
      <x:c r="U43" s="403" t="str">
        <x:f>IF(X43="Excluded","Excluded",IF(T43&gt;0,"Eligible","Excluded"))</x:f>
        <x:v>Eligible</x:v>
      </x:c>
      <x:c r="V43" t="str">
        <x:v>Payment breakdown found; ACH B5901061T1 confirmed.</x:v>
      </x:c>
      <x:c r="W43" t="str">
        <x:v>Timeline + Service Calendar + Canonical Ledger</x:v>
      </x:c>
      <x:c r="X43" t="str">
        <x:v>Included</x:v>
      </x:c>
      <x:c r="Y43" s="329"/>
      <x:c r="Z43" s="403" t="str">
        <x:f>IF(X43="","",IF(X43="Excluded","No","Yes"))</x:f>
        <x:v>Yes</x:v>
      </x:c>
    </x:row>
    <x:row r="44">
      <x:c r="A44" t="n">
        <x:v>43</x:v>
      </x:c>
      <x:c r="B44" s="402" t="str">
        <x:f>IF(A44="","","EVT-"&amp;TEXT(A44,"0000"))</x:f>
        <x:v>EVT-0043</x:v>
      </x:c>
      <x:c r="C44" s="35" t="n">
        <x:v>46185</x:v>
      </x:c>
      <x:c r="D44" s="403" t="str">
        <x:f>IF(C44="","",TEXT(C44,"dddd"))</x:f>
        <x:v>Friday</x:v>
      </x:c>
      <x:c r="E44" t="n">
        <x:v>8</x:v>
      </x:c>
      <x:c r="F44" t="str">
        <x:v>MY_MONTH 2</x:v>
      </x:c>
      <x:c r="G44" t="str">
        <x:v>CL-012</x:v>
      </x:c>
      <x:c r="H44" t="str">
        <x:v>Verizon</x:v>
      </x:c>
      <x:c r="I44" t="str">
        <x:v>Verizon</x:v>
      </x:c>
      <x:c r="J44"/>
      <x:c r="K44" t="str">
        <x:v>Lanham</x:v>
      </x:c>
      <x:c r="L44" t="str">
        <x:v>Maryland</x:v>
      </x:c>
      <x:c r="M44" s="24"/>
      <x:c r="N44" t="str">
        <x:v>MD</x:v>
      </x:c>
      <x:c r="O44" s="403" t="str">
        <x:f>IF(OR(K44="",N44=""),"",K44&amp;"|"&amp;N44)</x:f>
        <x:v>Lanham|MD</x:v>
      </x:c>
      <x:c r="P44" t="str">
        <x:v>Completed</x:v>
      </x:c>
      <x:c r="Q44" t="str">
        <x:v>Physical Service Visit</x:v>
      </x:c>
      <x:c r="R44" t="n">
        <x:v>1</x:v>
      </x:c>
      <x:c r="S44" t="str">
        <x:v>5902689</x:v>
      </x:c>
      <x:c r="T44" s="24" t="n">
        <x:v>50</x:v>
      </x:c>
      <x:c r="U44" s="403" t="str">
        <x:f>IF(X44="Excluded","Excluded",IF(T44&gt;0,"Eligible","Excluded"))</x:f>
        <x:v>Eligible</x:v>
      </x:c>
      <x:c r="V44" t="str">
        <x:v>Verizon Lanham amount locked at $50.</x:v>
      </x:c>
      <x:c r="W44" t="str">
        <x:v>Timeline + Service Calendar + Canonical Ledger</x:v>
      </x:c>
      <x:c r="X44" t="str">
        <x:v>Included</x:v>
      </x:c>
      <x:c r="Y44" s="329"/>
      <x:c r="Z44" s="403" t="str">
        <x:f>IF(X44="","",IF(X44="Excluded","No","Yes"))</x:f>
        <x:v>Yes</x:v>
      </x:c>
    </x:row>
    <x:row r="45">
      <x:c r="A45" t="n">
        <x:v>44</x:v>
      </x:c>
      <x:c r="B45" s="402" t="str">
        <x:f>IF(A45="","","EVT-"&amp;TEXT(A45,"0000"))</x:f>
        <x:v>EVT-0044</x:v>
      </x:c>
      <x:c r="C45" s="35" t="n">
        <x:v>46188</x:v>
      </x:c>
      <x:c r="D45" s="403" t="str">
        <x:f>IF(C45="","",TEXT(C45,"dddd"))</x:f>
        <x:v>Monday</x:v>
      </x:c>
      <x:c r="E45" t="n">
        <x:v>9</x:v>
      </x:c>
      <x:c r="F45" t="str">
        <x:v>MY_MONTH 2</x:v>
      </x:c>
      <x:c r="G45" t="str">
        <x:v>CL-022</x:v>
      </x:c>
      <x:c r="H45" t="str">
        <x:v>Marshalls</x:v>
      </x:c>
      <x:c r="I45" t="str">
        <x:v>Marshalls</x:v>
      </x:c>
      <x:c r="J45"/>
      <x:c r="K45" t="str">
        <x:v>Frederick</x:v>
      </x:c>
      <x:c r="L45" t="str">
        <x:v>Maryland</x:v>
      </x:c>
      <x:c r="M45" s="24"/>
      <x:c r="N45" t="str">
        <x:v>MD</x:v>
      </x:c>
      <x:c r="O45" s="403" t="str">
        <x:f>IF(OR(K45="",N45=""),"",K45&amp;"|"&amp;N45)</x:f>
        <x:v>Frederick|MD</x:v>
      </x:c>
      <x:c r="P45" t="str">
        <x:v>Completed</x:v>
      </x:c>
      <x:c r="Q45" t="str">
        <x:v>Physical Service Visit</x:v>
      </x:c>
      <x:c r="R45" t="n">
        <x:v>1</x:v>
      </x:c>
      <x:c r="S45" t="str">
        <x:v>5902930</x:v>
      </x:c>
      <x:c r="T45" s="24" t="n">
        <x:v>123.75</x:v>
      </x:c>
      <x:c r="U45" s="403" t="str">
        <x:f>IF(X45="Excluded","Excluded",IF(T45&gt;0,"Eligible","Excluded"))</x:f>
        <x:v>Eligible</x:v>
      </x:c>
      <x:c r="V45" t="str">
        <x:v>ACH confirmed B5902930T2 at $123.75.</x:v>
      </x:c>
      <x:c r="W45" t="str">
        <x:v>Timeline + Service Calendar + Canonical Ledger</x:v>
      </x:c>
      <x:c r="X45" t="str">
        <x:v>Included</x:v>
      </x:c>
      <x:c r="Y45" s="329"/>
      <x:c r="Z45" s="403" t="str">
        <x:f>IF(X45="","",IF(X45="Excluded","No","Yes"))</x:f>
        <x:v>Yes</x:v>
      </x:c>
    </x:row>
    <x:row r="46">
      <x:c r="A46" t="n">
        <x:v>45</x:v>
      </x:c>
      <x:c r="B46" s="402" t="str">
        <x:f>IF(A46="","","EVT-"&amp;TEXT(A46,"0000"))</x:f>
        <x:v>EVT-0045</x:v>
      </x:c>
      <x:c r="C46" s="35" t="n">
        <x:v>46190</x:v>
      </x:c>
      <x:c r="D46" s="403" t="str">
        <x:f>IF(C46="","",TEXT(C46,"dddd"))</x:f>
        <x:v>Wednesday</x:v>
      </x:c>
      <x:c r="E46" t="n">
        <x:v>9</x:v>
      </x:c>
      <x:c r="F46" t="str">
        <x:v>MY_MONTH 2</x:v>
      </x:c>
      <x:c r="G46" t="str">
        <x:v>CL-024</x:v>
      </x:c>
      <x:c r="H46" t="str">
        <x:v>Montpelier Liquors</x:v>
      </x:c>
      <x:c r="I46" t="str">
        <x:v>Montpelier Liquors</x:v>
      </x:c>
      <x:c r="J46"/>
      <x:c r="K46" t="str">
        <x:v>Laurel</x:v>
      </x:c>
      <x:c r="L46" t="str">
        <x:v>Maryland</x:v>
      </x:c>
      <x:c r="M46" s="24"/>
      <x:c r="N46" t="str">
        <x:v>MD</x:v>
      </x:c>
      <x:c r="O46" s="403" t="str">
        <x:f>IF(OR(K46="",N46=""),"",K46&amp;"|"&amp;N46)</x:f>
        <x:v>Laurel|MD</x:v>
      </x:c>
      <x:c r="P46" t="str">
        <x:v>Completed</x:v>
      </x:c>
      <x:c r="Q46" t="str">
        <x:v>Physical Service Visit</x:v>
      </x:c>
      <x:c r="R46" t="n">
        <x:v>1</x:v>
      </x:c>
      <x:c r="S46" t="str">
        <x:v>5900963</x:v>
      </x:c>
      <x:c r="T46" s="24" t="n">
        <x:v>128</x:v>
      </x:c>
      <x:c r="U46" s="403" t="str">
        <x:f>IF(X46="Excluded","Excluded",IF(T46&gt;0,"Eligible","Excluded"))</x:f>
        <x:v>Eligible</x:v>
      </x:c>
      <x:c r="V46" t="str">
        <x:v>Montpelier Liquors WO 5900963; ACH confirmed July 1 at $128.</x:v>
      </x:c>
      <x:c r="W46" t="str">
        <x:v>Timeline + Service Calendar + Canonical Ledger</x:v>
      </x:c>
      <x:c r="X46" t="str">
        <x:v>Included</x:v>
      </x:c>
      <x:c r="Y46" s="329"/>
      <x:c r="Z46" s="403" t="str">
        <x:f>IF(X46="","",IF(X46="Excluded","No","Yes"))</x:f>
        <x:v>Yes</x:v>
      </x:c>
    </x:row>
    <x:row r="47">
      <x:c r="A47" t="n">
        <x:v>46</x:v>
      </x:c>
      <x:c r="B47" s="402" t="str">
        <x:f>IF(A47="","","EVT-"&amp;TEXT(A47,"0000"))</x:f>
        <x:v>EVT-0046</x:v>
      </x:c>
      <x:c r="C47" s="35" t="n">
        <x:v>46190</x:v>
      </x:c>
      <x:c r="D47" s="403" t="str">
        <x:f>IF(C47="","",TEXT(C47,"dddd"))</x:f>
        <x:v>Wednesday</x:v>
      </x:c>
      <x:c r="E47" t="n">
        <x:v>9</x:v>
      </x:c>
      <x:c r="F47" t="str">
        <x:v>MY_MONTH 2</x:v>
      </x:c>
      <x:c r="G47" t="str">
        <x:v>CL-022</x:v>
      </x:c>
      <x:c r="H47" t="str">
        <x:v>Marshalls</x:v>
      </x:c>
      <x:c r="I47" t="str">
        <x:v>Marshalls</x:v>
      </x:c>
      <x:c r="J47"/>
      <x:c r="K47" t="str">
        <x:v>Laurel</x:v>
      </x:c>
      <x:c r="L47" t="str">
        <x:v>Maryland</x:v>
      </x:c>
      <x:c r="M47" s="24"/>
      <x:c r="N47" t="str">
        <x:v>MD</x:v>
      </x:c>
      <x:c r="O47" s="403" t="str">
        <x:f>IF(OR(K47="",N47=""),"",K47&amp;"|"&amp;N47)</x:f>
        <x:v>Laurel|MD</x:v>
      </x:c>
      <x:c r="P47" t="str">
        <x:v>Completed</x:v>
      </x:c>
      <x:c r="Q47" t="str">
        <x:v>Physical Service Visit</x:v>
      </x:c>
      <x:c r="R47" t="n">
        <x:v>1</x:v>
      </x:c>
      <x:c r="S47" t="str">
        <x:v>5904843</x:v>
      </x:c>
      <x:c r="T47" s="24" t="n">
        <x:v>90</x:v>
      </x:c>
      <x:c r="U47" s="403" t="str">
        <x:f>IF(X47="Excluded","Excluded",IF(T47&gt;0,"Eligible","Excluded"))</x:f>
        <x:v>Eligible</x:v>
      </x:c>
      <x:c r="V47" t="str">
        <x:v>Marshalls Laurel WO 5904843; payment breakdown $90 and ACH confirmed July 1.</x:v>
      </x:c>
      <x:c r="W47" t="str">
        <x:v>Timeline + Service Calendar + Canonical Ledger</x:v>
      </x:c>
      <x:c r="X47" t="str">
        <x:v>Included</x:v>
      </x:c>
      <x:c r="Y47" s="329"/>
      <x:c r="Z47" s="403" t="str">
        <x:f>IF(X47="","",IF(X47="Excluded","No","Yes"))</x:f>
        <x:v>Yes</x:v>
      </x:c>
    </x:row>
    <x:row r="48">
      <x:c r="A48" t="n">
        <x:v>47</x:v>
      </x:c>
      <x:c r="B48" s="402" t="str">
        <x:f>IF(A48="","","EVT-"&amp;TEXT(A48,"0000"))</x:f>
        <x:v>EVT-0047</x:v>
      </x:c>
      <x:c r="C48" s="35" t="n">
        <x:v>46191</x:v>
      </x:c>
      <x:c r="D48" s="403" t="str">
        <x:f>IF(C48="","",TEXT(C48,"dddd"))</x:f>
        <x:v>Thursday</x:v>
      </x:c>
      <x:c r="E48" t="n">
        <x:v>9</x:v>
      </x:c>
      <x:c r="F48" t="str">
        <x:v>MY_MONTH 2</x:v>
      </x:c>
      <x:c r="G48" t="str">
        <x:v>CL-025</x:v>
      </x:c>
      <x:c r="H48" t="str">
        <x:v>Office of MD Senator Angela Alsobrooks</x:v>
      </x:c>
      <x:c r="I48" t="str">
        <x:v>Office of MD Senator Angela Alsobrooks</x:v>
      </x:c>
      <x:c r="J48"/>
      <x:c r="K48" t="str">
        <x:v>Bowie</x:v>
      </x:c>
      <x:c r="L48" t="str">
        <x:v>Maryland</x:v>
      </x:c>
      <x:c r="M48" s="24"/>
      <x:c r="N48" t="str">
        <x:v>MD</x:v>
      </x:c>
      <x:c r="O48" s="403" t="str">
        <x:f>IF(OR(K48="",N48=""),"",K48&amp;"|"&amp;N48)</x:f>
        <x:v>Bowie|MD</x:v>
      </x:c>
      <x:c r="P48" t="str">
        <x:v>Completed</x:v>
      </x:c>
      <x:c r="Q48" t="str">
        <x:v>Physical Service Visit</x:v>
      </x:c>
      <x:c r="R48" t="n">
        <x:v>1</x:v>
      </x:c>
      <x:c r="S48" t="str">
        <x:v>5898644</x:v>
      </x:c>
      <x:c r="T48" s="24" t="n">
        <x:v>130</x:v>
      </x:c>
      <x:c r="U48" s="403" t="str">
        <x:f>IF(X48="Excluded","Excluded",IF(T48&gt;0,"Eligible","Excluded"))</x:f>
        <x:v>Eligible</x:v>
      </x:c>
      <x:c r="V48" t="str">
        <x:v>Office of MD Senator Angela Alsobrooks Bowie WO 5898644; breakdown $130 and ACH confirmed July 2.</x:v>
      </x:c>
      <x:c r="W48" t="str">
        <x:v>Timeline + Service Calendar + Canonical Ledger</x:v>
      </x:c>
      <x:c r="X48" t="str">
        <x:v>Included</x:v>
      </x:c>
      <x:c r="Y48" s="329"/>
      <x:c r="Z48" s="403" t="str">
        <x:f>IF(X48="","",IF(X48="Excluded","No","Yes"))</x:f>
        <x:v>Yes</x:v>
      </x:c>
    </x:row>
    <x:row r="49">
      <x:c r="A49" t="n">
        <x:v>48</x:v>
      </x:c>
      <x:c r="B49" s="402" t="str">
        <x:f>IF(A49="","","EVT-"&amp;TEXT(A49,"0000"))</x:f>
        <x:v>EVT-0048</x:v>
      </x:c>
      <x:c r="C49" s="35" t="n">
        <x:v>46191</x:v>
      </x:c>
      <x:c r="D49" s="403" t="str">
        <x:f>IF(C49="","",TEXT(C49,"dddd"))</x:f>
        <x:v>Thursday</x:v>
      </x:c>
      <x:c r="E49" t="n">
        <x:v>9</x:v>
      </x:c>
      <x:c r="F49" t="str">
        <x:v>MY_MONTH 2</x:v>
      </x:c>
      <x:c r="G49" t="str">
        <x:v>CL-005</x:v>
      </x:c>
      <x:c r="H49" t="str">
        <x:v>Hebrew Home of Greater Washington</x:v>
      </x:c>
      <x:c r="I49" t="str">
        <x:v>Hebrew Home of Greater Washington</x:v>
      </x:c>
      <x:c r="J49"/>
      <x:c r="K49" t="str">
        <x:v>North Bethesda</x:v>
      </x:c>
      <x:c r="L49" t="str">
        <x:v>Maryland</x:v>
      </x:c>
      <x:c r="M49" s="24"/>
      <x:c r="N49" t="str">
        <x:v>MD</x:v>
      </x:c>
      <x:c r="O49" s="403" t="str">
        <x:f>IF(OR(K49="",N49=""),"",K49&amp;"|"&amp;N49)</x:f>
        <x:v>North Bethesda|MD</x:v>
      </x:c>
      <x:c r="P49" t="str">
        <x:v>Completed</x:v>
      </x:c>
      <x:c r="Q49" t="str">
        <x:v>Physical Service Visit</x:v>
      </x:c>
      <x:c r="R49" t="n">
        <x:v>1</x:v>
      </x:c>
      <x:c r="S49" t="str">
        <x:v>5905576</x:v>
      </x:c>
      <x:c r="T49" s="24" t="n">
        <x:v>70</x:v>
      </x:c>
      <x:c r="U49" s="403" t="str">
        <x:f>IF(X49="Excluded","Excluded",IF(T49&gt;0,"Eligible","Excluded"))</x:f>
        <x:v>Eligible</x:v>
      </x:c>
      <x:c r="V49" t="str">
        <x:v>Companion WO issue 5905576 / 5905579 remains under ACH mapping review; $35 ACH for 5905579 may relate to companion split or later no-show row.</x:v>
      </x:c>
      <x:c r="W49" t="str">
        <x:v>Timeline + Service Calendar + Canonical Ledger</x:v>
      </x:c>
      <x:c r="X49" t="str">
        <x:v>Included</x:v>
      </x:c>
      <x:c r="Y49" s="329"/>
      <x:c r="Z49" s="403" t="str">
        <x:f>IF(X49="","",IF(X49="Excluded","No","Yes"))</x:f>
        <x:v>Yes</x:v>
      </x:c>
    </x:row>
    <x:row r="50">
      <x:c r="A50" t="n">
        <x:v>49</x:v>
      </x:c>
      <x:c r="B50" s="402" t="str">
        <x:f>IF(A50="","","EVT-"&amp;TEXT(A50,"0000"))</x:f>
        <x:v>EVT-0049</x:v>
      </x:c>
      <x:c r="C50" s="35" t="n">
        <x:v>46192</x:v>
      </x:c>
      <x:c r="D50" s="403" t="str">
        <x:f>IF(C50="","",TEXT(C50,"dddd"))</x:f>
        <x:v>Friday</x:v>
      </x:c>
      <x:c r="E50" t="n">
        <x:v>9</x:v>
      </x:c>
      <x:c r="F50" t="str">
        <x:v>MY_MONTH 2</x:v>
      </x:c>
      <x:c r="G50" t="str">
        <x:v>CL-009</x:v>
      </x:c>
      <x:c r="H50" t="str">
        <x:v>Weis Markets</x:v>
      </x:c>
      <x:c r="I50" t="str">
        <x:v>Weis Markets</x:v>
      </x:c>
      <x:c r="J50"/>
      <x:c r="K50" t="str">
        <x:v>Callaway</x:v>
      </x:c>
      <x:c r="L50" t="str">
        <x:v>Maryland</x:v>
      </x:c>
      <x:c r="M50" s="24"/>
      <x:c r="N50" t="str">
        <x:v>MD</x:v>
      </x:c>
      <x:c r="O50" s="403" t="str">
        <x:f>IF(OR(K50="",N50=""),"",K50&amp;"|"&amp;N50)</x:f>
        <x:v>Callaway|MD</x:v>
      </x:c>
      <x:c r="P50" t="str">
        <x:v>Completed</x:v>
      </x:c>
      <x:c r="Q50" t="str">
        <x:v>Physical Service Visit</x:v>
      </x:c>
      <x:c r="R50" t="n">
        <x:v>1</x:v>
      </x:c>
      <x:c r="S50" t="str">
        <x:v>5899546</x:v>
      </x:c>
      <x:c r="T50" s="24" t="n">
        <x:v>90</x:v>
      </x:c>
      <x:c r="U50" s="403" t="str">
        <x:f>IF(X50="Excluded","Excluded",IF(T50&gt;0,"Eligible","Excluded"))</x:f>
        <x:v>Eligible</x:v>
      </x:c>
      <x:c r="V50" t="str">
        <x:v>Weis Markets Callaway WO 5899546; breakdown $90 and ACH confirmed July 2.</x:v>
      </x:c>
      <x:c r="W50" t="str">
        <x:v>Timeline + Service Calendar + Canonical Ledger</x:v>
      </x:c>
      <x:c r="X50" t="str">
        <x:v>Included</x:v>
      </x:c>
      <x:c r="Y50" s="329"/>
      <x:c r="Z50" s="403" t="str">
        <x:f>IF(X50="","",IF(X50="Excluded","No","Yes"))</x:f>
        <x:v>Yes</x:v>
      </x:c>
    </x:row>
    <x:row r="51">
      <x:c r="A51" t="n">
        <x:v>50</x:v>
      </x:c>
      <x:c r="B51" s="402" t="str">
        <x:f>IF(A51="","","EVT-"&amp;TEXT(A51,"0000"))</x:f>
        <x:v>EVT-0050</x:v>
      </x:c>
      <x:c r="C51" s="35" t="n">
        <x:v>46192</x:v>
      </x:c>
      <x:c r="D51" s="403" t="str">
        <x:f>IF(C51="","",TEXT(C51,"dddd"))</x:f>
        <x:v>Friday</x:v>
      </x:c>
      <x:c r="E51" t="n">
        <x:v>9</x:v>
      </x:c>
      <x:c r="F51" t="str">
        <x:v>MY_MONTH 2</x:v>
      </x:c>
      <x:c r="G51" t="str">
        <x:v>CL-007</x:v>
      </x:c>
      <x:c r="H51" t="str">
        <x:v>Giant Food Stores</x:v>
      </x:c>
      <x:c r="I51" t="str">
        <x:v>Giant Food Stores</x:v>
      </x:c>
      <x:c r="J51"/>
      <x:c r="K51" t="str">
        <x:v>Washington</x:v>
      </x:c>
      <x:c r="L51" t="str">
        <x:v>Washington, DC</x:v>
      </x:c>
      <x:c r="M51" s="24"/>
      <x:c r="N51" t="str">
        <x:v>DC</x:v>
      </x:c>
      <x:c r="O51" s="403" t="str">
        <x:f>IF(OR(K51="",N51=""),"",K51&amp;"|"&amp;N51)</x:f>
        <x:v>Washington|DC</x:v>
      </x:c>
      <x:c r="P51" t="str">
        <x:v>Completed</x:v>
      </x:c>
      <x:c r="Q51" t="str">
        <x:v>Physical Service Visit</x:v>
      </x:c>
      <x:c r="R51" t="n">
        <x:v>1</x:v>
      </x:c>
      <x:c r="S51" t="str">
        <x:v>5903036</x:v>
      </x:c>
      <x:c r="T51" s="24" t="n">
        <x:v>50</x:v>
      </x:c>
      <x:c r="U51" s="403" t="str">
        <x:f>IF(X51="Excluded","Excluded",IF(T51&gt;0,"Eligible","Excluded"))</x:f>
        <x:v>Eligible</x:v>
      </x:c>
      <x:c r="V51" t="str">
        <x:v>Giant Food Stores DC/Wisconsin Ave WO 5903036; breakdown $50 and ACH confirmed July 2. Corrected from prior TBD/missing state.</x:v>
      </x:c>
      <x:c r="W51" t="str">
        <x:v>Timeline + Service Calendar + Canonical Ledger</x:v>
      </x:c>
      <x:c r="X51" t="str">
        <x:v>Included</x:v>
      </x:c>
      <x:c r="Y51" s="329"/>
      <x:c r="Z51" s="403" t="str">
        <x:f>IF(X51="","",IF(X51="Excluded","No","Yes"))</x:f>
        <x:v>Yes</x:v>
      </x:c>
    </x:row>
    <x:row r="52">
      <x:c r="A52" t="n">
        <x:v>51</x:v>
      </x:c>
      <x:c r="B52" s="402" t="str">
        <x:f>IF(A52="","","EVT-"&amp;TEXT(A52,"0000"))</x:f>
        <x:v>EVT-0051</x:v>
      </x:c>
      <x:c r="C52" s="35" t="n">
        <x:v>46195</x:v>
      </x:c>
      <x:c r="D52" s="403" t="str">
        <x:f>IF(C52="","",TEXT(C52,"dddd"))</x:f>
        <x:v>Monday</x:v>
      </x:c>
      <x:c r="E52" t="n">
        <x:v>10</x:v>
      </x:c>
      <x:c r="F52" t="str">
        <x:v>MY_MONTH 3</x:v>
      </x:c>
      <x:c r="G52" t="str">
        <x:v>CL-005</x:v>
      </x:c>
      <x:c r="H52" t="str">
        <x:v>Hebrew Home of Greater Washington</x:v>
      </x:c>
      <x:c r="I52" t="str">
        <x:v>Hebrew Home of Greater Washington</x:v>
      </x:c>
      <x:c r="J52"/>
      <x:c r="K52" t="str">
        <x:v>North Bethesda</x:v>
      </x:c>
      <x:c r="L52" t="str">
        <x:v>Maryland</x:v>
      </x:c>
      <x:c r="M52" s="24"/>
      <x:c r="N52" t="str">
        <x:v>MD</x:v>
      </x:c>
      <x:c r="O52" s="403" t="str">
        <x:f>IF(OR(K52="",N52=""),"",K52&amp;"|"&amp;N52)</x:f>
        <x:v>North Bethesda|MD</x:v>
      </x:c>
      <x:c r="P52" t="str">
        <x:v>Completed</x:v>
      </x:c>
      <x:c r="Q52" t="str">
        <x:v>Physical Service Visit</x:v>
      </x:c>
      <x:c r="R52" t="n">
        <x:v>0</x:v>
      </x:c>
      <x:c r="S52" t="str">
        <x:v>5905579</x:v>
      </x:c>
      <x:c r="T52" s="24" t="n">
        <x:v>60</x:v>
      </x:c>
      <x:c r="U52" s="403" t="str">
        <x:f>IF(X52="Excluded","Excluded",IF(T52&gt;0,"Eligible","Excluded"))</x:f>
        <x:v>Eligible</x:v>
      </x:c>
      <x:c r="V52" t="str">
        <x:v>Breakdown $60 is confirmed and remains eligible for revenue metrics. ACH $35 is under mapping/variance review; payment mapping does not invalidate the confirmed breakdown.</x:v>
      </x:c>
      <x:c r="W52" t="str">
        <x:v>Timeline + Service Calendar + Canonical Ledger</x:v>
      </x:c>
      <x:c r="X52" t="str">
        <x:v>Included</x:v>
      </x:c>
      <x:c r="Y52" s="329"/>
      <x:c r="Z52" s="403" t="str">
        <x:f>IF(X52="","",IF(X52="Excluded","No","Yes"))</x:f>
        <x:v>Yes</x:v>
      </x:c>
    </x:row>
    <x:row r="53">
      <x:c r="A53" t="n">
        <x:v>52</x:v>
      </x:c>
      <x:c r="B53" s="402" t="str">
        <x:f>IF(A53="","","EVT-"&amp;TEXT(A53,"0000"))</x:f>
        <x:v>EVT-0052</x:v>
      </x:c>
      <x:c r="C53" s="35" t="n">
        <x:v>46196</x:v>
      </x:c>
      <x:c r="D53" s="403" t="str">
        <x:f>IF(C53="","",TEXT(C53,"dddd"))</x:f>
        <x:v>Tuesday</x:v>
      </x:c>
      <x:c r="E53" t="n">
        <x:v>10</x:v>
      </x:c>
      <x:c r="F53" t="str">
        <x:v>MY_MONTH 3</x:v>
      </x:c>
      <x:c r="G53" t="str">
        <x:v>CL-008</x:v>
      </x:c>
      <x:c r="H53" t="str">
        <x:v>Food Lion</x:v>
      </x:c>
      <x:c r="I53" t="str">
        <x:v>Food Lion</x:v>
      </x:c>
      <x:c r="J53"/>
      <x:c r="K53" t="str">
        <x:v>Upper Marlboro</x:v>
      </x:c>
      <x:c r="L53" t="str">
        <x:v>Maryland</x:v>
      </x:c>
      <x:c r="M53" s="24"/>
      <x:c r="N53" t="str">
        <x:v>MD</x:v>
      </x:c>
      <x:c r="O53" s="403" t="str">
        <x:f>IF(OR(K53="",N53=""),"",K53&amp;"|"&amp;N53)</x:f>
        <x:v>Upper Marlboro|MD</x:v>
      </x:c>
      <x:c r="P53" t="str">
        <x:v>Completed</x:v>
      </x:c>
      <x:c r="Q53" t="str">
        <x:v>Physical Service Visit</x:v>
      </x:c>
      <x:c r="R53" t="n">
        <x:v>1</x:v>
      </x:c>
      <x:c r="S53" t="str">
        <x:v>5906380</x:v>
      </x:c>
      <x:c r="T53" s="24" t="n">
        <x:v>116.24</x:v>
      </x:c>
      <x:c r="U53" s="403" t="str">
        <x:f>IF(X53="Excluded","Excluded",IF(T53&gt;0,"Eligible","Excluded"))</x:f>
        <x:v>Eligible</x:v>
      </x:c>
      <x:c r="V53" t="str">
        <x:v>Food Lion payment breakdown confirmed.</x:v>
      </x:c>
      <x:c r="W53" t="str">
        <x:v>Timeline + Service Calendar + Canonical Ledger</x:v>
      </x:c>
      <x:c r="X53" t="str">
        <x:v>Included</x:v>
      </x:c>
      <x:c r="Y53" s="329"/>
      <x:c r="Z53" s="403" t="str">
        <x:f>IF(X53="","",IF(X53="Excluded","No","Yes"))</x:f>
        <x:v>Yes</x:v>
      </x:c>
    </x:row>
    <x:row r="54">
      <x:c r="A54" t="n">
        <x:v>53</x:v>
      </x:c>
      <x:c r="B54" s="402" t="str">
        <x:f>IF(A54="","","EVT-"&amp;TEXT(A54,"0000"))</x:f>
        <x:v>EVT-0053</x:v>
      </x:c>
      <x:c r="C54" s="35" t="n">
        <x:v>46197</x:v>
      </x:c>
      <x:c r="D54" s="403" t="str">
        <x:f>IF(C54="","",TEXT(C54,"dddd"))</x:f>
        <x:v>Wednesday</x:v>
      </x:c>
      <x:c r="E54" t="n">
        <x:v>10</x:v>
      </x:c>
      <x:c r="F54" t="str">
        <x:v>MY_MONTH 3</x:v>
      </x:c>
      <x:c r="G54" t="str">
        <x:v>CL-021</x:v>
      </x:c>
      <x:c r="H54" t="str">
        <x:v>Hilton Garden Inn</x:v>
      </x:c>
      <x:c r="I54" t="str">
        <x:v>Hilton Garden Inn DC</x:v>
      </x:c>
      <x:c r="J54"/>
      <x:c r="K54" t="str">
        <x:v>Washington</x:v>
      </x:c>
      <x:c r="L54" t="str">
        <x:v>Washington, DC</x:v>
      </x:c>
      <x:c r="M54" s="24"/>
      <x:c r="N54" t="str">
        <x:v>DC</x:v>
      </x:c>
      <x:c r="O54" s="403" t="str">
        <x:f>IF(OR(K54="",N54=""),"",K54&amp;"|"&amp;N54)</x:f>
        <x:v>Washington|DC</x:v>
      </x:c>
      <x:c r="P54" t="str">
        <x:v>Completed</x:v>
      </x:c>
      <x:c r="Q54" t="str">
        <x:v>Physical Service Visit</x:v>
      </x:c>
      <x:c r="R54" t="n">
        <x:v>1</x:v>
      </x:c>
      <x:c r="S54" t="str">
        <x:v>5907571</x:v>
      </x:c>
      <x:c r="T54" s="24" t="n">
        <x:v>132.03</x:v>
      </x:c>
      <x:c r="U54" s="403" t="str">
        <x:f>IF(X54="Excluded","Excluded",IF(T54&gt;0,"Eligible","Excluded"))</x:f>
        <x:v>Eligible</x:v>
      </x:c>
      <x:c r="V54" t="str">
        <x:v>Hilton Garden Inn DC payment breakdown confirmed; ACH B5907571T1 processed $132.03 on 2026-07-08.</x:v>
      </x:c>
      <x:c r="W54" t="str">
        <x:v>Timeline + Service Calendar + Canonical Ledger</x:v>
      </x:c>
      <x:c r="X54" t="str">
        <x:v>Included</x:v>
      </x:c>
      <x:c r="Y54" s="329"/>
      <x:c r="Z54" s="403" t="str">
        <x:f>IF(X54="","",IF(X54="Excluded","No","Yes"))</x:f>
        <x:v>Yes</x:v>
      </x:c>
    </x:row>
    <x:row r="55">
      <x:c r="A55" t="n">
        <x:v>54</x:v>
      </x:c>
      <x:c r="B55" s="402" t="str">
        <x:f>IF(A55="","","EVT-"&amp;TEXT(A55,"0000"))</x:f>
        <x:v>EVT-0054</x:v>
      </x:c>
      <x:c r="C55" s="35" t="n">
        <x:v>46203</x:v>
      </x:c>
      <x:c r="D55" s="403" t="str">
        <x:f>IF(C55="","",TEXT(C55,"dddd"))</x:f>
        <x:v>Tuesday</x:v>
      </x:c>
      <x:c r="E55" t="n">
        <x:v>11</x:v>
      </x:c>
      <x:c r="F55" t="str">
        <x:v>MY_MONTH 3</x:v>
      </x:c>
      <x:c r="G55" t="str">
        <x:v>CL-006</x:v>
      </x:c>
      <x:c r="H55" t="str">
        <x:v>7-Eleven</x:v>
      </x:c>
      <x:c r="I55" t="str">
        <x:v>7-Eleven</x:v>
      </x:c>
      <x:c r="J55"/>
      <x:c r="K55" t="str">
        <x:v>Owings Mills</x:v>
      </x:c>
      <x:c r="L55" t="str">
        <x:v>Maryland</x:v>
      </x:c>
      <x:c r="M55" s="24"/>
      <x:c r="N55" t="str">
        <x:v>MD</x:v>
      </x:c>
      <x:c r="O55" s="403" t="str">
        <x:f>IF(OR(K55="",N55=""),"",K55&amp;"|"&amp;N55)</x:f>
        <x:v>Owings Mills|MD</x:v>
      </x:c>
      <x:c r="P55" t="str">
        <x:v>Completed</x:v>
      </x:c>
      <x:c r="Q55" t="str">
        <x:v>Physical Service Visit</x:v>
      </x:c>
      <x:c r="R55" t="n">
        <x:v>1</x:v>
      </x:c>
      <x:c r="S55" t="str">
        <x:v>5910094</x:v>
      </x:c>
      <x:c r="T55" s="24" t="n">
        <x:v>120</x:v>
      </x:c>
      <x:c r="U55" s="403" t="str">
        <x:f>IF(X55="Excluded","Excluded",IF(T55&gt;0,"Eligible","Excluded"))</x:f>
        <x:v>Eligible</x:v>
      </x:c>
      <x:c r="V55" t="str">
        <x:v>7-Eleven Owings Mills WO 5910094; payment breakdown $120 confirmed and ACH processed 2026-07-14.</x:v>
      </x:c>
      <x:c r="W55" t="str">
        <x:v>Timeline + Canonical Ledger + Gmail ACH confirmation 2026-07-14</x:v>
      </x:c>
      <x:c r="X55" t="str">
        <x:v>Included</x:v>
      </x:c>
      <x:c r="Y55" s="329"/>
      <x:c r="Z55" s="403" t="str">
        <x:f>IF(X55="","",IF(X55="Excluded","No","Yes"))</x:f>
        <x:v>Yes</x:v>
      </x:c>
    </x:row>
    <x:row r="56">
      <x:c r="A56" t="n">
        <x:v>55</x:v>
      </x:c>
      <x:c r="B56" s="402" t="str">
        <x:f>IF(A56="","","EVT-"&amp;TEXT(A56,"0000"))</x:f>
        <x:v>EVT-0055</x:v>
      </x:c>
      <x:c r="C56" s="35" t="n">
        <x:v>46204</x:v>
      </x:c>
      <x:c r="D56" s="403" t="str">
        <x:f>IF(C56="","",TEXT(C56,"dddd"))</x:f>
        <x:v>Wednesday</x:v>
      </x:c>
      <x:c r="E56" t="n">
        <x:v>11</x:v>
      </x:c>
      <x:c r="F56" t="str">
        <x:v>MY_MONTH 3</x:v>
      </x:c>
      <x:c r="G56" t="str">
        <x:v>CL-025</x:v>
      </x:c>
      <x:c r="H56" t="str">
        <x:v>Office of MD Senator Angela Alsobrooks</x:v>
      </x:c>
      <x:c r="I56" t="str">
        <x:v>Office of MD Senator Angela Alsobrooks</x:v>
      </x:c>
      <x:c r="J56"/>
      <x:c r="K56" t="str">
        <x:v>Largo</x:v>
      </x:c>
      <x:c r="L56" t="str">
        <x:v>Maryland</x:v>
      </x:c>
      <x:c r="M56" s="24"/>
      <x:c r="N56" t="str">
        <x:v>MD</x:v>
      </x:c>
      <x:c r="O56" s="403" t="str">
        <x:f>IF(OR(K56="",N56=""),"",K56&amp;"|"&amp;N56)</x:f>
        <x:v>Largo|MD</x:v>
      </x:c>
      <x:c r="P56" t="str">
        <x:v>Completed</x:v>
      </x:c>
      <x:c r="Q56" t="str">
        <x:v>Physical Service Visit</x:v>
      </x:c>
      <x:c r="R56" t="n">
        <x:v>1</x:v>
      </x:c>
      <x:c r="S56" t="str">
        <x:v>5898645</x:v>
      </x:c>
      <x:c r="T56" s="24" t="n">
        <x:v>120</x:v>
      </x:c>
      <x:c r="U56" s="403" t="str">
        <x:f>IF(X56="Excluded","Excluded",IF(T56&gt;0,"Eligible","Excluded"))</x:f>
        <x:v>Eligible</x:v>
      </x:c>
      <x:c r="V56" t="str">
        <x:v>Largo office deployment; payment breakdown $120 received; ACH pending.</x:v>
      </x:c>
      <x:c r="W56" t="str">
        <x:v>Timeline + Service Calendar + Canonical Ledger</x:v>
      </x:c>
      <x:c r="X56" t="str">
        <x:v>Included</x:v>
      </x:c>
      <x:c r="Y56" s="329"/>
      <x:c r="Z56" s="403" t="str">
        <x:f>IF(X56="","",IF(X56="Excluded","No","Yes"))</x:f>
        <x:v>Yes</x:v>
      </x:c>
    </x:row>
    <x:row r="57">
      <x:c r="A57" t="n">
        <x:v>56</x:v>
      </x:c>
      <x:c r="B57" s="402" t="str">
        <x:f>IF(A57="","","EVT-"&amp;TEXT(A57,"0000"))</x:f>
        <x:v>EVT-0056</x:v>
      </x:c>
      <x:c r="C57" s="35" t="n">
        <x:v>46205</x:v>
      </x:c>
      <x:c r="D57" s="403" t="str">
        <x:f>IF(C57="","",TEXT(C57,"dddd"))</x:f>
        <x:v>Thursday</x:v>
      </x:c>
      <x:c r="E57" t="n">
        <x:v>11</x:v>
      </x:c>
      <x:c r="F57" t="str">
        <x:v>MY_MONTH 3</x:v>
      </x:c>
      <x:c r="G57" t="str">
        <x:v>CL-026</x:v>
      </x:c>
      <x:c r="H57" t="str">
        <x:v>Dunkin</x:v>
      </x:c>
      <x:c r="I57" t="str">
        <x:v>Dunkin</x:v>
      </x:c>
      <x:c r="J57"/>
      <x:c r="K57" t="str">
        <x:v>Reisterstown</x:v>
      </x:c>
      <x:c r="L57" t="str">
        <x:v>Maryland</x:v>
      </x:c>
      <x:c r="M57" s="24"/>
      <x:c r="N57" t="str">
        <x:v>MD</x:v>
      </x:c>
      <x:c r="O57" s="403" t="str">
        <x:f>IF(OR(K57="",N57=""),"",K57&amp;"|"&amp;N57)</x:f>
        <x:v>Reisterstown|MD</x:v>
      </x:c>
      <x:c r="P57" t="str">
        <x:v>Completed</x:v>
      </x:c>
      <x:c r="Q57" t="str">
        <x:v>Physical Service Visit</x:v>
      </x:c>
      <x:c r="R57" t="n">
        <x:v>1</x:v>
      </x:c>
      <x:c r="S57" t="str">
        <x:v>5900784</x:v>
      </x:c>
      <x:c r="T57" s="24" t="n">
        <x:v>170.66</x:v>
      </x:c>
      <x:c r="U57" s="403" t="str">
        <x:f>IF(X57="Excluded","Excluded",IF(T57&gt;0,"Eligible","Excluded"))</x:f>
        <x:v>Eligible</x:v>
      </x:c>
      <x:c r="V57" t="str">
        <x:v>Dunkin Reisterstown completed; payment breakdown $170.66; ACH pending.</x:v>
      </x:c>
      <x:c r="W57" t="str">
        <x:v>Timeline + Service Calendar + Canonical Ledger</x:v>
      </x:c>
      <x:c r="X57" t="str">
        <x:v>Included</x:v>
      </x:c>
      <x:c r="Y57" s="329"/>
      <x:c r="Z57" s="403" t="str">
        <x:f>IF(X57="","",IF(X57="Excluded","No","Yes"))</x:f>
        <x:v>Yes</x:v>
      </x:c>
    </x:row>
    <x:row r="58">
      <x:c r="A58" t="n">
        <x:v>57</x:v>
      </x:c>
      <x:c r="B58" s="402" t="str">
        <x:f>IF(A58="","","EVT-"&amp;TEXT(A58,"0000"))</x:f>
        <x:v>EVT-0057</x:v>
      </x:c>
      <x:c r="C58" s="35" t="n">
        <x:v>46209</x:v>
      </x:c>
      <x:c r="D58" s="403" t="str">
        <x:f>IF(C58="","",TEXT(C58,"dddd"))</x:f>
        <x:v>Monday</x:v>
      </x:c>
      <x:c r="E58" t="n">
        <x:v>12</x:v>
      </x:c>
      <x:c r="F58" t="str">
        <x:v>MY_MONTH 3</x:v>
      </x:c>
      <x:c r="G58" t="str">
        <x:v>CL-024</x:v>
      </x:c>
      <x:c r="H58" t="str">
        <x:v>Montpelier Liquors</x:v>
      </x:c>
      <x:c r="I58" t="str">
        <x:v>Montpelier Liquors</x:v>
      </x:c>
      <x:c r="J58"/>
      <x:c r="K58" t="str">
        <x:v>Laurel</x:v>
      </x:c>
      <x:c r="L58" t="str">
        <x:v>Maryland</x:v>
      </x:c>
      <x:c r="M58" s="24"/>
      <x:c r="N58" t="str">
        <x:v>MD</x:v>
      </x:c>
      <x:c r="O58" s="403" t="str">
        <x:f>IF(OR(K58="",N58=""),"",K58&amp;"|"&amp;N58)</x:f>
        <x:v>Laurel|MD</x:v>
      </x:c>
      <x:c r="P58" t="str">
        <x:v>Completed</x:v>
      </x:c>
      <x:c r="Q58" t="str">
        <x:v>Physical Service Visit</x:v>
      </x:c>
      <x:c r="R58" t="n">
        <x:v>1</x:v>
      </x:c>
      <x:c r="S58" t="str">
        <x:v>5911577</x:v>
      </x:c>
      <x:c r="T58" s="24" t="n">
        <x:v>66.74</x:v>
      </x:c>
      <x:c r="U58" s="403" t="str">
        <x:f>IF(X58="Excluded","Excluded",IF(T58&gt;0,"Eligible","Excluded"))</x:f>
        <x:v>Eligible</x:v>
      </x:c>
      <x:c r="V58" t="str">
        <x:v>No-access visit; onsite approx. 1.5 hours; released by TRG PM Nick; payment breakdown $66.74; ACH pending.</x:v>
      </x:c>
      <x:c r="W58" t="str">
        <x:v>Timeline + Service Calendar + Canonical Ledger</x:v>
      </x:c>
      <x:c r="X58" t="str">
        <x:v>Included</x:v>
      </x:c>
      <x:c r="Y58" s="329"/>
      <x:c r="Z58" s="403" t="str">
        <x:f>IF(X58="","",IF(X58="Excluded","No","Yes"))</x:f>
        <x:v>Yes</x:v>
      </x:c>
    </x:row>
    <x:row r="59">
      <x:c r="A59" t="n">
        <x:v>58</x:v>
      </x:c>
      <x:c r="B59" s="402" t="str">
        <x:f>IF(A59="","","EVT-"&amp;TEXT(A59,"0000"))</x:f>
        <x:v>EVT-0058</x:v>
      </x:c>
      <x:c r="C59" s="35" t="n">
        <x:v>46209</x:v>
      </x:c>
      <x:c r="D59" s="403" t="str">
        <x:f>IF(C59="","",TEXT(C59,"dddd"))</x:f>
        <x:v>Monday</x:v>
      </x:c>
      <x:c r="E59" t="n">
        <x:v>12</x:v>
      </x:c>
      <x:c r="F59" t="str">
        <x:v>MY_MONTH 3</x:v>
      </x:c>
      <x:c r="G59" t="str">
        <x:v>CL-026</x:v>
      </x:c>
      <x:c r="H59" t="str">
        <x:v>Dunkin</x:v>
      </x:c>
      <x:c r="I59" t="str">
        <x:v>Dunkin</x:v>
      </x:c>
      <x:c r="J59"/>
      <x:c r="K59" t="str">
        <x:v>Lutherville</x:v>
      </x:c>
      <x:c r="L59" t="str">
        <x:v>Maryland</x:v>
      </x:c>
      <x:c r="M59" s="24"/>
      <x:c r="N59" t="str">
        <x:v>MD</x:v>
      </x:c>
      <x:c r="O59" s="403" t="str">
        <x:f>IF(OR(K59="",N59=""),"",K59&amp;"|"&amp;N59)</x:f>
        <x:v>Lutherville|MD</x:v>
      </x:c>
      <x:c r="P59" t="str">
        <x:v>Completed</x:v>
      </x:c>
      <x:c r="Q59" t="str">
        <x:v>Physical Service Visit</x:v>
      </x:c>
      <x:c r="R59" t="n">
        <x:v>1</x:v>
      </x:c>
      <x:c r="S59" t="str">
        <x:v>5900780</x:v>
      </x:c>
      <x:c r="T59" s="24" t="n">
        <x:v>202.5</x:v>
      </x:c>
      <x:c r="U59" s="403" t="str">
        <x:f>IF(X59="Excluded","Excluded",IF(T59&gt;0,"Eligible","Excluded"))</x:f>
        <x:v>Eligible</x:v>
      </x:c>
      <x:c r="V59" t="str">
        <x:v>Dunkin Lutherville completed; 3-lane Verifone/PED installation; payment breakdown $202.50; ACH pending.</x:v>
      </x:c>
      <x:c r="W59" t="str">
        <x:v>Timeline + Service Calendar + Canonical Ledger</x:v>
      </x:c>
      <x:c r="X59" t="str">
        <x:v>Included</x:v>
      </x:c>
      <x:c r="Y59" s="329"/>
      <x:c r="Z59" s="403" t="str">
        <x:f>IF(X59="","",IF(X59="Excluded","No","Yes"))</x:f>
        <x:v>Yes</x:v>
      </x:c>
    </x:row>
    <x:row r="60">
      <x:c r="A60" t="n">
        <x:v>59</x:v>
      </x:c>
      <x:c r="B60" s="402" t="str">
        <x:f>IF(A60="","","EVT-"&amp;TEXT(A60,"0000"))</x:f>
        <x:v>EVT-0059</x:v>
      </x:c>
      <x:c r="C60" s="35" t="n">
        <x:v>46210</x:v>
      </x:c>
      <x:c r="D60" s="403" t="str">
        <x:f>IF(C60="","",TEXT(C60,"dddd"))</x:f>
        <x:v>Tuesday</x:v>
      </x:c>
      <x:c r="E60" t="n">
        <x:v>12</x:v>
      </x:c>
      <x:c r="F60" t="str">
        <x:v>MY_MONTH 3</x:v>
      </x:c>
      <x:c r="G60" t="str">
        <x:v>CL-026</x:v>
      </x:c>
      <x:c r="H60" t="str">
        <x:v>Dunkin</x:v>
      </x:c>
      <x:c r="I60" t="str">
        <x:v>Dunkin</x:v>
      </x:c>
      <x:c r="J60"/>
      <x:c r="K60" t="str">
        <x:v>Aberdeen</x:v>
      </x:c>
      <x:c r="L60" t="str">
        <x:v>Maryland</x:v>
      </x:c>
      <x:c r="M60" s="24"/>
      <x:c r="N60" t="str">
        <x:v>MD</x:v>
      </x:c>
      <x:c r="O60" s="403" t="str">
        <x:f>IF(OR(K60="",N60=""),"",K60&amp;"|"&amp;N60)</x:f>
        <x:v>Aberdeen|MD</x:v>
      </x:c>
      <x:c r="P60" t="str">
        <x:v>Completed</x:v>
      </x:c>
      <x:c r="Q60" t="str">
        <x:v>Physical Service Visit</x:v>
      </x:c>
      <x:c r="R60" t="n">
        <x:v>1</x:v>
      </x:c>
      <x:c r="S60" t="str">
        <x:v>5900830</x:v>
      </x:c>
      <x:c r="T60" s="24" t="n">
        <x:v>250</x:v>
      </x:c>
      <x:c r="U60" s="403" t="str">
        <x:f>IF(X60="Excluded","Excluded",IF(T60&gt;0,"Eligible","Excluded"))</x:f>
        <x:v>Eligible</x:v>
      </x:c>
      <x:c r="V60" t="str">
        <x:v>Dunkin Aberdeen completed; 3 lanes + K27 kiosk; extended Verifone validation call; payment breakdown $250.00; ACH pending.</x:v>
      </x:c>
      <x:c r="W60" t="str">
        <x:v>Timeline + Service Calendar + Canonical Ledger</x:v>
      </x:c>
      <x:c r="X60" t="str">
        <x:v>Included</x:v>
      </x:c>
      <x:c r="Y60" s="329"/>
      <x:c r="Z60" s="403" t="str">
        <x:f>IF(X60="","",IF(X60="Excluded","No","Yes"))</x:f>
        <x:v>Yes</x:v>
      </x:c>
    </x:row>
    <x:row r="61">
      <x:c r="A61" t="n">
        <x:v>60</x:v>
      </x:c>
      <x:c r="B61" s="402" t="str">
        <x:f>IF(A61="","","EVT-"&amp;TEXT(A61,"0000"))</x:f>
        <x:v>EVT-0060</x:v>
      </x:c>
      <x:c r="C61" s="35" t="n">
        <x:v>46211</x:v>
      </x:c>
      <x:c r="D61" s="403" t="str">
        <x:f>IF(C61="","",TEXT(C61,"dddd"))</x:f>
        <x:v>Wednesday</x:v>
      </x:c>
      <x:c r="E61" t="n">
        <x:v>12</x:v>
      </x:c>
      <x:c r="F61" t="str">
        <x:v>MY_MONTH 3</x:v>
      </x:c>
      <x:c r="G61" t="str">
        <x:v>CL-027</x:v>
      </x:c>
      <x:c r="H61" t="str">
        <x:v>Carvana</x:v>
      </x:c>
      <x:c r="I61" t="str">
        <x:v>Carvana</x:v>
      </x:c>
      <x:c r="J61"/>
      <x:c r="K61" t="str">
        <x:v>Baltimore</x:v>
      </x:c>
      <x:c r="L61" t="str">
        <x:v>Maryland</x:v>
      </x:c>
      <x:c r="M61" s="24"/>
      <x:c r="N61" t="str">
        <x:v>MD</x:v>
      </x:c>
      <x:c r="O61" s="403" t="str">
        <x:f>IF(OR(K61="",N61=""),"",K61&amp;"|"&amp;N61)</x:f>
        <x:v>Baltimore|MD</x:v>
      </x:c>
      <x:c r="P61" t="str">
        <x:v>Completed</x:v>
      </x:c>
      <x:c r="Q61" t="str">
        <x:v>Same-site multi-WO visit</x:v>
      </x:c>
      <x:c r="R61" t="n">
        <x:v>2</x:v>
      </x:c>
      <x:c r="S61" t="str">
        <x:v>5912364 / 5914049</x:v>
      </x:c>
      <x:c r="T61" s="24"/>
      <x:c r="U61" s="403" t="str">
        <x:f>IF(X61="Excluded","Excluded",IF(T61&gt;0,"Eligible","Excluded"))</x:f>
        <x:v>Excluded</x:v>
      </x:c>
      <x:c r="V61" t="str">
        <x:v>One physical Carvana visit with two work orders: 5914049 firmware resolved 98.00.0C; 5912364 cyan cleanup/blank-page escalation documented. One event, two WOs, $130 total.</x:v>
      </x:c>
      <x:c r="W61" t="str">
        <x:v>Timeline + Service Calendar + Canonical Ledger</x:v>
      </x:c>
      <x:c r="X61" t="str">
        <x:v>Included</x:v>
      </x:c>
      <x:c r="Y61" s="329"/>
      <x:c r="Z61" s="403" t="str">
        <x:f>IF(X61="","",IF(X61="Excluded","No","Yes"))</x:f>
        <x:v>Yes</x:v>
      </x:c>
    </x:row>
    <x:row r="62">
      <x:c r="A62" t="n">
        <x:v>61</x:v>
      </x:c>
      <x:c r="B62" s="402" t="str">
        <x:f>IF(A62="","","EVT-"&amp;TEXT(A62,"0000"))</x:f>
        <x:v>EVT-0061</x:v>
      </x:c>
      <x:c r="C62" s="35" t="n">
        <x:v>46212</x:v>
      </x:c>
      <x:c r="D62" s="403" t="str">
        <x:f>IF(C62="","",TEXT(C62,"dddd"))</x:f>
        <x:v>Thursday</x:v>
      </x:c>
      <x:c r="E62" t="n">
        <x:v>12</x:v>
      </x:c>
      <x:c r="F62" t="str">
        <x:v>MY_MONTH 3</x:v>
      </x:c>
      <x:c r="G62" t="str">
        <x:v>CL-020</x:v>
      </x:c>
      <x:c r="H62" t="str">
        <x:v>TJ Maxx</x:v>
      </x:c>
      <x:c r="I62" t="str">
        <x:v>TJ Maxx</x:v>
      </x:c>
      <x:c r="J62"/>
      <x:c r="K62" t="str">
        <x:v>Germantown</x:v>
      </x:c>
      <x:c r="L62" t="str">
        <x:v>Maryland</x:v>
      </x:c>
      <x:c r="M62" s="24"/>
      <x:c r="N62" t="str">
        <x:v>MD</x:v>
      </x:c>
      <x:c r="O62" s="403" t="str">
        <x:f>IF(OR(K62="",N62=""),"",K62&amp;"|"&amp;N62)</x:f>
        <x:v>Germantown|MD</x:v>
      </x:c>
      <x:c r="P62" t="str">
        <x:v>Completed</x:v>
      </x:c>
      <x:c r="Q62" t="str">
        <x:v>Physical Service Visit</x:v>
      </x:c>
      <x:c r="R62" t="n">
        <x:v>1</x:v>
      </x:c>
      <x:c r="S62" t="str">
        <x:v>5909344</x:v>
      </x:c>
      <x:c r="T62" s="24" t="n">
        <x:v>194.99</x:v>
      </x:c>
      <x:c r="U62" s="403" t="str">
        <x:f>IF(X62="Excluded","Excluded",IF(T62&gt;0,"Eligible","Excluded"))</x:f>
        <x:v>Eligible</x:v>
      </x:c>
      <x:c r="V62" t="str">
        <x:v>TJ Maxx Germantown server refresh completed 2026-07-09. Payment breakdown confirmed at $194.99 with no deductions; expected payment 2026-07-23; ACH pending.</x:v>
      </x:c>
      <x:c r="W62" t="str">
        <x:v>Gmail payment breakdown 2026-07-11 + Timeline + Service Calendar</x:v>
      </x:c>
      <x:c r="X62" t="str">
        <x:v>Included</x:v>
      </x:c>
      <x:c r="Y62" s="329"/>
      <x:c r="Z62" s="403" t="str">
        <x:f>IF(X62="","",IF(X62="Excluded","No","Yes"))</x:f>
        <x:v>Yes</x:v>
      </x:c>
    </x:row>
    <x:row r="63">
      <x:c r="A63" t="n">
        <x:v>62</x:v>
      </x:c>
      <x:c r="B63" s="402" t="str">
        <x:f>IF(A63="","","EVT-"&amp;TEXT(A63,"0000"))</x:f>
        <x:v>EVT-0062</x:v>
      </x:c>
      <x:c r="C63" s="35" t="n">
        <x:v>46212</x:v>
      </x:c>
      <x:c r="D63" s="403" t="str">
        <x:f>IF(C63="","",TEXT(C63,"dddd"))</x:f>
        <x:v>Thursday</x:v>
      </x:c>
      <x:c r="E63" t="n">
        <x:v>12</x:v>
      </x:c>
      <x:c r="F63" t="str">
        <x:v>MY_MONTH 3</x:v>
      </x:c>
      <x:c r="G63" t="str">
        <x:v>CL-020</x:v>
      </x:c>
      <x:c r="H63" t="str">
        <x:v>TJ Maxx</x:v>
      </x:c>
      <x:c r="I63" t="str">
        <x:v>TJ Maxx</x:v>
      </x:c>
      <x:c r="J63"/>
      <x:c r="K63" t="str">
        <x:v>Martinsburg</x:v>
      </x:c>
      <x:c r="L63" t="str">
        <x:v>West Virginia</x:v>
      </x:c>
      <x:c r="M63" s="24"/>
      <x:c r="N63" t="str">
        <x:v>WV</x:v>
      </x:c>
      <x:c r="O63" s="403" t="str">
        <x:f>IF(OR(K63="",N63=""),"",K63&amp;"|"&amp;N63)</x:f>
        <x:v>Martinsburg|WV</x:v>
      </x:c>
      <x:c r="P63" t="str">
        <x:v>Completed</x:v>
      </x:c>
      <x:c r="Q63" t="str">
        <x:v>Physical Service Visit</x:v>
      </x:c>
      <x:c r="R63" t="n">
        <x:v>1</x:v>
      </x:c>
      <x:c r="S63" t="str">
        <x:v>5913868</x:v>
      </x:c>
      <x:c r="T63" s="24" t="n">
        <x:v>100.83</x:v>
      </x:c>
      <x:c r="U63" s="403" t="str">
        <x:f>IF(X63="Excluded","Excluded",IF(T63&gt;0,"Eligible","Excluded"))</x:f>
        <x:v>Eligible</x:v>
      </x:c>
      <x:c r="V63" t="str">
        <x:v>TJ Maxx Martinsburg completed 2026-07-09. Negotiated $150; payment breakdown received for $100.83; variance -$49.17; expected payment 2026-07-23.</x:v>
      </x:c>
      <x:c r="W63" t="str">
        <x:v>Timeline + Service Calendar + Canonical Ledger</x:v>
      </x:c>
      <x:c r="X63" t="str">
        <x:v>Included</x:v>
      </x:c>
      <x:c r="Y63" s="329"/>
      <x:c r="Z63" s="403" t="str">
        <x:f>IF(X63="","",IF(X63="Excluded","No","Yes"))</x:f>
        <x:v>Yes</x:v>
      </x:c>
    </x:row>
    <x:row r="64">
      <x:c r="A64" t="n">
        <x:v>63</x:v>
      </x:c>
      <x:c r="B64" s="403" t="str">
        <x:f>IF(A64="","","EVT-"&amp;TEXT(A64,"0000"))</x:f>
        <x:v>EVT-0063</x:v>
      </x:c>
      <x:c r="C64" s="35" t="n">
        <x:v>46216</x:v>
      </x:c>
      <x:c r="D64" s="403" t="str">
        <x:f>IF(C64="","",TEXT(C64,"dddd"))</x:f>
        <x:v>Monday</x:v>
      </x:c>
      <x:c r="E64" t="n">
        <x:v>13</x:v>
      </x:c>
      <x:c r="F64" t="str">
        <x:v>MY_MONTH 3</x:v>
      </x:c>
      <x:c r="G64" t="str">
        <x:v>CL-022</x:v>
      </x:c>
      <x:c r="H64" t="str">
        <x:v>Marshalls</x:v>
      </x:c>
      <x:c r="I64" t="str">
        <x:v>Marshalls — Hunt Valley Town Center</x:v>
      </x:c>
      <x:c r="J64" t="str">
        <x:v>118 Shawan Rd Ste W</x:v>
      </x:c>
      <x:c r="K64" t="str">
        <x:v>Cockeysville</x:v>
      </x:c>
      <x:c r="L64" t="str">
        <x:v>Maryland</x:v>
      </x:c>
      <x:c r="M64" t="str">
        <x:v>21030</x:v>
      </x:c>
      <x:c r="N64" t="str">
        <x:v>MD</x:v>
      </x:c>
      <x:c r="O64" s="403" t="str">
        <x:f>IF(OR(K64="",N64=""),"",K64&amp;"|"&amp;N64)</x:f>
        <x:v>Cockeysville|MD</x:v>
      </x:c>
      <x:c r="P64" t="str">
        <x:v>Completed</x:v>
      </x:c>
      <x:c r="Q64" t="str">
        <x:v>Physical Service Visit</x:v>
      </x:c>
      <x:c r="R64" t="n">
        <x:v>1</x:v>
      </x:c>
      <x:c r="S64" t="str">
        <x:v>5909368</x:v>
      </x:c>
      <x:c r="T64"/>
      <x:c r="U64" s="403" t="str">
        <x:f>IF(X64="Excluded","Excluded",IF(T64&gt;0,"Eligible","Excluded"))</x:f>
        <x:v>Excluded</x:v>
      </x:c>
      <x:c r="V64" t="str">
        <x:v>Marshalls Cockeysville server refresh completed. Replacement store server installed and validated; front-left sliding rail was corrected during installation. Hourly rate $40; final breakdown pending.</x:v>
      </x:c>
      <x:c r="W64" t="str">
        <x:v>5909368_MarshallsCockeysville.pdf + user-authoritative completion 2026-07-13</x:v>
      </x:c>
      <x:c r="X64" t="str">
        <x:v>Included</x:v>
      </x:c>
      <x:c r="Y64" s="329"/>
      <x:c r="Z64" s="403" t="str">
        <x:f>IF(X64="","",IF(X64="Excluded","No","Yes"))</x:f>
        <x:v>Yes</x:v>
      </x:c>
    </x:row>
    <x:row r="65">
      <x:c r="A65" t="n">
        <x:v>64</x:v>
      </x:c>
      <x:c r="B65" s="403" t="str">
        <x:f>IF(A65="","","EVT-"&amp;TEXT(A65,"0000"))</x:f>
        <x:v>EVT-0064</x:v>
      </x:c>
      <x:c r="C65" s="35" t="n">
        <x:v>46216</x:v>
      </x:c>
      <x:c r="D65" s="403" t="str">
        <x:f>IF(C65="","",TEXT(C65,"dddd"))</x:f>
        <x:v>Monday</x:v>
      </x:c>
      <x:c r="E65" t="n">
        <x:v>13</x:v>
      </x:c>
      <x:c r="F65" t="str">
        <x:v>MY_MONTH 3</x:v>
      </x:c>
      <x:c r="G65" t="str">
        <x:v>CL-022</x:v>
      </x:c>
      <x:c r="H65" t="str">
        <x:v>Marshalls</x:v>
      </x:c>
      <x:c r="I65" t="str">
        <x:v>Marshalls 0764</x:v>
      </x:c>
      <x:c r="J65" t="str">
        <x:v>17646 Garland Groh Blvd</x:v>
      </x:c>
      <x:c r="K65" t="str">
        <x:v>Hagerstown</x:v>
      </x:c>
      <x:c r="L65" t="str">
        <x:v>Maryland</x:v>
      </x:c>
      <x:c r="M65" t="str">
        <x:v>21740</x:v>
      </x:c>
      <x:c r="N65" t="str">
        <x:v>MD</x:v>
      </x:c>
      <x:c r="O65" s="403" t="str">
        <x:f>IF(OR(K65="",N65=""),"",K65&amp;"|"&amp;N65)</x:f>
        <x:v>Hagerstown|MD</x:v>
      </x:c>
      <x:c r="P65" t="str">
        <x:v>Completed</x:v>
      </x:c>
      <x:c r="Q65" t="str">
        <x:v>Physical Service Visit</x:v>
      </x:c>
      <x:c r="R65" t="n">
        <x:v>1</x:v>
      </x:c>
      <x:c r="S65" t="str">
        <x:v>5916961</x:v>
      </x:c>
      <x:c r="T65"/>
      <x:c r="U65" s="403" t="str">
        <x:f>IF(X65="Excluded","Excluded",IF(T65&gt;0,"Eligible","Excluded"))</x:f>
        <x:v>Excluded</x:v>
      </x:c>
      <x:c r="V65" t="str">
        <x:v>Marshalls Hagerstown Register 2 M440 replacement completed. Arrived 12:55 PM; extended onsite time was caused by support unavailability and incorrect IP/gateway values in the ticket. Barrister confirmed documented onsite hours would be paid at $55/hour. Final breakdown pending.</x:v>
      </x:c>
      <x:c r="W65" t="str">
        <x:v>5916961_MarshallsHagerstown.pdf + user-authoritative completion and onsite timeline 2026-07-13</x:v>
      </x:c>
      <x:c r="X65" t="str">
        <x:v>Included</x:v>
      </x:c>
      <x:c r="Y65" s="329"/>
      <x:c r="Z65" s="403" t="str">
        <x:f>IF(X65="","",IF(X65="Excluded","No","Yes"))</x:f>
        <x:v>Yes</x:v>
      </x:c>
    </x:row>
    <x:row r="66">
      <x:c r="A66" t="n">
        <x:v>65</x:v>
      </x:c>
      <x:c r="B66" s="403" t="str">
        <x:f>IF(A66="","","EVT-"&amp;TEXT(A66,"0000"))</x:f>
        <x:v>EVT-0065</x:v>
      </x:c>
      <x:c r="C66" s="35" t="n">
        <x:v>46216</x:v>
      </x:c>
      <x:c r="D66" s="403" t="str">
        <x:f>IF(C66="","",TEXT(C66,"dddd"))</x:f>
        <x:v>Monday</x:v>
      </x:c>
      <x:c r="E66" t="n">
        <x:v>13</x:v>
      </x:c>
      <x:c r="F66" t="str">
        <x:v>MY_MONTH 3</x:v>
      </x:c>
      <x:c r="G66" t="str">
        <x:v>CL-016</x:v>
      </x:c>
      <x:c r="H66" t="str">
        <x:v>HomeGoods</x:v>
      </x:c>
      <x:c r="I66" t="str">
        <x:v>HomeGoods 0652</x:v>
      </x:c>
      <x:c r="J66" t="str">
        <x:v>606 Quince Orchard Road</x:v>
      </x:c>
      <x:c r="K66" t="str">
        <x:v>Gaithersburg</x:v>
      </x:c>
      <x:c r="L66" t="str">
        <x:v>Maryland</x:v>
      </x:c>
      <x:c r="M66" t="str">
        <x:v>20878</x:v>
      </x:c>
      <x:c r="N66" t="str">
        <x:v>MD</x:v>
      </x:c>
      <x:c r="O66" s="403" t="str">
        <x:f>IF(OR(K66="",N66=""),"",K66&amp;"|"&amp;N66)</x:f>
        <x:v>Gaithersburg|MD</x:v>
      </x:c>
      <x:c r="P66" t="str">
        <x:v>Completed</x:v>
      </x:c>
      <x:c r="Q66" t="str">
        <x:v>Physical Service Visit</x:v>
      </x:c>
      <x:c r="R66" t="n">
        <x:v>1</x:v>
      </x:c>
      <x:c r="S66" t="str">
        <x:v>5917407</x:v>
      </x:c>
      <x:c r="T66"/>
      <x:c r="U66" s="403" t="str">
        <x:f>IF(X66="Excluded","Excluded",IF(T66&gt;0,"Eligible","Excluded"))</x:f>
        <x:v>Excluded</x:v>
      </x:c>
      <x:c r="V66" t="str">
        <x:v>HomeGoods Gaithersburg Register 5 completed. The original 12V PoweredUSB cable was defective; replacement restored power. The original pin pad then displayed a persistent white/blue screen. Verifone approved replacement after an initial support wait of about 25 minutes. The support call disconnected during updates, followed by another 15+ minute wait before callback. The replacement pin pad was updated, registered, securely installed, and verified with a successful test transaction. Original pin pad S/N 451-859-314. Hourly rate $50; final breakdown pending.</x:v>
      </x:c>
      <x:c r="W66" t="str">
        <x:v>User-authoritative completion 2026-07-13 + ticket details + Slack/photo evidence</x:v>
      </x:c>
      <x:c r="X66" t="str">
        <x:v>Included</x:v>
      </x:c>
      <x:c r="Y66" s="329"/>
      <x:c r="Z66" s="403" t="str">
        <x:f>IF(X66="","",IF(X66="Excluded","No","Yes"))</x:f>
        <x:v>Yes</x:v>
      </x:c>
    </x:row>
    <x:row r="67">
      <x:c r="A67" t="n">
        <x:v>66</x:v>
      </x:c>
      <x:c r="B67" t="str">
        <x:f>IF(A67="","","EVT-"&amp;TEXT(A67,"0000"))</x:f>
        <x:v>EVT-0066</x:v>
      </x:c>
      <x:c r="C67" s="35" t="n">
        <x:v>46217</x:v>
      </x:c>
      <x:c r="D67" t="str">
        <x:f>IF(C67="","",TEXT(C67,"dddd"))</x:f>
        <x:v>Tuesday</x:v>
      </x:c>
      <x:c r="E67" t="n">
        <x:v>13</x:v>
      </x:c>
      <x:c r="F67" t="str">
        <x:v>MY_MONTH 3</x:v>
      </x:c>
      <x:c r="G67" t="str">
        <x:v>CL-020</x:v>
      </x:c>
      <x:c r="H67" t="str">
        <x:v>TJ Maxx</x:v>
      </x:c>
      <x:c r="I67" t="str">
        <x:v>TJ Maxx — Tollgate Mall</x:v>
      </x:c>
      <x:c r="J67" t="str">
        <x:v>615 Bel Air Road</x:v>
      </x:c>
      <x:c r="K67" t="str">
        <x:v>Bel Air</x:v>
      </x:c>
      <x:c r="L67" t="str">
        <x:v>Maryland</x:v>
      </x:c>
      <x:c r="M67" t="str">
        <x:v>21014</x:v>
      </x:c>
      <x:c r="N67" t="str">
        <x:v>MD</x:v>
      </x:c>
      <x:c r="O67" t="str">
        <x:f>IF(OR(K67="",N67=""),"",K67&amp;"|"&amp;N67)</x:f>
        <x:v>Bel Air|MD</x:v>
      </x:c>
      <x:c r="P67" t="str">
        <x:v>Completed</x:v>
      </x:c>
      <x:c r="Q67" t="str">
        <x:v>Physical Service Visit</x:v>
      </x:c>
      <x:c r="R67" t="n">
        <x:v>1</x:v>
      </x:c>
      <x:c r="S67" t="str">
        <x:v>5909385</x:v>
      </x:c>
      <x:c r="T67"/>
      <x:c r="U67" t="str">
        <x:f>IF(X67="Excluded","Excluded",IF(T67&gt;0,"Eligible","Excluded"))</x:f>
        <x:v>Excluded</x:v>
      </x:c>
      <x:c r="V67" t="str">
        <x:v>TJ Maxx Bel Air server refresh completed. Installed the NextGen 11 server in available rack space after labeling the VH1 and VH2 cabling. NCR completed the HDD/data migration and the replacement server came online successfully. All required functions were validated. VH1 was decommissioned, boxed, labeled, and prepared for return with shipping labels. No Mood Media, Tripplite, or Frontline equipment was installed. New server S/N 2M2D3000F3; asset tag A929164. MOD Lori Fox. Hourly rate $45; final payment breakdown pending.</x:v>
      </x:c>
      <x:c r="W67" t="str">
        <x:v>WO 5909385 RFS + FastField/photo evidence + user-authoritative completion 2026-07-14</x:v>
      </x:c>
      <x:c r="X67" t="str">
        <x:v>Included</x:v>
      </x:c>
      <x:c r="Y67"/>
      <x:c r="Z67" t="str">
        <x:f>IF(X67="","",IF(X67="Excluded","No","Yes"))</x:f>
        <x:v>Yes</x:v>
      </x:c>
    </x:row>
    <x:row r="68">
      <x:c r="A68" t="n">
        <x:v>67</x:v>
      </x:c>
      <x:c r="B68" t="str">
        <x:f>IF(A68="","","EVT-"&amp;TEXT(A68,"0000"))</x:f>
        <x:v>EVT-0067</x:v>
      </x:c>
      <x:c r="C68" s="35" t="n">
        <x:v>46217</x:v>
      </x:c>
      <x:c r="D68" t="str">
        <x:f>IF(C68="","",TEXT(C68,"dddd"))</x:f>
        <x:v>Tuesday</x:v>
      </x:c>
      <x:c r="E68" t="n">
        <x:v>13</x:v>
      </x:c>
      <x:c r="F68" t="str">
        <x:v>MY_MONTH 3</x:v>
      </x:c>
      <x:c r="G68" t="str">
        <x:v>CL-026</x:v>
      </x:c>
      <x:c r="H68" t="str">
        <x:v>Dunkin</x:v>
      </x:c>
      <x:c r="I68" t="str">
        <x:v>Dunkin Donuts #342406</x:v>
      </x:c>
      <x:c r="J68" t="str">
        <x:v>645 S. Philadelphia Blvd</x:v>
      </x:c>
      <x:c r="K68" t="str">
        <x:v>Aberdeen</x:v>
      </x:c>
      <x:c r="L68" t="str">
        <x:v>Maryland</x:v>
      </x:c>
      <x:c r="M68" t="str">
        <x:v>21001</x:v>
      </x:c>
      <x:c r="N68" t="str">
        <x:v>MD</x:v>
      </x:c>
      <x:c r="O68" t="str">
        <x:f>IF(OR(K68="",N68=""),"",K68&amp;"|"&amp;N68)</x:f>
        <x:v>Aberdeen|MD</x:v>
      </x:c>
      <x:c r="P68" t="str">
        <x:v>Completed</x:v>
      </x:c>
      <x:c r="Q68" t="str">
        <x:v>Physical Service Visit</x:v>
      </x:c>
      <x:c r="R68" t="n">
        <x:v>1</x:v>
      </x:c>
      <x:c r="S68" t="str">
        <x:v>5914898</x:v>
      </x:c>
      <x:c r="T68" t="n">
        <x:v>183.74</x:v>
      </x:c>
      <x:c r="U68" t="str">
        <x:f>IF(X68="Excluded","Excluded",IF(T68&gt;0,"Eligible","Excluded"))</x:f>
        <x:v>Eligible</x:v>
      </x:c>
      <x:c r="V68" t="str">
        <x:v>Dunkin Aberdeen return visit completed. Continued troubleshooting the K27 kiosk issue. Verifone kept the technician on an extended support call and contacted the third-party kiosk provider, which advised that no technician was available and the issue required escalation to the United Service Desk. At the United Service Desk's direction, additional troubleshooting was completed, including rebooting POS 1 despite the issue remaining isolated to Kiosk 1. The unresolved kiosk issue was escalated for additional follow-up/dispatch, and support formally released the technician from site. Payment breakdown confirmed at $183.74 with no deductions; expected payment 2026-07-28; ACH pending.</x:v>
      </x:c>
      <x:c r="W68" t="str">
        <x:v>WO 5914898 RFS + user-authoritative completion + Gmail payment breakdown 2026-07-14</x:v>
      </x:c>
      <x:c r="X68" t="str">
        <x:v>Included</x:v>
      </x:c>
      <x:c r="Y68"/>
      <x:c r="Z68" t="str">
        <x:f>IF(X68="","",IF(X68="Excluded","No","Yes"))</x:f>
        <x:v>Yes</x:v>
      </x:c>
    </x:row>
    <x:row r="69">
      <x:c r="A69" t="n">
        <x:v>68</x:v>
      </x:c>
      <x:c r="B69" t="str">
        <x:v>EVT-0068</x:v>
      </x:c>
      <x:c r="C69" t="n">
        <x:v>46218</x:v>
      </x:c>
      <x:c r="D69" t="str">
        <x:v>Wednesday</x:v>
      </x:c>
      <x:c r="E69" t="n">
        <x:v>13</x:v>
      </x:c>
      <x:c r="F69" t="str">
        <x:v>MY_MONTH 3</x:v>
      </x:c>
      <x:c r="G69" t="str">
        <x:v>CL-026</x:v>
      </x:c>
      <x:c r="H69" t="str">
        <x:v>Dunkin</x:v>
      </x:c>
      <x:c r="I69" t="str">
        <x:v>Dunkin — Fallston</x:v>
      </x:c>
      <x:c r="J69"/>
      <x:c r="K69" t="str">
        <x:v>Fallston</x:v>
      </x:c>
      <x:c r="L69" t="str">
        <x:v>Maryland</x:v>
      </x:c>
      <x:c r="M69"/>
      <x:c r="N69" t="str">
        <x:v>MD</x:v>
      </x:c>
      <x:c r="O69" t="str">
        <x:v>Fallston|MD</x:v>
      </x:c>
      <x:c r="P69" t="str">
        <x:v>Completed</x:v>
      </x:c>
      <x:c r="Q69" t="str">
        <x:v>Physical Service Visit</x:v>
      </x:c>
      <x:c r="R69" t="n">
        <x:v>1</x:v>
      </x:c>
      <x:c r="S69" t="str">
        <x:v>5900854</x:v>
      </x:c>
      <x:c r="T69" t="n">
        <x:v>350</x:v>
      </x:c>
      <x:c r="U69" t="str">
        <x:v>Eligible</x:v>
      </x:c>
      <x:c r="V69" t="str">
        <x:v>Dunkin Fallston visit completed. Payment breakdown confirmed at $350.00; Speed ACH expected 2026-07-29.</x:v>
      </x:c>
      <x:c r="W69" t="str">
        <x:v>User-authoritative completion + Gmail payment breakdown</x:v>
      </x:c>
      <x:c r="X69" t="str">
        <x:v>Included</x:v>
      </x:c>
      <x:c r="Y69"/>
      <x:c r="Z69" t="str">
        <x:v>Yes</x:v>
      </x:c>
    </x:row>
    <x:row r="70">
      <x:c r="A70" t="n">
        <x:v>69</x:v>
      </x:c>
      <x:c r="B70" t="str">
        <x:v>EVT-0069</x:v>
      </x:c>
      <x:c r="C70" t="n">
        <x:v>46219</x:v>
      </x:c>
      <x:c r="D70" t="str">
        <x:v>Thursday</x:v>
      </x:c>
      <x:c r="E70" t="n">
        <x:v>13</x:v>
      </x:c>
      <x:c r="F70" t="str">
        <x:v>MY_MONTH 3</x:v>
      </x:c>
      <x:c r="G70" t="str">
        <x:v>CL-020</x:v>
      </x:c>
      <x:c r="H70" t="str">
        <x:v>TJ Maxx</x:v>
      </x:c>
      <x:c r="I70" t="str">
        <x:v>TJ Maxx — Columbia</x:v>
      </x:c>
      <x:c r="J70"/>
      <x:c r="K70" t="str">
        <x:v>Columbia</x:v>
      </x:c>
      <x:c r="L70" t="str">
        <x:v>Maryland</x:v>
      </x:c>
      <x:c r="M70"/>
      <x:c r="N70" t="str">
        <x:v>MD</x:v>
      </x:c>
      <x:c r="O70" t="str">
        <x:v>Columbia|MD</x:v>
      </x:c>
      <x:c r="P70" t="str">
        <x:v>Completed</x:v>
      </x:c>
      <x:c r="Q70" t="str">
        <x:v>Physical Service Visit</x:v>
      </x:c>
      <x:c r="R70" t="n">
        <x:v>1</x:v>
      </x:c>
      <x:c r="S70" t="str">
        <x:v>5909418</x:v>
      </x:c>
      <x:c r="T70"/>
      <x:c r="U70" t="str">
        <x:v>Excluded</x:v>
      </x:c>
      <x:c r="V70" t="str">
        <x:v>TJ Maxx Columbia visit completed. Hourly rate $40.00; final payment breakdown pending.</x:v>
      </x:c>
      <x:c r="W70" t="str">
        <x:v>User-authoritative completion + ticket details</x:v>
      </x:c>
      <x:c r="X70" t="str">
        <x:v>Included</x:v>
      </x:c>
      <x:c r="Y70"/>
      <x:c r="Z70" t="str">
        <x:v>Yes</x:v>
      </x:c>
    </x:row>
    <x:row r="71">
      <x:c r="A71" t="n">
        <x:v>70</x:v>
      </x:c>
      <x:c r="B71" t="str">
        <x:v>EVT-0070</x:v>
      </x:c>
      <x:c r="C71" t="n">
        <x:v>46219</x:v>
      </x:c>
      <x:c r="D71" t="str">
        <x:v>Thursday</x:v>
      </x:c>
      <x:c r="E71" t="n">
        <x:v>13</x:v>
      </x:c>
      <x:c r="F71" t="str">
        <x:v>MY_MONTH 3</x:v>
      </x:c>
      <x:c r="G71" t="str">
        <x:v>CL-007</x:v>
      </x:c>
      <x:c r="H71" t="str">
        <x:v>Giant Food Stores</x:v>
      </x:c>
      <x:c r="I71" t="str">
        <x:v>Giant Food — Olney</x:v>
      </x:c>
      <x:c r="J71"/>
      <x:c r="K71" t="str">
        <x:v>Olney</x:v>
      </x:c>
      <x:c r="L71" t="str">
        <x:v>Maryland</x:v>
      </x:c>
      <x:c r="M71"/>
      <x:c r="N71" t="str">
        <x:v>MD</x:v>
      </x:c>
      <x:c r="O71" t="str">
        <x:v>Olney|MD</x:v>
      </x:c>
      <x:c r="P71" t="str">
        <x:v>Completed</x:v>
      </x:c>
      <x:c r="Q71" t="str">
        <x:v>Physical Service Visit</x:v>
      </x:c>
      <x:c r="R71" t="n">
        <x:v>1</x:v>
      </x:c>
      <x:c r="S71" t="str">
        <x:v>5918899</x:v>
      </x:c>
      <x:c r="T71"/>
      <x:c r="U71" t="str">
        <x:v>Excluded</x:v>
      </x:c>
      <x:c r="V71" t="str">
        <x:v>Giant Food Olney HCL network troubleshooting completed and technician released. Roof and server-room cabling were traced and tested; final payment breakdown pending.</x:v>
      </x:c>
      <x:c r="W71" t="str">
        <x:v>User-authoritative completion + onsite troubleshooting notes</x:v>
      </x:c>
      <x:c r="X71" t="str">
        <x:v>Included</x:v>
      </x:c>
      <x:c r="Y71"/>
      <x:c r="Z71" t="str">
        <x:v>Yes</x:v>
      </x:c>
    </x:row>
    <x:row r="72">
      <x:c r="A72" t="n">
        <x:v>71</x:v>
      </x:c>
      <x:c r="B72" t="str">
        <x:v>EVT-0071</x:v>
      </x:c>
      <x:c r="C72" t="n">
        <x:v>46220</x:v>
      </x:c>
      <x:c r="D72" t="str">
        <x:v>Friday</x:v>
      </x:c>
      <x:c r="E72" t="n">
        <x:v>13</x:v>
      </x:c>
      <x:c r="F72" t="str">
        <x:v>MY_MONTH 3</x:v>
      </x:c>
      <x:c r="G72" t="str">
        <x:v>CL-028</x:v>
      </x:c>
      <x:c r="H72" t="str">
        <x:v>WeWork</x:v>
      </x:c>
      <x:c r="I72" t="str">
        <x:v>WeWork DC18</x:v>
      </x:c>
      <x:c r="J72" t="str">
        <x:v>200 Massachusetts Ave NW</x:v>
      </x:c>
      <x:c r="K72" t="str">
        <x:v>Washington</x:v>
      </x:c>
      <x:c r="L72" t="str">
        <x:v>Washington, DC</x:v>
      </x:c>
      <x:c r="M72" t="str">
        <x:v>20001</x:v>
      </x:c>
      <x:c r="N72" t="str">
        <x:v>DC</x:v>
      </x:c>
      <x:c r="O72" t="str">
        <x:v>Washington|DC</x:v>
      </x:c>
      <x:c r="P72" t="str">
        <x:v>Completed</x:v>
      </x:c>
      <x:c r="Q72" t="str">
        <x:v>Physical Service Visit</x:v>
      </x:c>
      <x:c r="R72" t="n">
        <x:v>1</x:v>
      </x:c>
      <x:c r="S72" t="str">
        <x:v>5918348</x:v>
      </x:c>
      <x:c r="T72"/>
      <x:c r="U72" t="str">
        <x:v>Excluded</x:v>
      </x:c>
      <x:c r="V72" t="str">
        <x:v>WeWork DC18 morning assignment completed. APP-2100-80-BT installation assignment; hourly rate $45.00 via ACH; final payment breakdown pending.</x:v>
      </x:c>
      <x:c r="W72" t="str">
        <x:v>WO 5918348 ticket details + user-authoritative completion</x:v>
      </x:c>
      <x:c r="X72" t="str">
        <x:v>Included</x:v>
      </x:c>
      <x:c r="Y72"/>
      <x:c r="Z72" t="str">
        <x:v>Yes</x:v>
      </x:c>
    </x:row>
    <x:row r="73">
      <x:c r="A73" t="n">
        <x:v>72</x:v>
      </x:c>
      <x:c r="B73" t="str">
        <x:v>EVT-0072</x:v>
      </x:c>
      <x:c r="C73" t="n">
        <x:v>46220</x:v>
      </x:c>
      <x:c r="D73" t="str">
        <x:v>Friday</x:v>
      </x:c>
      <x:c r="E73" t="n">
        <x:v>13</x:v>
      </x:c>
      <x:c r="F73" t="str">
        <x:v>MY_MONTH 3</x:v>
      </x:c>
      <x:c r="G73" t="str">
        <x:v>CL-029</x:v>
      </x:c>
      <x:c r="H73" t="str">
        <x:v>Miramar</x:v>
      </x:c>
      <x:c r="I73" t="str">
        <x:v>Hebrew Home of Greater Washington</x:v>
      </x:c>
      <x:c r="J73"/>
      <x:c r="K73" t="str">
        <x:v>North Bethesda</x:v>
      </x:c>
      <x:c r="L73" t="str">
        <x:v>Maryland</x:v>
      </x:c>
      <x:c r="M73"/>
      <x:c r="N73" t="str">
        <x:v>MD</x:v>
      </x:c>
      <x:c r="O73" t="str">
        <x:v>North Bethesda|MD</x:v>
      </x:c>
      <x:c r="P73" t="str">
        <x:v>Completed</x:v>
      </x:c>
      <x:c r="Q73" t="str">
        <x:v>Physical Service Visit</x:v>
      </x:c>
      <x:c r="R73" t="n">
        <x:v>1</x:v>
      </x:c>
      <x:c r="S73" t="str">
        <x:v>5913115</x:v>
      </x:c>
      <x:c r="T73"/>
      <x:c r="U73" t="str">
        <x:v>Excluded</x:v>
      </x:c>
      <x:c r="V73" t="str">
        <x:v>Miramar ticket at Hebrew Home closed by the client system after technician arrival and escalation. Promised flat rate $50.00 Speed ACH; completed chronology, but compensation classification and payment breakdown remain unresolved.</x:v>
      </x:c>
      <x:c r="W73" t="str">
        <x:v>WO 5913115 + user-authoritative closed-ticket completion + Omnicare/Eric call notes</x:v>
      </x:c>
      <x:c r="X73" t="str">
        <x:v>Included</x:v>
      </x:c>
      <x:c r="Y73"/>
      <x:c r="Z73" t="str">
        <x:v>Yes</x:v>
      </x:c>
    </x:row>
  </x:sheetData>
  <x:conditionalFormatting sqref="I2:I63">
    <x:cfRule type="expression" dxfId="3" priority="1">
      <x:formula>I2="Completed"</x:formula>
    </x:cfRule>
  </x:conditionalFormatting>
  <x:conditionalFormatting sqref="P2:P66">
    <x:cfRule type="expression" dxfId="49" priority="2">
      <x:formula>$P2="Completed"</x:formula>
    </x:cfRule>
    <x:cfRule type="expression" dxfId="50" priority="3">
      <x:formula>$P2="Scheduled"</x:formula>
    </x:cfRule>
    <x:cfRule type="expression" dxfId="51" priority="4">
      <x:formula>OR($P2="Cancelled",$P2="Dispatched/Reassigned")</x:formula>
    </x:cfRule>
    <x:cfRule type="expression" dxfId="52" priority="5">
      <x:formula>OR($P2="Incomplete",$P2="No Access",$P2="Failed")</x:formula>
    </x:cfRule>
  </x:conditionalFormatting>
  <x:conditionalFormatting sqref="T2:T66">
    <x:cfRule type="expression" dxfId="53" priority="6">
      <x:formula>AND($X2="Included",$Z2="Yes",$U2="Eligible")</x:formula>
    </x:cfRule>
    <x:cfRule type="expression" dxfId="54" priority="7">
      <x:formula>AND($X2="Included",$Z2="Yes",$U2="Excluded")</x:formula>
    </x:cfRule>
    <x:cfRule type="expression" dxfId="55" priority="8">
      <x:formula>$X2="Excluded"</x:formula>
    </x:cfRule>
  </x:conditionalFormatting>
  <x:conditionalFormatting sqref="U2:U66">
    <x:cfRule type="expression" dxfId="56" priority="9">
      <x:formula>$U2="Eligible"</x:formula>
    </x:cfRule>
    <x:cfRule type="expression" dxfId="57" priority="10">
      <x:formula>AND($U2="Excluded",$X2="Included")</x:formula>
    </x:cfRule>
    <x:cfRule type="expression" dxfId="58" priority="11">
      <x:formula>$X2="Excluded"</x:formula>
    </x:cfRule>
  </x:conditionalFormatting>
  <x:conditionalFormatting sqref="V2:W66">
    <x:cfRule type="expression" dxfId="59" priority="12">
      <x:formula>AND($X2="Included",$Z2="Yes",$U2="Excluded")</x:formula>
    </x:cfRule>
    <x:cfRule type="expression" dxfId="60" priority="13">
      <x:formula>$X2="Excluded"</x:formula>
    </x:cfRule>
  </x:conditionalFormatting>
  <x:conditionalFormatting sqref="X2:X66">
    <x:cfRule type="expression" dxfId="61" priority="14">
      <x:formula>$X2="Included"</x:formula>
    </x:cfRule>
    <x:cfRule type="expression" dxfId="62" priority="15">
      <x:formula>$X2="Excluded"</x:formula>
    </x:cfRule>
  </x:conditionalFormatting>
  <x:conditionalFormatting sqref="Y2:Y66">
    <x:cfRule type="expression" dxfId="63" priority="16">
      <x:formula>$X2="Excluded"</x:formula>
    </x:cfRule>
  </x:conditionalFormatting>
  <x:conditionalFormatting sqref="Z2:Z66">
    <x:cfRule type="expression" dxfId="64" priority="17">
      <x:formula>$Z2="Yes"</x:formula>
    </x:cfRule>
    <x:cfRule type="expression" dxfId="65" priority="18">
      <x:formula>$Z2="No"</x:formula>
    </x:cfRule>
  </x:conditionalFormatting>
  <x:dataValidations count="7">
    <x:dataValidation type="list" sqref="I2:I63">
      <x:formula1>"Completed,Scheduled,Cancelled,No Access,Closed"</x:formula1>
    </x:dataValidation>
    <x:dataValidation type="list" sqref="J2:J63">
      <x:formula1>"Physical Service Visit,Same-site multi-WO visit,Project Deployment,Repair,Install,No Access"</x:formula1>
    </x:dataValidation>
    <x:dataValidation type="list" sqref="P2:P63">
      <x:formula1>"Completed,Scheduled,Cancelled,No Access,Closed"</x:formula1>
    </x:dataValidation>
    <x:dataValidation type="list" sqref="Q2:Q63">
      <x:formula1>"Physical Service Visit,Same-site multi-WO visit,Project Deployment,Repair,Install,No Access"</x:formula1>
    </x:dataValidation>
    <x:dataValidation type="list" sqref="X2:X500">
      <x:formula1>"Included,Excluded"</x:formula1>
    </x:dataValidation>
    <x:dataValidation type="list" sqref="Z2:Z500">
      <x:formula1>"Yes,No"</x:formula1>
    </x:dataValidation>
    <x:dataValidation type="list" sqref="U2:U500">
      <x:formula1>"Eligible,Excluded"</x:formula1>
    </x:dataValidation>
  </x:dataValidations>
  <x:pageMargins left="0.7" right="0.7" top="0.75" bottom="0.75" header="0.3" footer="0.3"/>
  <x:tableParts count="1">
    <x:tablePart xmlns:r="http://schemas.openxmlformats.org/officeDocument/2006/relationships" r:id="R68073d3d7187425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10" hidden="0" customWidth="1"/>
    <x:col min="4" max="4" width="18" hidden="0" customWidth="1"/>
    <x:col min="5" max="5" width="12" hidden="0" customWidth="1"/>
    <x:col min="6" max="6" width="28" hidden="0" customWidth="1"/>
    <x:col min="7" max="7" width="13" hidden="0" customWidth="1"/>
    <x:col min="8" max="8" width="12" hidden="0" customWidth="1"/>
    <x:col min="9" max="9" width="24" hidden="0" customWidth="1"/>
    <x:col min="10" max="10" width="22" hidden="0" customWidth="1"/>
    <x:col min="11" max="11" width="18" hidden="0" customWidth="1"/>
    <x:col min="12" max="12" width="18" hidden="0" customWidth="1"/>
    <x:col min="13" max="13" width="10" hidden="0" customWidth="1"/>
    <x:col min="14" max="14" width="14" hidden="0" customWidth="1"/>
    <x:col min="15" max="15" width="22" hidden="0" customWidth="1"/>
    <x:col min="16" max="16" width="14" hidden="0" customWidth="1"/>
    <x:col min="17" max="17" width="14" hidden="0" customWidth="1"/>
    <x:col min="18" max="18" width="18" hidden="0" customWidth="1"/>
    <x:col min="19" max="19" width="16" hidden="0" customWidth="1"/>
    <x:col min="20" max="20" width="13" hidden="0" customWidth="1"/>
    <x:col min="21" max="21" width="16" hidden="0" customWidth="1"/>
    <x:col min="22" max="22" width="15" hidden="0" customWidth="1"/>
    <x:col min="23" max="23" width="14" hidden="0" customWidth="1"/>
    <x:col min="24" max="24" width="13" hidden="0" customWidth="1"/>
    <x:col min="25" max="25" width="14" hidden="0" customWidth="1"/>
    <x:col min="26" max="26" width="24" hidden="0" customWidth="1"/>
    <x:col min="27" max="27" width="20" hidden="0" customWidth="1"/>
    <x:col min="28" max="28" width="28" hidden="0" customWidth="1"/>
    <x:col min="29" max="29" width="44" hidden="0" customWidth="1"/>
    <x:col min="30" max="30" width="30" hidden="0" customWidth="1"/>
  </x:cols>
  <x:sheetData>
    <x:row r="1">
      <x:c r="A1" s="55" t="str">
        <x:v>Ledger Record ID</x:v>
      </x:c>
      <x:c r="B1" s="55" t="str">
        <x:v>Work Order #</x:v>
      </x:c>
      <x:c r="C1" s="55" t="str">
        <x:v>Event #</x:v>
      </x:c>
      <x:c r="D1" s="55" t="str">
        <x:v>Candidate Event(s)</x:v>
      </x:c>
      <x:c r="E1" s="55" t="str">
        <x:v>Client ID</x:v>
      </x:c>
      <x:c r="F1" s="55" t="str">
        <x:v>Client</x:v>
      </x:c>
      <x:c r="G1" s="55" t="str">
        <x:v>Service Date</x:v>
      </x:c>
      <x:c r="H1" s="55" t="str">
        <x:v>Weekday</x:v>
      </x:c>
      <x:c r="I1" s="55" t="str">
        <x:v>Site Name</x:v>
      </x:c>
      <x:c r="J1" s="55" t="str">
        <x:v>Address</x:v>
      </x:c>
      <x:c r="K1" s="55" t="str">
        <x:v>City</x:v>
      </x:c>
      <x:c r="L1" s="55" t="str">
        <x:v>State</x:v>
      </x:c>
      <x:c r="M1" s="55" t="str">
        <x:v>ZIP</x:v>
      </x:c>
      <x:c r="N1" s="55" t="str">
        <x:v>Jurisdiction</x:v>
      </x:c>
      <x:c r="O1" s="55" t="str">
        <x:v>Location Key</x:v>
      </x:c>
      <x:c r="P1" s="55" t="str">
        <x:v>Agreed Amount</x:v>
      </x:c>
      <x:c r="Q1" s="55" t="str">
        <x:v>Pay Type</x:v>
      </x:c>
      <x:c r="R1" s="55" t="str">
        <x:v>Breakdown Confirmed</x:v>
      </x:c>
      <x:c r="S1" s="55" t="str">
        <x:v>Breakdown Amount</x:v>
      </x:c>
      <x:c r="T1" s="55" t="str">
        <x:v>Breakdown Date</x:v>
      </x:c>
      <x:c r="U1" s="55" t="str">
        <x:v>Expected Payment Date</x:v>
      </x:c>
      <x:c r="V1" s="55" t="str">
        <x:v>ACH Confirmed</x:v>
      </x:c>
      <x:c r="W1" s="55" t="str">
        <x:v>ACH Amount</x:v>
      </x:c>
      <x:c r="X1" s="55" t="str">
        <x:v>ACH Date</x:v>
      </x:c>
      <x:c r="Y1" s="55" t="str">
        <x:v>Variance</x:v>
      </x:c>
      <x:c r="Z1" s="55" t="str">
        <x:v>Reconciliation Status</x:v>
      </x:c>
      <x:c r="AA1" s="55" t="str">
        <x:v>Mapping Status</x:v>
      </x:c>
      <x:c r="AB1" s="55" t="str">
        <x:v>Alias / Related WO</x:v>
      </x:c>
      <x:c r="AC1" s="55" t="str">
        <x:v>Notes</x:v>
      </x:c>
      <x:c r="AD1" s="55" t="str">
        <x:v>Source / Evidence</x:v>
      </x:c>
      <x:c r="AE1" s="52"/>
    </x:row>
    <x:row r="2">
      <x:c r="A2" t="str">
        <x:v>LED-0001</x:v>
      </x:c>
      <x:c r="B2" t="str">
        <x:v>5847113</x:v>
      </x:c>
      <x:c r="C2" t="n">
        <x:v>1</x:v>
      </x:c>
      <x:c r="D2" s="35"/>
      <x:c r="E2" t="str">
        <x:v>CL-001</x:v>
      </x:c>
      <x:c r="F2" t="str">
        <x:v>Macy's</x:v>
      </x:c>
      <x:c r="G2" s="35" t="n">
        <x:v>46132</x:v>
      </x:c>
      <x:c r="H2" s="404" t="str">
        <x:f>IF(G2="","",TEXT(G2,"dddd"))</x:f>
        <x:v>Monday</x:v>
      </x:c>
      <x:c r="I2" t="str">
        <x:v>Macy's</x:v>
      </x:c>
      <x:c r="J2"/>
      <x:c r="K2" s="24" t="str">
        <x:v>Fairfax</x:v>
      </x:c>
      <x:c r="L2" s="35" t="str">
        <x:v>Virginia</x:v>
      </x:c>
      <x:c r="M2" s="35"/>
      <x:c r="N2" t="str">
        <x:v>VA</x:v>
      </x:c>
      <x:c r="O2" s="404" t="str">
        <x:f>IF(OR(K2="",N2=""),"",K2&amp;"|"&amp;N2)</x:f>
        <x:v>Fairfax|VA</x:v>
      </x:c>
      <x:c r="P2" s="24"/>
      <x:c r="Q2" s="24"/>
      <x:c r="R2" t="str">
        <x:v>Yes</x:v>
      </x:c>
      <x:c r="S2" s="24" t="n">
        <x:v>90</x:v>
      </x:c>
      <x:c r="T2" s="35"/>
      <x:c r="U2" s="35"/>
      <x:c r="V2" t="str">
        <x:v>Yes</x:v>
      </x:c>
      <x:c r="W2" s="24" t="n">
        <x:v>90</x:v>
      </x:c>
      <x:c r="X2" s="35"/>
      <x:c r="Y2" s="404" t="str">
        <x:f>IF(OR(NOT(ISNUMBER(P2)),NOT(ISNUMBER(S2))),"",ROUND(S2-P2,2))</x:f>
      </x:c>
      <x:c r="Z2" t="str">
        <x:v>Complete with note</x:v>
      </x:c>
      <x:c r="AA2" t="str">
        <x:v>Unique</x:v>
      </x:c>
      <x:c r="AB2"/>
      <x:c r="AC2" t="str">
        <x:v>VA model from prior approved calculation.</x:v>
      </x:c>
      <x:c r="AD2" t="str">
        <x:v>WO Alias Index + Canonical Ledger</x:v>
      </x:c>
    </x:row>
    <x:row r="3">
      <x:c r="A3" t="str">
        <x:v>LED-0002</x:v>
      </x:c>
      <x:c r="B3" t="str">
        <x:v>5860365</x:v>
      </x:c>
      <x:c r="C3" t="n">
        <x:v>2</x:v>
      </x:c>
      <x:c r="D3" s="35"/>
      <x:c r="E3" t="str">
        <x:v>CL-002</x:v>
      </x:c>
      <x:c r="F3" t="str">
        <x:v>Bloomingdale's</x:v>
      </x:c>
      <x:c r="G3" s="35" t="n">
        <x:v>46133</x:v>
      </x:c>
      <x:c r="H3" s="404" t="str">
        <x:f>IF(G3="","",TEXT(G3,"dddd"))</x:f>
        <x:v>Tuesday</x:v>
      </x:c>
      <x:c r="I3" t="str">
        <x:v>Bloomingdale's</x:v>
      </x:c>
      <x:c r="J3"/>
      <x:c r="K3" s="24" t="str">
        <x:v>Tysons</x:v>
      </x:c>
      <x:c r="L3" s="35" t="str">
        <x:v>Virginia</x:v>
      </x:c>
      <x:c r="M3" s="35"/>
      <x:c r="N3" t="str">
        <x:v>VA</x:v>
      </x:c>
      <x:c r="O3" s="404" t="str">
        <x:f>IF(OR(K3="",N3=""),"",K3&amp;"|"&amp;N3)</x:f>
        <x:v>Tysons|VA</x:v>
      </x:c>
      <x:c r="P3" s="24"/>
      <x:c r="Q3" s="24"/>
      <x:c r="R3" t="str">
        <x:v>Yes</x:v>
      </x:c>
      <x:c r="S3" s="24" t="n">
        <x:v>344</x:v>
      </x:c>
      <x:c r="T3" s="35"/>
      <x:c r="U3" s="35"/>
      <x:c r="V3" t="str">
        <x:v>Yes</x:v>
      </x:c>
      <x:c r="W3" s="24" t="n">
        <x:v>344</x:v>
      </x:c>
      <x:c r="X3" s="35"/>
      <x:c r="Y3" s="404" t="str">
        <x:f>IF(OR(NOT(ISNUMBER(P3)),NOT(ISNUMBER(S3))),"",ROUND(S3-P3,2))</x:f>
      </x:c>
      <x:c r="Z3" t="str">
        <x:v>Complete</x:v>
      </x:c>
      <x:c r="AA3" t="str">
        <x:v>Unique</x:v>
      </x:c>
      <x:c r="AB3"/>
      <x:c r="AC3" t="str">
        <x:v>8-hour assist tech; effective $43/hr.</x:v>
      </x:c>
      <x:c r="AD3" t="str">
        <x:v>WO Alias Index + Canonical Ledger</x:v>
      </x:c>
    </x:row>
    <x:row r="4">
      <x:c r="A4" t="str">
        <x:v>LED-0003</x:v>
      </x:c>
      <x:c r="B4" t="str">
        <x:v>5860393</x:v>
      </x:c>
      <x:c r="C4" t="n">
        <x:v>3</x:v>
      </x:c>
      <x:c r="D4" s="35"/>
      <x:c r="E4" t="str">
        <x:v>CL-002</x:v>
      </x:c>
      <x:c r="F4" t="str">
        <x:v>Bloomingdale's</x:v>
      </x:c>
      <x:c r="G4" s="35" t="n">
        <x:v>46134</x:v>
      </x:c>
      <x:c r="H4" s="404" t="str">
        <x:f>IF(G4="","",TEXT(G4,"dddd"))</x:f>
        <x:v>Wednesday</x:v>
      </x:c>
      <x:c r="I4" t="str">
        <x:v>Bloomingdale's</x:v>
      </x:c>
      <x:c r="J4"/>
      <x:c r="K4" s="24" t="str">
        <x:v>Tysons</x:v>
      </x:c>
      <x:c r="L4" s="35" t="str">
        <x:v>Virginia</x:v>
      </x:c>
      <x:c r="M4" s="35"/>
      <x:c r="N4" t="str">
        <x:v>VA</x:v>
      </x:c>
      <x:c r="O4" s="404" t="str">
        <x:f>IF(OR(K4="",N4=""),"",K4&amp;"|"&amp;N4)</x:f>
        <x:v>Tysons|VA</x:v>
      </x:c>
      <x:c r="P4" s="24"/>
      <x:c r="Q4" s="24"/>
      <x:c r="R4" t="str">
        <x:v>Yes</x:v>
      </x:c>
      <x:c r="S4" s="24" t="n">
        <x:v>344</x:v>
      </x:c>
      <x:c r="T4" s="35"/>
      <x:c r="U4" s="35"/>
      <x:c r="V4" t="str">
        <x:v>Yes</x:v>
      </x:c>
      <x:c r="W4" s="24" t="n">
        <x:v>344</x:v>
      </x:c>
      <x:c r="X4" s="35"/>
      <x:c r="Y4" s="404" t="str">
        <x:f>IF(OR(NOT(ISNUMBER(P4)),NOT(ISNUMBER(S4))),"",ROUND(S4-P4,2))</x:f>
      </x:c>
      <x:c r="Z4" t="str">
        <x:v>Complete</x:v>
      </x:c>
      <x:c r="AA4" t="str">
        <x:v>Unique</x:v>
      </x:c>
      <x:c r="AB4"/>
      <x:c r="AC4" t="str">
        <x:v>8-hour assist tech; effective $43/hr.</x:v>
      </x:c>
      <x:c r="AD4" t="str">
        <x:v>WO Alias Index + Canonical Ledger</x:v>
      </x:c>
    </x:row>
    <x:row r="5">
      <x:c r="A5" t="str">
        <x:v>LED-0004</x:v>
      </x:c>
      <x:c r="B5" t="str">
        <x:v>5874484</x:v>
      </x:c>
      <x:c r="C5" t="n">
        <x:v>4</x:v>
      </x:c>
      <x:c r="D5" s="35"/>
      <x:c r="E5" t="str">
        <x:v>CL-001</x:v>
      </x:c>
      <x:c r="F5" t="str">
        <x:v>Macy's</x:v>
      </x:c>
      <x:c r="G5" s="35" t="n">
        <x:v>46135</x:v>
      </x:c>
      <x:c r="H5" s="404" t="str">
        <x:f>IF(G5="","",TEXT(G5,"dddd"))</x:f>
        <x:v>Thursday</x:v>
      </x:c>
      <x:c r="I5" t="str">
        <x:v>Macy's</x:v>
      </x:c>
      <x:c r="J5"/>
      <x:c r="K5" s="24" t="str">
        <x:v>Frederick</x:v>
      </x:c>
      <x:c r="L5" s="35" t="str">
        <x:v>Maryland</x:v>
      </x:c>
      <x:c r="M5" s="35"/>
      <x:c r="N5" t="str">
        <x:v>MD</x:v>
      </x:c>
      <x:c r="O5" s="404" t="str">
        <x:f>IF(OR(K5="",N5=""),"",K5&amp;"|"&amp;N5)</x:f>
        <x:v>Frederick|MD</x:v>
      </x:c>
      <x:c r="P5" s="24"/>
      <x:c r="Q5" s="24"/>
      <x:c r="R5" t="str">
        <x:v>Yes</x:v>
      </x:c>
      <x:c r="S5" s="24" t="n">
        <x:v>180</x:v>
      </x:c>
      <x:c r="T5" s="35"/>
      <x:c r="U5" s="35"/>
      <x:c r="V5" t="str">
        <x:v>Yes</x:v>
      </x:c>
      <x:c r="W5" s="24" t="n">
        <x:v>180</x:v>
      </x:c>
      <x:c r="X5" s="35"/>
      <x:c r="Y5" s="404" t="str">
        <x:f>IF(OR(NOT(ISNUMBER(P5)),NOT(ISNUMBER(S5))),"",ROUND(S5-P5,2))</x:f>
      </x:c>
      <x:c r="Z5" t="str">
        <x:v>Complete</x:v>
      </x:c>
      <x:c r="AA5" t="str">
        <x:v>Unique</x:v>
      </x:c>
      <x:c r="AB5"/>
      <x:c r="AC5" t="str">
        <x:v>Maryland revenue included; hours inferred at $45/hr.</x:v>
      </x:c>
      <x:c r="AD5" t="str">
        <x:v>WO Alias Index + Canonical Ledger</x:v>
      </x:c>
    </x:row>
    <x:row r="6">
      <x:c r="A6" t="str">
        <x:v>LED-0005</x:v>
      </x:c>
      <x:c r="B6" t="str">
        <x:v>5876589</x:v>
      </x:c>
      <x:c r="C6" t="n">
        <x:v>5</x:v>
      </x:c>
      <x:c r="D6" s="35"/>
      <x:c r="E6" t="str">
        <x:v>CL-003</x:v>
      </x:c>
      <x:c r="F6" t="str">
        <x:v>Hampton Inn &amp; Suites</x:v>
      </x:c>
      <x:c r="G6" s="35" t="n">
        <x:v>46136</x:v>
      </x:c>
      <x:c r="H6" s="404" t="str">
        <x:f>IF(G6="","",TEXT(G6,"dddd"))</x:f>
        <x:v>Friday</x:v>
      </x:c>
      <x:c r="I6" t="str">
        <x:v>Hampton Inn &amp; Suites</x:v>
      </x:c>
      <x:c r="J6"/>
      <x:c r="K6" s="24" t="str">
        <x:v>Washington</x:v>
      </x:c>
      <x:c r="L6" s="35" t="str">
        <x:v>Washington, DC</x:v>
      </x:c>
      <x:c r="M6" s="35"/>
      <x:c r="N6" t="str">
        <x:v>DC</x:v>
      </x:c>
      <x:c r="O6" s="404" t="str">
        <x:f>IF(OR(K6="",N6=""),"",K6&amp;"|"&amp;N6)</x:f>
        <x:v>Washington|DC</x:v>
      </x:c>
      <x:c r="P6" s="24"/>
      <x:c r="Q6" s="24"/>
      <x:c r="R6" t="str">
        <x:v>Yes</x:v>
      </x:c>
      <x:c r="S6" s="24" t="n">
        <x:v>50</x:v>
      </x:c>
      <x:c r="T6" s="35"/>
      <x:c r="U6" s="35"/>
      <x:c r="V6" t="str">
        <x:v>Yes</x:v>
      </x:c>
      <x:c r="W6" s="24" t="n">
        <x:v>50</x:v>
      </x:c>
      <x:c r="X6" s="35"/>
      <x:c r="Y6" s="404" t="str">
        <x:f>IF(OR(NOT(ISNUMBER(P6)),NOT(ISNUMBER(S6))),"",ROUND(S6-P6,2))</x:f>
      </x:c>
      <x:c r="Z6" t="str">
        <x:v>Complete</x:v>
      </x:c>
      <x:c r="AA6" t="str">
        <x:v>Unique</x:v>
      </x:c>
      <x:c r="AB6"/>
      <x:c r="AC6" t="str">
        <x:v>DC flat/equivalent event.</x:v>
      </x:c>
      <x:c r="AD6" t="str">
        <x:v>WO Alias Index + Canonical Ledger</x:v>
      </x:c>
    </x:row>
    <x:row r="7">
      <x:c r="A7" t="str">
        <x:v>LED-0006</x:v>
      </x:c>
      <x:c r="B7" t="str">
        <x:v>5874982</x:v>
      </x:c>
      <x:c r="C7" t="n">
        <x:v>6</x:v>
      </x:c>
      <x:c r="D7" s="35"/>
      <x:c r="E7" t="str">
        <x:v>CL-001</x:v>
      </x:c>
      <x:c r="F7" t="str">
        <x:v>Macy's</x:v>
      </x:c>
      <x:c r="G7" s="35" t="n">
        <x:v>46139</x:v>
      </x:c>
      <x:c r="H7" s="404" t="str">
        <x:f>IF(G7="","",TEXT(G7,"dddd"))</x:f>
        <x:v>Monday</x:v>
      </x:c>
      <x:c r="I7" t="str">
        <x:v>Macy's</x:v>
      </x:c>
      <x:c r="J7"/>
      <x:c r="K7" s="24" t="str">
        <x:v>Frederick</x:v>
      </x:c>
      <x:c r="L7" s="35" t="str">
        <x:v>Maryland</x:v>
      </x:c>
      <x:c r="M7" s="35"/>
      <x:c r="N7" t="str">
        <x:v>MD</x:v>
      </x:c>
      <x:c r="O7" s="404" t="str">
        <x:f>IF(OR(K7="",N7=""),"",K7&amp;"|"&amp;N7)</x:f>
        <x:v>Frederick|MD</x:v>
      </x:c>
      <x:c r="P7" s="24"/>
      <x:c r="Q7" s="24"/>
      <x:c r="R7" t="str">
        <x:v>Yes</x:v>
      </x:c>
      <x:c r="S7" s="24" t="n">
        <x:v>180</x:v>
      </x:c>
      <x:c r="T7" s="35"/>
      <x:c r="U7" s="35"/>
      <x:c r="V7" t="str">
        <x:v>Yes</x:v>
      </x:c>
      <x:c r="W7" s="24" t="n">
        <x:v>180</x:v>
      </x:c>
      <x:c r="X7" s="35"/>
      <x:c r="Y7" s="404" t="str">
        <x:f>IF(OR(NOT(ISNUMBER(P7)),NOT(ISNUMBER(S7))),"",ROUND(S7-P7,2))</x:f>
      </x:c>
      <x:c r="Z7" t="str">
        <x:v>Complete</x:v>
      </x:c>
      <x:c r="AA7" t="str">
        <x:v>Unique</x:v>
      </x:c>
      <x:c r="AB7"/>
      <x:c r="AC7" t="str">
        <x:v>Maryland revenue included; hours inferred at $45/hr.</x:v>
      </x:c>
      <x:c r="AD7" t="str">
        <x:v>WO Alias Index + Canonical Ledger</x:v>
      </x:c>
    </x:row>
    <x:row r="8">
      <x:c r="A8" t="str">
        <x:v>LED-0007</x:v>
      </x:c>
      <x:c r="B8" t="str">
        <x:v>5876638</x:v>
      </x:c>
      <x:c r="C8" t="n">
        <x:v>7</x:v>
      </x:c>
      <x:c r="D8" s="35"/>
      <x:c r="E8" t="str">
        <x:v>CL-004</x:v>
      </x:c>
      <x:c r="F8" t="str">
        <x:v>Davis Polk &amp; Wardwell</x:v>
      </x:c>
      <x:c r="G8" s="35" t="n">
        <x:v>46141</x:v>
      </x:c>
      <x:c r="H8" s="404" t="str">
        <x:f>IF(G8="","",TEXT(G8,"dddd"))</x:f>
        <x:v>Wednesday</x:v>
      </x:c>
      <x:c r="I8" t="str">
        <x:v>Davis Polk &amp; Wardwell</x:v>
      </x:c>
      <x:c r="J8"/>
      <x:c r="K8" s="24" t="str">
        <x:v>Washington</x:v>
      </x:c>
      <x:c r="L8" s="35" t="str">
        <x:v>Washington, DC</x:v>
      </x:c>
      <x:c r="M8" s="35"/>
      <x:c r="N8" t="str">
        <x:v>DC</x:v>
      </x:c>
      <x:c r="O8" s="404" t="str">
        <x:f>IF(OR(K8="",N8=""),"",K8&amp;"|"&amp;N8)</x:f>
        <x:v>Washington|DC</x:v>
      </x:c>
      <x:c r="P8" s="24"/>
      <x:c r="Q8" s="24"/>
      <x:c r="R8" t="str">
        <x:v>Yes</x:v>
      </x:c>
      <x:c r="S8" s="24" t="n">
        <x:v>50</x:v>
      </x:c>
      <x:c r="T8" s="35"/>
      <x:c r="U8" s="35"/>
      <x:c r="V8" t="str">
        <x:v>Yes</x:v>
      </x:c>
      <x:c r="W8" s="24" t="n">
        <x:v>50</x:v>
      </x:c>
      <x:c r="X8" s="35"/>
      <x:c r="Y8" s="404" t="str">
        <x:f>IF(OR(NOT(ISNUMBER(P8)),NOT(ISNUMBER(S8))),"",ROUND(S8-P8,2))</x:f>
      </x:c>
      <x:c r="Z8" t="str">
        <x:v>Complete</x:v>
      </x:c>
      <x:c r="AA8" t="str">
        <x:v>Unique</x:v>
      </x:c>
      <x:c r="AB8"/>
      <x:c r="AC8" t="str">
        <x:v>DC flat/equivalent event.</x:v>
      </x:c>
      <x:c r="AD8" t="str">
        <x:v>WO Alias Index + Canonical Ledger</x:v>
      </x:c>
    </x:row>
    <x:row r="9">
      <x:c r="A9" t="str">
        <x:v>LED-0008</x:v>
      </x:c>
      <x:c r="B9" t="str">
        <x:v>5878985</x:v>
      </x:c>
      <x:c r="C9" t="n">
        <x:v>8</x:v>
      </x:c>
      <x:c r="D9" s="35"/>
      <x:c r="E9" t="str">
        <x:v>CL-005</x:v>
      </x:c>
      <x:c r="F9" t="str">
        <x:v>Hebrew Home of Greater Washington</x:v>
      </x:c>
      <x:c r="G9" s="35" t="n">
        <x:v>46141</x:v>
      </x:c>
      <x:c r="H9" s="404" t="str">
        <x:f>IF(G9="","",TEXT(G9,"dddd"))</x:f>
        <x:v>Wednesday</x:v>
      </x:c>
      <x:c r="I9" t="str">
        <x:v>Hebrew Home of Greater Washington</x:v>
      </x:c>
      <x:c r="J9"/>
      <x:c r="K9" s="24" t="str">
        <x:v>North Bethesda</x:v>
      </x:c>
      <x:c r="L9" s="35" t="str">
        <x:v>Maryland</x:v>
      </x:c>
      <x:c r="M9" s="35"/>
      <x:c r="N9" t="str">
        <x:v>MD</x:v>
      </x:c>
      <x:c r="O9" s="404" t="str">
        <x:f>IF(OR(K9="",N9=""),"",K9&amp;"|"&amp;N9)</x:f>
        <x:v>North Bethesda|MD</x:v>
      </x:c>
      <x:c r="P9" s="24"/>
      <x:c r="Q9" s="24"/>
      <x:c r="R9" t="str">
        <x:v>Yes</x:v>
      </x:c>
      <x:c r="S9" s="24" t="n">
        <x:v>45</x:v>
      </x:c>
      <x:c r="T9" s="35"/>
      <x:c r="U9" s="35"/>
      <x:c r="V9" t="str">
        <x:v>Yes</x:v>
      </x:c>
      <x:c r="W9" s="24" t="n">
        <x:v>45</x:v>
      </x:c>
      <x:c r="X9" s="35"/>
      <x:c r="Y9" s="404" t="str">
        <x:f>IF(OR(NOT(ISNUMBER(P9)),NOT(ISNUMBER(S9))),"",ROUND(S9-P9,2))</x:f>
      </x:c>
      <x:c r="Z9" t="str">
        <x:v>Complete</x:v>
      </x:c>
      <x:c r="AA9" t="str">
        <x:v>Unique</x:v>
      </x:c>
      <x:c r="AB9"/>
      <x:c r="AC9" t="str">
        <x:v>Maryland revenue included.</x:v>
      </x:c>
      <x:c r="AD9" t="str">
        <x:v>WO Alias Index + Canonical Ledger</x:v>
      </x:c>
    </x:row>
    <x:row r="10">
      <x:c r="A10" t="str">
        <x:v>LED-0009</x:v>
      </x:c>
      <x:c r="B10" t="str">
        <x:v>UNRESOLVED-E009</x:v>
      </x:c>
      <x:c r="C10" t="n">
        <x:v>9</x:v>
      </x:c>
      <x:c r="D10" s="35"/>
      <x:c r="E10" t="str">
        <x:v>CL-006</x:v>
      </x:c>
      <x:c r="F10" t="str">
        <x:v>7-Eleven</x:v>
      </x:c>
      <x:c r="G10" s="35" t="n">
        <x:v>46142</x:v>
      </x:c>
      <x:c r="H10" s="404" t="str">
        <x:f>IF(G10="","",TEXT(G10,"dddd"))</x:f>
        <x:v>Thursday</x:v>
      </x:c>
      <x:c r="I10" t="str">
        <x:v>7-Eleven</x:v>
      </x:c>
      <x:c r="J10"/>
      <x:c r="K10" s="24" t="str">
        <x:v>Baltimore</x:v>
      </x:c>
      <x:c r="L10" s="35" t="str">
        <x:v>Maryland</x:v>
      </x:c>
      <x:c r="M10" s="35"/>
      <x:c r="N10" t="str">
        <x:v>MD</x:v>
      </x:c>
      <x:c r="O10" s="404" t="str">
        <x:f>IF(OR(K10="",N10=""),"",K10&amp;"|"&amp;N10)</x:f>
        <x:v>Baltimore|MD</x:v>
      </x:c>
      <x:c r="P10" s="24"/>
      <x:c r="Q10" s="24"/>
      <x:c r="R10" t="str">
        <x:v>No</x:v>
      </x:c>
      <x:c r="S10" s="24"/>
      <x:c r="T10" s="35"/>
      <x:c r="U10" s="35"/>
      <x:c r="V10" t="str">
        <x:v>Yes</x:v>
      </x:c>
      <x:c r="W10" s="24"/>
      <x:c r="X10" s="35"/>
      <x:c r="Y10" s="404" t="str">
        <x:f>IF(OR(NOT(ISNUMBER(P10)),NOT(ISNUMBER(S10))),"",ROUND(S10-P10,2))</x:f>
      </x:c>
      <x:c r="Z10" t="str">
        <x:v>Operational complete / excluded financial metric</x:v>
      </x:c>
      <x:c r="AA10" t="str">
        <x:v>Nonstandard</x:v>
      </x:c>
      <x:c r="AB10"/>
      <x:c r="AC10" t="str">
        <x:v>User instructed to ignore #9 for this calculation.</x:v>
      </x:c>
      <x:c r="AD10" t="str">
        <x:v>WO Alias Index + Canonical Ledger</x:v>
      </x:c>
    </x:row>
    <x:row r="11">
      <x:c r="A11" t="str">
        <x:v>LED-0010</x:v>
      </x:c>
      <x:c r="B11" t="str">
        <x:v>5882097</x:v>
      </x:c>
      <x:c r="C11" t="n">
        <x:v>10</x:v>
      </x:c>
      <x:c r="D11" s="35"/>
      <x:c r="E11" t="str">
        <x:v>CL-007</x:v>
      </x:c>
      <x:c r="F11" t="str">
        <x:v>Giant Food Stores</x:v>
      </x:c>
      <x:c r="G11" s="35" t="n">
        <x:v>46147</x:v>
      </x:c>
      <x:c r="H11" s="404" t="str">
        <x:f>IF(G11="","",TEXT(G11,"dddd"))</x:f>
        <x:v>Tuesday</x:v>
      </x:c>
      <x:c r="I11" t="str">
        <x:v>Giant Food Stores</x:v>
      </x:c>
      <x:c r="J11"/>
      <x:c r="K11" s="24" t="str">
        <x:v>Hanover</x:v>
      </x:c>
      <x:c r="L11" s="35" t="str">
        <x:v>Pennsylvania</x:v>
      </x:c>
      <x:c r="M11" s="35"/>
      <x:c r="N11" t="str">
        <x:v>PA</x:v>
      </x:c>
      <x:c r="O11" s="404" t="str">
        <x:f>IF(OR(K11="",N11=""),"",K11&amp;"|"&amp;N11)</x:f>
        <x:v>Hanover|PA</x:v>
      </x:c>
      <x:c r="P11" s="24"/>
      <x:c r="Q11" s="24"/>
      <x:c r="R11" t="str">
        <x:v>Yes</x:v>
      </x:c>
      <x:c r="S11" s="24" t="n">
        <x:v>212.5</x:v>
      </x:c>
      <x:c r="T11" s="35"/>
      <x:c r="U11" s="35"/>
      <x:c r="V11" t="str">
        <x:v>Yes</x:v>
      </x:c>
      <x:c r="W11" s="24" t="n">
        <x:v>212.5</x:v>
      </x:c>
      <x:c r="X11" s="35"/>
      <x:c r="Y11" s="404" t="str">
        <x:f>IF(OR(NOT(ISNUMBER(P11)),NOT(ISNUMBER(S11))),"",ROUND(S11-P11,2))</x:f>
      </x:c>
      <x:c r="Z11" t="str">
        <x:v>Complete</x:v>
      </x:c>
      <x:c r="AA11" t="str">
        <x:v>Unique</x:v>
      </x:c>
      <x:c r="AB11"/>
      <x:c r="AC11" t="str">
        <x:v>Corrected: Hanover PA WO 5882097.</x:v>
      </x:c>
      <x:c r="AD11" t="str">
        <x:v>WO Alias Index + Canonical Ledger</x:v>
      </x:c>
    </x:row>
    <x:row r="12">
      <x:c r="A12" t="str">
        <x:v>LED-0011</x:v>
      </x:c>
      <x:c r="B12" t="str">
        <x:v>5884987</x:v>
      </x:c>
      <x:c r="C12" t="n">
        <x:v>11</x:v>
      </x:c>
      <x:c r="D12" s="35"/>
      <x:c r="E12" t="str">
        <x:v>CL-008</x:v>
      </x:c>
      <x:c r="F12" t="str">
        <x:v>Food Lion</x:v>
      </x:c>
      <x:c r="G12" s="35" t="n">
        <x:v>46153</x:v>
      </x:c>
      <x:c r="H12" s="404" t="str">
        <x:f>IF(G12="","",TEXT(G12,"dddd"))</x:f>
        <x:v>Monday</x:v>
      </x:c>
      <x:c r="I12" t="str">
        <x:v>Food Lion</x:v>
      </x:c>
      <x:c r="J12"/>
      <x:c r="K12" s="24" t="str">
        <x:v>Leesburg</x:v>
      </x:c>
      <x:c r="L12" s="35" t="str">
        <x:v>Virginia</x:v>
      </x:c>
      <x:c r="M12" s="35"/>
      <x:c r="N12" t="str">
        <x:v>VA</x:v>
      </x:c>
      <x:c r="O12" s="404" t="str">
        <x:f>IF(OR(K12="",N12=""),"",K12&amp;"|"&amp;N12)</x:f>
        <x:v>Leesburg|VA</x:v>
      </x:c>
      <x:c r="P12" s="24"/>
      <x:c r="Q12" s="24"/>
      <x:c r="R12" t="str">
        <x:v>Yes</x:v>
      </x:c>
      <x:c r="S12" s="24" t="n">
        <x:v>157.5</x:v>
      </x:c>
      <x:c r="T12" s="35"/>
      <x:c r="U12" s="35"/>
      <x:c r="V12" t="str">
        <x:v>Yes</x:v>
      </x:c>
      <x:c r="W12" s="24" t="n">
        <x:v>157.5</x:v>
      </x:c>
      <x:c r="X12" s="35"/>
      <x:c r="Y12" s="404" t="str">
        <x:f>IF(OR(NOT(ISNUMBER(P12)),NOT(ISNUMBER(S12))),"",ROUND(S12-P12,2))</x:f>
      </x:c>
      <x:c r="Z12" t="str">
        <x:v>Complete with note</x:v>
      </x:c>
      <x:c r="AA12" t="str">
        <x:v>Unique</x:v>
      </x:c>
      <x:c r="AB12"/>
      <x:c r="AC12" t="str">
        <x:v>VA model uses payment breakdown amount.</x:v>
      </x:c>
      <x:c r="AD12" t="str">
        <x:v>WO Alias Index + Canonical Ledger</x:v>
      </x:c>
    </x:row>
    <x:row r="13">
      <x:c r="A13" t="str">
        <x:v>LED-0012</x:v>
      </x:c>
      <x:c r="B13" t="str">
        <x:v>5884369</x:v>
      </x:c>
      <x:c r="C13" t="n">
        <x:v>12</x:v>
      </x:c>
      <x:c r="D13" s="35"/>
      <x:c r="E13" t="str">
        <x:v>CL-009</x:v>
      </x:c>
      <x:c r="F13" t="str">
        <x:v>Weis Markets</x:v>
      </x:c>
      <x:c r="G13" s="35" t="n">
        <x:v>46154</x:v>
      </x:c>
      <x:c r="H13" s="404" t="str">
        <x:f>IF(G13="","",TEXT(G13,"dddd"))</x:f>
        <x:v>Tuesday</x:v>
      </x:c>
      <x:c r="I13" t="str">
        <x:v>Weis Markets</x:v>
      </x:c>
      <x:c r="J13"/>
      <x:c r="K13" s="24" t="str">
        <x:v>Chambersburg</x:v>
      </x:c>
      <x:c r="L13" s="35" t="str">
        <x:v>Pennsylvania</x:v>
      </x:c>
      <x:c r="M13" s="35"/>
      <x:c r="N13" t="str">
        <x:v>PA</x:v>
      </x:c>
      <x:c r="O13" s="404" t="str">
        <x:f>IF(OR(K13="",N13=""),"",K13&amp;"|"&amp;N13)</x:f>
        <x:v>Chambersburg|PA</x:v>
      </x:c>
      <x:c r="P13" s="24"/>
      <x:c r="Q13" s="24"/>
      <x:c r="R13" t="str">
        <x:v>Yes</x:v>
      </x:c>
      <x:c r="S13" s="24" t="n">
        <x:v>85</x:v>
      </x:c>
      <x:c r="T13" s="35"/>
      <x:c r="U13" s="35"/>
      <x:c r="V13" t="str">
        <x:v>Yes</x:v>
      </x:c>
      <x:c r="W13" s="24" t="n">
        <x:v>85</x:v>
      </x:c>
      <x:c r="X13" s="35"/>
      <x:c r="Y13" s="404" t="str">
        <x:f>IF(OR(NOT(ISNUMBER(P13)),NOT(ISNUMBER(S13))),"",ROUND(S13-P13,2))</x:f>
      </x:c>
      <x:c r="Z13" t="str">
        <x:v>Complete</x:v>
      </x:c>
      <x:c r="AA13" t="str">
        <x:v>Unique</x:v>
      </x:c>
      <x:c r="AB13"/>
      <x:c r="AC13" t="str">
        <x:v>User approved 2-hour $42.50/hr equivalent.</x:v>
      </x:c>
      <x:c r="AD13" t="str">
        <x:v>WO Alias Index + Canonical Ledger</x:v>
      </x:c>
    </x:row>
    <x:row r="14">
      <x:c r="A14" t="str">
        <x:v>LED-0013</x:v>
      </x:c>
      <x:c r="B14" t="str">
        <x:v>5885429</x:v>
      </x:c>
      <x:c r="C14" t="n">
        <x:v>13</x:v>
      </x:c>
      <x:c r="D14" s="35"/>
      <x:c r="E14" t="str">
        <x:v>CL-010</x:v>
      </x:c>
      <x:c r="F14" t="str">
        <x:v>Office of MD Senator Chris Van Hollen</x:v>
      </x:c>
      <x:c r="G14" s="35" t="n">
        <x:v>46155</x:v>
      </x:c>
      <x:c r="H14" s="404" t="str">
        <x:f>IF(G14="","",TEXT(G14,"dddd"))</x:f>
        <x:v>Wednesday</x:v>
      </x:c>
      <x:c r="I14" t="str">
        <x:v>Office of MD Senator Chris Van Hollen</x:v>
      </x:c>
      <x:c r="J14"/>
      <x:c r="K14" s="24" t="str">
        <x:v>Rockville</x:v>
      </x:c>
      <x:c r="L14" s="35" t="str">
        <x:v>Maryland</x:v>
      </x:c>
      <x:c r="M14" s="35"/>
      <x:c r="N14" t="str">
        <x:v>MD</x:v>
      </x:c>
      <x:c r="O14" s="404" t="str">
        <x:f>IF(OR(K14="",N14=""),"",K14&amp;"|"&amp;N14)</x:f>
        <x:v>Rockville|MD</x:v>
      </x:c>
      <x:c r="P14" s="24"/>
      <x:c r="Q14" s="24"/>
      <x:c r="R14" t="str">
        <x:v>Yes</x:v>
      </x:c>
      <x:c r="S14" s="24" t="n">
        <x:v>50</x:v>
      </x:c>
      <x:c r="T14" s="35"/>
      <x:c r="U14" s="35"/>
      <x:c r="V14" t="str">
        <x:v>Yes</x:v>
      </x:c>
      <x:c r="W14" s="24" t="n">
        <x:v>50</x:v>
      </x:c>
      <x:c r="X14" s="35"/>
      <x:c r="Y14" s="404" t="str">
        <x:f>IF(OR(NOT(ISNUMBER(P14)),NOT(ISNUMBER(S14))),"",ROUND(S14-P14,2))</x:f>
      </x:c>
      <x:c r="Z14" t="str">
        <x:v>Complete</x:v>
      </x:c>
      <x:c r="AA14" t="str">
        <x:v>Unique</x:v>
      </x:c>
      <x:c r="AB14"/>
      <x:c r="AC14" t="str">
        <x:v>Maryland revenue included; Senate model estimated at $40/hr.</x:v>
      </x:c>
      <x:c r="AD14" t="str">
        <x:v>WO Alias Index + Canonical Ledger</x:v>
      </x:c>
    </x:row>
    <x:row r="15">
      <x:c r="A15" t="str">
        <x:v>LED-0014</x:v>
      </x:c>
      <x:c r="B15" t="str">
        <x:v>UNRESOLVED-E014</x:v>
      </x:c>
      <x:c r="C15" t="n">
        <x:v>14</x:v>
      </x:c>
      <x:c r="D15" s="35"/>
      <x:c r="E15" t="str">
        <x:v>CL-011</x:v>
      </x:c>
      <x:c r="F15" t="str">
        <x:v>Residential – Annapolis Neck, MD</x:v>
      </x:c>
      <x:c r="G15" s="35" t="n">
        <x:v>46155</x:v>
      </x:c>
      <x:c r="H15" s="404" t="str">
        <x:f>IF(G15="","",TEXT(G15,"dddd"))</x:f>
        <x:v>Wednesday</x:v>
      </x:c>
      <x:c r="I15" t="str">
        <x:v>Residential</x:v>
      </x:c>
      <x:c r="J15"/>
      <x:c r="K15" s="24" t="str">
        <x:v>Annapolis Neck</x:v>
      </x:c>
      <x:c r="L15" s="35" t="str">
        <x:v>Maryland</x:v>
      </x:c>
      <x:c r="M15" s="35"/>
      <x:c r="N15" t="str">
        <x:v>MD</x:v>
      </x:c>
      <x:c r="O15" s="404" t="str">
        <x:f>IF(OR(K15="",N15=""),"",K15&amp;"|"&amp;N15)</x:f>
        <x:v>Annapolis Neck|MD</x:v>
      </x:c>
      <x:c r="P15" s="24"/>
      <x:c r="Q15" s="24"/>
      <x:c r="R15" t="str">
        <x:v>No</x:v>
      </x:c>
      <x:c r="S15" s="24"/>
      <x:c r="T15" s="35"/>
      <x:c r="U15" s="35"/>
      <x:c r="V15" t="str">
        <x:v>Yes</x:v>
      </x:c>
      <x:c r="W15" s="24"/>
      <x:c r="X15" s="35"/>
      <x:c r="Y15" s="404" t="str">
        <x:f>IF(OR(NOT(ISNUMBER(P15)),NOT(ISNUMBER(S15))),"",ROUND(S15-P15,2))</x:f>
      </x:c>
      <x:c r="Z15" t="str">
        <x:v>Operational complete / excluded financial metric</x:v>
      </x:c>
      <x:c r="AA15" t="str">
        <x:v>Nonstandard</x:v>
      </x:c>
      <x:c r="AB15"/>
      <x:c r="AC15" t="str">
        <x:v>User instructed to ignore #14 for this calculation.</x:v>
      </x:c>
      <x:c r="AD15" t="str">
        <x:v>WO Alias Index + Canonical Ledger</x:v>
      </x:c>
    </x:row>
    <x:row r="16">
      <x:c r="A16" t="str">
        <x:v>LED-0015</x:v>
      </x:c>
      <x:c r="B16" t="str">
        <x:v>5886658</x:v>
      </x:c>
      <x:c r="C16" t="n">
        <x:v>15</x:v>
      </x:c>
      <x:c r="D16" s="35"/>
      <x:c r="E16" t="str">
        <x:v>CL-012</x:v>
      </x:c>
      <x:c r="F16" t="str">
        <x:v>Verizon</x:v>
      </x:c>
      <x:c r="G16" s="35" t="n">
        <x:v>46156</x:v>
      </x:c>
      <x:c r="H16" s="404" t="str">
        <x:f>IF(G16="","",TEXT(G16,"dddd"))</x:f>
        <x:v>Thursday</x:v>
      </x:c>
      <x:c r="I16" t="str">
        <x:v>Verizon</x:v>
      </x:c>
      <x:c r="J16"/>
      <x:c r="K16" s="24" t="str">
        <x:v>College Park</x:v>
      </x:c>
      <x:c r="L16" s="35" t="str">
        <x:v>Maryland</x:v>
      </x:c>
      <x:c r="M16" s="35"/>
      <x:c r="N16" t="str">
        <x:v>MD</x:v>
      </x:c>
      <x:c r="O16" s="404" t="str">
        <x:f>IF(OR(K16="",N16=""),"",K16&amp;"|"&amp;N16)</x:f>
        <x:v>College Park|MD</x:v>
      </x:c>
      <x:c r="P16" s="24"/>
      <x:c r="Q16" s="24"/>
      <x:c r="R16" t="str">
        <x:v>Yes</x:v>
      </x:c>
      <x:c r="S16" s="24" t="n">
        <x:v>75</x:v>
      </x:c>
      <x:c r="T16" s="35"/>
      <x:c r="U16" s="35"/>
      <x:c r="V16" t="str">
        <x:v>Yes</x:v>
      </x:c>
      <x:c r="W16" s="24" t="n">
        <x:v>75</x:v>
      </x:c>
      <x:c r="X16" s="35"/>
      <x:c r="Y16" s="404" t="str">
        <x:f>IF(OR(NOT(ISNUMBER(P16)),NOT(ISNUMBER(S16))),"",ROUND(S16-P16,2))</x:f>
      </x:c>
      <x:c r="Z16" t="str">
        <x:v>Complete</x:v>
      </x:c>
      <x:c r="AA16" t="str">
        <x:v>Unique</x:v>
      </x:c>
      <x:c r="AB16"/>
      <x:c r="AC16" t="str">
        <x:v>Maryland revenue included; hours inferred.</x:v>
      </x:c>
      <x:c r="AD16" t="str">
        <x:v>WO Alias Index + Canonical Ledger</x:v>
      </x:c>
    </x:row>
    <x:row r="17">
      <x:c r="A17" t="str">
        <x:v>LED-0016</x:v>
      </x:c>
      <x:c r="B17" t="str">
        <x:v>5887090</x:v>
      </x:c>
      <x:c r="C17" t="n">
        <x:v>16</x:v>
      </x:c>
      <x:c r="D17" s="35"/>
      <x:c r="E17" t="str">
        <x:v>CL-013</x:v>
      </x:c>
      <x:c r="F17" t="str">
        <x:v>Atrium Village</x:v>
      </x:c>
      <x:c r="G17" s="35" t="n">
        <x:v>46157</x:v>
      </x:c>
      <x:c r="H17" s="404" t="str">
        <x:f>IF(G17="","",TEXT(G17,"dddd"))</x:f>
        <x:v>Friday</x:v>
      </x:c>
      <x:c r="I17" t="str">
        <x:v>Atrium Village</x:v>
      </x:c>
      <x:c r="J17"/>
      <x:c r="K17" s="24" t="str">
        <x:v>Owings Mills</x:v>
      </x:c>
      <x:c r="L17" s="35" t="str">
        <x:v>Maryland</x:v>
      </x:c>
      <x:c r="M17" s="35"/>
      <x:c r="N17" t="str">
        <x:v>MD</x:v>
      </x:c>
      <x:c r="O17" s="404" t="str">
        <x:f>IF(OR(K17="",N17=""),"",K17&amp;"|"&amp;N17)</x:f>
        <x:v>Owings Mills|MD</x:v>
      </x:c>
      <x:c r="P17" s="24"/>
      <x:c r="Q17" s="24"/>
      <x:c r="R17" t="str">
        <x:v>Yes</x:v>
      </x:c>
      <x:c r="S17" s="24" t="n">
        <x:v>45</x:v>
      </x:c>
      <x:c r="T17" s="35"/>
      <x:c r="U17" s="35"/>
      <x:c r="V17" t="str">
        <x:v>Yes</x:v>
      </x:c>
      <x:c r="W17" s="24" t="n">
        <x:v>45</x:v>
      </x:c>
      <x:c r="X17" s="35"/>
      <x:c r="Y17" s="404" t="str">
        <x:f>IF(OR(NOT(ISNUMBER(P17)),NOT(ISNUMBER(S17))),"",ROUND(S17-P17,2))</x:f>
      </x:c>
      <x:c r="Z17" t="str">
        <x:v>Complete</x:v>
      </x:c>
      <x:c r="AA17" t="str">
        <x:v>Unique</x:v>
      </x:c>
      <x:c r="AB17"/>
      <x:c r="AC17" t="str">
        <x:v>Maryland revenue included.</x:v>
      </x:c>
      <x:c r="AD17" t="str">
        <x:v>WO Alias Index + Canonical Ledger</x:v>
      </x:c>
    </x:row>
    <x:row r="18">
      <x:c r="A18" t="str">
        <x:v>LED-0017</x:v>
      </x:c>
      <x:c r="B18" t="str">
        <x:v>5887094</x:v>
      </x:c>
      <x:c r="C18" t="n">
        <x:v>17</x:v>
      </x:c>
      <x:c r="D18" s="35"/>
      <x:c r="E18" t="str">
        <x:v>CL-014</x:v>
      </x:c>
      <x:c r="F18" t="str">
        <x:v>Maryland Baptist Age Home</x:v>
      </x:c>
      <x:c r="G18" s="35" t="n">
        <x:v>46161</x:v>
      </x:c>
      <x:c r="H18" s="404" t="str">
        <x:f>IF(G18="","",TEXT(G18,"dddd"))</x:f>
        <x:v>Tuesday</x:v>
      </x:c>
      <x:c r="I18" t="str">
        <x:v>Maryland Baptist Age Home</x:v>
      </x:c>
      <x:c r="J18"/>
      <x:c r="K18" s="24" t="str">
        <x:v>Baltimore</x:v>
      </x:c>
      <x:c r="L18" s="35" t="str">
        <x:v>Maryland</x:v>
      </x:c>
      <x:c r="M18" s="35"/>
      <x:c r="N18" t="str">
        <x:v>MD</x:v>
      </x:c>
      <x:c r="O18" s="404" t="str">
        <x:f>IF(OR(K18="",N18=""),"",K18&amp;"|"&amp;N18)</x:f>
        <x:v>Baltimore|MD</x:v>
      </x:c>
      <x:c r="P18" s="24"/>
      <x:c r="Q18" s="24"/>
      <x:c r="R18" t="str">
        <x:v>Yes</x:v>
      </x:c>
      <x:c r="S18" s="24" t="n">
        <x:v>50</x:v>
      </x:c>
      <x:c r="T18" s="35"/>
      <x:c r="U18" s="35"/>
      <x:c r="V18" t="str">
        <x:v>Yes</x:v>
      </x:c>
      <x:c r="W18" s="24" t="n">
        <x:v>50</x:v>
      </x:c>
      <x:c r="X18" s="35"/>
      <x:c r="Y18" s="404" t="str">
        <x:f>IF(OR(NOT(ISNUMBER(P18)),NOT(ISNUMBER(S18))),"",ROUND(S18-P18,2))</x:f>
      </x:c>
      <x:c r="Z18" t="str">
        <x:v>Complete</x:v>
      </x:c>
      <x:c r="AA18" t="str">
        <x:v>Unique</x:v>
      </x:c>
      <x:c r="AB18"/>
      <x:c r="AC18" t="str">
        <x:v>Maryland revenue included.</x:v>
      </x:c>
      <x:c r="AD18" t="str">
        <x:v>WO Alias Index + Canonical Ledger</x:v>
      </x:c>
    </x:row>
    <x:row r="19">
      <x:c r="A19" t="str">
        <x:v>LED-0018</x:v>
      </x:c>
      <x:c r="B19" t="str">
        <x:v>5889356</x:v>
      </x:c>
      <x:c r="C19" t="n">
        <x:v>18</x:v>
      </x:c>
      <x:c r="D19" s="35"/>
      <x:c r="E19" t="str">
        <x:v>CL-015</x:v>
      </x:c>
      <x:c r="F19" t="str">
        <x:v>Under Armour</x:v>
      </x:c>
      <x:c r="G19" s="35" t="n">
        <x:v>46162</x:v>
      </x:c>
      <x:c r="H19" s="404" t="str">
        <x:f>IF(G19="","",TEXT(G19,"dddd"))</x:f>
        <x:v>Wednesday</x:v>
      </x:c>
      <x:c r="I19" t="str">
        <x:v>Under Armour Day 1</x:v>
      </x:c>
      <x:c r="J19"/>
      <x:c r="K19" s="24" t="str">
        <x:v>Hanover</x:v>
      </x:c>
      <x:c r="L19" s="35" t="str">
        <x:v>Maryland</x:v>
      </x:c>
      <x:c r="M19" s="35"/>
      <x:c r="N19" t="str">
        <x:v>MD</x:v>
      </x:c>
      <x:c r="O19" s="404" t="str">
        <x:f>IF(OR(K19="",N19=""),"",K19&amp;"|"&amp;N19)</x:f>
        <x:v>Hanover|MD</x:v>
      </x:c>
      <x:c r="P19" s="24"/>
      <x:c r="Q19" s="24"/>
      <x:c r="R19" t="str">
        <x:v>Yes</x:v>
      </x:c>
      <x:c r="S19" s="24" t="n">
        <x:v>106.67</x:v>
      </x:c>
      <x:c r="T19" s="35"/>
      <x:c r="U19" s="35"/>
      <x:c r="V19" t="str">
        <x:v>Yes</x:v>
      </x:c>
      <x:c r="W19" s="24" t="n">
        <x:v>106.67</x:v>
      </x:c>
      <x:c r="X19" s="35"/>
      <x:c r="Y19" s="404" t="str">
        <x:f>IF(OR(NOT(ISNUMBER(P19)),NOT(ISNUMBER(S19))),"",ROUND(S19-P19,2))</x:f>
      </x:c>
      <x:c r="Z19" t="str">
        <x:v>Complete</x:v>
      </x:c>
      <x:c r="AA19" t="str">
        <x:v>Unique</x:v>
      </x:c>
      <x:c r="AB19"/>
      <x:c r="AC19" t="str">
        <x:v>Under Armour Day 1 split; total UA rounded to $260 with Day 2.</x:v>
      </x:c>
      <x:c r="AD19" t="str">
        <x:v>WO Alias Index + Canonical Ledger</x:v>
      </x:c>
    </x:row>
    <x:row r="20">
      <x:c r="A20" t="str">
        <x:v>LED-0019</x:v>
      </x:c>
      <x:c r="B20" t="str">
        <x:v>5889356-D2</x:v>
      </x:c>
      <x:c r="C20" t="n">
        <x:v>19</x:v>
      </x:c>
      <x:c r="D20" s="35"/>
      <x:c r="E20" t="str">
        <x:v>CL-015</x:v>
      </x:c>
      <x:c r="F20" t="str">
        <x:v>Under Armour</x:v>
      </x:c>
      <x:c r="G20" s="35" t="n">
        <x:v>46163</x:v>
      </x:c>
      <x:c r="H20" s="404" t="str">
        <x:f>IF(G20="","",TEXT(G20,"dddd"))</x:f>
        <x:v>Thursday</x:v>
      </x:c>
      <x:c r="I20" t="str">
        <x:v>Under Armour Day 2</x:v>
      </x:c>
      <x:c r="J20"/>
      <x:c r="K20" s="24" t="str">
        <x:v>Hanover</x:v>
      </x:c>
      <x:c r="L20" s="35" t="str">
        <x:v>Maryland</x:v>
      </x:c>
      <x:c r="M20" s="35"/>
      <x:c r="N20" t="str">
        <x:v>MD</x:v>
      </x:c>
      <x:c r="O20" s="404" t="str">
        <x:f>IF(OR(K20="",N20=""),"",K20&amp;"|"&amp;N20)</x:f>
        <x:v>Hanover|MD</x:v>
      </x:c>
      <x:c r="P20" s="24"/>
      <x:c r="Q20" s="24"/>
      <x:c r="R20" t="str">
        <x:v>Yes</x:v>
      </x:c>
      <x:c r="S20" s="24" t="n">
        <x:v>153.33</x:v>
      </x:c>
      <x:c r="T20" s="35"/>
      <x:c r="U20" s="35"/>
      <x:c r="V20" t="str">
        <x:v>Yes</x:v>
      </x:c>
      <x:c r="W20" s="24" t="n">
        <x:v>153.33</x:v>
      </x:c>
      <x:c r="X20" s="35"/>
      <x:c r="Y20" s="404" t="str">
        <x:f>IF(OR(NOT(ISNUMBER(P20)),NOT(ISNUMBER(S20))),"",ROUND(S20-P20,2))</x:f>
      </x:c>
      <x:c r="Z20" t="str">
        <x:v>Complete</x:v>
      </x:c>
      <x:c r="AA20" t="str">
        <x:v>Unique</x:v>
      </x:c>
      <x:c r="AB20"/>
      <x:c r="AC20" t="str">
        <x:v>Under Armour Day 2 split; total UA rounded to $260 with Day 1.</x:v>
      </x:c>
      <x:c r="AD20" t="str">
        <x:v>WO Alias Index + Canonical Ledger</x:v>
      </x:c>
    </x:row>
    <x:row r="21">
      <x:c r="A21" t="str">
        <x:v>LED-0020</x:v>
      </x:c>
      <x:c r="B21" t="str">
        <x:v>5890220</x:v>
      </x:c>
      <x:c r="C21" t="n">
        <x:v>20</x:v>
      </x:c>
      <x:c r="D21" s="35"/>
      <x:c r="E21" t="str">
        <x:v>CL-007</x:v>
      </x:c>
      <x:c r="F21" t="str">
        <x:v>Giant Food Stores</x:v>
      </x:c>
      <x:c r="G21" s="35" t="n">
        <x:v>46163</x:v>
      </x:c>
      <x:c r="H21" s="404" t="str">
        <x:f>IF(G21="","",TEXT(G21,"dddd"))</x:f>
        <x:v>Thursday</x:v>
      </x:c>
      <x:c r="I21" t="str">
        <x:v>Giant / Martin's</x:v>
      </x:c>
      <x:c r="J21"/>
      <x:c r="K21" s="24" t="str">
        <x:v>Red Lion</x:v>
      </x:c>
      <x:c r="L21" s="35" t="str">
        <x:v>Pennsylvania</x:v>
      </x:c>
      <x:c r="M21" s="35"/>
      <x:c r="N21" t="str">
        <x:v>PA</x:v>
      </x:c>
      <x:c r="O21" s="404" t="str">
        <x:f>IF(OR(K21="",N21=""),"",K21&amp;"|"&amp;N21)</x:f>
        <x:v>Red Lion|PA</x:v>
      </x:c>
      <x:c r="P21" s="24"/>
      <x:c r="Q21" s="24"/>
      <x:c r="R21" t="str">
        <x:v>Yes</x:v>
      </x:c>
      <x:c r="S21" s="24" t="n">
        <x:v>112.5</x:v>
      </x:c>
      <x:c r="T21" s="35"/>
      <x:c r="U21" s="35"/>
      <x:c r="V21" t="str">
        <x:v>Yes</x:v>
      </x:c>
      <x:c r="W21" s="24" t="n">
        <x:v>112.5</x:v>
      </x:c>
      <x:c r="X21" s="35"/>
      <x:c r="Y21" s="404" t="str">
        <x:f>IF(OR(NOT(ISNUMBER(P21)),NOT(ISNUMBER(S21))),"",ROUND(S21-P21,2))</x:f>
      </x:c>
      <x:c r="Z21" t="str">
        <x:v>Complete</x:v>
      </x:c>
      <x:c r="AA21" t="str">
        <x:v>Unique</x:v>
      </x:c>
      <x:c r="AB21"/>
      <x:c r="AC21" t="str">
        <x:v>Corrected: Red Lion PA WO 5890220.</x:v>
      </x:c>
      <x:c r="AD21" t="str">
        <x:v>WO Alias Index + Canonical Ledger</x:v>
      </x:c>
    </x:row>
    <x:row r="22">
      <x:c r="A22" t="str">
        <x:v>LED-0021</x:v>
      </x:c>
      <x:c r="B22" t="str">
        <x:v>5892123</x:v>
      </x:c>
      <x:c r="C22" t="n">
        <x:v>21</x:v>
      </x:c>
      <x:c r="D22" s="35"/>
      <x:c r="E22" t="str">
        <x:v>CL-008</x:v>
      </x:c>
      <x:c r="F22" t="str">
        <x:v>Food Lion</x:v>
      </x:c>
      <x:c r="G22" s="35" t="n">
        <x:v>46168</x:v>
      </x:c>
      <x:c r="H22" s="404" t="str">
        <x:f>IF(G22="","",TEXT(G22,"dddd"))</x:f>
        <x:v>Tuesday</x:v>
      </x:c>
      <x:c r="I22" t="str">
        <x:v>Food Lion</x:v>
      </x:c>
      <x:c r="J22"/>
      <x:c r="K22" s="24" t="str">
        <x:v>Middle River</x:v>
      </x:c>
      <x:c r="L22" s="35" t="str">
        <x:v>Maryland</x:v>
      </x:c>
      <x:c r="M22" s="35"/>
      <x:c r="N22" t="str">
        <x:v>MD</x:v>
      </x:c>
      <x:c r="O22" s="404" t="str">
        <x:f>IF(OR(K22="",N22=""),"",K22&amp;"|"&amp;N22)</x:f>
        <x:v>Middle River|MD</x:v>
      </x:c>
      <x:c r="P22" s="24"/>
      <x:c r="Q22" s="24"/>
      <x:c r="R22" t="str">
        <x:v>Yes</x:v>
      </x:c>
      <x:c r="S22" s="24" t="n">
        <x:v>97.91</x:v>
      </x:c>
      <x:c r="T22" s="35"/>
      <x:c r="U22" s="35"/>
      <x:c r="V22" t="str">
        <x:v>Yes</x:v>
      </x:c>
      <x:c r="W22" s="24" t="n">
        <x:v>97.91</x:v>
      </x:c>
      <x:c r="X22" s="35"/>
      <x:c r="Y22" s="404" t="str">
        <x:f>IF(OR(NOT(ISNUMBER(P22)),NOT(ISNUMBER(S22))),"",ROUND(S22-P22,2))</x:f>
      </x:c>
      <x:c r="Z22" t="str">
        <x:v>Complete</x:v>
      </x:c>
      <x:c r="AA22" t="str">
        <x:v>Unique</x:v>
      </x:c>
      <x:c r="AB22"/>
      <x:c r="AC22" t="str">
        <x:v>Maryland revenue included; hours inferred.</x:v>
      </x:c>
      <x:c r="AD22" t="str">
        <x:v>WO Alias Index + Canonical Ledger</x:v>
      </x:c>
    </x:row>
    <x:row r="23">
      <x:c r="A23" t="str">
        <x:v>LED-0022</x:v>
      </x:c>
      <x:c r="B23" t="str">
        <x:v>5889718</x:v>
      </x:c>
      <x:c r="C23" t="n">
        <x:v>22</x:v>
      </x:c>
      <x:c r="D23" s="35"/>
      <x:c r="E23" t="str">
        <x:v>CL-016</x:v>
      </x:c>
      <x:c r="F23" t="str">
        <x:v>HomeGoods</x:v>
      </x:c>
      <x:c r="G23" s="35" t="n">
        <x:v>46168</x:v>
      </x:c>
      <x:c r="H23" s="404" t="str">
        <x:f>IF(G23="","",TEXT(G23,"dddd"))</x:f>
        <x:v>Tuesday</x:v>
      </x:c>
      <x:c r="I23" t="str">
        <x:v>HomeGoods</x:v>
      </x:c>
      <x:c r="J23"/>
      <x:c r="K23" s="24" t="str">
        <x:v>Gaithersburg</x:v>
      </x:c>
      <x:c r="L23" s="35" t="str">
        <x:v>Maryland</x:v>
      </x:c>
      <x:c r="M23" s="35"/>
      <x:c r="N23" t="str">
        <x:v>MD</x:v>
      </x:c>
      <x:c r="O23" s="404" t="str">
        <x:f>IF(OR(K23="",N23=""),"",K23&amp;"|"&amp;N23)</x:f>
        <x:v>Gaithersburg|MD</x:v>
      </x:c>
      <x:c r="P23" s="24"/>
      <x:c r="Q23" s="24"/>
      <x:c r="R23" t="str">
        <x:v>Yes</x:v>
      </x:c>
      <x:c r="S23" s="24" t="n">
        <x:v>50</x:v>
      </x:c>
      <x:c r="T23" s="35"/>
      <x:c r="U23" s="35"/>
      <x:c r="V23" t="str">
        <x:v>Yes</x:v>
      </x:c>
      <x:c r="W23" s="24" t="n">
        <x:v>50</x:v>
      </x:c>
      <x:c r="X23" s="35"/>
      <x:c r="Y23" s="404" t="str">
        <x:f>IF(OR(NOT(ISNUMBER(P23)),NOT(ISNUMBER(S23))),"",ROUND(S23-P23,2))</x:f>
      </x:c>
      <x:c r="Z23" t="str">
        <x:v>Complete</x:v>
      </x:c>
      <x:c r="AA23" t="str">
        <x:v>Unique</x:v>
      </x:c>
      <x:c r="AB23"/>
      <x:c r="AC23" t="str">
        <x:v>Maryland revenue included; hours inferred.</x:v>
      </x:c>
      <x:c r="AD23" t="str">
        <x:v>WO Alias Index + Canonical Ledger</x:v>
      </x:c>
    </x:row>
    <x:row r="24">
      <x:c r="A24" t="str">
        <x:v>LED-0023</x:v>
      </x:c>
      <x:c r="B24" t="str">
        <x:v>UNRESOLVED-E023</x:v>
      </x:c>
      <x:c r="C24" t="n">
        <x:v>23</x:v>
      </x:c>
      <x:c r="D24" s="35"/>
      <x:c r="E24" t="str">
        <x:v>CL-017</x:v>
      </x:c>
      <x:c r="F24" t="str">
        <x:v>Joint Base Andrews</x:v>
      </x:c>
      <x:c r="G24" s="35" t="n">
        <x:v>46169</x:v>
      </x:c>
      <x:c r="H24" s="404" t="str">
        <x:f>IF(G24="","",TEXT(G24,"dddd"))</x:f>
        <x:v>Wednesday</x:v>
      </x:c>
      <x:c r="I24" t="str">
        <x:v>Joint Base Andrews</x:v>
      </x:c>
      <x:c r="J24"/>
      <x:c r="K24" s="24" t="str">
        <x:v>Andrews AFB</x:v>
      </x:c>
      <x:c r="L24" s="35" t="str">
        <x:v>Maryland</x:v>
      </x:c>
      <x:c r="M24" s="35"/>
      <x:c r="N24" t="str">
        <x:v>MD</x:v>
      </x:c>
      <x:c r="O24" s="404" t="str">
        <x:f>IF(OR(K24="",N24=""),"",K24&amp;"|"&amp;N24)</x:f>
        <x:v>Andrews AFB|MD</x:v>
      </x:c>
      <x:c r="P24" s="24"/>
      <x:c r="Q24" s="24"/>
      <x:c r="R24" t="str">
        <x:v>No</x:v>
      </x:c>
      <x:c r="S24" s="24"/>
      <x:c r="T24" s="35"/>
      <x:c r="U24" s="35"/>
      <x:c r="V24" t="str">
        <x:v>Yes</x:v>
      </x:c>
      <x:c r="W24" s="24"/>
      <x:c r="X24" s="35"/>
      <x:c r="Y24" s="404" t="str">
        <x:f>IF(OR(NOT(ISNUMBER(P24)),NOT(ISNUMBER(S24))),"",ROUND(S24-P24,2))</x:f>
      </x:c>
      <x:c r="Z24" t="str">
        <x:v>Operational complete / excluded financial metric</x:v>
      </x:c>
      <x:c r="AA24" t="str">
        <x:v>Nonstandard</x:v>
      </x:c>
      <x:c r="AB24"/>
      <x:c r="AC24" t="str">
        <x:v>User instructed to ignore #23 for this calculation.</x:v>
      </x:c>
      <x:c r="AD24" t="str">
        <x:v>WO Alias Index + Canonical Ledger</x:v>
      </x:c>
    </x:row>
    <x:row r="25">
      <x:c r="A25" t="str">
        <x:v>LED-0024</x:v>
      </x:c>
      <x:c r="B25" t="str">
        <x:v>USDA-SPECIAL-E024</x:v>
      </x:c>
      <x:c r="C25" t="n">
        <x:v>24</x:v>
      </x:c>
      <x:c r="D25" s="35"/>
      <x:c r="E25" t="str">
        <x:v>CL-018</x:v>
      </x:c>
      <x:c r="F25" t="str">
        <x:v>USDA</x:v>
      </x:c>
      <x:c r="G25" s="35" t="n">
        <x:v>46169</x:v>
      </x:c>
      <x:c r="H25" s="404" t="str">
        <x:f>IF(G25="","",TEXT(G25,"dddd"))</x:f>
        <x:v>Wednesday</x:v>
      </x:c>
      <x:c r="I25" t="str">
        <x:v>USDA Day 1</x:v>
      </x:c>
      <x:c r="J25"/>
      <x:c r="K25" s="24" t="str">
        <x:v>Washington</x:v>
      </x:c>
      <x:c r="L25" s="35" t="str">
        <x:v>Washington, DC</x:v>
      </x:c>
      <x:c r="M25" s="35"/>
      <x:c r="N25" t="str">
        <x:v>DC</x:v>
      </x:c>
      <x:c r="O25" s="404" t="str">
        <x:f>IF(OR(K25="",N25=""),"",K25&amp;"|"&amp;N25)</x:f>
        <x:v>Washington|DC</x:v>
      </x:c>
      <x:c r="P25" s="24"/>
      <x:c r="Q25" s="24"/>
      <x:c r="R25" t="str">
        <x:v>Yes</x:v>
      </x:c>
      <x:c r="S25" s="24" t="n">
        <x:v>200</x:v>
      </x:c>
      <x:c r="T25" s="35"/>
      <x:c r="U25" s="35"/>
      <x:c r="V25" t="str">
        <x:v>Yes</x:v>
      </x:c>
      <x:c r="W25" s="24" t="n">
        <x:v>200</x:v>
      </x:c>
      <x:c r="X25" s="35"/>
      <x:c r="Y25" s="404" t="str">
        <x:f>IF(OR(NOT(ISNUMBER(P25)),NOT(ISNUMBER(S25))),"",ROUND(S25-P25,2))</x:f>
      </x:c>
      <x:c r="Z25" t="str">
        <x:v>Complete</x:v>
      </x:c>
      <x:c r="AA25" t="str">
        <x:v>DUPLICATE / REVIEW</x:v>
      </x:c>
      <x:c r="AB25"/>
      <x:c r="AC25" t="str">
        <x:v>USDA corrected day allocation: $200 / 5 hrs @ $40/hr.</x:v>
      </x:c>
      <x:c r="AD25" t="str">
        <x:v>WO Alias Index + Canonical Ledger</x:v>
      </x:c>
    </x:row>
    <x:row r="26">
      <x:c r="A26" t="str">
        <x:v>LED-0025</x:v>
      </x:c>
      <x:c r="B26" t="str">
        <x:v>UNRESOLVED-E025</x:v>
      </x:c>
      <x:c r="C26" t="n">
        <x:v>25</x:v>
      </x:c>
      <x:c r="D26" s="35"/>
      <x:c r="E26" t="str">
        <x:v>CL-019</x:v>
      </x:c>
      <x:c r="F26" t="str">
        <x:v>PepsiCo</x:v>
      </x:c>
      <x:c r="G26" s="35" t="n">
        <x:v>46170</x:v>
      </x:c>
      <x:c r="H26" s="404" t="str">
        <x:f>IF(G26="","",TEXT(G26,"dddd"))</x:f>
        <x:v>Thursday</x:v>
      </x:c>
      <x:c r="I26" t="str">
        <x:v>PepsiCo</x:v>
      </x:c>
      <x:c r="J26"/>
      <x:c r="K26" s="24" t="str">
        <x:v>Cheverly</x:v>
      </x:c>
      <x:c r="L26" s="35" t="str">
        <x:v>Maryland</x:v>
      </x:c>
      <x:c r="M26" s="35"/>
      <x:c r="N26" t="str">
        <x:v>MD</x:v>
      </x:c>
      <x:c r="O26" s="404" t="str">
        <x:f>IF(OR(K26="",N26=""),"",K26&amp;"|"&amp;N26)</x:f>
        <x:v>Cheverly|MD</x:v>
      </x:c>
      <x:c r="P26" s="24"/>
      <x:c r="Q26" s="24"/>
      <x:c r="R26" t="str">
        <x:v>No</x:v>
      </x:c>
      <x:c r="S26" s="24"/>
      <x:c r="T26" s="35"/>
      <x:c r="U26" s="35"/>
      <x:c r="V26" t="str">
        <x:v>Yes</x:v>
      </x:c>
      <x:c r="W26" s="24"/>
      <x:c r="X26" s="35"/>
      <x:c r="Y26" s="404" t="str">
        <x:f>IF(OR(NOT(ISNUMBER(P26)),NOT(ISNUMBER(S26))),"",ROUND(S26-P26,2))</x:f>
      </x:c>
      <x:c r="Z26" t="str">
        <x:v>Operational complete / excluded financial metric</x:v>
      </x:c>
      <x:c r="AA26" t="str">
        <x:v>Nonstandard</x:v>
      </x:c>
      <x:c r="AB26"/>
      <x:c r="AC26" t="str">
        <x:v>User instructed to ignore #25 for this calculation.</x:v>
      </x:c>
      <x:c r="AD26" t="str">
        <x:v>WO Alias Index + Canonical Ledger</x:v>
      </x:c>
    </x:row>
    <x:row r="27">
      <x:c r="A27" t="str">
        <x:v>LED-0026</x:v>
      </x:c>
      <x:c r="B27" t="str">
        <x:v>USDA-SPECIAL-E026</x:v>
      </x:c>
      <x:c r="C27" t="n">
        <x:v>26</x:v>
      </x:c>
      <x:c r="D27" s="35"/>
      <x:c r="E27" t="str">
        <x:v>CL-018</x:v>
      </x:c>
      <x:c r="F27" t="str">
        <x:v>USDA</x:v>
      </x:c>
      <x:c r="G27" s="35" t="n">
        <x:v>46170</x:v>
      </x:c>
      <x:c r="H27" s="404" t="str">
        <x:f>IF(G27="","",TEXT(G27,"dddd"))</x:f>
        <x:v>Thursday</x:v>
      </x:c>
      <x:c r="I27" t="str">
        <x:v>USDA Day 2</x:v>
      </x:c>
      <x:c r="J27"/>
      <x:c r="K27" s="24" t="str">
        <x:v>Washington</x:v>
      </x:c>
      <x:c r="L27" s="35" t="str">
        <x:v>Washington, DC</x:v>
      </x:c>
      <x:c r="M27" s="35"/>
      <x:c r="N27" t="str">
        <x:v>DC</x:v>
      </x:c>
      <x:c r="O27" s="404" t="str">
        <x:f>IF(OR(K27="",N27=""),"",K27&amp;"|"&amp;N27)</x:f>
        <x:v>Washington|DC</x:v>
      </x:c>
      <x:c r="P27" s="24"/>
      <x:c r="Q27" s="24"/>
      <x:c r="R27" t="str">
        <x:v>Yes</x:v>
      </x:c>
      <x:c r="S27" s="24" t="n">
        <x:v>175</x:v>
      </x:c>
      <x:c r="T27" s="35"/>
      <x:c r="U27" s="35"/>
      <x:c r="V27" t="str">
        <x:v>Yes</x:v>
      </x:c>
      <x:c r="W27" s="24" t="n">
        <x:v>175</x:v>
      </x:c>
      <x:c r="X27" s="35"/>
      <x:c r="Y27" s="404" t="str">
        <x:f>IF(OR(NOT(ISNUMBER(P27)),NOT(ISNUMBER(S27))),"",ROUND(S27-P27,2))</x:f>
      </x:c>
      <x:c r="Z27" t="str">
        <x:v>Complete</x:v>
      </x:c>
      <x:c r="AA27" t="str">
        <x:v>DUPLICATE / REVIEW</x:v>
      </x:c>
      <x:c r="AB27"/>
      <x:c r="AC27" t="str">
        <x:v>USDA corrected day allocation: $175 / 4.375 hrs @ $40/hr.</x:v>
      </x:c>
      <x:c r="AD27" t="str">
        <x:v>WO Alias Index + Canonical Ledger</x:v>
      </x:c>
    </x:row>
    <x:row r="28">
      <x:c r="A28" t="str">
        <x:v>LED-0027</x:v>
      </x:c>
      <x:c r="B28" t="str">
        <x:v>USDA-SPECIAL-E027</x:v>
      </x:c>
      <x:c r="C28" t="n">
        <x:v>27</x:v>
      </x:c>
      <x:c r="D28" s="35"/>
      <x:c r="E28" t="str">
        <x:v>CL-018</x:v>
      </x:c>
      <x:c r="F28" t="str">
        <x:v>USDA</x:v>
      </x:c>
      <x:c r="G28" s="35" t="n">
        <x:v>46174</x:v>
      </x:c>
      <x:c r="H28" s="404" t="str">
        <x:f>IF(G28="","",TEXT(G28,"dddd"))</x:f>
        <x:v>Monday</x:v>
      </x:c>
      <x:c r="I28" t="str">
        <x:v>USDA Day 3</x:v>
      </x:c>
      <x:c r="J28"/>
      <x:c r="K28" s="24" t="str">
        <x:v>Washington</x:v>
      </x:c>
      <x:c r="L28" s="35" t="str">
        <x:v>Washington, DC</x:v>
      </x:c>
      <x:c r="M28" s="35"/>
      <x:c r="N28" t="str">
        <x:v>DC</x:v>
      </x:c>
      <x:c r="O28" s="404" t="str">
        <x:f>IF(OR(K28="",N28=""),"",K28&amp;"|"&amp;N28)</x:f>
        <x:v>Washington|DC</x:v>
      </x:c>
      <x:c r="P28" s="24"/>
      <x:c r="Q28" s="24"/>
      <x:c r="R28" t="str">
        <x:v>Yes</x:v>
      </x:c>
      <x:c r="S28" s="24" t="n">
        <x:v>320</x:v>
      </x:c>
      <x:c r="T28" s="35"/>
      <x:c r="U28" s="35"/>
      <x:c r="V28" t="str">
        <x:v>Yes</x:v>
      </x:c>
      <x:c r="W28" s="24" t="n">
        <x:v>320</x:v>
      </x:c>
      <x:c r="X28" s="35"/>
      <x:c r="Y28" s="404" t="str">
        <x:f>IF(OR(NOT(ISNUMBER(P28)),NOT(ISNUMBER(S28))),"",ROUND(S28-P28,2))</x:f>
      </x:c>
      <x:c r="Z28" t="str">
        <x:v>Complete</x:v>
      </x:c>
      <x:c r="AA28" t="str">
        <x:v>DUPLICATE / REVIEW</x:v>
      </x:c>
      <x:c r="AB28"/>
      <x:c r="AC28" t="str">
        <x:v>USDA corrected day allocation: $320 / 8 hrs @ $40/hr.</x:v>
      </x:c>
      <x:c r="AD28" t="str">
        <x:v>WO Alias Index + Canonical Ledger</x:v>
      </x:c>
    </x:row>
    <x:row r="29">
      <x:c r="A29" t="str">
        <x:v>LED-0028</x:v>
      </x:c>
      <x:c r="B29" t="str">
        <x:v>USDA-SPECIAL-E028</x:v>
      </x:c>
      <x:c r="C29" t="n">
        <x:v>28</x:v>
      </x:c>
      <x:c r="D29" s="35"/>
      <x:c r="E29" t="str">
        <x:v>CL-018</x:v>
      </x:c>
      <x:c r="F29" t="str">
        <x:v>USDA</x:v>
      </x:c>
      <x:c r="G29" s="35" t="n">
        <x:v>46175</x:v>
      </x:c>
      <x:c r="H29" s="404" t="str">
        <x:f>IF(G29="","",TEXT(G29,"dddd"))</x:f>
        <x:v>Tuesday</x:v>
      </x:c>
      <x:c r="I29" t="str">
        <x:v>USDA Day 4</x:v>
      </x:c>
      <x:c r="J29"/>
      <x:c r="K29" s="24" t="str">
        <x:v>Washington</x:v>
      </x:c>
      <x:c r="L29" s="35" t="str">
        <x:v>Washington, DC</x:v>
      </x:c>
      <x:c r="M29" s="35"/>
      <x:c r="N29" t="str">
        <x:v>DC</x:v>
      </x:c>
      <x:c r="O29" s="404" t="str">
        <x:f>IF(OR(K29="",N29=""),"",K29&amp;"|"&amp;N29)</x:f>
        <x:v>Washington|DC</x:v>
      </x:c>
      <x:c r="P29" s="24"/>
      <x:c r="Q29" s="24"/>
      <x:c r="R29" t="str">
        <x:v>Yes</x:v>
      </x:c>
      <x:c r="S29" s="24" t="n">
        <x:v>320</x:v>
      </x:c>
      <x:c r="T29" s="35"/>
      <x:c r="U29" s="35"/>
      <x:c r="V29" t="str">
        <x:v>Yes</x:v>
      </x:c>
      <x:c r="W29" s="24" t="n">
        <x:v>320</x:v>
      </x:c>
      <x:c r="X29" s="35"/>
      <x:c r="Y29" s="404" t="str">
        <x:f>IF(OR(NOT(ISNUMBER(P29)),NOT(ISNUMBER(S29))),"",ROUND(S29-P29,2))</x:f>
      </x:c>
      <x:c r="Z29" t="str">
        <x:v>Complete</x:v>
      </x:c>
      <x:c r="AA29" t="str">
        <x:v>DUPLICATE / REVIEW</x:v>
      </x:c>
      <x:c r="AB29"/>
      <x:c r="AC29" t="str">
        <x:v>USDA corrected day allocation: $320 / 8 hrs @ $40/hr.</x:v>
      </x:c>
      <x:c r="AD29" t="str">
        <x:v>WO Alias Index + Canonical Ledger</x:v>
      </x:c>
    </x:row>
    <x:row r="30">
      <x:c r="A30" t="str">
        <x:v>LED-0029</x:v>
      </x:c>
      <x:c r="B30" t="str">
        <x:v>USDA-SPECIAL-E029</x:v>
      </x:c>
      <x:c r="C30" t="n">
        <x:v>29</x:v>
      </x:c>
      <x:c r="D30" s="35"/>
      <x:c r="E30" t="str">
        <x:v>CL-018</x:v>
      </x:c>
      <x:c r="F30" t="str">
        <x:v>USDA</x:v>
      </x:c>
      <x:c r="G30" s="35" t="n">
        <x:v>46176</x:v>
      </x:c>
      <x:c r="H30" s="404" t="str">
        <x:f>IF(G30="","",TEXT(G30,"dddd"))</x:f>
        <x:v>Wednesday</x:v>
      </x:c>
      <x:c r="I30" t="str">
        <x:v>USDA Day 5</x:v>
      </x:c>
      <x:c r="J30"/>
      <x:c r="K30" s="24" t="str">
        <x:v>Washington</x:v>
      </x:c>
      <x:c r="L30" s="35" t="str">
        <x:v>Washington, DC</x:v>
      </x:c>
      <x:c r="M30" s="35"/>
      <x:c r="N30" t="str">
        <x:v>DC</x:v>
      </x:c>
      <x:c r="O30" s="404" t="str">
        <x:f>IF(OR(K30="",N30=""),"",K30&amp;"|"&amp;N30)</x:f>
        <x:v>Washington|DC</x:v>
      </x:c>
      <x:c r="P30" s="24"/>
      <x:c r="Q30" s="24"/>
      <x:c r="R30" t="str">
        <x:v>Yes</x:v>
      </x:c>
      <x:c r="S30" s="24" t="n">
        <x:v>200</x:v>
      </x:c>
      <x:c r="T30" s="35"/>
      <x:c r="U30" s="35"/>
      <x:c r="V30" t="str">
        <x:v>Yes</x:v>
      </x:c>
      <x:c r="W30" s="24" t="n">
        <x:v>200</x:v>
      </x:c>
      <x:c r="X30" s="35"/>
      <x:c r="Y30" s="404" t="str">
        <x:f>IF(OR(NOT(ISNUMBER(P30)),NOT(ISNUMBER(S30))),"",ROUND(S30-P30,2))</x:f>
      </x:c>
      <x:c r="Z30" t="str">
        <x:v>Complete</x:v>
      </x:c>
      <x:c r="AA30" t="str">
        <x:v>DUPLICATE / REVIEW</x:v>
      </x:c>
      <x:c r="AB30"/>
      <x:c r="AC30" t="str">
        <x:v>USDA corrected day allocation: $200 / 5 hrs @ $40/hr.</x:v>
      </x:c>
      <x:c r="AD30" t="str">
        <x:v>WO Alias Index + Canonical Ledger</x:v>
      </x:c>
    </x:row>
    <x:row r="31">
      <x:c r="A31" t="str">
        <x:v>LED-0030</x:v>
      </x:c>
      <x:c r="B31" t="str">
        <x:v>5896733</x:v>
      </x:c>
      <x:c r="C31" t="n">
        <x:v>30</x:v>
      </x:c>
      <x:c r="D31" s="35"/>
      <x:c r="E31" t="str">
        <x:v>CL-020</x:v>
      </x:c>
      <x:c r="F31" t="str">
        <x:v>TJ Maxx</x:v>
      </x:c>
      <x:c r="G31" s="35" t="n">
        <x:v>46176</x:v>
      </x:c>
      <x:c r="H31" s="404" t="str">
        <x:f>IF(G31="","",TEXT(G31,"dddd"))</x:f>
        <x:v>Wednesday</x:v>
      </x:c>
      <x:c r="I31" t="str">
        <x:v>TJ Maxx</x:v>
      </x:c>
      <x:c r="J31"/>
      <x:c r="K31" s="24" t="str">
        <x:v>Rockville</x:v>
      </x:c>
      <x:c r="L31" s="35" t="str">
        <x:v>Maryland</x:v>
      </x:c>
      <x:c r="M31" s="35"/>
      <x:c r="N31" t="str">
        <x:v>MD</x:v>
      </x:c>
      <x:c r="O31" s="404" t="str">
        <x:f>IF(OR(K31="",N31=""),"",K31&amp;"|"&amp;N31)</x:f>
        <x:v>Rockville|MD</x:v>
      </x:c>
      <x:c r="P31" s="24"/>
      <x:c r="Q31" s="24"/>
      <x:c r="R31" t="str">
        <x:v>Yes</x:v>
      </x:c>
      <x:c r="S31" s="24" t="n">
        <x:v>96.66</x:v>
      </x:c>
      <x:c r="T31" s="35"/>
      <x:c r="U31" s="35"/>
      <x:c r="V31" t="str">
        <x:v>Yes</x:v>
      </x:c>
      <x:c r="W31" s="24" t="n">
        <x:v>96.66</x:v>
      </x:c>
      <x:c r="X31" s="35"/>
      <x:c r="Y31" s="404" t="str">
        <x:f>IF(OR(NOT(ISNUMBER(P31)),NOT(ISNUMBER(S31))),"",ROUND(S31-P31,2))</x:f>
      </x:c>
      <x:c r="Z31" t="str">
        <x:v>Complete</x:v>
      </x:c>
      <x:c r="AA31" t="str">
        <x:v>Unique</x:v>
      </x:c>
      <x:c r="AB31"/>
      <x:c r="AC31" t="str">
        <x:v>Event #30 TJ Maxx Rockville verified at $96.66.</x:v>
      </x:c>
      <x:c r="AD31" t="str">
        <x:v>WO Alias Index + Canonical Ledger</x:v>
      </x:c>
    </x:row>
    <x:row r="32">
      <x:c r="A32" t="str">
        <x:v>LED-0031</x:v>
      </x:c>
      <x:c r="B32" t="str">
        <x:v>USDA-SPECIAL-E031</x:v>
      </x:c>
      <x:c r="C32" t="n">
        <x:v>31</x:v>
      </x:c>
      <x:c r="D32" s="35"/>
      <x:c r="E32" t="str">
        <x:v>CL-018</x:v>
      </x:c>
      <x:c r="F32" t="str">
        <x:v>USDA</x:v>
      </x:c>
      <x:c r="G32" s="35" t="n">
        <x:v>46177</x:v>
      </x:c>
      <x:c r="H32" s="404" t="str">
        <x:f>IF(G32="","",TEXT(G32,"dddd"))</x:f>
        <x:v>Thursday</x:v>
      </x:c>
      <x:c r="I32" t="str">
        <x:v>USDA Day 6</x:v>
      </x:c>
      <x:c r="J32"/>
      <x:c r="K32" s="24" t="str">
        <x:v>Washington</x:v>
      </x:c>
      <x:c r="L32" s="35" t="str">
        <x:v>Washington, DC</x:v>
      </x:c>
      <x:c r="M32" s="35"/>
      <x:c r="N32" t="str">
        <x:v>DC</x:v>
      </x:c>
      <x:c r="O32" s="404" t="str">
        <x:f>IF(OR(K32="",N32=""),"",K32&amp;"|"&amp;N32)</x:f>
        <x:v>Washington|DC</x:v>
      </x:c>
      <x:c r="P32" s="24"/>
      <x:c r="Q32" s="24"/>
      <x:c r="R32" t="str">
        <x:v>Yes</x:v>
      </x:c>
      <x:c r="S32" s="24" t="n">
        <x:v>140</x:v>
      </x:c>
      <x:c r="T32" s="35"/>
      <x:c r="U32" s="35"/>
      <x:c r="V32" t="str">
        <x:v>Yes</x:v>
      </x:c>
      <x:c r="W32" s="24" t="n">
        <x:v>140</x:v>
      </x:c>
      <x:c r="X32" s="35"/>
      <x:c r="Y32" s="404" t="str">
        <x:f>IF(OR(NOT(ISNUMBER(P32)),NOT(ISNUMBER(S32))),"",ROUND(S32-P32,2))</x:f>
      </x:c>
      <x:c r="Z32" t="str">
        <x:v>Complete</x:v>
      </x:c>
      <x:c r="AA32" t="str">
        <x:v>DUPLICATE / REVIEW</x:v>
      </x:c>
      <x:c r="AB32"/>
      <x:c r="AC32" t="str">
        <x:v>USDA corrected day allocation: $140 / 3.5 hrs @ $40/hr.</x:v>
      </x:c>
      <x:c r="AD32" t="str">
        <x:v>WO Alias Index + Canonical Ledger</x:v>
      </x:c>
    </x:row>
    <x:row r="33">
      <x:c r="A33" t="str">
        <x:v>LED-0032</x:v>
      </x:c>
      <x:c r="B33" t="str">
        <x:v>5898007</x:v>
      </x:c>
      <x:c r="C33" t="n">
        <x:v>32</x:v>
      </x:c>
      <x:c r="D33" s="35"/>
      <x:c r="E33" t="str">
        <x:v>CL-021</x:v>
      </x:c>
      <x:c r="F33" t="str">
        <x:v>Hilton Garden Inn</x:v>
      </x:c>
      <x:c r="G33" s="35" t="n">
        <x:v>46178</x:v>
      </x:c>
      <x:c r="H33" s="404" t="str">
        <x:f>IF(G33="","",TEXT(G33,"dddd"))</x:f>
        <x:v>Friday</x:v>
      </x:c>
      <x:c r="I33" t="str">
        <x:v>Hilton Garden Inn</x:v>
      </x:c>
      <x:c r="J33"/>
      <x:c r="K33" s="24" t="str">
        <x:v>Fairfax</x:v>
      </x:c>
      <x:c r="L33" s="35" t="str">
        <x:v>Virginia</x:v>
      </x:c>
      <x:c r="M33" s="35"/>
      <x:c r="N33" t="str">
        <x:v>VA</x:v>
      </x:c>
      <x:c r="O33" s="404" t="str">
        <x:f>IF(OR(K33="",N33=""),"",K33&amp;"|"&amp;N33)</x:f>
        <x:v>Fairfax|VA</x:v>
      </x:c>
      <x:c r="P33" s="24"/>
      <x:c r="Q33" s="24"/>
      <x:c r="R33" t="str">
        <x:v>Yes</x:v>
      </x:c>
      <x:c r="S33" s="24" t="n">
        <x:v>25</x:v>
      </x:c>
      <x:c r="T33" s="35"/>
      <x:c r="U33" s="35"/>
      <x:c r="V33" t="str">
        <x:v>Yes</x:v>
      </x:c>
      <x:c r="W33" s="24" t="n">
        <x:v>25</x:v>
      </x:c>
      <x:c r="X33" s="35"/>
      <x:c r="Y33" s="404" t="str">
        <x:f>IF(OR(NOT(ISNUMBER(P33)),NOT(ISNUMBER(S33))),"",ROUND(S33-P33,2))</x:f>
      </x:c>
      <x:c r="Z33" t="str">
        <x:v>Complete</x:v>
      </x:c>
      <x:c r="AA33" t="str">
        <x:v>Unique</x:v>
      </x:c>
      <x:c r="AB33"/>
      <x:c r="AC33" t="str">
        <x:v>VA Hilton Garden Inn historical row.</x:v>
      </x:c>
      <x:c r="AD33" t="str">
        <x:v>WO Alias Index + Canonical Ledger</x:v>
      </x:c>
    </x:row>
    <x:row r="34">
      <x:c r="A34" t="str">
        <x:v>LED-0033</x:v>
      </x:c>
      <x:c r="B34" t="str">
        <x:v>5896039</x:v>
      </x:c>
      <x:c r="C34" t="n">
        <x:v>33</x:v>
      </x:c>
      <x:c r="D34" s="35"/>
      <x:c r="E34" t="str">
        <x:v>CL-005</x:v>
      </x:c>
      <x:c r="F34" t="str">
        <x:v>Hebrew Home of Greater Washington</x:v>
      </x:c>
      <x:c r="G34" s="35" t="n">
        <x:v>46178</x:v>
      </x:c>
      <x:c r="H34" s="404" t="str">
        <x:f>IF(G34="","",TEXT(G34,"dddd"))</x:f>
        <x:v>Friday</x:v>
      </x:c>
      <x:c r="I34" t="str">
        <x:v>Hebrew Home of Greater Washington</x:v>
      </x:c>
      <x:c r="J34"/>
      <x:c r="K34" s="24" t="str">
        <x:v>North Bethesda</x:v>
      </x:c>
      <x:c r="L34" s="35" t="str">
        <x:v>Maryland</x:v>
      </x:c>
      <x:c r="M34" s="35"/>
      <x:c r="N34" t="str">
        <x:v>MD</x:v>
      </x:c>
      <x:c r="O34" s="404" t="str">
        <x:f>IF(OR(K34="",N34=""),"",K34&amp;"|"&amp;N34)</x:f>
        <x:v>North Bethesda|MD</x:v>
      </x:c>
      <x:c r="P34" s="24"/>
      <x:c r="Q34" s="24"/>
      <x:c r="R34" t="str">
        <x:v>Yes</x:v>
      </x:c>
      <x:c r="S34" s="24" t="n">
        <x:v>50</x:v>
      </x:c>
      <x:c r="T34" s="35"/>
      <x:c r="U34" s="35"/>
      <x:c r="V34" t="str">
        <x:v>Yes</x:v>
      </x:c>
      <x:c r="W34" s="24" t="n">
        <x:v>50</x:v>
      </x:c>
      <x:c r="X34" s="35"/>
      <x:c r="Y34" s="404" t="str">
        <x:f>IF(OR(NOT(ISNUMBER(P34)),NOT(ISNUMBER(S34))),"",ROUND(S34-P34,2))</x:f>
      </x:c>
      <x:c r="Z34" t="str">
        <x:v>Complete</x:v>
      </x:c>
      <x:c r="AA34" t="str">
        <x:v>Unique</x:v>
      </x:c>
      <x:c r="AB34"/>
      <x:c r="AC34" t="str">
        <x:v>Maryland revenue included.</x:v>
      </x:c>
      <x:c r="AD34" t="str">
        <x:v>WO Alias Index + Canonical Ledger</x:v>
      </x:c>
    </x:row>
    <x:row r="35">
      <x:c r="A35" t="str">
        <x:v>LED-0034</x:v>
      </x:c>
      <x:c r="B35" t="str">
        <x:v>5898904</x:v>
      </x:c>
      <x:c r="C35" t="n">
        <x:v>34</x:v>
      </x:c>
      <x:c r="D35" s="35"/>
      <x:c r="E35" t="str">
        <x:v>CL-020</x:v>
      </x:c>
      <x:c r="F35" t="str">
        <x:v>TJ Maxx</x:v>
      </x:c>
      <x:c r="G35" s="35" t="n">
        <x:v>46178</x:v>
      </x:c>
      <x:c r="H35" s="404" t="str">
        <x:f>IF(G35="","",TEXT(G35,"dddd"))</x:f>
        <x:v>Friday</x:v>
      </x:c>
      <x:c r="I35" t="str">
        <x:v>TJ Maxx</x:v>
      </x:c>
      <x:c r="J35"/>
      <x:c r="K35" s="24" t="str">
        <x:v>Annapolis</x:v>
      </x:c>
      <x:c r="L35" s="35" t="str">
        <x:v>Maryland</x:v>
      </x:c>
      <x:c r="M35" s="35"/>
      <x:c r="N35" t="str">
        <x:v>MD</x:v>
      </x:c>
      <x:c r="O35" s="404" t="str">
        <x:f>IF(OR(K35="",N35=""),"",K35&amp;"|"&amp;N35)</x:f>
        <x:v>Annapolis|MD</x:v>
      </x:c>
      <x:c r="P35" s="24"/>
      <x:c r="Q35" s="24"/>
      <x:c r="R35" t="str">
        <x:v>Yes</x:v>
      </x:c>
      <x:c r="S35" s="24" t="n">
        <x:v>70</x:v>
      </x:c>
      <x:c r="T35" s="35"/>
      <x:c r="U35" s="35"/>
      <x:c r="V35" t="str">
        <x:v>Yes</x:v>
      </x:c>
      <x:c r="W35" s="24" t="n">
        <x:v>70</x:v>
      </x:c>
      <x:c r="X35" s="35"/>
      <x:c r="Y35" s="404" t="str">
        <x:f>IF(OR(NOT(ISNUMBER(P35)),NOT(ISNUMBER(S35))),"",ROUND(S35-P35,2))</x:f>
      </x:c>
      <x:c r="Z35" t="str">
        <x:v>Complete</x:v>
      </x:c>
      <x:c r="AA35" t="str">
        <x:v>Unique</x:v>
      </x:c>
      <x:c r="AB35"/>
      <x:c r="AC35" t="str">
        <x:v>Maryland revenue included.</x:v>
      </x:c>
      <x:c r="AD35" t="str">
        <x:v>WO Alias Index + Canonical Ledger</x:v>
      </x:c>
    </x:row>
    <x:row r="36">
      <x:c r="A36" t="str">
        <x:v>LED-0035</x:v>
      </x:c>
      <x:c r="B36" t="str">
        <x:v>5899056</x:v>
      </x:c>
      <x:c r="C36" t="n">
        <x:v>35</x:v>
      </x:c>
      <x:c r="D36" s="35"/>
      <x:c r="E36" t="str">
        <x:v>CL-022</x:v>
      </x:c>
      <x:c r="F36" t="str">
        <x:v>Marshalls</x:v>
      </x:c>
      <x:c r="G36" s="35" t="n">
        <x:v>46181</x:v>
      </x:c>
      <x:c r="H36" s="404" t="str">
        <x:f>IF(G36="","",TEXT(G36,"dddd"))</x:f>
        <x:v>Monday</x:v>
      </x:c>
      <x:c r="I36" t="str">
        <x:v>Marshalls</x:v>
      </x:c>
      <x:c r="J36"/>
      <x:c r="K36" s="24" t="str">
        <x:v>Dunkirk</x:v>
      </x:c>
      <x:c r="L36" s="35" t="str">
        <x:v>Maryland</x:v>
      </x:c>
      <x:c r="M36" s="35"/>
      <x:c r="N36" t="str">
        <x:v>MD</x:v>
      </x:c>
      <x:c r="O36" s="404" t="str">
        <x:f>IF(OR(K36="",N36=""),"",K36&amp;"|"&amp;N36)</x:f>
        <x:v>Dunkirk|MD</x:v>
      </x:c>
      <x:c r="P36" s="24"/>
      <x:c r="Q36" s="24"/>
      <x:c r="R36" t="str">
        <x:v>Yes</x:v>
      </x:c>
      <x:c r="S36" s="24" t="n">
        <x:v>70</x:v>
      </x:c>
      <x:c r="T36" s="35"/>
      <x:c r="U36" s="35"/>
      <x:c r="V36" t="str">
        <x:v>Yes</x:v>
      </x:c>
      <x:c r="W36" s="24" t="n">
        <x:v>70</x:v>
      </x:c>
      <x:c r="X36" s="35"/>
      <x:c r="Y36" s="404" t="str">
        <x:f>IF(OR(NOT(ISNUMBER(P36)),NOT(ISNUMBER(S36))),"",ROUND(S36-P36,2))</x:f>
      </x:c>
      <x:c r="Z36" t="str">
        <x:v>Complete</x:v>
      </x:c>
      <x:c r="AA36" t="str">
        <x:v>Unique</x:v>
      </x:c>
      <x:c r="AB36"/>
      <x:c r="AC36" t="str">
        <x:v>Payment breakdown reissued/verified; no financial change.</x:v>
      </x:c>
      <x:c r="AD36" t="str">
        <x:v>WO Alias Index + Canonical Ledger</x:v>
      </x:c>
    </x:row>
    <x:row r="37">
      <x:c r="A37" t="str">
        <x:v>LED-0036</x:v>
      </x:c>
      <x:c r="B37" t="str">
        <x:v>5899295</x:v>
      </x:c>
      <x:c r="C37" t="n">
        <x:v>36</x:v>
      </x:c>
      <x:c r="D37" s="35"/>
      <x:c r="E37" t="str">
        <x:v>CL-003</x:v>
      </x:c>
      <x:c r="F37" t="str">
        <x:v>Hampton Inn &amp; Suites</x:v>
      </x:c>
      <x:c r="G37" s="35" t="n">
        <x:v>46182</x:v>
      </x:c>
      <x:c r="H37" s="404" t="str">
        <x:f>IF(G37="","",TEXT(G37,"dddd"))</x:f>
        <x:v>Tuesday</x:v>
      </x:c>
      <x:c r="I37" t="str">
        <x:v>Hampton Inn &amp; Suites</x:v>
      </x:c>
      <x:c r="J37"/>
      <x:c r="K37" s="24" t="str">
        <x:v>Edgewood</x:v>
      </x:c>
      <x:c r="L37" s="35" t="str">
        <x:v>Maryland</x:v>
      </x:c>
      <x:c r="M37" s="35"/>
      <x:c r="N37" t="str">
        <x:v>MD</x:v>
      </x:c>
      <x:c r="O37" s="404" t="str">
        <x:f>IF(OR(K37="",N37=""),"",K37&amp;"|"&amp;N37)</x:f>
        <x:v>Edgewood|MD</x:v>
      </x:c>
      <x:c r="P37" s="24"/>
      <x:c r="Q37" s="24"/>
      <x:c r="R37" t="str">
        <x:v>Yes</x:v>
      </x:c>
      <x:c r="S37" s="24" t="n">
        <x:v>65</x:v>
      </x:c>
      <x:c r="T37" s="35"/>
      <x:c r="U37" s="35"/>
      <x:c r="V37" t="str">
        <x:v>Yes</x:v>
      </x:c>
      <x:c r="W37" s="24" t="n">
        <x:v>65</x:v>
      </x:c>
      <x:c r="X37" s="35"/>
      <x:c r="Y37" s="404" t="str">
        <x:f>IF(OR(NOT(ISNUMBER(P37)),NOT(ISNUMBER(S37))),"",ROUND(S37-P37,2))</x:f>
      </x:c>
      <x:c r="Z37" t="str">
        <x:v>Complete</x:v>
      </x:c>
      <x:c r="AA37" t="str">
        <x:v>Unique</x:v>
      </x:c>
      <x:c r="AB37"/>
      <x:c r="AC37" t="str">
        <x:v>Maryland revenue included.</x:v>
      </x:c>
      <x:c r="AD37" t="str">
        <x:v>WO Alias Index + Canonical Ledger</x:v>
      </x:c>
    </x:row>
    <x:row r="38">
      <x:c r="A38" t="str">
        <x:v>LED-0037</x:v>
      </x:c>
      <x:c r="B38" t="str">
        <x:v>5899715</x:v>
      </x:c>
      <x:c r="C38" t="n">
        <x:v>37</x:v>
      </x:c>
      <x:c r="D38" s="35"/>
      <x:c r="E38" t="str">
        <x:v>CL-016</x:v>
      </x:c>
      <x:c r="F38" t="str">
        <x:v>HomeGoods</x:v>
      </x:c>
      <x:c r="G38" s="35" t="n">
        <x:v>46182</x:v>
      </x:c>
      <x:c r="H38" s="404" t="str">
        <x:f>IF(G38="","",TEXT(G38,"dddd"))</x:f>
        <x:v>Tuesday</x:v>
      </x:c>
      <x:c r="I38" t="str">
        <x:v>HomeGoods</x:v>
      </x:c>
      <x:c r="J38"/>
      <x:c r="K38" s="24" t="str">
        <x:v>Sterling</x:v>
      </x:c>
      <x:c r="L38" s="35" t="str">
        <x:v>Virginia</x:v>
      </x:c>
      <x:c r="M38" s="35"/>
      <x:c r="N38" t="str">
        <x:v>VA</x:v>
      </x:c>
      <x:c r="O38" s="404" t="str">
        <x:f>IF(OR(K38="",N38=""),"",K38&amp;"|"&amp;N38)</x:f>
        <x:v>Sterling|VA</x:v>
      </x:c>
      <x:c r="P38" s="24"/>
      <x:c r="Q38" s="24"/>
      <x:c r="R38" t="str">
        <x:v>Yes</x:v>
      </x:c>
      <x:c r="S38" s="24" t="n">
        <x:v>90</x:v>
      </x:c>
      <x:c r="T38" s="35"/>
      <x:c r="U38" s="35"/>
      <x:c r="V38" t="str">
        <x:v>Yes</x:v>
      </x:c>
      <x:c r="W38" s="24" t="n">
        <x:v>90</x:v>
      </x:c>
      <x:c r="X38" s="35"/>
      <x:c r="Y38" s="404" t="str">
        <x:f>IF(OR(NOT(ISNUMBER(P38)),NOT(ISNUMBER(S38))),"",ROUND(S38-P38,2))</x:f>
      </x:c>
      <x:c r="Z38" t="str">
        <x:v>Complete</x:v>
      </x:c>
      <x:c r="AA38" t="str">
        <x:v>Unique</x:v>
      </x:c>
      <x:c r="AB38"/>
      <x:c r="AC38" t="str">
        <x:v>VA revenue included.</x:v>
      </x:c>
      <x:c r="AD38" t="str">
        <x:v>WO Alias Index + Canonical Ledger</x:v>
      </x:c>
    </x:row>
    <x:row r="39">
      <x:c r="A39" t="str">
        <x:v>LED-0038</x:v>
      </x:c>
      <x:c r="B39" t="str">
        <x:v>5900102</x:v>
      </x:c>
      <x:c r="C39" t="n">
        <x:v>38</x:v>
      </x:c>
      <x:c r="D39" s="35"/>
      <x:c r="E39" t="str">
        <x:v>CL-006</x:v>
      </x:c>
      <x:c r="F39" t="str">
        <x:v>7-Eleven</x:v>
      </x:c>
      <x:c r="G39" s="35" t="n">
        <x:v>46183</x:v>
      </x:c>
      <x:c r="H39" s="404" t="str">
        <x:f>IF(G39="","",TEXT(G39,"dddd"))</x:f>
        <x:v>Wednesday</x:v>
      </x:c>
      <x:c r="I39" t="str">
        <x:v>7-Eleven</x:v>
      </x:c>
      <x:c r="J39"/>
      <x:c r="K39" s="24" t="str">
        <x:v>Lanham</x:v>
      </x:c>
      <x:c r="L39" s="35" t="str">
        <x:v>Maryland</x:v>
      </x:c>
      <x:c r="M39" s="35"/>
      <x:c r="N39" t="str">
        <x:v>MD</x:v>
      </x:c>
      <x:c r="O39" s="404" t="str">
        <x:f>IF(OR(K39="",N39=""),"",K39&amp;"|"&amp;N39)</x:f>
        <x:v>Lanham|MD</x:v>
      </x:c>
      <x:c r="P39" s="24"/>
      <x:c r="Q39" s="24"/>
      <x:c r="R39" t="str">
        <x:v>Yes</x:v>
      </x:c>
      <x:c r="S39" s="24" t="n">
        <x:v>240</x:v>
      </x:c>
      <x:c r="T39" s="35"/>
      <x:c r="U39" s="35"/>
      <x:c r="V39" t="str">
        <x:v>Yes</x:v>
      </x:c>
      <x:c r="W39" s="24" t="n">
        <x:v>240</x:v>
      </x:c>
      <x:c r="X39" s="35"/>
      <x:c r="Y39" s="404" t="str">
        <x:f>IF(OR(NOT(ISNUMBER(P39)),NOT(ISNUMBER(S39))),"",ROUND(S39-P39,2))</x:f>
      </x:c>
      <x:c r="Z39" t="str">
        <x:v>Complete with note</x:v>
      </x:c>
      <x:c r="AA39" t="str">
        <x:v>Unique</x:v>
      </x:c>
      <x:c r="AB39"/>
      <x:c r="AC39" t="str">
        <x:v>7-Eleven dispute cleared at $240.</x:v>
      </x:c>
      <x:c r="AD39" t="str">
        <x:v>WO Alias Index + Canonical Ledger</x:v>
      </x:c>
    </x:row>
    <x:row r="40">
      <x:c r="A40" t="str">
        <x:v>LED-0039</x:v>
      </x:c>
      <x:c r="B40" t="str">
        <x:v>5900492</x:v>
      </x:c>
      <x:c r="C40" t="n">
        <x:v>39</x:v>
      </x:c>
      <x:c r="D40" s="35"/>
      <x:c r="E40" t="str">
        <x:v>CL-020</x:v>
      </x:c>
      <x:c r="F40" t="str">
        <x:v>TJ Maxx</x:v>
      </x:c>
      <x:c r="G40" s="35" t="n">
        <x:v>46183</x:v>
      </x:c>
      <x:c r="H40" s="404" t="str">
        <x:f>IF(G40="","",TEXT(G40,"dddd"))</x:f>
        <x:v>Wednesday</x:v>
      </x:c>
      <x:c r="I40" t="str">
        <x:v>TJ Maxx</x:v>
      </x:c>
      <x:c r="J40"/>
      <x:c r="K40" s="24" t="str">
        <x:v>Annapolis</x:v>
      </x:c>
      <x:c r="L40" s="35" t="str">
        <x:v>Maryland</x:v>
      </x:c>
      <x:c r="M40" s="35"/>
      <x:c r="N40" t="str">
        <x:v>MD</x:v>
      </x:c>
      <x:c r="O40" s="404" t="str">
        <x:f>IF(OR(K40="",N40=""),"",K40&amp;"|"&amp;N40)</x:f>
        <x:v>Annapolis|MD</x:v>
      </x:c>
      <x:c r="P40" s="24"/>
      <x:c r="Q40" s="24"/>
      <x:c r="R40" t="str">
        <x:v>Yes</x:v>
      </x:c>
      <x:c r="S40" s="24" t="n">
        <x:v>90</x:v>
      </x:c>
      <x:c r="T40" s="35"/>
      <x:c r="U40" s="35"/>
      <x:c r="V40" t="str">
        <x:v>Yes</x:v>
      </x:c>
      <x:c r="W40" s="24" t="n">
        <x:v>90</x:v>
      </x:c>
      <x:c r="X40" s="35"/>
      <x:c r="Y40" s="404" t="str">
        <x:f>IF(OR(NOT(ISNUMBER(P40)),NOT(ISNUMBER(S40))),"",ROUND(S40-P40,2))</x:f>
      </x:c>
      <x:c r="Z40" t="str">
        <x:v>Complete</x:v>
      </x:c>
      <x:c r="AA40" t="str">
        <x:v>Unique</x:v>
      </x:c>
      <x:c r="AB40"/>
      <x:c r="AC40" t="str">
        <x:v>Payment breakdown reissued/verified; no financial change.</x:v>
      </x:c>
      <x:c r="AD40" t="str">
        <x:v>WO Alias Index + Canonical Ledger</x:v>
      </x:c>
    </x:row>
    <x:row r="41">
      <x:c r="A41" t="str">
        <x:v>LED-0040</x:v>
      </x:c>
      <x:c r="B41" t="str">
        <x:v>5877236</x:v>
      </x:c>
      <x:c r="C41" t="n">
        <x:v>40</x:v>
      </x:c>
      <x:c r="D41" s="35"/>
      <x:c r="E41" t="str">
        <x:v>CL-011</x:v>
      </x:c>
      <x:c r="F41" t="str">
        <x:v>Residential – Annapolis Neck, MD</x:v>
      </x:c>
      <x:c r="G41" s="35" t="n">
        <x:v>46183</x:v>
      </x:c>
      <x:c r="H41" s="404" t="str">
        <x:f>IF(G41="","",TEXT(G41,"dddd"))</x:f>
        <x:v>Wednesday</x:v>
      </x:c>
      <x:c r="I41" t="str">
        <x:v>Residential</x:v>
      </x:c>
      <x:c r="J41"/>
      <x:c r="K41" s="24" t="str">
        <x:v>Annapolis Neck</x:v>
      </x:c>
      <x:c r="L41" s="35" t="str">
        <x:v>Maryland</x:v>
      </x:c>
      <x:c r="M41" s="35"/>
      <x:c r="N41" t="str">
        <x:v>MD</x:v>
      </x:c>
      <x:c r="O41" s="404" t="str">
        <x:f>IF(OR(K41="",N41=""),"",K41&amp;"|"&amp;N41)</x:f>
        <x:v>Annapolis Neck|MD</x:v>
      </x:c>
      <x:c r="P41" s="24"/>
      <x:c r="Q41" s="24"/>
      <x:c r="R41" t="str">
        <x:v>Yes</x:v>
      </x:c>
      <x:c r="S41" s="24" t="n">
        <x:v>60</x:v>
      </x:c>
      <x:c r="T41" s="35"/>
      <x:c r="U41" s="35"/>
      <x:c r="V41" t="str">
        <x:v>Yes</x:v>
      </x:c>
      <x:c r="W41" s="24" t="n">
        <x:v>60</x:v>
      </x:c>
      <x:c r="X41" s="35"/>
      <x:c r="Y41" s="404" t="str">
        <x:f>IF(OR(NOT(ISNUMBER(P41)),NOT(ISNUMBER(S41))),"",ROUND(S41-P41,2))</x:f>
      </x:c>
      <x:c r="Z41" t="str">
        <x:v>Complete</x:v>
      </x:c>
      <x:c r="AA41" t="str">
        <x:v>Unique</x:v>
      </x:c>
      <x:c r="AB41"/>
      <x:c r="AC41" t="str">
        <x:v>Dynabook repair completed.</x:v>
      </x:c>
      <x:c r="AD41" t="str">
        <x:v>WO Alias Index + Canonical Ledger</x:v>
      </x:c>
    </x:row>
    <x:row r="42">
      <x:c r="A42" t="str">
        <x:v>LED-0041</x:v>
      </x:c>
      <x:c r="B42" t="str">
        <x:v>5887374</x:v>
      </x:c>
      <x:c r="C42" t="n">
        <x:v>41</x:v>
      </x:c>
      <x:c r="D42" s="35"/>
      <x:c r="E42" t="str">
        <x:v>CL-023</x:v>
      </x:c>
      <x:c r="F42" t="str">
        <x:v>Baskin-Robbins</x:v>
      </x:c>
      <x:c r="G42" s="35" t="n">
        <x:v>46184</x:v>
      </x:c>
      <x:c r="H42" s="404" t="str">
        <x:f>IF(G42="","",TEXT(G42,"dddd"))</x:f>
        <x:v>Thursday</x:v>
      </x:c>
      <x:c r="I42" t="str">
        <x:v>Baskin Robbins</x:v>
      </x:c>
      <x:c r="J42"/>
      <x:c r="K42" s="24" t="str">
        <x:v>Falls Church</x:v>
      </x:c>
      <x:c r="L42" s="35" t="str">
        <x:v>Virginia</x:v>
      </x:c>
      <x:c r="M42" s="35"/>
      <x:c r="N42" t="str">
        <x:v>VA</x:v>
      </x:c>
      <x:c r="O42" s="404" t="str">
        <x:f>IF(OR(K42="",N42=""),"",K42&amp;"|"&amp;N42)</x:f>
        <x:v>Falls Church|VA</x:v>
      </x:c>
      <x:c r="P42" s="24"/>
      <x:c r="Q42" s="24"/>
      <x:c r="R42" t="str">
        <x:v>Yes</x:v>
      </x:c>
      <x:c r="S42" s="24" t="n">
        <x:v>45</x:v>
      </x:c>
      <x:c r="T42" s="35"/>
      <x:c r="U42" s="35"/>
      <x:c r="V42" t="str">
        <x:v>Yes</x:v>
      </x:c>
      <x:c r="W42" s="24" t="n">
        <x:v>45</x:v>
      </x:c>
      <x:c r="X42" s="35"/>
      <x:c r="Y42" s="404" t="str">
        <x:f>IF(OR(NOT(ISNUMBER(P42)),NOT(ISNUMBER(S42))),"",ROUND(S42-P42,2))</x:f>
      </x:c>
      <x:c r="Z42" t="str">
        <x:v>Complete</x:v>
      </x:c>
      <x:c r="AA42" t="str">
        <x:v>Unique</x:v>
      </x:c>
      <x:c r="AB42"/>
      <x:c r="AC42" t="str">
        <x:v>Corrected: WO 5887374 = Baskin Robbins. Breakdown and ACH confirmed at $45.</x:v>
      </x:c>
      <x:c r="AD42" t="str">
        <x:v>WO Alias Index + Canonical Ledger</x:v>
      </x:c>
    </x:row>
    <x:row r="43">
      <x:c r="A43" t="str">
        <x:v>LED-0042</x:v>
      </x:c>
      <x:c r="B43" t="str">
        <x:v>5901061</x:v>
      </x:c>
      <x:c r="C43" t="n">
        <x:v>42</x:v>
      </x:c>
      <x:c r="D43" s="35"/>
      <x:c r="E43" t="str">
        <x:v>CL-012</x:v>
      </x:c>
      <x:c r="F43" t="str">
        <x:v>Verizon</x:v>
      </x:c>
      <x:c r="G43" s="35" t="n">
        <x:v>46184</x:v>
      </x:c>
      <x:c r="H43" s="404" t="str">
        <x:f>IF(G43="","",TEXT(G43,"dddd"))</x:f>
        <x:v>Thursday</x:v>
      </x:c>
      <x:c r="I43" t="str">
        <x:v>Verizon</x:v>
      </x:c>
      <x:c r="J43"/>
      <x:c r="K43" s="24" t="str">
        <x:v>Ellicott City</x:v>
      </x:c>
      <x:c r="L43" s="35" t="str">
        <x:v>Maryland</x:v>
      </x:c>
      <x:c r="M43" s="35"/>
      <x:c r="N43" t="str">
        <x:v>MD</x:v>
      </x:c>
      <x:c r="O43" s="404" t="str">
        <x:f>IF(OR(K43="",N43=""),"",K43&amp;"|"&amp;N43)</x:f>
        <x:v>Ellicott City|MD</x:v>
      </x:c>
      <x:c r="P43" s="24"/>
      <x:c r="Q43" s="24"/>
      <x:c r="R43" t="str">
        <x:v>Yes</x:v>
      </x:c>
      <x:c r="S43" s="24" t="n">
        <x:v>50</x:v>
      </x:c>
      <x:c r="T43" s="35"/>
      <x:c r="U43" s="35"/>
      <x:c r="V43" t="str">
        <x:v>Yes</x:v>
      </x:c>
      <x:c r="W43" s="24" t="n">
        <x:v>50</x:v>
      </x:c>
      <x:c r="X43" s="35"/>
      <x:c r="Y43" s="404" t="str">
        <x:f>IF(OR(NOT(ISNUMBER(P43)),NOT(ISNUMBER(S43))),"",ROUND(S43-P43,2))</x:f>
      </x:c>
      <x:c r="Z43" t="str">
        <x:v>Breakdown missing / ACH confirmed</x:v>
      </x:c>
      <x:c r="AA43" t="str">
        <x:v>Unique</x:v>
      </x:c>
      <x:c r="AB43"/>
      <x:c r="AC43" t="str">
        <x:v>Payment breakdown found; ACH B5901061T1 confirmed.</x:v>
      </x:c>
      <x:c r="AD43" t="str">
        <x:v>WO Alias Index + Canonical Ledger</x:v>
      </x:c>
    </x:row>
    <x:row r="44">
      <x:c r="A44" t="str">
        <x:v>LED-0043</x:v>
      </x:c>
      <x:c r="B44" t="str">
        <x:v>5902689</x:v>
      </x:c>
      <x:c r="C44" t="n">
        <x:v>43</x:v>
      </x:c>
      <x:c r="D44" s="35"/>
      <x:c r="E44" t="str">
        <x:v>CL-012</x:v>
      </x:c>
      <x:c r="F44" t="str">
        <x:v>Verizon</x:v>
      </x:c>
      <x:c r="G44" s="35" t="n">
        <x:v>46185</x:v>
      </x:c>
      <x:c r="H44" s="404" t="str">
        <x:f>IF(G44="","",TEXT(G44,"dddd"))</x:f>
        <x:v>Friday</x:v>
      </x:c>
      <x:c r="I44" t="str">
        <x:v>Verizon</x:v>
      </x:c>
      <x:c r="J44"/>
      <x:c r="K44" s="24" t="str">
        <x:v>Lanham</x:v>
      </x:c>
      <x:c r="L44" s="35" t="str">
        <x:v>Maryland</x:v>
      </x:c>
      <x:c r="M44" s="35"/>
      <x:c r="N44" t="str">
        <x:v>MD</x:v>
      </x:c>
      <x:c r="O44" s="404" t="str">
        <x:f>IF(OR(K44="",N44=""),"",K44&amp;"|"&amp;N44)</x:f>
        <x:v>Lanham|MD</x:v>
      </x:c>
      <x:c r="P44" s="24"/>
      <x:c r="Q44" s="24"/>
      <x:c r="R44" t="str">
        <x:v>Yes</x:v>
      </x:c>
      <x:c r="S44" s="24" t="n">
        <x:v>50</x:v>
      </x:c>
      <x:c r="T44" s="35"/>
      <x:c r="U44" s="35"/>
      <x:c r="V44" t="str">
        <x:v>Yes</x:v>
      </x:c>
      <x:c r="W44" s="24" t="n">
        <x:v>50</x:v>
      </x:c>
      <x:c r="X44" s="35"/>
      <x:c r="Y44" s="404" t="str">
        <x:f>IF(OR(NOT(ISNUMBER(P44)),NOT(ISNUMBER(S44))),"",ROUND(S44-P44,2))</x:f>
      </x:c>
      <x:c r="Z44" t="str">
        <x:v>Complete</x:v>
      </x:c>
      <x:c r="AA44" t="str">
        <x:v>Unique</x:v>
      </x:c>
      <x:c r="AB44"/>
      <x:c r="AC44" t="str">
        <x:v>Verizon Lanham amount locked at $50.</x:v>
      </x:c>
      <x:c r="AD44" t="str">
        <x:v>WO Alias Index + Canonical Ledger</x:v>
      </x:c>
    </x:row>
    <x:row r="45">
      <x:c r="A45" t="str">
        <x:v>LED-0044</x:v>
      </x:c>
      <x:c r="B45" t="str">
        <x:v>5902930</x:v>
      </x:c>
      <x:c r="C45" t="n">
        <x:v>44</x:v>
      </x:c>
      <x:c r="D45" s="35"/>
      <x:c r="E45" t="str">
        <x:v>CL-022</x:v>
      </x:c>
      <x:c r="F45" t="str">
        <x:v>Marshalls</x:v>
      </x:c>
      <x:c r="G45" s="35" t="n">
        <x:v>46188</x:v>
      </x:c>
      <x:c r="H45" s="404" t="str">
        <x:f>IF(G45="","",TEXT(G45,"dddd"))</x:f>
        <x:v>Monday</x:v>
      </x:c>
      <x:c r="I45" t="str">
        <x:v>Marshalls</x:v>
      </x:c>
      <x:c r="J45"/>
      <x:c r="K45" s="24" t="str">
        <x:v>Frederick</x:v>
      </x:c>
      <x:c r="L45" s="35" t="str">
        <x:v>Maryland</x:v>
      </x:c>
      <x:c r="M45" s="35"/>
      <x:c r="N45" t="str">
        <x:v>MD</x:v>
      </x:c>
      <x:c r="O45" s="404" t="str">
        <x:f>IF(OR(K45="",N45=""),"",K45&amp;"|"&amp;N45)</x:f>
        <x:v>Frederick|MD</x:v>
      </x:c>
      <x:c r="P45" s="24"/>
      <x:c r="Q45" s="24"/>
      <x:c r="R45" t="str">
        <x:v>Yes</x:v>
      </x:c>
      <x:c r="S45" s="24" t="n">
        <x:v>123.75</x:v>
      </x:c>
      <x:c r="T45" s="35"/>
      <x:c r="U45" s="35"/>
      <x:c r="V45" t="str">
        <x:v>Yes</x:v>
      </x:c>
      <x:c r="W45" s="24" t="n">
        <x:v>123.75</x:v>
      </x:c>
      <x:c r="X45" s="35"/>
      <x:c r="Y45" s="404" t="str">
        <x:f>IF(OR(NOT(ISNUMBER(P45)),NOT(ISNUMBER(S45))),"",ROUND(S45-P45,2))</x:f>
      </x:c>
      <x:c r="Z45" t="str">
        <x:v>Complete</x:v>
      </x:c>
      <x:c r="AA45" t="str">
        <x:v>Unique</x:v>
      </x:c>
      <x:c r="AB45"/>
      <x:c r="AC45" t="str">
        <x:v>ACH confirmed B5902930T2 at $123.75.</x:v>
      </x:c>
      <x:c r="AD45" t="str">
        <x:v>WO Alias Index + Canonical Ledger</x:v>
      </x:c>
    </x:row>
    <x:row r="46">
      <x:c r="A46" t="str">
        <x:v>LED-0045</x:v>
      </x:c>
      <x:c r="B46" t="str">
        <x:v>5900963</x:v>
      </x:c>
      <x:c r="C46" t="n">
        <x:v>45</x:v>
      </x:c>
      <x:c r="D46" s="35"/>
      <x:c r="E46" t="str">
        <x:v>CL-024</x:v>
      </x:c>
      <x:c r="F46" t="str">
        <x:v>Montpelier Liquors</x:v>
      </x:c>
      <x:c r="G46" s="35" t="n">
        <x:v>46190</x:v>
      </x:c>
      <x:c r="H46" s="404" t="str">
        <x:f>IF(G46="","",TEXT(G46,"dddd"))</x:f>
        <x:v>Wednesday</x:v>
      </x:c>
      <x:c r="I46" t="str">
        <x:v>Montpelier Liquors</x:v>
      </x:c>
      <x:c r="J46"/>
      <x:c r="K46" s="24" t="str">
        <x:v>Laurel</x:v>
      </x:c>
      <x:c r="L46" s="35" t="str">
        <x:v>Maryland</x:v>
      </x:c>
      <x:c r="M46" s="35"/>
      <x:c r="N46" t="str">
        <x:v>MD</x:v>
      </x:c>
      <x:c r="O46" s="404" t="str">
        <x:f>IF(OR(K46="",N46=""),"",K46&amp;"|"&amp;N46)</x:f>
        <x:v>Laurel|MD</x:v>
      </x:c>
      <x:c r="P46" s="24"/>
      <x:c r="Q46" s="24"/>
      <x:c r="R46" t="str">
        <x:v>Yes</x:v>
      </x:c>
      <x:c r="S46" s="24" t="n">
        <x:v>128</x:v>
      </x:c>
      <x:c r="T46" s="35"/>
      <x:c r="U46" s="35"/>
      <x:c r="V46" t="str">
        <x:v>Yes</x:v>
      </x:c>
      <x:c r="W46" s="24" t="n">
        <x:v>128</x:v>
      </x:c>
      <x:c r="X46" s="35"/>
      <x:c r="Y46" s="404" t="str">
        <x:f>IF(OR(NOT(ISNUMBER(P46)),NOT(ISNUMBER(S46))),"",ROUND(S46-P46,2))</x:f>
      </x:c>
      <x:c r="Z46" t="str">
        <x:v>Complete</x:v>
      </x:c>
      <x:c r="AA46" t="str">
        <x:v>Unique</x:v>
      </x:c>
      <x:c r="AB46"/>
      <x:c r="AC46" t="str">
        <x:v>Montpelier Liquors WO 5900963; ACH confirmed July 1 at $128.</x:v>
      </x:c>
      <x:c r="AD46" t="str">
        <x:v>WO Alias Index + Canonical Ledger</x:v>
      </x:c>
    </x:row>
    <x:row r="47">
      <x:c r="A47" t="str">
        <x:v>LED-0046</x:v>
      </x:c>
      <x:c r="B47" t="str">
        <x:v>5904843</x:v>
      </x:c>
      <x:c r="C47" t="n">
        <x:v>46</x:v>
      </x:c>
      <x:c r="D47" s="35"/>
      <x:c r="E47" t="str">
        <x:v>CL-022</x:v>
      </x:c>
      <x:c r="F47" t="str">
        <x:v>Marshalls</x:v>
      </x:c>
      <x:c r="G47" s="35" t="n">
        <x:v>46190</x:v>
      </x:c>
      <x:c r="H47" s="404" t="str">
        <x:f>IF(G47="","",TEXT(G47,"dddd"))</x:f>
        <x:v>Wednesday</x:v>
      </x:c>
      <x:c r="I47" t="str">
        <x:v>Marshalls</x:v>
      </x:c>
      <x:c r="J47"/>
      <x:c r="K47" s="24" t="str">
        <x:v>Laurel</x:v>
      </x:c>
      <x:c r="L47" s="35" t="str">
        <x:v>Maryland</x:v>
      </x:c>
      <x:c r="M47" s="35"/>
      <x:c r="N47" t="str">
        <x:v>MD</x:v>
      </x:c>
      <x:c r="O47" s="404" t="str">
        <x:f>IF(OR(K47="",N47=""),"",K47&amp;"|"&amp;N47)</x:f>
        <x:v>Laurel|MD</x:v>
      </x:c>
      <x:c r="P47" s="24"/>
      <x:c r="Q47" s="24"/>
      <x:c r="R47" t="str">
        <x:v>Yes</x:v>
      </x:c>
      <x:c r="S47" s="24" t="n">
        <x:v>90</x:v>
      </x:c>
      <x:c r="T47" s="35"/>
      <x:c r="U47" s="35"/>
      <x:c r="V47" t="str">
        <x:v>Yes</x:v>
      </x:c>
      <x:c r="W47" s="24" t="n">
        <x:v>90</x:v>
      </x:c>
      <x:c r="X47" s="35"/>
      <x:c r="Y47" s="404" t="str">
        <x:f>IF(OR(NOT(ISNUMBER(P47)),NOT(ISNUMBER(S47))),"",ROUND(S47-P47,2))</x:f>
      </x:c>
      <x:c r="Z47" t="str">
        <x:v>Complete</x:v>
      </x:c>
      <x:c r="AA47" t="str">
        <x:v>Unique</x:v>
      </x:c>
      <x:c r="AB47"/>
      <x:c r="AC47" t="str">
        <x:v>Marshalls Laurel WO 5904843; payment breakdown $90 and ACH confirmed July 1.</x:v>
      </x:c>
      <x:c r="AD47" t="str">
        <x:v>WO Alias Index + Canonical Ledger</x:v>
      </x:c>
    </x:row>
    <x:row r="48">
      <x:c r="A48" t="str">
        <x:v>LED-0047</x:v>
      </x:c>
      <x:c r="B48" t="str">
        <x:v>5898644</x:v>
      </x:c>
      <x:c r="C48" t="n">
        <x:v>47</x:v>
      </x:c>
      <x:c r="D48" s="35"/>
      <x:c r="E48" t="str">
        <x:v>CL-025</x:v>
      </x:c>
      <x:c r="F48" t="str">
        <x:v>Office of MD Senator Angela Alsobrooks</x:v>
      </x:c>
      <x:c r="G48" s="35" t="n">
        <x:v>46191</x:v>
      </x:c>
      <x:c r="H48" s="404" t="str">
        <x:f>IF(G48="","",TEXT(G48,"dddd"))</x:f>
        <x:v>Thursday</x:v>
      </x:c>
      <x:c r="I48" t="str">
        <x:v>Office of MD Senator Angela Alsobrooks</x:v>
      </x:c>
      <x:c r="J48"/>
      <x:c r="K48" s="24" t="str">
        <x:v>Bowie</x:v>
      </x:c>
      <x:c r="L48" s="35" t="str">
        <x:v>Maryland</x:v>
      </x:c>
      <x:c r="M48" s="35"/>
      <x:c r="N48" t="str">
        <x:v>MD</x:v>
      </x:c>
      <x:c r="O48" s="404" t="str">
        <x:f>IF(OR(K48="",N48=""),"",K48&amp;"|"&amp;N48)</x:f>
        <x:v>Bowie|MD</x:v>
      </x:c>
      <x:c r="P48" s="24"/>
      <x:c r="Q48" s="24"/>
      <x:c r="R48" t="str">
        <x:v>Yes</x:v>
      </x:c>
      <x:c r="S48" s="24" t="n">
        <x:v>130</x:v>
      </x:c>
      <x:c r="T48" s="35"/>
      <x:c r="U48" s="35"/>
      <x:c r="V48" t="str">
        <x:v>Yes</x:v>
      </x:c>
      <x:c r="W48" s="24" t="n">
        <x:v>130</x:v>
      </x:c>
      <x:c r="X48" s="35"/>
      <x:c r="Y48" s="404" t="str">
        <x:f>IF(OR(NOT(ISNUMBER(P48)),NOT(ISNUMBER(S48))),"",ROUND(S48-P48,2))</x:f>
      </x:c>
      <x:c r="Z48" t="str">
        <x:v>Complete</x:v>
      </x:c>
      <x:c r="AA48" t="str">
        <x:v>Unique</x:v>
      </x:c>
      <x:c r="AB48"/>
      <x:c r="AC48" t="str">
        <x:v>Office of MD Senator Angela Alsobrooks Bowie WO 5898644; breakdown $130 and ACH confirmed July 2.</x:v>
      </x:c>
      <x:c r="AD48" t="str">
        <x:v>WO Alias Index + Canonical Ledger</x:v>
      </x:c>
    </x:row>
    <x:row r="49">
      <x:c r="A49" t="str">
        <x:v>LED-0048</x:v>
      </x:c>
      <x:c r="B49" t="str">
        <x:v>5905576</x:v>
      </x:c>
      <x:c r="C49" t="n">
        <x:v>48</x:v>
      </x:c>
      <x:c r="D49" s="35"/>
      <x:c r="E49" t="str">
        <x:v>CL-005</x:v>
      </x:c>
      <x:c r="F49" t="str">
        <x:v>Hebrew Home of Greater Washington</x:v>
      </x:c>
      <x:c r="G49" s="35" t="n">
        <x:v>46191</x:v>
      </x:c>
      <x:c r="H49" s="404" t="str">
        <x:f>IF(G49="","",TEXT(G49,"dddd"))</x:f>
        <x:v>Thursday</x:v>
      </x:c>
      <x:c r="I49" t="str">
        <x:v>Hebrew Home of Greater Washington</x:v>
      </x:c>
      <x:c r="J49"/>
      <x:c r="K49" s="24" t="str">
        <x:v>North Bethesda</x:v>
      </x:c>
      <x:c r="L49" s="35" t="str">
        <x:v>Maryland</x:v>
      </x:c>
      <x:c r="M49" s="35"/>
      <x:c r="N49" t="str">
        <x:v>MD</x:v>
      </x:c>
      <x:c r="O49" s="404" t="str">
        <x:f>IF(OR(K49="",N49=""),"",K49&amp;"|"&amp;N49)</x:f>
        <x:v>North Bethesda|MD</x:v>
      </x:c>
      <x:c r="P49" s="24"/>
      <x:c r="Q49" s="24"/>
      <x:c r="R49" t="str">
        <x:v>Yes</x:v>
      </x:c>
      <x:c r="S49" s="24" t="n">
        <x:v>70</x:v>
      </x:c>
      <x:c r="T49" s="35"/>
      <x:c r="U49" s="35"/>
      <x:c r="V49" t="str">
        <x:v>Mapping Review</x:v>
      </x:c>
      <x:c r="W49" s="24"/>
      <x:c r="X49" s="35"/>
      <x:c r="Y49" s="404" t="str">
        <x:f>IF(OR(NOT(ISNUMBER(P49)),NOT(ISNUMBER(S49))),"",ROUND(S49-P49,2))</x:f>
      </x:c>
      <x:c r="Z49" t="str">
        <x:v>Companion WO mapping review</x:v>
      </x:c>
      <x:c r="AA49" t="str">
        <x:v>Unique</x:v>
      </x:c>
      <x:c r="AB49" t="str">
        <x:v>5905576 / 5905579</x:v>
      </x:c>
      <x:c r="AC49" t="str">
        <x:v>Companion WO issue 5905576 / 5905579 remains under ACH mapping review; $35 ACH for 5905579 may relate to companion split or later no-show row.</x:v>
      </x:c>
      <x:c r="AD49" t="str">
        <x:v>WO Alias Index + Canonical Ledger</x:v>
      </x:c>
    </x:row>
    <x:row r="50">
      <x:c r="A50" t="str">
        <x:v>LED-0049</x:v>
      </x:c>
      <x:c r="B50" t="str">
        <x:v>5899546</x:v>
      </x:c>
      <x:c r="C50" t="n">
        <x:v>49</x:v>
      </x:c>
      <x:c r="D50" s="35"/>
      <x:c r="E50" t="str">
        <x:v>CL-009</x:v>
      </x:c>
      <x:c r="F50" t="str">
        <x:v>Weis Markets</x:v>
      </x:c>
      <x:c r="G50" s="35" t="n">
        <x:v>46192</x:v>
      </x:c>
      <x:c r="H50" s="404" t="str">
        <x:f>IF(G50="","",TEXT(G50,"dddd"))</x:f>
        <x:v>Friday</x:v>
      </x:c>
      <x:c r="I50" t="str">
        <x:v>Weis Markets</x:v>
      </x:c>
      <x:c r="J50"/>
      <x:c r="K50" s="24" t="str">
        <x:v>Callaway</x:v>
      </x:c>
      <x:c r="L50" s="35" t="str">
        <x:v>Maryland</x:v>
      </x:c>
      <x:c r="M50" s="35"/>
      <x:c r="N50" t="str">
        <x:v>MD</x:v>
      </x:c>
      <x:c r="O50" s="404" t="str">
        <x:f>IF(OR(K50="",N50=""),"",K50&amp;"|"&amp;N50)</x:f>
        <x:v>Callaway|MD</x:v>
      </x:c>
      <x:c r="P50" s="24"/>
      <x:c r="Q50" s="24"/>
      <x:c r="R50" t="str">
        <x:v>Yes</x:v>
      </x:c>
      <x:c r="S50" s="24" t="n">
        <x:v>90</x:v>
      </x:c>
      <x:c r="T50" s="35"/>
      <x:c r="U50" s="35"/>
      <x:c r="V50" t="str">
        <x:v>Yes</x:v>
      </x:c>
      <x:c r="W50" s="24" t="n">
        <x:v>90</x:v>
      </x:c>
      <x:c r="X50" s="35"/>
      <x:c r="Y50" s="404" t="str">
        <x:f>IF(OR(NOT(ISNUMBER(P50)),NOT(ISNUMBER(S50))),"",ROUND(S50-P50,2))</x:f>
      </x:c>
      <x:c r="Z50" t="str">
        <x:v>Complete</x:v>
      </x:c>
      <x:c r="AA50" t="str">
        <x:v>Unique</x:v>
      </x:c>
      <x:c r="AB50"/>
      <x:c r="AC50" t="str">
        <x:v>Weis Markets Callaway WO 5899546; breakdown $90 and ACH confirmed July 2.</x:v>
      </x:c>
      <x:c r="AD50" t="str">
        <x:v>WO Alias Index + Canonical Ledger</x:v>
      </x:c>
    </x:row>
    <x:row r="51">
      <x:c r="A51" t="str">
        <x:v>LED-0050</x:v>
      </x:c>
      <x:c r="B51" t="str">
        <x:v>5903036</x:v>
      </x:c>
      <x:c r="C51" t="n">
        <x:v>50</x:v>
      </x:c>
      <x:c r="D51" s="35"/>
      <x:c r="E51" t="str">
        <x:v>CL-007</x:v>
      </x:c>
      <x:c r="F51" t="str">
        <x:v>Giant Food Stores</x:v>
      </x:c>
      <x:c r="G51" s="35" t="n">
        <x:v>46192</x:v>
      </x:c>
      <x:c r="H51" s="404" t="str">
        <x:f>IF(G51="","",TEXT(G51,"dddd"))</x:f>
        <x:v>Friday</x:v>
      </x:c>
      <x:c r="I51" t="str">
        <x:v>Giant Food Stores</x:v>
      </x:c>
      <x:c r="J51"/>
      <x:c r="K51" s="24" t="str">
        <x:v>Washington</x:v>
      </x:c>
      <x:c r="L51" s="35" t="str">
        <x:v>Washington, DC</x:v>
      </x:c>
      <x:c r="M51" s="35"/>
      <x:c r="N51" t="str">
        <x:v>DC</x:v>
      </x:c>
      <x:c r="O51" s="404" t="str">
        <x:f>IF(OR(K51="",N51=""),"",K51&amp;"|"&amp;N51)</x:f>
        <x:v>Washington|DC</x:v>
      </x:c>
      <x:c r="P51" s="24"/>
      <x:c r="Q51" s="24"/>
      <x:c r="R51" t="str">
        <x:v>Yes</x:v>
      </x:c>
      <x:c r="S51" s="24" t="n">
        <x:v>50</x:v>
      </x:c>
      <x:c r="T51" s="35"/>
      <x:c r="U51" s="35"/>
      <x:c r="V51" t="str">
        <x:v>Yes</x:v>
      </x:c>
      <x:c r="W51" s="24" t="n">
        <x:v>50</x:v>
      </x:c>
      <x:c r="X51" s="35"/>
      <x:c r="Y51" s="404" t="str">
        <x:f>IF(OR(NOT(ISNUMBER(P51)),NOT(ISNUMBER(S51))),"",ROUND(S51-P51,2))</x:f>
      </x:c>
      <x:c r="Z51" t="str">
        <x:v>Complete</x:v>
      </x:c>
      <x:c r="AA51" t="str">
        <x:v>Unique</x:v>
      </x:c>
      <x:c r="AB51"/>
      <x:c r="AC51" t="str">
        <x:v>Giant Food Stores DC/Wisconsin Ave WO 5903036; breakdown $50 and ACH confirmed July 2. Corrected from prior TBD/missing state.</x:v>
      </x:c>
      <x:c r="AD51" t="str">
        <x:v>WO Alias Index + Canonical Ledger</x:v>
      </x:c>
    </x:row>
    <x:row r="52">
      <x:c r="A52" t="str">
        <x:v>LED-0051</x:v>
      </x:c>
      <x:c r="B52" t="str">
        <x:v>5906380</x:v>
      </x:c>
      <x:c r="C52" t="n">
        <x:v>52</x:v>
      </x:c>
      <x:c r="D52" s="35"/>
      <x:c r="E52" t="str">
        <x:v>CL-008</x:v>
      </x:c>
      <x:c r="F52" t="str">
        <x:v>Food Lion</x:v>
      </x:c>
      <x:c r="G52" s="35" t="n">
        <x:v>46196</x:v>
      </x:c>
      <x:c r="H52" s="404" t="str">
        <x:f>IF(G52="","",TEXT(G52,"dddd"))</x:f>
        <x:v>Tuesday</x:v>
      </x:c>
      <x:c r="I52" t="str">
        <x:v>Food Lion</x:v>
      </x:c>
      <x:c r="J52"/>
      <x:c r="K52" s="24" t="str">
        <x:v>Upper Marlboro</x:v>
      </x:c>
      <x:c r="L52" s="35" t="str">
        <x:v>Maryland</x:v>
      </x:c>
      <x:c r="M52" s="35"/>
      <x:c r="N52" t="str">
        <x:v>MD</x:v>
      </x:c>
      <x:c r="O52" s="404" t="str">
        <x:f>IF(OR(K52="",N52=""),"",K52&amp;"|"&amp;N52)</x:f>
        <x:v>Upper Marlboro|MD</x:v>
      </x:c>
      <x:c r="P52" s="24"/>
      <x:c r="Q52" s="24"/>
      <x:c r="R52" t="str">
        <x:v>Yes</x:v>
      </x:c>
      <x:c r="S52" s="24" t="n">
        <x:v>116.24</x:v>
      </x:c>
      <x:c r="T52" s="35"/>
      <x:c r="U52" s="35" t="str">
        <x:v>2026-07-07</x:v>
      </x:c>
      <x:c r="V52" t="str">
        <x:v>No</x:v>
      </x:c>
      <x:c r="W52" s="24"/>
      <x:c r="X52" s="35"/>
      <x:c r="Y52" s="404" t="str">
        <x:f>IF(OR(NOT(ISNUMBER(P52)),NOT(ISNUMBER(S52))),"",ROUND(S52-P52,2))</x:f>
      </x:c>
      <x:c r="Z52" t="str">
        <x:v>ACH missing</x:v>
      </x:c>
      <x:c r="AA52" t="str">
        <x:v>Unique</x:v>
      </x:c>
      <x:c r="AB52"/>
      <x:c r="AC52" t="str">
        <x:v>Food Lion payment breakdown confirmed.</x:v>
      </x:c>
      <x:c r="AD52" t="str">
        <x:v>WO Alias Index + Canonical Ledger</x:v>
      </x:c>
    </x:row>
    <x:row r="53">
      <x:c r="A53" t="str">
        <x:v>LED-0052</x:v>
      </x:c>
      <x:c r="B53" t="str">
        <x:v>5907571</x:v>
      </x:c>
      <x:c r="C53" t="n">
        <x:v>53</x:v>
      </x:c>
      <x:c r="D53" s="35"/>
      <x:c r="E53" t="str">
        <x:v>CL-021</x:v>
      </x:c>
      <x:c r="F53" t="str">
        <x:v>Hilton Garden Inn</x:v>
      </x:c>
      <x:c r="G53" s="35" t="n">
        <x:v>46197</x:v>
      </x:c>
      <x:c r="H53" s="404" t="str">
        <x:f>IF(G53="","",TEXT(G53,"dddd"))</x:f>
        <x:v>Wednesday</x:v>
      </x:c>
      <x:c r="I53" t="str">
        <x:v>Hilton Garden Inn DC</x:v>
      </x:c>
      <x:c r="J53"/>
      <x:c r="K53" s="24" t="str">
        <x:v>Washington</x:v>
      </x:c>
      <x:c r="L53" s="35" t="str">
        <x:v>Washington, DC</x:v>
      </x:c>
      <x:c r="M53" s="35"/>
      <x:c r="N53" t="str">
        <x:v>DC</x:v>
      </x:c>
      <x:c r="O53" s="404" t="str">
        <x:f>IF(OR(K53="",N53=""),"",K53&amp;"|"&amp;N53)</x:f>
        <x:v>Washington|DC</x:v>
      </x:c>
      <x:c r="P53" s="24"/>
      <x:c r="Q53" s="24"/>
      <x:c r="R53" t="str">
        <x:v>Yes</x:v>
      </x:c>
      <x:c r="S53" s="24" t="n">
        <x:v>132.03</x:v>
      </x:c>
      <x:c r="T53" s="35"/>
      <x:c r="U53" s="35" t="str">
        <x:v>2026-07-08</x:v>
      </x:c>
      <x:c r="V53" t="str">
        <x:v>Yes</x:v>
      </x:c>
      <x:c r="W53" s="24" t="n">
        <x:v>132.03</x:v>
      </x:c>
      <x:c r="X53" s="35"/>
      <x:c r="Y53" s="404" t="str">
        <x:f>IF(OR(NOT(ISNUMBER(P53)),NOT(ISNUMBER(S53))),"",ROUND(S53-P53,2))</x:f>
      </x:c>
      <x:c r="Z53" t="str">
        <x:v>Complete</x:v>
      </x:c>
      <x:c r="AA53" t="str">
        <x:v>Unique</x:v>
      </x:c>
      <x:c r="AB53"/>
      <x:c r="AC53" t="str">
        <x:v>ACH B5907571T1 processed $132.03 on 2026-07-08.</x:v>
      </x:c>
      <x:c r="AD53" t="str">
        <x:v>WO Alias Index + Canonical Ledger</x:v>
      </x:c>
    </x:row>
    <x:row r="54">
      <x:c r="A54" t="str">
        <x:v>LED-0053</x:v>
      </x:c>
      <x:c r="B54" t="str">
        <x:v>5910094</x:v>
      </x:c>
      <x:c r="C54" t="n">
        <x:v>54</x:v>
      </x:c>
      <x:c r="D54" s="35"/>
      <x:c r="E54" t="str">
        <x:v>CL-006</x:v>
      </x:c>
      <x:c r="F54" t="str">
        <x:v>7-Eleven</x:v>
      </x:c>
      <x:c r="G54" s="35" t="n">
        <x:v>46203</x:v>
      </x:c>
      <x:c r="H54" s="404" t="str">
        <x:f>IF(G54="","",TEXT(G54,"dddd"))</x:f>
        <x:v>Tuesday</x:v>
      </x:c>
      <x:c r="I54" t="str">
        <x:v>7-Eleven</x:v>
      </x:c>
      <x:c r="J54"/>
      <x:c r="K54" s="24" t="str">
        <x:v>Owings Mills</x:v>
      </x:c>
      <x:c r="L54" s="35" t="str">
        <x:v>Maryland</x:v>
      </x:c>
      <x:c r="M54" s="35"/>
      <x:c r="N54" t="str">
        <x:v>MD</x:v>
      </x:c>
      <x:c r="O54" s="404" t="str">
        <x:f>IF(OR(K54="",N54=""),"",K54&amp;"|"&amp;N54)</x:f>
        <x:v>Owings Mills|MD</x:v>
      </x:c>
      <x:c r="P54" s="24"/>
      <x:c r="Q54" s="24"/>
      <x:c r="R54" t="str">
        <x:v>Yes</x:v>
      </x:c>
      <x:c r="S54" s="24" t="n">
        <x:v>120</x:v>
      </x:c>
      <x:c r="T54" s="35"/>
      <x:c r="U54" s="35" t="str">
        <x:v>2026-07-14</x:v>
      </x:c>
      <x:c r="V54" t="str">
        <x:v>Yes</x:v>
      </x:c>
      <x:c r="W54" s="24" t="n">
        <x:v>120</x:v>
      </x:c>
      <x:c r="X54" s="35" t="n">
        <x:v>46217</x:v>
      </x:c>
      <x:c r="Y54" s="404"/>
      <x:c r="Z54" t="str">
        <x:v>Complete</x:v>
      </x:c>
      <x:c r="AA54" t="str">
        <x:v>Unique</x:v>
      </x:c>
      <x:c r="AB54"/>
      <x:c r="AC54" t="str">
        <x:v>ACH B5910094T1 processed $120.00 on 2026-07-14; deposit expected within 1–3 business days.</x:v>
      </x:c>
      <x:c r="AD54" t="str">
        <x:v>Gmail ACH confirmation 2026-07-14 + Canonical Ledger</x:v>
      </x:c>
    </x:row>
    <x:row r="55">
      <x:c r="A55" t="str">
        <x:v>LED-0054</x:v>
      </x:c>
      <x:c r="B55" t="str">
        <x:v>5898645</x:v>
      </x:c>
      <x:c r="C55" t="n">
        <x:v>55</x:v>
      </x:c>
      <x:c r="D55" s="35"/>
      <x:c r="E55" t="str">
        <x:v>CL-025</x:v>
      </x:c>
      <x:c r="F55" t="str">
        <x:v>Office of MD Senator Angela Alsobrooks</x:v>
      </x:c>
      <x:c r="G55" s="35" t="n">
        <x:v>46204</x:v>
      </x:c>
      <x:c r="H55" s="404" t="str">
        <x:f>IF(G55="","",TEXT(G55,"dddd"))</x:f>
        <x:v>Wednesday</x:v>
      </x:c>
      <x:c r="I55" t="str">
        <x:v>Office of MD Senator Angela Alsobrooks</x:v>
      </x:c>
      <x:c r="J55"/>
      <x:c r="K55" s="24" t="str">
        <x:v>Largo</x:v>
      </x:c>
      <x:c r="L55" s="35" t="str">
        <x:v>Maryland</x:v>
      </x:c>
      <x:c r="M55" s="35"/>
      <x:c r="N55" t="str">
        <x:v>MD</x:v>
      </x:c>
      <x:c r="O55" s="404" t="str">
        <x:f>IF(OR(K55="",N55=""),"",K55&amp;"|"&amp;N55)</x:f>
        <x:v>Largo|MD</x:v>
      </x:c>
      <x:c r="P55" s="24"/>
      <x:c r="Q55" s="24"/>
      <x:c r="R55" t="str">
        <x:v>Yes</x:v>
      </x:c>
      <x:c r="S55" s="24" t="n">
        <x:v>120</x:v>
      </x:c>
      <x:c r="T55" s="35"/>
      <x:c r="U55" s="35" t="str">
        <x:v>2026-07-15</x:v>
      </x:c>
      <x:c r="V55" t="str">
        <x:v>No</x:v>
      </x:c>
      <x:c r="W55" s="24"/>
      <x:c r="X55" s="35"/>
      <x:c r="Y55" s="404" t="str">
        <x:f>IF(OR(NOT(ISNUMBER(P55)),NOT(ISNUMBER(S55))),"",ROUND(S55-P55,2))</x:f>
      </x:c>
      <x:c r="Z55" t="str">
        <x:v>ACH missing</x:v>
      </x:c>
      <x:c r="AA55" t="str">
        <x:v>Unique</x:v>
      </x:c>
      <x:c r="AB55"/>
      <x:c r="AC55" t="str">
        <x:v>Payment breakdown $120 received; ACH pending.</x:v>
      </x:c>
      <x:c r="AD55" t="str">
        <x:v>WO Alias Index + Canonical Ledger</x:v>
      </x:c>
    </x:row>
    <x:row r="56">
      <x:c r="A56" t="str">
        <x:v>LED-0055</x:v>
      </x:c>
      <x:c r="B56" t="str">
        <x:v>5900784</x:v>
      </x:c>
      <x:c r="C56" t="n">
        <x:v>56</x:v>
      </x:c>
      <x:c r="D56" s="35"/>
      <x:c r="E56" t="str">
        <x:v>CL-026</x:v>
      </x:c>
      <x:c r="F56" t="str">
        <x:v>Dunkin</x:v>
      </x:c>
      <x:c r="G56" s="35" t="n">
        <x:v>46205</x:v>
      </x:c>
      <x:c r="H56" s="404" t="str">
        <x:f>IF(G56="","",TEXT(G56,"dddd"))</x:f>
        <x:v>Thursday</x:v>
      </x:c>
      <x:c r="I56" t="str">
        <x:v>Dunkin</x:v>
      </x:c>
      <x:c r="J56"/>
      <x:c r="K56" s="24" t="str">
        <x:v>Reisterstown</x:v>
      </x:c>
      <x:c r="L56" s="35" t="str">
        <x:v>Maryland</x:v>
      </x:c>
      <x:c r="M56" s="35"/>
      <x:c r="N56" t="str">
        <x:v>MD</x:v>
      </x:c>
      <x:c r="O56" s="404" t="str">
        <x:f>IF(OR(K56="",N56=""),"",K56&amp;"|"&amp;N56)</x:f>
        <x:v>Reisterstown|MD</x:v>
      </x:c>
      <x:c r="P56" s="24"/>
      <x:c r="Q56" s="24"/>
      <x:c r="R56" t="str">
        <x:v>Yes</x:v>
      </x:c>
      <x:c r="S56" s="24" t="n">
        <x:v>170.66</x:v>
      </x:c>
      <x:c r="T56" s="35"/>
      <x:c r="U56" s="35" t="str">
        <x:v>2026-07-16</x:v>
      </x:c>
      <x:c r="V56" t="str">
        <x:v>Yes</x:v>
      </x:c>
      <x:c r="W56" s="24" t="n">
        <x:v>170.66</x:v>
      </x:c>
      <x:c r="X56" s="35" t="n">
        <x:v>46219</x:v>
      </x:c>
      <x:c r="Y56" s="404" t="str">
        <x:f>IF(OR(NOT(ISNUMBER(P56)),NOT(ISNUMBER(S56))),"",ROUND(S56-P56,2))</x:f>
      </x:c>
      <x:c r="Z56" t="str">
        <x:v>Complete</x:v>
      </x:c>
      <x:c r="AA56" t="str">
        <x:v>Unique</x:v>
      </x:c>
      <x:c r="AB56"/>
      <x:c r="AC56" t="str">
        <x:v>ACH processed $170.66 on 2026-07-16.</x:v>
      </x:c>
      <x:c r="AD56" t="str">
        <x:v>Gmail ACH confirmation 2026-07-16 + Canonical Ledger</x:v>
      </x:c>
    </x:row>
    <x:row r="57">
      <x:c r="A57" t="str">
        <x:v>LED-0056</x:v>
      </x:c>
      <x:c r="B57" t="str">
        <x:v>5911577</x:v>
      </x:c>
      <x:c r="C57" t="n">
        <x:v>57</x:v>
      </x:c>
      <x:c r="D57" s="35"/>
      <x:c r="E57" t="str">
        <x:v>CL-024</x:v>
      </x:c>
      <x:c r="F57" t="str">
        <x:v>Montpelier Liquors</x:v>
      </x:c>
      <x:c r="G57" s="35" t="n">
        <x:v>46209</x:v>
      </x:c>
      <x:c r="H57" s="404" t="str">
        <x:f>IF(G57="","",TEXT(G57,"dddd"))</x:f>
        <x:v>Monday</x:v>
      </x:c>
      <x:c r="I57" t="str">
        <x:v>Montpelier Liquors</x:v>
      </x:c>
      <x:c r="J57"/>
      <x:c r="K57" s="24" t="str">
        <x:v>Laurel</x:v>
      </x:c>
      <x:c r="L57" s="35" t="str">
        <x:v>Maryland</x:v>
      </x:c>
      <x:c r="M57" s="35"/>
      <x:c r="N57" t="str">
        <x:v>MD</x:v>
      </x:c>
      <x:c r="O57" s="404" t="str">
        <x:f>IF(OR(K57="",N57=""),"",K57&amp;"|"&amp;N57)</x:f>
        <x:v>Laurel|MD</x:v>
      </x:c>
      <x:c r="P57" s="24"/>
      <x:c r="Q57" s="24"/>
      <x:c r="R57" t="str">
        <x:v>Yes</x:v>
      </x:c>
      <x:c r="S57" s="24" t="n">
        <x:v>66.74</x:v>
      </x:c>
      <x:c r="T57" s="35"/>
      <x:c r="U57" s="35" t="str">
        <x:v>2026-07-20</x:v>
      </x:c>
      <x:c r="V57" t="str">
        <x:v>No</x:v>
      </x:c>
      <x:c r="W57" s="24"/>
      <x:c r="X57" s="35"/>
      <x:c r="Y57" s="404" t="str">
        <x:f>IF(OR(NOT(ISNUMBER(P57)),NOT(ISNUMBER(S57))),"",ROUND(S57-P57,2))</x:f>
      </x:c>
      <x:c r="Z57" t="str">
        <x:v>ACH missing</x:v>
      </x:c>
      <x:c r="AA57" t="str">
        <x:v>Unique</x:v>
      </x:c>
      <x:c r="AB57"/>
      <x:c r="AC57" t="str">
        <x:v>No-access visit paid breakdown.</x:v>
      </x:c>
      <x:c r="AD57" t="str">
        <x:v>WO Alias Index + Canonical Ledger</x:v>
      </x:c>
    </x:row>
    <x:row r="58">
      <x:c r="A58" t="str">
        <x:v>LED-0057</x:v>
      </x:c>
      <x:c r="B58" t="str">
        <x:v>5900780</x:v>
      </x:c>
      <x:c r="C58" t="n">
        <x:v>58</x:v>
      </x:c>
      <x:c r="D58" s="35"/>
      <x:c r="E58" t="str">
        <x:v>CL-026</x:v>
      </x:c>
      <x:c r="F58" t="str">
        <x:v>Dunkin</x:v>
      </x:c>
      <x:c r="G58" s="35" t="n">
        <x:v>46209</x:v>
      </x:c>
      <x:c r="H58" s="404" t="str">
        <x:f>IF(G58="","",TEXT(G58,"dddd"))</x:f>
        <x:v>Monday</x:v>
      </x:c>
      <x:c r="I58" t="str">
        <x:v>Dunkin</x:v>
      </x:c>
      <x:c r="J58"/>
      <x:c r="K58" s="24" t="str">
        <x:v>Lutherville</x:v>
      </x:c>
      <x:c r="L58" s="35" t="str">
        <x:v>Maryland</x:v>
      </x:c>
      <x:c r="M58" s="35"/>
      <x:c r="N58" t="str">
        <x:v>MD</x:v>
      </x:c>
      <x:c r="O58" s="404" t="str">
        <x:f>IF(OR(K58="",N58=""),"",K58&amp;"|"&amp;N58)</x:f>
        <x:v>Lutherville|MD</x:v>
      </x:c>
      <x:c r="P58" s="24"/>
      <x:c r="Q58" s="24"/>
      <x:c r="R58" t="str">
        <x:v>Yes</x:v>
      </x:c>
      <x:c r="S58" s="24" t="n">
        <x:v>202.5</x:v>
      </x:c>
      <x:c r="T58" s="35"/>
      <x:c r="U58" s="35" t="str">
        <x:v>2026-07-20</x:v>
      </x:c>
      <x:c r="V58" t="str">
        <x:v>No</x:v>
      </x:c>
      <x:c r="W58" s="24"/>
      <x:c r="X58" s="35"/>
      <x:c r="Y58" s="404" t="str">
        <x:f>IF(OR(NOT(ISNUMBER(P58)),NOT(ISNUMBER(S58))),"",ROUND(S58-P58,2))</x:f>
      </x:c>
      <x:c r="Z58" t="str">
        <x:v>ACH missing</x:v>
      </x:c>
      <x:c r="AA58" t="str">
        <x:v>Unique</x:v>
      </x:c>
      <x:c r="AB58"/>
      <x:c r="AC58" t="str">
        <x:v>Dunkin Lutherville payment breakdown confirmed.</x:v>
      </x:c>
      <x:c r="AD58" t="str">
        <x:v>WO Alias Index + Canonical Ledger</x:v>
      </x:c>
    </x:row>
    <x:row r="59">
      <x:c r="A59" t="str">
        <x:v>LED-0058</x:v>
      </x:c>
      <x:c r="B59" t="str">
        <x:v>5900830</x:v>
      </x:c>
      <x:c r="C59" t="n">
        <x:v>59</x:v>
      </x:c>
      <x:c r="D59" s="35"/>
      <x:c r="E59" t="str">
        <x:v>CL-026</x:v>
      </x:c>
      <x:c r="F59" t="str">
        <x:v>Dunkin</x:v>
      </x:c>
      <x:c r="G59" s="35" t="n">
        <x:v>46210</x:v>
      </x:c>
      <x:c r="H59" s="404" t="str">
        <x:f>IF(G59="","",TEXT(G59,"dddd"))</x:f>
        <x:v>Tuesday</x:v>
      </x:c>
      <x:c r="I59" t="str">
        <x:v>Dunkin</x:v>
      </x:c>
      <x:c r="J59"/>
      <x:c r="K59" s="24" t="str">
        <x:v>Aberdeen</x:v>
      </x:c>
      <x:c r="L59" s="35" t="str">
        <x:v>Maryland</x:v>
      </x:c>
      <x:c r="M59" s="35"/>
      <x:c r="N59" t="str">
        <x:v>MD</x:v>
      </x:c>
      <x:c r="O59" s="404" t="str">
        <x:f>IF(OR(K59="",N59=""),"",K59&amp;"|"&amp;N59)</x:f>
        <x:v>Aberdeen|MD</x:v>
      </x:c>
      <x:c r="P59" s="24"/>
      <x:c r="Q59" s="24"/>
      <x:c r="R59" t="str">
        <x:v>Yes</x:v>
      </x:c>
      <x:c r="S59" s="24" t="n">
        <x:v>250</x:v>
      </x:c>
      <x:c r="T59" s="35"/>
      <x:c r="U59" s="35" t="str">
        <x:v>2026-07-21</x:v>
      </x:c>
      <x:c r="V59" t="str">
        <x:v>No</x:v>
      </x:c>
      <x:c r="W59" s="24"/>
      <x:c r="X59" s="35"/>
      <x:c r="Y59" s="404" t="str">
        <x:f>IF(OR(NOT(ISNUMBER(P59)),NOT(ISNUMBER(S59))),"",ROUND(S59-P59,2))</x:f>
      </x:c>
      <x:c r="Z59" t="str">
        <x:v>ACH missing</x:v>
      </x:c>
      <x:c r="AA59" t="str">
        <x:v>Unique</x:v>
      </x:c>
      <x:c r="AB59"/>
      <x:c r="AC59" t="str">
        <x:v>Dunkin Aberdeen payment breakdown confirmed.</x:v>
      </x:c>
      <x:c r="AD59" t="str">
        <x:v>WO Alias Index + Canonical Ledger</x:v>
      </x:c>
    </x:row>
    <x:row r="60">
      <x:c r="A60" t="str">
        <x:v>LED-0059</x:v>
      </x:c>
      <x:c r="B60" t="str">
        <x:v>5912364</x:v>
      </x:c>
      <x:c r="C60" t="n">
        <x:v>60</x:v>
      </x:c>
      <x:c r="D60" s="35"/>
      <x:c r="E60" t="str">
        <x:v>CL-027</x:v>
      </x:c>
      <x:c r="F60" t="str">
        <x:v>Carvana</x:v>
      </x:c>
      <x:c r="G60" s="35" t="n">
        <x:v>46211</x:v>
      </x:c>
      <x:c r="H60" s="404" t="str">
        <x:f>IF(G60="","",TEXT(G60,"dddd"))</x:f>
        <x:v>Wednesday</x:v>
      </x:c>
      <x:c r="I60" t="str">
        <x:v>Carvana</x:v>
      </x:c>
      <x:c r="J60"/>
      <x:c r="K60" s="24" t="str">
        <x:v>Baltimore</x:v>
      </x:c>
      <x:c r="L60" s="35" t="str">
        <x:v>Maryland</x:v>
      </x:c>
      <x:c r="M60" s="35"/>
      <x:c r="N60" t="str">
        <x:v>MD</x:v>
      </x:c>
      <x:c r="O60" s="404" t="str">
        <x:f>IF(OR(K60="",N60=""),"",K60&amp;"|"&amp;N60)</x:f>
        <x:v>Baltimore|MD</x:v>
      </x:c>
      <x:c r="P60" s="24"/>
      <x:c r="Q60" s="24"/>
      <x:c r="R60" t="str">
        <x:v>Pending</x:v>
      </x:c>
      <x:c r="S60" s="24"/>
      <x:c r="T60" s="35"/>
      <x:c r="U60" s="35" t="str">
        <x:v>2026-07-22 / pending</x:v>
      </x:c>
      <x:c r="V60" t="str">
        <x:v>No</x:v>
      </x:c>
      <x:c r="W60" s="24"/>
      <x:c r="X60" s="35"/>
      <x:c r="Y60" s="404" t="str">
        <x:f>IF(OR(NOT(ISNUMBER(P60)),NOT(ISNUMBER(S60))),"",ROUND(S60-P60,2))</x:f>
      </x:c>
      <x:c r="Z60" t="str">
        <x:v>Combined visit / partial breakdown</x:v>
      </x:c>
      <x:c r="AA60" t="str">
        <x:v>MULTI-WO VISIT</x:v>
      </x:c>
      <x:c r="AB60" t="str">
        <x:v>5914049 / 5912364</x:v>
      </x:c>
      <x:c r="AC60" t="str">
        <x:v>Alias maps to combined one-visit Carvana event; 5912364 closed by user, breakdown pending.</x:v>
      </x:c>
      <x:c r="AD60" t="str">
        <x:v>WO Alias Index + Canonical Ledger</x:v>
      </x:c>
    </x:row>
    <x:row r="61">
      <x:c r="A61" t="str">
        <x:v>LED-0060</x:v>
      </x:c>
      <x:c r="B61" t="str">
        <x:v>5914049</x:v>
      </x:c>
      <x:c r="C61" t="n">
        <x:v>60</x:v>
      </x:c>
      <x:c r="D61" s="35"/>
      <x:c r="E61" t="str">
        <x:v>CL-027</x:v>
      </x:c>
      <x:c r="F61" t="str">
        <x:v>Carvana</x:v>
      </x:c>
      <x:c r="G61" s="35" t="n">
        <x:v>46211</x:v>
      </x:c>
      <x:c r="H61" s="404" t="str">
        <x:f>IF(G61="","",TEXT(G61,"dddd"))</x:f>
        <x:v>Wednesday</x:v>
      </x:c>
      <x:c r="I61" t="str">
        <x:v>Carvana</x:v>
      </x:c>
      <x:c r="J61"/>
      <x:c r="K61" s="24" t="str">
        <x:v>Baltimore</x:v>
      </x:c>
      <x:c r="L61" s="35" t="str">
        <x:v>Maryland</x:v>
      </x:c>
      <x:c r="M61" s="35"/>
      <x:c r="N61" t="str">
        <x:v>MD</x:v>
      </x:c>
      <x:c r="O61" s="404" t="str">
        <x:f>IF(OR(K61="",N61=""),"",K61&amp;"|"&amp;N61)</x:f>
        <x:v>Baltimore|MD</x:v>
      </x:c>
      <x:c r="P61" s="24"/>
      <x:c r="Q61" s="24"/>
      <x:c r="R61" t="str">
        <x:v>Partial</x:v>
      </x:c>
      <x:c r="S61" s="24" t="n">
        <x:v>65</x:v>
      </x:c>
      <x:c r="T61" s="35"/>
      <x:c r="U61" s="35" t="str">
        <x:v>2026-07-22 / pending</x:v>
      </x:c>
      <x:c r="V61" t="str">
        <x:v>No</x:v>
      </x:c>
      <x:c r="W61" s="24"/>
      <x:c r="X61" s="35"/>
      <x:c r="Y61" s="404" t="str">
        <x:f>IF(OR(NOT(ISNUMBER(P61)),NOT(ISNUMBER(S61))),"",ROUND(S61-P61,2))</x:f>
      </x:c>
      <x:c r="Z61" t="str">
        <x:v>Combined visit / partial breakdown</x:v>
      </x:c>
      <x:c r="AA61" t="str">
        <x:v>MULTI-WO VISIT</x:v>
      </x:c>
      <x:c r="AB61" t="str">
        <x:v>5914049 / 5912364</x:v>
      </x:c>
      <x:c r="AC61" t="str">
        <x:v>Alias maps to combined one-visit Carvana event; 5914049 breakdown $65 received.</x:v>
      </x:c>
      <x:c r="AD61" t="str">
        <x:v>WO Alias Index + Canonical Ledger</x:v>
      </x:c>
    </x:row>
    <x:row r="62">
      <x:c r="A62" t="str">
        <x:v>LED-0061</x:v>
      </x:c>
      <x:c r="B62" t="str">
        <x:v>5909344</x:v>
      </x:c>
      <x:c r="C62" t="n">
        <x:v>61</x:v>
      </x:c>
      <x:c r="D62" s="35"/>
      <x:c r="E62" t="str">
        <x:v>CL-020</x:v>
      </x:c>
      <x:c r="F62" t="str">
        <x:v>TJ Maxx</x:v>
      </x:c>
      <x:c r="G62" s="35" t="n">
        <x:v>46212</x:v>
      </x:c>
      <x:c r="H62" s="404" t="str">
        <x:f>IF(G62="","",TEXT(G62,"dddd"))</x:f>
        <x:v>Thursday</x:v>
      </x:c>
      <x:c r="I62" t="str">
        <x:v>TJ Maxx</x:v>
      </x:c>
      <x:c r="J62"/>
      <x:c r="K62" s="24" t="str">
        <x:v>Germantown</x:v>
      </x:c>
      <x:c r="L62" s="35" t="str">
        <x:v>Maryland</x:v>
      </x:c>
      <x:c r="M62" s="35"/>
      <x:c r="N62" t="str">
        <x:v>MD</x:v>
      </x:c>
      <x:c r="O62" s="404" t="str">
        <x:f>IF(OR(K62="",N62=""),"",K62&amp;"|"&amp;N62)</x:f>
        <x:v>Germantown|MD</x:v>
      </x:c>
      <x:c r="P62" s="24"/>
      <x:c r="Q62" s="24"/>
      <x:c r="R62" t="str">
        <x:v>Yes</x:v>
      </x:c>
      <x:c r="S62" s="24" t="n">
        <x:v>194.99</x:v>
      </x:c>
      <x:c r="T62" s="35" t="n">
        <x:v>46214</x:v>
      </x:c>
      <x:c r="U62" s="35" t="n">
        <x:v>46226</x:v>
      </x:c>
      <x:c r="V62" t="str">
        <x:v>No</x:v>
      </x:c>
      <x:c r="W62" s="24"/>
      <x:c r="X62" s="35"/>
      <x:c r="Y62" s="404" t="str">
        <x:f>IF(OR(NOT(ISNUMBER(P62)),NOT(ISNUMBER(S62))),"",ROUND(S62-P62,2))</x:f>
      </x:c>
      <x:c r="Z62" t="str">
        <x:v>ACH missing</x:v>
      </x:c>
      <x:c r="AA62" t="str">
        <x:v>Unique</x:v>
      </x:c>
      <x:c r="AB62"/>
      <x:c r="AC62" t="str">
        <x:v>Payment breakdown confirmed at $194.99 with $0.00 deductions; expected payment 2026-07-23; ACH pending.</x:v>
      </x:c>
      <x:c r="AD62" t="str">
        <x:v>Gmail: Payment Breakdown &amp; Confirmation for Work Order 5909344, received 2026-07-11</x:v>
      </x:c>
    </x:row>
    <x:row r="63">
      <x:c r="A63" t="str">
        <x:v>LED-0062</x:v>
      </x:c>
      <x:c r="B63" t="str">
        <x:v>5913868</x:v>
      </x:c>
      <x:c r="C63" t="n">
        <x:v>62</x:v>
      </x:c>
      <x:c r="D63" s="35"/>
      <x:c r="E63" t="str">
        <x:v>CL-020</x:v>
      </x:c>
      <x:c r="F63" t="str">
        <x:v>TJ Maxx</x:v>
      </x:c>
      <x:c r="G63" s="35" t="n">
        <x:v>46212</x:v>
      </x:c>
      <x:c r="H63" s="404" t="str">
        <x:f>IF(G63="","",TEXT(G63,"dddd"))</x:f>
        <x:v>Thursday</x:v>
      </x:c>
      <x:c r="I63" t="str">
        <x:v>TJ Maxx</x:v>
      </x:c>
      <x:c r="J63"/>
      <x:c r="K63" s="24" t="str">
        <x:v>Martinsburg</x:v>
      </x:c>
      <x:c r="L63" s="35" t="str">
        <x:v>West Virginia</x:v>
      </x:c>
      <x:c r="M63" s="35"/>
      <x:c r="N63" t="str">
        <x:v>WV</x:v>
      </x:c>
      <x:c r="O63" s="404" t="str">
        <x:f>IF(OR(K63="",N63=""),"",K63&amp;"|"&amp;N63)</x:f>
        <x:v>Martinsburg|WV</x:v>
      </x:c>
      <x:c r="P63" s="24" t="n">
        <x:v>150</x:v>
      </x:c>
      <x:c r="Q63" s="24"/>
      <x:c r="R63" t="str">
        <x:v>Yes</x:v>
      </x:c>
      <x:c r="S63" s="24" t="n">
        <x:v>100.83</x:v>
      </x:c>
      <x:c r="T63" s="35"/>
      <x:c r="U63" s="35" t="str">
        <x:v>2026-07-23</x:v>
      </x:c>
      <x:c r="V63" t="str">
        <x:v>No</x:v>
      </x:c>
      <x:c r="W63" s="24"/>
      <x:c r="X63" s="35"/>
      <x:c r="Y63" s="404" t="n">
        <x:f>IF(OR(NOT(ISNUMBER(P63)),NOT(ISNUMBER(S63))),"",ROUND(S63-P63,2))</x:f>
        <x:v>-49.17</x:v>
      </x:c>
      <x:c r="Z63" t="str">
        <x:v>BREAKDOWN_MISMATCH</x:v>
      </x:c>
      <x:c r="AA63" t="str">
        <x:v>Unique</x:v>
      </x:c>
      <x:c r="AB63"/>
      <x:c r="AC63" t="str">
        <x:v>Negotiated amount $150.00; payment breakdown received for $100.83; variance -$49.17; expected payment 2026-07-23.</x:v>
      </x:c>
      <x:c r="AD63" t="str">
        <x:v>Gmail payment breakdown 2026-07-10 + Phase 1 ledger</x:v>
      </x:c>
    </x:row>
    <x:row r="64">
      <x:c r="A64" t="str">
        <x:v>LED-0063</x:v>
      </x:c>
      <x:c r="B64" t="str">
        <x:v>5905579</x:v>
      </x:c>
      <x:c r="C64"/>
      <x:c r="D64" s="35" t="str">
        <x:v>48 / 51</x:v>
      </x:c>
      <x:c r="E64" t="str">
        <x:v>CL-005</x:v>
      </x:c>
      <x:c r="F64" t="str">
        <x:v>Hebrew Home of Greater Washington</x:v>
      </x:c>
      <x:c r="G64" s="35"/>
      <x:c r="H64" s="404" t="str">
        <x:f>IF(G64="","",TEXT(G64,"dddd"))</x:f>
      </x:c>
      <x:c r="I64" t="str">
        <x:v>Hebrew Home of Greater Washington</x:v>
      </x:c>
      <x:c r="J64"/>
      <x:c r="K64" s="24" t="str">
        <x:v>North Bethesda</x:v>
      </x:c>
      <x:c r="L64" s="35" t="str">
        <x:v>Maryland</x:v>
      </x:c>
      <x:c r="M64" s="35"/>
      <x:c r="N64" t="str">
        <x:v>MD</x:v>
      </x:c>
      <x:c r="O64" s="404" t="str">
        <x:f>IF(OR(K64="",N64=""),"",K64&amp;"|"&amp;N64)</x:f>
        <x:v>North Bethesda|MD</x:v>
      </x:c>
      <x:c r="P64" s="24"/>
      <x:c r="Q64" s="24"/>
      <x:c r="R64" t="str">
        <x:v>Mapping Hold</x:v>
      </x:c>
      <x:c r="S64" s="24"/>
      <x:c r="T64" s="35"/>
      <x:c r="U64" s="35"/>
      <x:c r="V64" t="str">
        <x:v>Partial</x:v>
      </x:c>
      <x:c r="W64" s="24" t="n">
        <x:v>35</x:v>
      </x:c>
      <x:c r="X64" s="35"/>
      <x:c r="Y64" s="404" t="str">
        <x:f>IF(OR(NOT(ISNUMBER(P64)),NOT(ISNUMBER(S64))),"",ROUND(S64-P64,2))</x:f>
      </x:c>
      <x:c r="Z64" t="str">
        <x:v>MAPPING_HOLD</x:v>
      </x:c>
      <x:c r="AA64" t="str">
        <x:v>MAPPING_HOLD</x:v>
      </x:c>
      <x:c r="AB64" t="str">
        <x:v>Candidate Events 48 / 51; companion WO 5905576</x:v>
      </x:c>
      <x:c r="AC64" t="str">
        <x:v>Duplicate WO collision preserved without guessing. Event 48 legacy breakdown $70; Event 51 legacy breakdown $60; ACH $35. Human mapping required before assigning this WO.</x:v>
      </x:c>
      <x:c r="AD64" t="str">
        <x:v>Phase 1 duplicate rows consolidated</x:v>
      </x:c>
    </x:row>
    <x:row r="65">
      <x:c r="A65" t="str">
        <x:v>LED-0064</x:v>
      </x:c>
      <x:c r="B65" t="str">
        <x:v>5909368</x:v>
      </x:c>
      <x:c r="C65" t="n">
        <x:v>63</x:v>
      </x:c>
      <x:c r="D65" s="35"/>
      <x:c r="E65" t="str">
        <x:v>CL-022</x:v>
      </x:c>
      <x:c r="F65" t="str">
        <x:v>Marshalls</x:v>
      </x:c>
      <x:c r="G65" s="35" t="n">
        <x:v>46216</x:v>
      </x:c>
      <x:c r="H65" s="404" t="str">
        <x:f>IF(G65="","",TEXT(G65,"dddd"))</x:f>
        <x:v>Monday</x:v>
      </x:c>
      <x:c r="I65" t="str">
        <x:v>Marshalls — Hunt Valley Town Center</x:v>
      </x:c>
      <x:c r="J65" t="str">
        <x:v>118 Shawan Rd Ste W</x:v>
      </x:c>
      <x:c r="K65" s="24" t="str">
        <x:v>Cockeysville</x:v>
      </x:c>
      <x:c r="L65" s="35" t="str">
        <x:v>Maryland</x:v>
      </x:c>
      <x:c r="M65" s="35" t="str">
        <x:v>21030</x:v>
      </x:c>
      <x:c r="N65" t="str">
        <x:v>MD</x:v>
      </x:c>
      <x:c r="O65" s="404" t="str">
        <x:f>IF(OR(K65="",N65=""),"",K65&amp;"|"&amp;N65)</x:f>
        <x:v>Cockeysville|MD</x:v>
      </x:c>
      <x:c r="P65" s="35"/>
      <x:c r="Q65" s="24" t="str">
        <x:v>Hourly</x:v>
      </x:c>
      <x:c r="R65" t="str">
        <x:v>Pending</x:v>
      </x:c>
      <x:c r="S65"/>
      <x:c r="T65"/>
      <x:c r="U65" t="str">
        <x:v>2026-07-27 / pending breakdown</x:v>
      </x:c>
      <x:c r="V65" t="str">
        <x:v>No</x:v>
      </x:c>
      <x:c r="W65"/>
      <x:c r="X65"/>
      <x:c r="Y65" s="403" t="str">
        <x:f>IF(OR(NOT(ISNUMBER(P65)),NOT(ISNUMBER(S65))),"",ROUND(S65-P65,2))</x:f>
      </x:c>
      <x:c r="Z65" t="str">
        <x:v>Breakdown pending</x:v>
      </x:c>
      <x:c r="AA65" t="str">
        <x:v>Unique</x:v>
      </x:c>
      <x:c r="AB65"/>
      <x:c r="AC65" t="str">
        <x:v>Hourly rate $40.00. Server refresh completed; final payable hours and breakdown pending.</x:v>
      </x:c>
      <x:c r="AD65" t="str">
        <x:v>5909368_MarshallsCockeysville.pdf + user-authoritative completion 2026-07-13</x:v>
      </x:c>
    </x:row>
    <x:row r="66">
      <x:c r="A66" t="str">
        <x:v>LED-0065</x:v>
      </x:c>
      <x:c r="B66" t="str">
        <x:v>5916961</x:v>
      </x:c>
      <x:c r="C66" t="n">
        <x:v>64</x:v>
      </x:c>
      <x:c r="D66"/>
      <x:c r="E66" t="str">
        <x:v>CL-022</x:v>
      </x:c>
      <x:c r="F66" t="str">
        <x:v>Marshalls</x:v>
      </x:c>
      <x:c r="G66" s="35" t="n">
        <x:v>46216</x:v>
      </x:c>
      <x:c r="H66" s="403" t="str">
        <x:f>IF(G66="","",TEXT(G66,"dddd"))</x:f>
        <x:v>Monday</x:v>
      </x:c>
      <x:c r="I66" t="str">
        <x:v>Marshalls 0764</x:v>
      </x:c>
      <x:c r="J66" t="str">
        <x:v>17646 Garland Groh Blvd</x:v>
      </x:c>
      <x:c r="K66" t="str">
        <x:v>Hagerstown</x:v>
      </x:c>
      <x:c r="L66" t="str">
        <x:v>Maryland</x:v>
      </x:c>
      <x:c r="M66" t="str">
        <x:v>21740</x:v>
      </x:c>
      <x:c r="N66" t="str">
        <x:v>MD</x:v>
      </x:c>
      <x:c r="O66" s="403" t="str">
        <x:f>IF(OR(K66="",N66=""),"",K66&amp;"|"&amp;N66)</x:f>
        <x:v>Hagerstown|MD</x:v>
      </x:c>
      <x:c r="P66"/>
      <x:c r="Q66" t="str">
        <x:v>Hourly</x:v>
      </x:c>
      <x:c r="R66" t="str">
        <x:v>Pending</x:v>
      </x:c>
      <x:c r="S66"/>
      <x:c r="T66"/>
      <x:c r="U66" t="str">
        <x:v>2026-07-27 / pending breakdown</x:v>
      </x:c>
      <x:c r="V66" t="str">
        <x:v>No</x:v>
      </x:c>
      <x:c r="W66"/>
      <x:c r="X66"/>
      <x:c r="Y66" s="403" t="str">
        <x:f>IF(OR(NOT(ISNUMBER(P66)),NOT(ISNUMBER(S66))),"",ROUND(S66-P66,2))</x:f>
      </x:c>
      <x:c r="Z66" t="str">
        <x:v>Breakdown pending</x:v>
      </x:c>
      <x:c r="AA66" t="str">
        <x:v>Unique</x:v>
      </x:c>
      <x:c r="AB66"/>
      <x:c r="AC66" t="str">
        <x:v>Hourly rate $55.00. Documented onsite window began 12:55 PM. Extended time was heavily communicated and documented; delay resulted from support unavailability and incorrect ticket network information. Barrister guaranteed documented onsite hours would be paid. Final breakdown pending.</x:v>
      </x:c>
      <x:c r="AD66" t="str">
        <x:v>5916961_MarshallsHagerstown.pdf + onsite notes + user-authoritative completion 2026-07-13</x:v>
      </x:c>
    </x:row>
    <x:row r="67">
      <x:c r="A67" t="str">
        <x:v>LED-0066</x:v>
      </x:c>
      <x:c r="B67" t="str">
        <x:v>5917407</x:v>
      </x:c>
      <x:c r="C67" t="n">
        <x:v>65</x:v>
      </x:c>
      <x:c r="D67"/>
      <x:c r="E67" t="str">
        <x:v>CL-016</x:v>
      </x:c>
      <x:c r="F67" t="str">
        <x:v>HomeGoods</x:v>
      </x:c>
      <x:c r="G67" s="35" t="n">
        <x:v>46216</x:v>
      </x:c>
      <x:c r="H67" s="403" t="str">
        <x:f>IF(G67="","",TEXT(G67,"dddd"))</x:f>
        <x:v>Monday</x:v>
      </x:c>
      <x:c r="I67" t="str">
        <x:v>HomeGoods 0652</x:v>
      </x:c>
      <x:c r="J67" t="str">
        <x:v>606 Quince Orchard Road</x:v>
      </x:c>
      <x:c r="K67" t="str">
        <x:v>Gaithersburg</x:v>
      </x:c>
      <x:c r="L67" t="str">
        <x:v>Maryland</x:v>
      </x:c>
      <x:c r="M67" t="str">
        <x:v>20878</x:v>
      </x:c>
      <x:c r="N67" t="str">
        <x:v>MD</x:v>
      </x:c>
      <x:c r="O67" s="403" t="str">
        <x:f>IF(OR(K67="",N67=""),"",K67&amp;"|"&amp;N67)</x:f>
        <x:v>Gaithersburg|MD</x:v>
      </x:c>
      <x:c r="P67"/>
      <x:c r="Q67" t="str">
        <x:v>Hourly</x:v>
      </x:c>
      <x:c r="R67" t="str">
        <x:v>Pending</x:v>
      </x:c>
      <x:c r="S67"/>
      <x:c r="T67"/>
      <x:c r="U67" t="str">
        <x:v>2026-07-27 / pending breakdown</x:v>
      </x:c>
      <x:c r="V67" t="str">
        <x:v>No</x:v>
      </x:c>
      <x:c r="W67"/>
      <x:c r="X67"/>
      <x:c r="Y67" s="403" t="str">
        <x:f>IF(OR(NOT(ISNUMBER(P67)),NOT(ISNUMBER(S67))),"",ROUND(S67-P67,2))</x:f>
      </x:c>
      <x:c r="Z67" t="str">
        <x:v>Breakdown pending</x:v>
      </x:c>
      <x:c r="AA67" t="str">
        <x:v>Unique</x:v>
      </x:c>
      <x:c r="AB67"/>
      <x:c r="AC67" t="str">
        <x:v>Hourly rate $50.00. Original 12V PoweredUSB cable failed; replacement restored power, after which the original pin pad displayed a persistent white/blue screen. Verifone approved M440 replacement. Support delay included about 25 minutes initially and 15+ minutes after a disconnected call. Replacement device updates completed, device registered, and test transaction passed. Original S/N 451-859-314. Final breakdown pending.</x:v>
      </x:c>
      <x:c r="AD67" t="str">
        <x:v>User-authoritative completion 2026-07-13 + ticket details + Slack/photo evidence</x:v>
      </x:c>
    </x:row>
    <x:row r="68">
      <x:c r="A68" t="str">
        <x:v>LED-0067</x:v>
      </x:c>
      <x:c r="B68" t="str">
        <x:v>5909385</x:v>
      </x:c>
      <x:c r="C68" t="n">
        <x:v>66</x:v>
      </x:c>
      <x:c r="D68"/>
      <x:c r="E68" t="str">
        <x:v>CL-020</x:v>
      </x:c>
      <x:c r="F68" t="str">
        <x:v>TJ Maxx</x:v>
      </x:c>
      <x:c r="G68" s="35" t="n">
        <x:v>46217</x:v>
      </x:c>
      <x:c r="H68" t="str">
        <x:f>IF(G68="","",TEXT(G68,"dddd"))</x:f>
        <x:v>Tuesday</x:v>
      </x:c>
      <x:c r="I68" t="str">
        <x:v>TJ Maxx — Tollgate Mall</x:v>
      </x:c>
      <x:c r="J68" t="str">
        <x:v>615 Bel Air Road</x:v>
      </x:c>
      <x:c r="K68" t="str">
        <x:v>Bel Air</x:v>
      </x:c>
      <x:c r="L68" t="str">
        <x:v>Maryland</x:v>
      </x:c>
      <x:c r="M68" t="str">
        <x:v>21014</x:v>
      </x:c>
      <x:c r="N68" t="str">
        <x:v>MD</x:v>
      </x:c>
      <x:c r="O68" t="str">
        <x:f>IF(OR(K68="",N68=""),"",K68&amp;"|"&amp;N68)</x:f>
        <x:v>Bel Air|MD</x:v>
      </x:c>
      <x:c r="P68"/>
      <x:c r="Q68" t="str">
        <x:v>Hourly</x:v>
      </x:c>
      <x:c r="R68" t="str">
        <x:v>Pending</x:v>
      </x:c>
      <x:c r="S68"/>
      <x:c r="T68"/>
      <x:c r="U68" t="str">
        <x:v>2026-07-28 / pending breakdown</x:v>
      </x:c>
      <x:c r="V68" t="str">
        <x:v>No</x:v>
      </x:c>
      <x:c r="W68"/>
      <x:c r="X68"/>
      <x:c r="Y68" t="str">
        <x:f>IF(OR(NOT(ISNUMBER(P68)),NOT(ISNUMBER(S68))),"",ROUND(S68-P68,2))</x:f>
      </x:c>
      <x:c r="Z68" t="str">
        <x:v>Breakdown pending</x:v>
      </x:c>
      <x:c r="AA68" t="str">
        <x:v>Unique</x:v>
      </x:c>
      <x:c r="AB68"/>
      <x:c r="AC68" t="str">
        <x:v>Hourly rate $45.00. NextGen 11 server installed and validated; VH1 decommissioned, boxed, and labeled for return. Final payable hours and payment breakdown pending.</x:v>
      </x:c>
      <x:c r="AD68" t="str">
        <x:v>WO 5909385 RFS + FastField/photo evidence + user-authoritative completion 2026-07-14</x:v>
      </x:c>
    </x:row>
    <x:row r="69">
      <x:c r="A69" t="str">
        <x:v>LED-0068</x:v>
      </x:c>
      <x:c r="B69" t="str">
        <x:v>5914898</x:v>
      </x:c>
      <x:c r="C69" t="n">
        <x:v>67</x:v>
      </x:c>
      <x:c r="D69"/>
      <x:c r="E69" t="str">
        <x:v>CL-026</x:v>
      </x:c>
      <x:c r="F69" t="str">
        <x:v>Dunkin</x:v>
      </x:c>
      <x:c r="G69" s="35" t="n">
        <x:v>46217</x:v>
      </x:c>
      <x:c r="H69" t="str">
        <x:f>IF(G69="","",TEXT(G69,"dddd"))</x:f>
        <x:v>Tuesday</x:v>
      </x:c>
      <x:c r="I69" t="str">
        <x:v>Dunkin Donuts #342406</x:v>
      </x:c>
      <x:c r="J69" t="str">
        <x:v>645 S. Philadelphia Blvd</x:v>
      </x:c>
      <x:c r="K69" t="str">
        <x:v>Aberdeen</x:v>
      </x:c>
      <x:c r="L69" t="str">
        <x:v>Maryland</x:v>
      </x:c>
      <x:c r="M69" t="str">
        <x:v>21001</x:v>
      </x:c>
      <x:c r="N69" t="str">
        <x:v>MD</x:v>
      </x:c>
      <x:c r="O69" t="str">
        <x:f>IF(OR(K69="",N69=""),"",K69&amp;"|"&amp;N69)</x:f>
        <x:v>Aberdeen|MD</x:v>
      </x:c>
      <x:c r="P69"/>
      <x:c r="Q69" t="str">
        <x:v>Hourly</x:v>
      </x:c>
      <x:c r="R69" t="str">
        <x:v>Yes</x:v>
      </x:c>
      <x:c r="S69" s="24" t="n">
        <x:v>183.74</x:v>
      </x:c>
      <x:c r="T69" s="35" t="n">
        <x:v>46217</x:v>
      </x:c>
      <x:c r="U69" s="35" t="n">
        <x:v>46231</x:v>
      </x:c>
      <x:c r="V69" t="str">
        <x:v>No</x:v>
      </x:c>
      <x:c r="W69"/>
      <x:c r="X69"/>
      <x:c r="Y69" t="str">
        <x:f>IF(OR(NOT(ISNUMBER(P69)),NOT(ISNUMBER(S69))),"",ROUND(S69-P69,2))</x:f>
      </x:c>
      <x:c r="Z69" t="str">
        <x:v>ACH missing</x:v>
      </x:c>
      <x:c r="AA69" t="str">
        <x:v>Unique</x:v>
      </x:c>
      <x:c r="AB69"/>
      <x:c r="AC69" t="str">
        <x:v>Return visit completed after extended Verifone, kiosk-vendor, and United Service Desk troubleshooting. Support released the technician after escalation. Payment breakdown $183.74, deductions $0.00, expected payment 2026-07-28; ACH pending.</x:v>
      </x:c>
      <x:c r="AD69" t="str">
        <x:v>WO 5914898 RFS + user-authoritative completion + Gmail payment breakdown received 2026-07-14</x:v>
      </x:c>
    </x:row>
    <x:row r="70">
      <x:c r="A70" t="str">
        <x:v>LED-0069</x:v>
      </x:c>
      <x:c r="B70" t="str">
        <x:v>5900854</x:v>
      </x:c>
      <x:c r="C70" t="n">
        <x:v>68</x:v>
      </x:c>
      <x:c r="D70"/>
      <x:c r="E70" t="str">
        <x:v>CL-026</x:v>
      </x:c>
      <x:c r="F70" t="str">
        <x:v>Dunkin</x:v>
      </x:c>
      <x:c r="G70" t="n">
        <x:v>46218</x:v>
      </x:c>
      <x:c r="H70" t="str">
        <x:v>Wednesday</x:v>
      </x:c>
      <x:c r="I70" t="str">
        <x:v>Dunkin — Fallston</x:v>
      </x:c>
      <x:c r="J70"/>
      <x:c r="K70" t="str">
        <x:v>Fallston</x:v>
      </x:c>
      <x:c r="L70" t="str">
        <x:v>Maryland</x:v>
      </x:c>
      <x:c r="M70"/>
      <x:c r="N70" t="str">
        <x:v>MD</x:v>
      </x:c>
      <x:c r="O70" t="str">
        <x:v>Fallston|MD</x:v>
      </x:c>
      <x:c r="P70" t="n">
        <x:v>350</x:v>
      </x:c>
      <x:c r="Q70" t="str">
        <x:v>Speed ACH</x:v>
      </x:c>
      <x:c r="R70" t="str">
        <x:v>Yes</x:v>
      </x:c>
      <x:c r="S70" t="n">
        <x:v>350</x:v>
      </x:c>
      <x:c r="T70" t="n">
        <x:v>46218</x:v>
      </x:c>
      <x:c r="U70" t="n">
        <x:v>46232</x:v>
      </x:c>
      <x:c r="V70" t="str">
        <x:v>No</x:v>
      </x:c>
      <x:c r="W70"/>
      <x:c r="X70"/>
      <x:c r="Y70" t="n">
        <x:v>0</x:v>
      </x:c>
      <x:c r="Z70" t="str">
        <x:v>ACH missing</x:v>
      </x:c>
      <x:c r="AA70" t="str">
        <x:v>Unique</x:v>
      </x:c>
      <x:c r="AB70"/>
      <x:c r="AC70" t="str">
        <x:v>Payment breakdown confirmed at $350.00; Speed ACH expected 2026-07-29.</x:v>
      </x:c>
      <x:c r="AD70" t="str">
        <x:v>User-authoritative completion + Gmail payment breakdown</x:v>
      </x:c>
    </x:row>
    <x:row r="71">
      <x:c r="A71" t="str">
        <x:v>LED-0070</x:v>
      </x:c>
      <x:c r="B71" t="str">
        <x:v>5909418</x:v>
      </x:c>
      <x:c r="C71" t="n">
        <x:v>69</x:v>
      </x:c>
      <x:c r="D71"/>
      <x:c r="E71" t="str">
        <x:v>CL-020</x:v>
      </x:c>
      <x:c r="F71" t="str">
        <x:v>TJ Maxx</x:v>
      </x:c>
      <x:c r="G71" t="n">
        <x:v>46219</x:v>
      </x:c>
      <x:c r="H71" t="str">
        <x:v>Thursday</x:v>
      </x:c>
      <x:c r="I71" t="str">
        <x:v>TJ Maxx — Columbia</x:v>
      </x:c>
      <x:c r="J71"/>
      <x:c r="K71" t="str">
        <x:v>Columbia</x:v>
      </x:c>
      <x:c r="L71" t="str">
        <x:v>Maryland</x:v>
      </x:c>
      <x:c r="M71"/>
      <x:c r="N71" t="str">
        <x:v>MD</x:v>
      </x:c>
      <x:c r="O71" t="str">
        <x:v>Columbia|MD</x:v>
      </x:c>
      <x:c r="P71"/>
      <x:c r="Q71" t="str">
        <x:v>Hourly</x:v>
      </x:c>
      <x:c r="R71" t="str">
        <x:v>Pending</x:v>
      </x:c>
      <x:c r="S71"/>
      <x:c r="T71"/>
      <x:c r="U71" t="str">
        <x:v>Pending breakdown</x:v>
      </x:c>
      <x:c r="V71" t="str">
        <x:v>No</x:v>
      </x:c>
      <x:c r="W71"/>
      <x:c r="X71"/>
      <x:c r="Y71"/>
      <x:c r="Z71" t="str">
        <x:v>Breakdown pending</x:v>
      </x:c>
      <x:c r="AA71" t="str">
        <x:v>Unique</x:v>
      </x:c>
      <x:c r="AB71"/>
      <x:c r="AC71" t="str">
        <x:v>Hourly rate $40.00; final payment breakdown pending.</x:v>
      </x:c>
      <x:c r="AD71" t="str">
        <x:v>User-authoritative completion + ticket details</x:v>
      </x:c>
    </x:row>
    <x:row r="72">
      <x:c r="A72" t="str">
        <x:v>LED-0071</x:v>
      </x:c>
      <x:c r="B72" t="str">
        <x:v>5918899</x:v>
      </x:c>
      <x:c r="C72" t="n">
        <x:v>70</x:v>
      </x:c>
      <x:c r="D72"/>
      <x:c r="E72" t="str">
        <x:v>CL-007</x:v>
      </x:c>
      <x:c r="F72" t="str">
        <x:v>Giant Food Stores</x:v>
      </x:c>
      <x:c r="G72" t="n">
        <x:v>46219</x:v>
      </x:c>
      <x:c r="H72" t="str">
        <x:v>Thursday</x:v>
      </x:c>
      <x:c r="I72" t="str">
        <x:v>Giant Food — Olney</x:v>
      </x:c>
      <x:c r="J72"/>
      <x:c r="K72" t="str">
        <x:v>Olney</x:v>
      </x:c>
      <x:c r="L72" t="str">
        <x:v>Maryland</x:v>
      </x:c>
      <x:c r="M72"/>
      <x:c r="N72" t="str">
        <x:v>MD</x:v>
      </x:c>
      <x:c r="O72" t="str">
        <x:v>Olney|MD</x:v>
      </x:c>
      <x:c r="P72"/>
      <x:c r="Q72"/>
      <x:c r="R72" t="str">
        <x:v>Pending</x:v>
      </x:c>
      <x:c r="S72"/>
      <x:c r="T72"/>
      <x:c r="U72" t="str">
        <x:v>Pending breakdown</x:v>
      </x:c>
      <x:c r="V72" t="str">
        <x:v>No</x:v>
      </x:c>
      <x:c r="W72"/>
      <x:c r="X72"/>
      <x:c r="Y72"/>
      <x:c r="Z72" t="str">
        <x:v>Breakdown pending</x:v>
      </x:c>
      <x:c r="AA72" t="str">
        <x:v>Unique</x:v>
      </x:c>
      <x:c r="AB72"/>
      <x:c r="AC72" t="str">
        <x:v>HCL network troubleshooting completed; final payment breakdown pending.</x:v>
      </x:c>
      <x:c r="AD72" t="str">
        <x:v>User-authoritative completion + onsite notes</x:v>
      </x:c>
    </x:row>
    <x:row r="73">
      <x:c r="A73" t="str">
        <x:v>LED-0072</x:v>
      </x:c>
      <x:c r="B73" t="str">
        <x:v>5918348</x:v>
      </x:c>
      <x:c r="C73" t="n">
        <x:v>71</x:v>
      </x:c>
      <x:c r="D73"/>
      <x:c r="E73" t="str">
        <x:v>CL-028</x:v>
      </x:c>
      <x:c r="F73" t="str">
        <x:v>WeWork</x:v>
      </x:c>
      <x:c r="G73" t="n">
        <x:v>46220</x:v>
      </x:c>
      <x:c r="H73" t="str">
        <x:v>Friday</x:v>
      </x:c>
      <x:c r="I73" t="str">
        <x:v>WeWork DC18</x:v>
      </x:c>
      <x:c r="J73" t="str">
        <x:v>200 Massachusetts Ave NW</x:v>
      </x:c>
      <x:c r="K73" t="str">
        <x:v>Washington</x:v>
      </x:c>
      <x:c r="L73" t="str">
        <x:v>Washington, DC</x:v>
      </x:c>
      <x:c r="M73" t="str">
        <x:v>20001</x:v>
      </x:c>
      <x:c r="N73" t="str">
        <x:v>DC</x:v>
      </x:c>
      <x:c r="O73" t="str">
        <x:v>Washington|DC</x:v>
      </x:c>
      <x:c r="P73"/>
      <x:c r="Q73" t="str">
        <x:v>Hourly ACH</x:v>
      </x:c>
      <x:c r="R73" t="str">
        <x:v>Pending</x:v>
      </x:c>
      <x:c r="S73"/>
      <x:c r="T73"/>
      <x:c r="U73" t="str">
        <x:v>Pending breakdown</x:v>
      </x:c>
      <x:c r="V73" t="str">
        <x:v>No</x:v>
      </x:c>
      <x:c r="W73"/>
      <x:c r="X73"/>
      <x:c r="Y73"/>
      <x:c r="Z73" t="str">
        <x:v>Breakdown pending</x:v>
      </x:c>
      <x:c r="AA73" t="str">
        <x:v>Unique</x:v>
      </x:c>
      <x:c r="AB73"/>
      <x:c r="AC73" t="str">
        <x:v>Hourly rate $45.00; final payment breakdown pending.</x:v>
      </x:c>
      <x:c r="AD73" t="str">
        <x:v>WO 5918348 + user-authoritative completion</x:v>
      </x:c>
    </x:row>
    <x:row r="74">
      <x:c r="A74" t="str">
        <x:v>LED-0073</x:v>
      </x:c>
      <x:c r="B74" t="str">
        <x:v>5913115</x:v>
      </x:c>
      <x:c r="C74" t="n">
        <x:v>72</x:v>
      </x:c>
      <x:c r="D74"/>
      <x:c r="E74" t="str">
        <x:v>CL-029</x:v>
      </x:c>
      <x:c r="F74" t="str">
        <x:v>Miramar</x:v>
      </x:c>
      <x:c r="G74" t="n">
        <x:v>46220</x:v>
      </x:c>
      <x:c r="H74" t="str">
        <x:v>Friday</x:v>
      </x:c>
      <x:c r="I74" t="str">
        <x:v>Hebrew Home of Greater Washington</x:v>
      </x:c>
      <x:c r="J74"/>
      <x:c r="K74" t="str">
        <x:v>North Bethesda</x:v>
      </x:c>
      <x:c r="L74" t="str">
        <x:v>Maryland</x:v>
      </x:c>
      <x:c r="M74"/>
      <x:c r="N74" t="str">
        <x:v>MD</x:v>
      </x:c>
      <x:c r="O74" t="str">
        <x:v>North Bethesda|MD</x:v>
      </x:c>
      <x:c r="P74" t="n">
        <x:v>50</x:v>
      </x:c>
      <x:c r="Q74" t="str">
        <x:v>Speed ACH</x:v>
      </x:c>
      <x:c r="R74" t="str">
        <x:v>Pending</x:v>
      </x:c>
      <x:c r="S74"/>
      <x:c r="T74"/>
      <x:c r="U74" t="str">
        <x:v>Compensation unresolved</x:v>
      </x:c>
      <x:c r="V74" t="str">
        <x:v>No</x:v>
      </x:c>
      <x:c r="W74"/>
      <x:c r="X74"/>
      <x:c r="Y74"/>
      <x:c r="Z74" t="str">
        <x:v>Closed ticket / compensation unresolved</x:v>
      </x:c>
      <x:c r="AA74" t="str">
        <x:v>Unique</x:v>
      </x:c>
      <x:c r="AB74" t="str">
        <x:v>Prior Hebrew Home/Miramar visits</x:v>
      </x:c>
      <x:c r="AC74" t="str">
        <x:v>Ticket closed in Omnicare system after technician arrival. Promised $50.00; determine completed-ticket versus no-show payment and compensate documented research/escalation time.</x:v>
      </x:c>
      <x:c r="AD74" t="str">
        <x:v>WO 5913115 + user completion + Omnicare/Eric call notes</x:v>
      </x:c>
    </x:row>
  </x:sheetData>
  <x:conditionalFormatting sqref="J2:J65">
    <x:cfRule type="expression" dxfId="0" priority="1">
      <x:formula>J2="No"</x:formula>
    </x:cfRule>
  </x:conditionalFormatting>
  <x:conditionalFormatting sqref="N2:N65">
    <x:cfRule type="expression" dxfId="1" priority="2">
      <x:formula>N2="No"</x:formula>
    </x:cfRule>
  </x:conditionalFormatting>
  <x:conditionalFormatting sqref="Q2:Q65">
    <x:cfRule type="expression" dxfId="2" priority="3">
      <x:formula>Q2&lt;&gt;0</x:formula>
    </x:cfRule>
  </x:conditionalFormatting>
  <x:conditionalFormatting sqref="R2:R64">
    <x:cfRule type="expression" dxfId="4" priority="4">
      <x:formula>R2="No"</x:formula>
    </x:cfRule>
  </x:conditionalFormatting>
  <x:conditionalFormatting sqref="V2:V64">
    <x:cfRule type="expression" dxfId="5" priority="5">
      <x:formula>V2="No"</x:formula>
    </x:cfRule>
  </x:conditionalFormatting>
  <x:conditionalFormatting sqref="Y2:Y64">
    <x:cfRule type="expression" dxfId="6" priority="6">
      <x:formula>Y2&lt;&gt;0</x:formula>
    </x:cfRule>
  </x:conditionalFormatting>
  <x:conditionalFormatting sqref="Z2:Z64">
    <x:cfRule type="expression" dxfId="7" priority="7">
      <x:formula>OR(Z2="MAPPING_HOLD",Z2="BREAKDOWN_MISMATCH")</x:formula>
    </x:cfRule>
  </x:conditionalFormatting>
  <x:conditionalFormatting sqref="R2:R67">
    <x:cfRule type="expression" dxfId="66" priority="8">
      <x:formula>$R2="Yes"</x:formula>
    </x:cfRule>
    <x:cfRule type="expression" dxfId="67" priority="9">
      <x:formula>AND(OR($R2="No",$R2="Pending"),IFERROR(INDEX(tblServiceEvents[Financial Scope],MATCH($C2,tblServiceEvents[Event #],0)),"Included")="Included")</x:formula>
    </x:cfRule>
    <x:cfRule type="expression" dxfId="68" priority="10">
      <x:formula>$R2="Partial"</x:formula>
    </x:cfRule>
    <x:cfRule type="expression" dxfId="69" priority="11">
      <x:formula>$R2="Mapping Hold"</x:formula>
    </x:cfRule>
    <x:cfRule type="expression" dxfId="70" priority="12">
      <x:formula>IFERROR(INDEX(tblServiceEvents[Financial Scope],MATCH($C2,tblServiceEvents[Event #],0)),"Included")="Excluded"</x:formula>
    </x:cfRule>
  </x:conditionalFormatting>
  <x:conditionalFormatting sqref="V2:V67">
    <x:cfRule type="expression" dxfId="71" priority="13">
      <x:formula>$V2="Yes"</x:formula>
    </x:cfRule>
    <x:cfRule type="expression" dxfId="72" priority="14">
      <x:formula>AND(OR($V2="No",$V2="Pending"),IFERROR(INDEX(tblServiceEvents[Financial Scope],MATCH($C2,tblServiceEvents[Event #],0)),"Included")="Included")</x:formula>
    </x:cfRule>
    <x:cfRule type="expression" dxfId="73" priority="15">
      <x:formula>OR($V2="Partial",$V2="Mapping Review")</x:formula>
    </x:cfRule>
    <x:cfRule type="expression" dxfId="74" priority="16">
      <x:formula>IFERROR(INDEX(tblServiceEvents[Financial Scope],MATCH($C2,tblServiceEvents[Event #],0)),"Included")="Excluded"</x:formula>
    </x:cfRule>
  </x:conditionalFormatting>
  <x:conditionalFormatting sqref="Y2:Y67">
    <x:cfRule type="expression" dxfId="75" priority="17">
      <x:formula>AND(ISNUMBER($Y2),$Y2&lt;&gt;0)</x:formula>
    </x:cfRule>
    <x:cfRule type="expression" dxfId="76" priority="18">
      <x:formula>AND(ISNUMBER($Y2),$Y2=0)</x:formula>
    </x:cfRule>
  </x:conditionalFormatting>
  <x:conditionalFormatting sqref="U2:U67">
    <x:cfRule type="expression" dxfId="77" priority="19">
      <x:formula>AND(ISNUMBER($U2),$V2&lt;&gt;"Yes",$U2&lt;TODAY())</x:formula>
    </x:cfRule>
    <x:cfRule type="expression" dxfId="78" priority="20">
      <x:formula>AND(ISNUMBER($U2),$V2&lt;&gt;"Yes",$U2&gt;=TODAY(),$U2&lt;=TODAY()+3)</x:formula>
    </x:cfRule>
  </x:conditionalFormatting>
  <x:conditionalFormatting sqref="Z2:Z67">
    <x:cfRule type="expression" dxfId="79" priority="21">
      <x:formula>OR($Z2="Complete",$Z2="Complete with note")</x:formula>
    </x:cfRule>
    <x:cfRule type="expression" dxfId="80" priority="22">
      <x:formula>OR($Z2="ACH missing",$Z2="Breakdown pending",$Z2="Breakdown missing / ACH confirmed")</x:formula>
    </x:cfRule>
    <x:cfRule type="expression" dxfId="81" priority="23">
      <x:formula>OR($Z2="Combined visit / partial breakdown",$Z2="Companion WO mapping review")</x:formula>
    </x:cfRule>
    <x:cfRule type="expression" dxfId="82" priority="24">
      <x:formula>OR($Z2="BREAKDOWN_MISMATCH",$Z2="ACH_MISMATCH",$Z2="MAPPING_HOLD")</x:formula>
    </x:cfRule>
    <x:cfRule type="expression" dxfId="83" priority="25">
      <x:formula>$Z2="Operational complete / excluded financial metric"</x:formula>
    </x:cfRule>
  </x:conditionalFormatting>
  <x:conditionalFormatting sqref="AA2:AA67">
    <x:cfRule type="expression" dxfId="84" priority="26">
      <x:formula>$AA2="Unique"</x:formula>
    </x:cfRule>
    <x:cfRule type="expression" dxfId="85" priority="27">
      <x:formula>$AA2="MULTI-WO VISIT"</x:formula>
    </x:cfRule>
    <x:cfRule type="expression" dxfId="86" priority="28">
      <x:formula>$AA2="Nonstandard"</x:formula>
    </x:cfRule>
    <x:cfRule type="expression" dxfId="87" priority="29">
      <x:formula>$AA2="DUPLICATE / REVIEW"</x:formula>
    </x:cfRule>
    <x:cfRule type="expression" dxfId="88" priority="30">
      <x:formula>$AA2="MAPPING_HOLD"</x:formula>
    </x:cfRule>
  </x:conditionalFormatting>
  <x:conditionalFormatting sqref="S2:S67">
    <x:cfRule type="dataBar" priority="31">
      <x:dataBar>
        <x:cfvo type="min"/>
        <x:cfvo type="max"/>
        <x:color rgb="FF5B9BD5"/>
      </x:dataBar>
      <x:extLst>
        <x:ext xmlns:x14="http://schemas.microsoft.com/office/spreadsheetml/2009/9/main" uri="{B025F937-C7B1-47D3-B67F-A62EFF666E3E}">
          <x14:id>{43AF3C7A-245C-43C5-F232-81CD81D20DFC}</x14:id>
        </x:ext>
      </x:extLst>
    </x:cfRule>
  </x:conditionalFormatting>
  <x:conditionalFormatting sqref="W2:W67">
    <x:cfRule type="dataBar" priority="32">
      <x:dataBar>
        <x:cfvo type="min"/>
        <x:cfvo type="max"/>
        <x:color rgb="FF70AD47"/>
      </x:dataBar>
      <x:extLst>
        <x:ext xmlns:x14="http://schemas.microsoft.com/office/spreadsheetml/2009/9/main" uri="{B025F937-C7B1-47D3-B67F-A62EFF666E3E}">
          <x14:id>{69B593C9-53A6-A6FB-FBF0-7F298597B8E7}</x14:id>
        </x:ext>
      </x:extLst>
    </x:cfRule>
  </x:conditionalFormatting>
  <x:dataValidations count="10">
    <x:dataValidation type="list" sqref="I2:I65">
      <x:formula1>"Speed ACH,Terms,Hourly,Flat,Unknown"</x:formula1>
    </x:dataValidation>
    <x:dataValidation type="list" sqref="J2:J65">
      <x:formula1>"Yes,No,Partial,Pending"</x:formula1>
    </x:dataValidation>
    <x:dataValidation type="list" sqref="N2:N65">
      <x:formula1>"Yes,No,Partial,Mapping Review,Pending"</x:formula1>
    </x:dataValidation>
    <x:dataValidation type="list" sqref="Q2:Q64">
      <x:formula1>"Speed ACH,Terms,Hourly,Flat,Unknown"</x:formula1>
    </x:dataValidation>
    <x:dataValidation type="list" sqref="R2:R64">
      <x:formula1>"Yes,No,Partial,Pending,Mapping Hold"</x:formula1>
    </x:dataValidation>
    <x:dataValidation type="list" sqref="V2:V64">
      <x:formula1>"Yes,No,Partial,Pending,Mapping Review"</x:formula1>
    </x:dataValidation>
    <x:dataValidation type="list" sqref="AA2:AA64">
      <x:formula1>"CLEAN_MATCH,ACH_MISMATCH,BREAKDOWN_MISMATCH,MAPPING_HOLD,PENDING_BREAKDOWN,PENDING_ACH,PARTIAL_CONFIRMATION,Complete,Complete with note,ACH missing,Breakdown pending"</x:formula1>
    </x:dataValidation>
    <x:dataValidation type="list" sqref="R2:R500">
      <x:formula1>"Yes,No,Pending,Partial,Mapping Hold"</x:formula1>
    </x:dataValidation>
    <x:dataValidation type="list" sqref="V2:V500">
      <x:formula1>"Yes,No,Pending,Partial,Mapping Review"</x:formula1>
    </x:dataValidation>
    <x:dataValidation type="list" sqref="AA2:AA500">
      <x:formula1>"Unique,MULTI-WO VISIT,MAPPING_HOLD"</x:formula1>
    </x:dataValidation>
  </x:dataValidations>
  <x:pageMargins left="0.7" right="0.7" top="0.75" bottom="0.75" header="0.3" footer="0.3"/>
  <x:tableParts count="1">
    <x:tablePart xmlns:r="http://schemas.openxmlformats.org/officeDocument/2006/relationships" r:id="Rc3151b5a5eaf4a35"/>
  </x:tableParts>
  <x:extLst>
    <x:ext xmlns:x14="http://schemas.microsoft.com/office/spreadsheetml/2009/9/main" xmlns:xm="http://schemas.microsoft.com/office/excel/2006/main" uri="{78C0D931-6437-407d-A8EE-F0AAD7539E65}">
      <x14:conditionalFormattings>
        <x14:conditionalFormatting>
          <x14:cfRule type="dataBar" priority="31" id="{43AF3C7A-245C-43C5-F232-81CD81D20DFC}">
            <x14:dataBar gradient="1">
              <x14:cfvo type="min"/>
              <x14:cfvo type="max"/>
              <x14:fillColor rgb="FF5B9BD5"/>
            </x14:dataBar>
          </x14:cfRule>
          <xm:sqref>S2:S67</xm:sqref>
        </x14:conditionalFormatting>
        <x14:conditionalFormatting>
          <x14:cfRule type="dataBar" priority="32" id="{69B593C9-53A6-A6FB-FBF0-7F298597B8E7}">
            <x14:dataBar gradient="1">
              <x14:cfvo type="min"/>
              <x14:cfvo type="max"/>
              <x14:fillColor rgb="FF70AD47"/>
            </x14:dataBar>
          </x14:cfRule>
          <xm:sqref>W2:W67</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30" hidden="0" customWidth="1"/>
    <x:col min="3" max="3" width="15" hidden="0" customWidth="1"/>
    <x:col min="4" max="4" width="12" hidden="0" customWidth="1"/>
    <x:col min="5" max="5" width="15" hidden="0" customWidth="1"/>
    <x:col min="6" max="6" width="15" hidden="0" customWidth="1"/>
    <x:col min="7" max="7" width="18" hidden="0" customWidth="1"/>
    <x:col min="8" max="8" width="10" hidden="0" customWidth="1"/>
    <x:col min="9" max="9" width="28" hidden="0" customWidth="1"/>
    <x:col min="10" max="10" width="14" hidden="0" customWidth="1"/>
    <x:col min="11" max="11" width="15" hidden="0" customWidth="1"/>
    <x:col min="12" max="12" width="15" hidden="0" customWidth="1"/>
    <x:col min="13" max="13" width="15" hidden="0" customWidth="1"/>
    <x:col min="14" max="14" width="14" hidden="0" customWidth="1"/>
    <x:col min="15" max="15" width="10" hidden="0" customWidth="1"/>
    <x:col min="16" max="16" width="28" hidden="0" customWidth="1"/>
    <x:col min="17" max="17" width="15" hidden="0" customWidth="1"/>
    <x:col min="18" max="18" width="15" hidden="0" customWidth="1"/>
    <x:col min="19" max="19" width="15" hidden="0" customWidth="1"/>
    <x:col min="20" max="20" width="15" hidden="0" customWidth="1"/>
    <x:col min="22" max="22" width="18" hidden="0" customWidth="1"/>
    <x:col min="23" max="23" width="18" hidden="0" customWidth="1"/>
    <x:col min="24" max="24" width="14" hidden="0" customWidth="1"/>
    <x:col min="25" max="25" width="14" hidden="0" customWidth="1"/>
    <x:col min="26" max="26" width="16" hidden="0" customWidth="1"/>
    <x:col min="27" max="27" width="16" hidden="0" customWidth="1"/>
    <x:col min="28" max="28" width="18" hidden="0" customWidth="1"/>
    <x:col min="29" max="29" width="20" hidden="0" customWidth="1"/>
    <x:col min="30" max="30" width="18" hidden="0" customWidth="1"/>
    <x:col min="35" max="35" width="14" hidden="0" customWidth="1"/>
    <x:col min="36" max="36" width="12" hidden="0" customWidth="1"/>
    <x:col min="37" max="37" width="14" hidden="0" customWidth="1"/>
    <x:col min="38" max="38" width="16" hidden="0" customWidth="1"/>
    <x:col min="39" max="39" width="16" hidden="0" customWidth="1"/>
    <x:col min="40" max="40" width="18" hidden="0" customWidth="1"/>
  </x:cols>
  <x:sheetData>
    <x:row r="1">
      <x:c r="A1" s="77" t="str">
        <x:v>Barrister Analytics Engine — Phase 3F</x:v>
      </x:c>
      <x:c r="B1" s="77"/>
      <x:c r="C1" s="77"/>
      <x:c r="D1" s="77"/>
      <x:c r="E1" s="77"/>
      <x:c r="F1" s="77"/>
      <x:c r="G1" s="77"/>
      <x:c r="H1" s="77"/>
      <x:c r="I1" s="77"/>
      <x:c r="J1" s="77"/>
      <x:c r="K1" s="77"/>
      <x:c r="L1" s="77"/>
      <x:c r="M1" s="77"/>
      <x:c r="N1" s="77"/>
      <x:c r="O1" s="77"/>
      <x:c r="P1" s="77"/>
      <x:c r="Q1" s="77"/>
      <x:c r="R1" s="77"/>
      <x:c r="S1" s="239"/>
      <x:c r="T1" s="239"/>
      <x:c r="U1" s="52"/>
      <x:c r="V1" s="230" t="str">
        <x:v>Client ID</x:v>
      </x:c>
      <x:c r="W1" s="230" t="str">
        <x:v>Client</x:v>
      </x:c>
      <x:c r="X1" s="230" t="str">
        <x:v>Events</x:v>
      </x:c>
      <x:c r="Y1" s="230" t="str">
        <x:v>Work Orders</x:v>
      </x:c>
      <x:c r="Z1" s="230" t="str">
        <x:v>Revenue</x:v>
      </x:c>
      <x:c r="AA1" s="230" t="str">
        <x:v>Avg/Event</x:v>
      </x:c>
      <x:c r="AB1" s="230" t="str">
        <x:v>Avg/WO</x:v>
      </x:c>
      <x:c r="AC1" s="230" t="str">
        <x:v>Repeat</x:v>
      </x:c>
      <x:c r="AD1" s="230" t="str">
        <x:v>First Event</x:v>
      </x:c>
      <x:c r="AE1" s="230" t="str">
        <x:v>Revenue Key</x:v>
      </x:c>
      <x:c r="AF1" s="231" t="str">
        <x:v>Repeat Key</x:v>
      </x:c>
      <x:c r="AG1" s="231" t="str">
        <x:v>Avg Key</x:v>
      </x:c>
      <x:c r="AI1" s="313" t="str">
        <x:v>Service Date</x:v>
      </x:c>
      <x:c r="AJ1" s="313" t="str">
        <x:v>Events</x:v>
      </x:c>
      <x:c r="AK1" s="313" t="str">
        <x:v>Eligible Events</x:v>
      </x:c>
      <x:c r="AL1" s="313" t="str">
        <x:v>Daily Revenue</x:v>
      </x:c>
      <x:c r="AM1" s="313" t="str">
        <x:v>Running Revenue</x:v>
      </x:c>
      <x:c r="AN1" s="313" t="str">
        <x:v>Rolling 5-Day Avg</x:v>
      </x:c>
    </x:row>
    <x:row r="2">
      <x:c r="A2" s="87"/>
      <x:c r="B2" s="87"/>
      <x:c r="C2" s="87"/>
      <x:c r="D2" s="87"/>
      <x:c r="E2" s="87"/>
      <x:c r="F2" s="87"/>
      <x:c r="G2" s="87"/>
      <x:c r="H2" s="87"/>
      <x:c r="I2" s="87"/>
      <x:c r="J2" s="87"/>
      <x:c r="K2" s="87"/>
      <x:c r="L2" s="87"/>
      <x:c r="M2" s="87"/>
      <x:c r="N2" s="87"/>
      <x:c r="O2" s="87"/>
      <x:c r="P2" s="87"/>
      <x:c r="Q2" s="87"/>
      <x:c r="R2" s="87"/>
      <x:c r="V2" t="str">
        <x:f>A12</x:f>
        <x:v>CL-001</x:v>
      </x:c>
      <x:c r="W2" t="str">
        <x:f>B12</x:f>
        <x:v>Macy's</x:v>
      </x:c>
      <x:c r="X2" t="n">
        <x:f>E12</x:f>
        <x:v>3</x:v>
      </x:c>
      <x:c r="Y2" t="n">
        <x:f>F12</x:f>
        <x:v>3</x:v>
      </x:c>
      <x:c r="Z2" s="24" t="n">
        <x:f>G12</x:f>
        <x:v>450</x:v>
      </x:c>
      <x:c r="AA2" s="24" t="n">
        <x:f>H12</x:f>
        <x:v>150</x:v>
      </x:c>
      <x:c r="AB2" s="24" t="n">
        <x:f>I12</x:f>
        <x:v>150</x:v>
      </x:c>
      <x:c r="AC2" t="str">
        <x:f>L12</x:f>
        <x:v>Yes</x:v>
      </x:c>
      <x:c r="AD2" t="n">
        <x:f>C12</x:f>
        <x:v>1</x:v>
      </x:c>
      <x:c r="AE2" t="n">
        <x:f>G12+(1000-C12)/1000000000</x:f>
        <x:v>450.000000999</x:v>
      </x:c>
      <x:c r="AF2" t="n">
        <x:f>E12+G12/1000000000</x:f>
        <x:v>3.00000045</x:v>
      </x:c>
      <x:c r="AG2" t="n">
        <x:f>IF(E12&gt;1,H12+G12/1000000000,0)</x:f>
        <x:v>150.00000045</x:v>
      </x:c>
      <x:c r="AI2" s="35" t="n">
        <x:v>46132</x:v>
      </x:c>
      <x:c r="AJ2" t="n">
        <x:v>1</x:v>
      </x:c>
      <x:c r="AK2" t="n">
        <x:v>1</x:v>
      </x:c>
      <x:c r="AL2" s="24" t="n">
        <x:v>90</x:v>
      </x:c>
      <x:c r="AM2" s="24" t="n">
        <x:v>90</x:v>
      </x:c>
      <x:c r="AN2" s="24" t="n">
        <x:v>90</x:v>
      </x:c>
    </x:row>
    <x:row r="3">
      <x:c r="V3" t="str">
        <x:f>A13</x:f>
        <x:v>CL-002</x:v>
      </x:c>
      <x:c r="W3" t="str">
        <x:f>B13</x:f>
        <x:v>Bloomingdale's</x:v>
      </x:c>
      <x:c r="X3" t="n">
        <x:f>E13</x:f>
        <x:v>2</x:v>
      </x:c>
      <x:c r="Y3" t="n">
        <x:f>F13</x:f>
        <x:v>2</x:v>
      </x:c>
      <x:c r="Z3" s="24" t="n">
        <x:f>G13</x:f>
        <x:v>688</x:v>
      </x:c>
      <x:c r="AA3" s="24" t="n">
        <x:f>H13</x:f>
        <x:v>344</x:v>
      </x:c>
      <x:c r="AB3" s="24" t="n">
        <x:f>I13</x:f>
        <x:v>344</x:v>
      </x:c>
      <x:c r="AC3" t="str">
        <x:f>L13</x:f>
        <x:v>Yes</x:v>
      </x:c>
      <x:c r="AD3" t="n">
        <x:f>C13</x:f>
        <x:v>2</x:v>
      </x:c>
      <x:c r="AE3" t="n">
        <x:f>G13+(1000-C13)/1000000000</x:f>
        <x:v>688.000000998</x:v>
      </x:c>
      <x:c r="AF3" t="n">
        <x:f>E13+G13/1000000000</x:f>
        <x:v>2.000000688</x:v>
      </x:c>
      <x:c r="AG3" t="n">
        <x:f>IF(E13&gt;1,H13+G13/1000000000,0)</x:f>
        <x:v>344.000000688</x:v>
      </x:c>
      <x:c r="AI3" s="35" t="n">
        <x:v>46133</x:v>
      </x:c>
      <x:c r="AJ3" t="n">
        <x:v>1</x:v>
      </x:c>
      <x:c r="AK3" t="n">
        <x:v>1</x:v>
      </x:c>
      <x:c r="AL3" s="24" t="n">
        <x:v>344</x:v>
      </x:c>
      <x:c r="AM3" s="24" t="n">
        <x:v>434</x:v>
      </x:c>
      <x:c r="AN3" s="24" t="n">
        <x:v>217</x:v>
      </x:c>
    </x:row>
    <x:row r="4">
      <x:c r="A4" s="91" t="str">
        <x:v>Analytics Controls</x:v>
      </x:c>
      <x:c r="B4" s="91"/>
      <x:c r="C4" s="91"/>
      <x:c r="D4" s="91"/>
      <x:c r="E4" s="29"/>
      <x:c r="F4" s="29"/>
      <x:c r="G4" s="29"/>
      <x:c r="V4" t="str">
        <x:f>A14</x:f>
        <x:v>CL-003</x:v>
      </x:c>
      <x:c r="W4" t="str">
        <x:f>B14</x:f>
        <x:v>Hampton Inn &amp; Suites</x:v>
      </x:c>
      <x:c r="X4" t="n">
        <x:f>E14</x:f>
        <x:v>2</x:v>
      </x:c>
      <x:c r="Y4" t="n">
        <x:f>F14</x:f>
        <x:v>2</x:v>
      </x:c>
      <x:c r="Z4" s="24" t="n">
        <x:f>G14</x:f>
        <x:v>115</x:v>
      </x:c>
      <x:c r="AA4" s="24" t="n">
        <x:f>H14</x:f>
        <x:v>57.5</x:v>
      </x:c>
      <x:c r="AB4" s="24" t="n">
        <x:f>I14</x:f>
        <x:v>57.5</x:v>
      </x:c>
      <x:c r="AC4" t="str">
        <x:f>L14</x:f>
        <x:v>Yes</x:v>
      </x:c>
      <x:c r="AD4" t="n">
        <x:f>C14</x:f>
        <x:v>5</x:v>
      </x:c>
      <x:c r="AE4" t="n">
        <x:f>G14+(1000-C14)/1000000000</x:f>
        <x:v>115.000000995</x:v>
      </x:c>
      <x:c r="AF4" t="n">
        <x:f>E14+G14/1000000000</x:f>
        <x:v>2.000000115</x:v>
      </x:c>
      <x:c r="AG4" t="n">
        <x:f>IF(E14&gt;1,H14+G14/1000000000,0)</x:f>
        <x:v>57.500000115</x:v>
      </x:c>
      <x:c r="AI4" s="35" t="n">
        <x:v>46134</x:v>
      </x:c>
      <x:c r="AJ4" t="n">
        <x:v>1</x:v>
      </x:c>
      <x:c r="AK4" t="n">
        <x:v>1</x:v>
      </x:c>
      <x:c r="AL4" s="24" t="n">
        <x:v>344</x:v>
      </x:c>
      <x:c r="AM4" s="24" t="n">
        <x:v>778</x:v>
      </x:c>
      <x:c r="AN4" s="24" t="n">
        <x:v>259.33</x:v>
      </x:c>
    </x:row>
    <x:row r="5">
      <x:c r="A5" s="93" t="str">
        <x:v>Complete Workweeks</x:v>
      </x:c>
      <x:c r="B5" s="24" t="n">
        <x:v>12</x:v>
      </x:c>
      <x:c r="C5"/>
      <x:c r="D5" s="24"/>
      <x:c r="E5"/>
      <x:c r="F5"/>
      <x:c r="G5" s="33"/>
      <x:c r="V5" t="str">
        <x:f>A15</x:f>
        <x:v>CL-004</x:v>
      </x:c>
      <x:c r="W5" t="str">
        <x:f>B15</x:f>
        <x:v>Davis Polk &amp; Wardwell</x:v>
      </x:c>
      <x:c r="X5" t="n">
        <x:f>E15</x:f>
        <x:v>1</x:v>
      </x:c>
      <x:c r="Y5" t="n">
        <x:f>F15</x:f>
        <x:v>1</x:v>
      </x:c>
      <x:c r="Z5" s="24" t="n">
        <x:f>G15</x:f>
        <x:v>50</x:v>
      </x:c>
      <x:c r="AA5" s="24" t="n">
        <x:f>H15</x:f>
        <x:v>50</x:v>
      </x:c>
      <x:c r="AB5" s="24" t="n">
        <x:f>I15</x:f>
        <x:v>50</x:v>
      </x:c>
      <x:c r="AC5" t="str">
        <x:f>L15</x:f>
        <x:v>No</x:v>
      </x:c>
      <x:c r="AD5" t="n">
        <x:f>C15</x:f>
        <x:v>7</x:v>
      </x:c>
      <x:c r="AE5" t="n">
        <x:f>G15+(1000-C15)/1000000000</x:f>
        <x:v>50.000000993</x:v>
      </x:c>
      <x:c r="AF5" t="n">
        <x:f>E15+G15/1000000000</x:f>
        <x:v>1.00000005</x:v>
      </x:c>
      <x:c r="AG5" t="n">
        <x:f>IF(E15&gt;1,H15+G15/1000000000,0)</x:f>
        <x:v>0</x:v>
      </x:c>
      <x:c r="AI5" s="35" t="n">
        <x:v>46135</x:v>
      </x:c>
      <x:c r="AJ5" t="n">
        <x:v>1</x:v>
      </x:c>
      <x:c r="AK5" t="n">
        <x:v>1</x:v>
      </x:c>
      <x:c r="AL5" s="24" t="n">
        <x:v>180</x:v>
      </x:c>
      <x:c r="AM5" s="24" t="n">
        <x:v>958</x:v>
      </x:c>
      <x:c r="AN5" s="24" t="n">
        <x:v>239.5</x:v>
      </x:c>
    </x:row>
    <x:row r="6">
      <x:c r="A6" s="93" t="str">
        <x:v>Completed Events</x:v>
      </x:c>
      <x:c r="B6" s="24" t="n">
        <x:v>72</x:v>
      </x:c>
      <x:c r="C6"/>
      <x:c r="D6" s="24"/>
      <x:c r="E6"/>
      <x:c r="F6"/>
      <x:c r="G6" s="33"/>
      <x:c r="V6" t="str">
        <x:f>A16</x:f>
        <x:v>CL-005</x:v>
      </x:c>
      <x:c r="W6" t="str">
        <x:f>B16</x:f>
        <x:v>Hebrew Home of Greater Washington</x:v>
      </x:c>
      <x:c r="X6" t="n">
        <x:f>E16</x:f>
        <x:v>4</x:v>
      </x:c>
      <x:c r="Y6" t="n">
        <x:f>F16</x:f>
        <x:v>4</x:v>
      </x:c>
      <x:c r="Z6" s="24" t="n">
        <x:f>G16</x:f>
        <x:v>225</x:v>
      </x:c>
      <x:c r="AA6" s="24" t="n">
        <x:f>H16</x:f>
        <x:v>56.25</x:v>
      </x:c>
      <x:c r="AB6" s="24" t="n">
        <x:f>I16</x:f>
        <x:v>55</x:v>
      </x:c>
      <x:c r="AC6" t="str">
        <x:f>L16</x:f>
        <x:v>Yes</x:v>
      </x:c>
      <x:c r="AD6" t="n">
        <x:f>C16</x:f>
        <x:v>8</x:v>
      </x:c>
      <x:c r="AE6" t="n">
        <x:f>G16+(1000-C16)/1000000000</x:f>
        <x:v>225.000000992</x:v>
      </x:c>
      <x:c r="AF6" t="n">
        <x:f>E16+G16/1000000000</x:f>
        <x:v>4.000000225</x:v>
      </x:c>
      <x:c r="AG6" t="n">
        <x:f>IF(E16&gt;1,H16+G16/1000000000,0)</x:f>
        <x:v>56.250000225</x:v>
      </x:c>
      <x:c r="AI6" s="35" t="n">
        <x:v>46136</x:v>
      </x:c>
      <x:c r="AJ6" t="n">
        <x:v>1</x:v>
      </x:c>
      <x:c r="AK6" t="n">
        <x:v>1</x:v>
      </x:c>
      <x:c r="AL6" s="24" t="n">
        <x:v>50</x:v>
      </x:c>
      <x:c r="AM6" s="24" t="n">
        <x:v>1008</x:v>
      </x:c>
      <x:c r="AN6" s="24" t="n">
        <x:v>201.6</x:v>
      </x:c>
    </x:row>
    <x:row r="7">
      <x:c r="A7" s="93" t="str">
        <x:v>Eligible Confirmed Revenue</x:v>
      </x:c>
      <x:c r="B7" s="24" t="n">
        <x:v>7584.55</x:v>
      </x:c>
      <x:c r="C7"/>
      <x:c r="D7" s="24"/>
      <x:c r="E7"/>
      <x:c r="F7"/>
      <x:c r="G7" s="33"/>
      <x:c r="V7" t="str">
        <x:f>A17</x:f>
        <x:v>CL-006</x:v>
      </x:c>
      <x:c r="W7" t="str">
        <x:f>B17</x:f>
        <x:v>7-Eleven</x:v>
      </x:c>
      <x:c r="X7" t="n">
        <x:f>E17</x:f>
        <x:v>3</x:v>
      </x:c>
      <x:c r="Y7" t="n">
        <x:f>F17</x:f>
        <x:v>3</x:v>
      </x:c>
      <x:c r="Z7" s="24" t="n">
        <x:f>G17</x:f>
        <x:v>360</x:v>
      </x:c>
      <x:c r="AA7" s="24" t="n">
        <x:f>H17</x:f>
        <x:v>180</x:v>
      </x:c>
      <x:c r="AB7" s="24" t="n">
        <x:f>I17</x:f>
        <x:v>180</x:v>
      </x:c>
      <x:c r="AC7" t="str">
        <x:f>L17</x:f>
        <x:v>Yes</x:v>
      </x:c>
      <x:c r="AD7" t="n">
        <x:f>C17</x:f>
        <x:v>9</x:v>
      </x:c>
      <x:c r="AE7" t="n">
        <x:f>G17+(1000-C17)/1000000000</x:f>
        <x:v>360.000000991</x:v>
      </x:c>
      <x:c r="AF7" t="n">
        <x:f>E17+G17/1000000000</x:f>
        <x:v>3.00000036</x:v>
      </x:c>
      <x:c r="AG7" t="n">
        <x:f>IF(E17&gt;1,H17+G17/1000000000,0)</x:f>
        <x:v>180.00000036</x:v>
      </x:c>
      <x:c r="AI7" s="35" t="n">
        <x:v>46139</x:v>
      </x:c>
      <x:c r="AJ7" t="n">
        <x:v>1</x:v>
      </x:c>
      <x:c r="AK7" t="n">
        <x:v>1</x:v>
      </x:c>
      <x:c r="AL7" s="24" t="n">
        <x:v>180</x:v>
      </x:c>
      <x:c r="AM7" s="24" t="n">
        <x:v>1188</x:v>
      </x:c>
      <x:c r="AN7" s="24" t="n">
        <x:v>219.6</x:v>
      </x:c>
    </x:row>
    <x:row r="8">
      <x:c r="A8" s="93" t="str">
        <x:v>Eligible Events</x:v>
      </x:c>
      <x:c r="B8" s="24" t="n">
        <x:f>COUNTIFS(tblServiceEvents[Revenue Eligibility],"Eligible")</x:f>
        <x:v>59</x:v>
      </x:c>
      <x:c r="C8"/>
      <x:c r="D8" s="24"/>
      <x:c r="E8"/>
      <x:c r="F8"/>
      <x:c r="G8" s="33"/>
      <x:c r="V8" t="str">
        <x:f>A18</x:f>
        <x:v>CL-007</x:v>
      </x:c>
      <x:c r="W8" t="str">
        <x:f>B18</x:f>
        <x:v>Giant Food Stores</x:v>
      </x:c>
      <x:c r="X8" t="n">
        <x:f>E18</x:f>
        <x:v>4</x:v>
      </x:c>
      <x:c r="Y8" t="n">
        <x:f>F18</x:f>
        <x:v>4</x:v>
      </x:c>
      <x:c r="Z8" s="24" t="n">
        <x:f>G18</x:f>
        <x:v>375</x:v>
      </x:c>
      <x:c r="AA8" s="24" t="n">
        <x:f>H18</x:f>
        <x:v>125</x:v>
      </x:c>
      <x:c r="AB8" s="24" t="n">
        <x:f>I18</x:f>
        <x:v>125</x:v>
      </x:c>
      <x:c r="AC8" t="str">
        <x:f>L18</x:f>
        <x:v>Yes</x:v>
      </x:c>
      <x:c r="AD8" t="n">
        <x:f>C18</x:f>
        <x:v>10</x:v>
      </x:c>
      <x:c r="AE8" t="n">
        <x:f>G18+(1000-C18)/1000000000</x:f>
        <x:v>375.00000099</x:v>
      </x:c>
      <x:c r="AF8" t="n">
        <x:f>E18+G18/1000000000</x:f>
        <x:v>4.000000375</x:v>
      </x:c>
      <x:c r="AG8" t="n">
        <x:f>IF(E18&gt;1,H18+G18/1000000000,0)</x:f>
        <x:v>125.000000375</x:v>
      </x:c>
      <x:c r="AI8" s="35" t="n">
        <x:v>46141</x:v>
      </x:c>
      <x:c r="AJ8" t="n">
        <x:v>2</x:v>
      </x:c>
      <x:c r="AK8" t="n">
        <x:v>2</x:v>
      </x:c>
      <x:c r="AL8" s="24" t="n">
        <x:v>95</x:v>
      </x:c>
      <x:c r="AM8" s="24" t="n">
        <x:v>1283</x:v>
      </x:c>
      <x:c r="AN8" s="24" t="n">
        <x:v>169.8</x:v>
      </x:c>
    </x:row>
    <x:row r="9">
      <x:c r="A9" s="340" t="str">
        <x:v>Financial-Scope Events</x:v>
      </x:c>
      <x:c r="B9" s="342" t="n">
        <x:v>68</x:v>
      </x:c>
      <x:c r="C9" s="343"/>
      <x:c r="D9" s="342" t="str">
        <x:v>Chronology-Only Events</x:v>
      </x:c>
      <x:c r="E9" s="343" t="n">
        <x:v>4</x:v>
      </x:c>
      <x:c r="F9"/>
      <x:c r="G9" s="33"/>
      <x:c r="V9" t="str">
        <x:f>A19</x:f>
        <x:v>CL-008</x:v>
      </x:c>
      <x:c r="W9" t="str">
        <x:f>B19</x:f>
        <x:v>Food Lion</x:v>
      </x:c>
      <x:c r="X9" t="n">
        <x:f>E19</x:f>
        <x:v>3</x:v>
      </x:c>
      <x:c r="Y9" t="n">
        <x:f>F19</x:f>
        <x:v>3</x:v>
      </x:c>
      <x:c r="Z9" s="24" t="n">
        <x:f>G19</x:f>
        <x:v>371.65</x:v>
      </x:c>
      <x:c r="AA9" s="24" t="n">
        <x:f>H19</x:f>
        <x:v>123.88333333333333</x:v>
      </x:c>
      <x:c r="AB9" s="24" t="n">
        <x:f>I19</x:f>
        <x:v>123.88333333333333</x:v>
      </x:c>
      <x:c r="AC9" t="str">
        <x:f>L19</x:f>
        <x:v>Yes</x:v>
      </x:c>
      <x:c r="AD9" t="n">
        <x:f>C19</x:f>
        <x:v>11</x:v>
      </x:c>
      <x:c r="AE9" t="n">
        <x:f>G19+(1000-C19)/1000000000</x:f>
        <x:v>371.650000989</x:v>
      </x:c>
      <x:c r="AF9" t="n">
        <x:f>E19+G19/1000000000</x:f>
        <x:v>3.00000037165</x:v>
      </x:c>
      <x:c r="AG9" t="n">
        <x:f>IF(E19&gt;1,H19+G19/1000000000,0)</x:f>
        <x:v>123.88333370498333</x:v>
      </x:c>
      <x:c r="AI9" s="35" t="n">
        <x:v>46142</x:v>
      </x:c>
      <x:c r="AJ9" t="n">
        <x:v>1</x:v>
      </x:c>
      <x:c r="AK9" t="n">
        <x:v>0</x:v>
      </x:c>
      <x:c r="AL9" s="24" t="n">
        <x:v>0</x:v>
      </x:c>
      <x:c r="AM9" s="24" t="n">
        <x:v>1283</x:v>
      </x:c>
      <x:c r="AN9" s="24" t="n">
        <x:v>101</x:v>
      </x:c>
    </x:row>
    <x:row r="10">
      <x:c r="A10" s="95" t="str">
        <x:v>Client Summary</x:v>
      </x:c>
      <x:c r="B10" s="95"/>
      <x:c r="C10" s="95"/>
      <x:c r="D10" s="95"/>
      <x:c r="E10" s="95"/>
      <x:c r="F10" s="95"/>
      <x:c r="G10" s="95"/>
      <x:c r="H10" s="95"/>
      <x:c r="I10" s="95"/>
      <x:c r="J10" s="95"/>
      <x:c r="K10" s="95"/>
      <x:c r="L10" s="95"/>
      <x:c r="V10" t="str">
        <x:f>A20</x:f>
        <x:v>CL-009</x:v>
      </x:c>
      <x:c r="W10" t="str">
        <x:f>B20</x:f>
        <x:v>Weis Markets</x:v>
      </x:c>
      <x:c r="X10" t="n">
        <x:f>E20</x:f>
        <x:v>2</x:v>
      </x:c>
      <x:c r="Y10" t="n">
        <x:f>F20</x:f>
        <x:v>2</x:v>
      </x:c>
      <x:c r="Z10" s="24" t="n">
        <x:f>G20</x:f>
        <x:v>175</x:v>
      </x:c>
      <x:c r="AA10" s="24" t="n">
        <x:f>H20</x:f>
        <x:v>87.5</x:v>
      </x:c>
      <x:c r="AB10" s="24" t="n">
        <x:f>I20</x:f>
        <x:v>87.5</x:v>
      </x:c>
      <x:c r="AC10" t="str">
        <x:f>L20</x:f>
        <x:v>Yes</x:v>
      </x:c>
      <x:c r="AD10" t="n">
        <x:f>C20</x:f>
        <x:v>12</x:v>
      </x:c>
      <x:c r="AE10" t="n">
        <x:f>G20+(1000-C20)/1000000000</x:f>
        <x:v>175.000000988</x:v>
      </x:c>
      <x:c r="AF10" t="n">
        <x:f>E20+G20/1000000000</x:f>
        <x:v>2.000000175</x:v>
      </x:c>
      <x:c r="AG10" t="n">
        <x:f>IF(E20&gt;1,H20+G20/1000000000,0)</x:f>
        <x:v>87.500000175</x:v>
      </x:c>
      <x:c r="AI10" s="35" t="n">
        <x:v>46147</x:v>
      </x:c>
      <x:c r="AJ10" t="n">
        <x:v>1</x:v>
      </x:c>
      <x:c r="AK10" t="n">
        <x:v>1</x:v>
      </x:c>
      <x:c r="AL10" s="24" t="n">
        <x:v>212.5</x:v>
      </x:c>
      <x:c r="AM10" s="24" t="n">
        <x:v>1495.5</x:v>
      </x:c>
      <x:c r="AN10" s="24" t="n">
        <x:v>107.5</x:v>
      </x:c>
    </x:row>
    <x:row r="11">
      <x:c r="A11" s="98" t="str">
        <x:v>Client ID</x:v>
      </x:c>
      <x:c r="B11" s="98" t="str">
        <x:v>Client Name</x:v>
      </x:c>
      <x:c r="C11" s="98" t="str">
        <x:v>First Event</x:v>
      </x:c>
      <x:c r="D11" s="98" t="str">
        <x:v>Latest Event</x:v>
      </x:c>
      <x:c r="E11" s="98" t="str">
        <x:v>Total Events</x:v>
      </x:c>
      <x:c r="F11" s="98" t="str">
        <x:v>Total Work Orders</x:v>
      </x:c>
      <x:c r="G11" s="98" t="str">
        <x:v>Confirmed Revenue</x:v>
      </x:c>
      <x:c r="H11" s="98" t="str">
        <x:v>Avg Revenue / Event</x:v>
      </x:c>
      <x:c r="I11" s="98" t="str">
        <x:v>Avg Revenue / WO</x:v>
      </x:c>
      <x:c r="J11" s="98" t="str">
        <x:v>States Worked</x:v>
      </x:c>
      <x:c r="K11" s="98" t="str">
        <x:v>Cities Worked</x:v>
      </x:c>
      <x:c r="L11" s="98" t="str">
        <x:v>Repeat Client</x:v>
      </x:c>
      <x:c r="V11" t="str">
        <x:f>A21</x:f>
        <x:v>CL-010</x:v>
      </x:c>
      <x:c r="W11" t="str">
        <x:f>B21</x:f>
        <x:v>Office of MD Senator Chris Van Hollen</x:v>
      </x:c>
      <x:c r="X11" t="n">
        <x:f>E21</x:f>
        <x:v>1</x:v>
      </x:c>
      <x:c r="Y11" t="n">
        <x:f>F21</x:f>
        <x:v>1</x:v>
      </x:c>
      <x:c r="Z11" s="24" t="n">
        <x:f>G21</x:f>
        <x:v>50</x:v>
      </x:c>
      <x:c r="AA11" s="24" t="n">
        <x:f>H21</x:f>
        <x:v>50</x:v>
      </x:c>
      <x:c r="AB11" s="24" t="n">
        <x:f>I21</x:f>
        <x:v>50</x:v>
      </x:c>
      <x:c r="AC11" t="str">
        <x:f>L21</x:f>
        <x:v>No</x:v>
      </x:c>
      <x:c r="AD11" t="n">
        <x:f>C21</x:f>
        <x:v>13</x:v>
      </x:c>
      <x:c r="AE11" t="n">
        <x:f>G21+(1000-C21)/1000000000</x:f>
        <x:v>50.000000987</x:v>
      </x:c>
      <x:c r="AF11" t="n">
        <x:f>E21+G21/1000000000</x:f>
        <x:v>1.00000005</x:v>
      </x:c>
      <x:c r="AG11" t="n">
        <x:f>IF(E21&gt;1,H21+G21/1000000000,0)</x:f>
        <x:v>0</x:v>
      </x:c>
      <x:c r="AI11" s="35" t="n">
        <x:v>46153</x:v>
      </x:c>
      <x:c r="AJ11" t="n">
        <x:v>1</x:v>
      </x:c>
      <x:c r="AK11" t="n">
        <x:v>1</x:v>
      </x:c>
      <x:c r="AL11" s="24" t="n">
        <x:v>157.5</x:v>
      </x:c>
      <x:c r="AM11" s="24" t="n">
        <x:v>1653</x:v>
      </x:c>
      <x:c r="AN11" s="24" t="n">
        <x:v>129</x:v>
      </x:c>
    </x:row>
    <x:row r="12">
      <x:c r="A12" s="12" t="str">
        <x:v>CL-001</x:v>
      </x:c>
      <x:c r="B12" s="12" t="str">
        <x:v>Macy's</x:v>
      </x:c>
      <x:c r="C12" s="12" t="n">
        <x:f>MINIFS(tblServiceEvents[Event #],tblServiceEvents[Client],B12)</x:f>
        <x:v>1</x:v>
      </x:c>
      <x:c r="D12" s="12" t="n">
        <x:f>MAXIFS(tblServiceEvents[Event #],tblServiceEvents[Client],B12)</x:f>
        <x:v>6</x:v>
      </x:c>
      <x:c r="E12" s="12" t="n">
        <x:f>COUNTIFS(tblServiceEvents[Client],B12,tblServiceEvents[Status],"Completed")</x:f>
        <x:v>3</x:v>
      </x:c>
      <x:c r="F12" s="12" t="n">
        <x:f>COUNTIF(tblLedger[Client],B12)</x:f>
        <x:v>3</x:v>
      </x:c>
      <x:c r="G12" s="69" t="n">
        <x:f>SUMIFS(tblServiceEvents[Confirmed Revenue],tblServiceEvents[Client],B12,tblServiceEvents[Revenue Eligibility],"Eligible")</x:f>
        <x:v>450</x:v>
      </x:c>
      <x:c r="H12" s="24" t="n">
        <x:f>IFERROR(G12/COUNTIFS(tblServiceEvents[Client],B12,tblServiceEvents[Revenue Eligibility],"Eligible"),0)</x:f>
        <x:v>150</x:v>
      </x:c>
      <x:c r="I12" s="24" t="n">
        <x:f>IFERROR(SUMIFS(tblLedger[Breakdown Amount],tblLedger[Client],B12,tblLedger[Breakdown Confirmed],"Yes")/COUNTIFS(tblLedger[Client],B12,tblLedger[Breakdown Confirmed],"Yes"),0)</x:f>
        <x:v>150</x:v>
      </x:c>
      <x:c r="J12" t="n">
        <x:v>2</x:v>
      </x:c>
      <x:c r="K12" t="n">
        <x:v>2</x:v>
      </x:c>
      <x:c r="L12" t="str">
        <x:f>IF(E12&gt;1,"Yes","No")</x:f>
        <x:v>Yes</x:v>
      </x:c>
      <x:c r="V12" t="str">
        <x:f>A22</x:f>
        <x:v>CL-011</x:v>
      </x:c>
      <x:c r="W12" t="str">
        <x:f>B22</x:f>
        <x:v>Residential – Annapolis Neck, MD</x:v>
      </x:c>
      <x:c r="X12" t="n">
        <x:f>E22</x:f>
        <x:v>2</x:v>
      </x:c>
      <x:c r="Y12" t="n">
        <x:f>F22</x:f>
        <x:v>2</x:v>
      </x:c>
      <x:c r="Z12" s="24" t="n">
        <x:f>G22</x:f>
        <x:v>60</x:v>
      </x:c>
      <x:c r="AA12" s="24" t="n">
        <x:f>H22</x:f>
        <x:v>60</x:v>
      </x:c>
      <x:c r="AB12" s="24" t="n">
        <x:f>I22</x:f>
        <x:v>60</x:v>
      </x:c>
      <x:c r="AC12" t="str">
        <x:f>L22</x:f>
        <x:v>Yes</x:v>
      </x:c>
      <x:c r="AD12" t="n">
        <x:f>C22</x:f>
        <x:v>14</x:v>
      </x:c>
      <x:c r="AE12" t="n">
        <x:f>G22+(1000-C22)/1000000000</x:f>
        <x:v>60.000000986</x:v>
      </x:c>
      <x:c r="AF12" t="n">
        <x:f>E22+G22/1000000000</x:f>
        <x:v>2.00000006</x:v>
      </x:c>
      <x:c r="AG12" t="n">
        <x:f>IF(E22&gt;1,H22+G22/1000000000,0)</x:f>
        <x:v>60.00000006</x:v>
      </x:c>
      <x:c r="AI12" s="35" t="n">
        <x:v>46154</x:v>
      </x:c>
      <x:c r="AJ12" t="n">
        <x:v>1</x:v>
      </x:c>
      <x:c r="AK12" t="n">
        <x:v>1</x:v>
      </x:c>
      <x:c r="AL12" s="24" t="n">
        <x:v>85</x:v>
      </x:c>
      <x:c r="AM12" s="24" t="n">
        <x:v>1738</x:v>
      </x:c>
      <x:c r="AN12" s="24" t="n">
        <x:v>110</x:v>
      </x:c>
    </x:row>
    <x:row r="13">
      <x:c r="A13" s="29" t="str">
        <x:v>CL-002</x:v>
      </x:c>
      <x:c r="B13" s="29" t="str">
        <x:v>Bloomingdale's</x:v>
      </x:c>
      <x:c r="C13" s="29" t="n">
        <x:f>MINIFS(tblServiceEvents[Event #],tblServiceEvents[Client],B13)</x:f>
        <x:v>2</x:v>
      </x:c>
      <x:c r="D13" s="29" t="n">
        <x:f>MAXIFS(tblServiceEvents[Event #],tblServiceEvents[Client],B13)</x:f>
        <x:v>3</x:v>
      </x:c>
      <x:c r="E13" s="29" t="n">
        <x:f>COUNTIFS(tblServiceEvents[Client],B13,tblServiceEvents[Status],"Completed")</x:f>
        <x:v>2</x:v>
      </x:c>
      <x:c r="F13" s="29" t="n">
        <x:f>COUNTIF(tblLedger[Client],B13)</x:f>
        <x:v>2</x:v>
      </x:c>
      <x:c r="G13" s="70" t="n">
        <x:f>SUMIFS(tblServiceEvents[Confirmed Revenue],tblServiceEvents[Client],B13,tblServiceEvents[Revenue Eligibility],"Eligible")</x:f>
        <x:v>688</x:v>
      </x:c>
      <x:c r="H13" s="24" t="n">
        <x:f>IFERROR(G13/COUNTIFS(tblServiceEvents[Client],B13,tblServiceEvents[Revenue Eligibility],"Eligible"),0)</x:f>
        <x:v>344</x:v>
      </x:c>
      <x:c r="I13" s="24" t="n">
        <x:f>IFERROR(SUMIFS(tblLedger[Breakdown Amount],tblLedger[Client],B13,tblLedger[Breakdown Confirmed],"Yes")/COUNTIFS(tblLedger[Client],B13,tblLedger[Breakdown Confirmed],"Yes"),0)</x:f>
        <x:v>344</x:v>
      </x:c>
      <x:c r="J13" t="n">
        <x:v>1</x:v>
      </x:c>
      <x:c r="K13" t="n">
        <x:v>1</x:v>
      </x:c>
      <x:c r="L13" t="str">
        <x:f>IF(E13&gt;1,"Yes","No")</x:f>
        <x:v>Yes</x:v>
      </x:c>
      <x:c r="V13" t="str">
        <x:f>A23</x:f>
        <x:v>CL-012</x:v>
      </x:c>
      <x:c r="W13" t="str">
        <x:f>B23</x:f>
        <x:v>Verizon</x:v>
      </x:c>
      <x:c r="X13" t="n">
        <x:f>E23</x:f>
        <x:v>3</x:v>
      </x:c>
      <x:c r="Y13" t="n">
        <x:f>F23</x:f>
        <x:v>3</x:v>
      </x:c>
      <x:c r="Z13" s="24" t="n">
        <x:f>G23</x:f>
        <x:v>175</x:v>
      </x:c>
      <x:c r="AA13" s="24" t="n">
        <x:f>H23</x:f>
        <x:v>58.333333333333336</x:v>
      </x:c>
      <x:c r="AB13" s="24" t="n">
        <x:f>I23</x:f>
        <x:v>58.333333333333336</x:v>
      </x:c>
      <x:c r="AC13" t="str">
        <x:f>L23</x:f>
        <x:v>Yes</x:v>
      </x:c>
      <x:c r="AD13" t="n">
        <x:f>C23</x:f>
        <x:v>15</x:v>
      </x:c>
      <x:c r="AE13" t="n">
        <x:f>G23+(1000-C23)/1000000000</x:f>
        <x:v>175.000000985</x:v>
      </x:c>
      <x:c r="AF13" t="n">
        <x:f>E23+G23/1000000000</x:f>
        <x:v>3.000000175</x:v>
      </x:c>
      <x:c r="AG13" t="n">
        <x:f>IF(E23&gt;1,H23+G23/1000000000,0)</x:f>
        <x:v>58.33333350833333</x:v>
      </x:c>
      <x:c r="AI13" s="35" t="n">
        <x:v>46155</x:v>
      </x:c>
      <x:c r="AJ13" t="n">
        <x:v>2</x:v>
      </x:c>
      <x:c r="AK13" t="n">
        <x:v>1</x:v>
      </x:c>
      <x:c r="AL13" s="24" t="n">
        <x:v>50</x:v>
      </x:c>
      <x:c r="AM13" s="24" t="n">
        <x:v>1788</x:v>
      </x:c>
      <x:c r="AN13" s="24" t="n">
        <x:v>101</x:v>
      </x:c>
    </x:row>
    <x:row r="14">
      <x:c r="A14" t="str">
        <x:v>CL-003</x:v>
      </x:c>
      <x:c r="B14" t="str">
        <x:v>Hampton Inn &amp; Suites</x:v>
      </x:c>
      <x:c r="C14" t="n">
        <x:f>MINIFS(tblServiceEvents[Event #],tblServiceEvents[Client],B14)</x:f>
        <x:v>5</x:v>
      </x:c>
      <x:c r="D14" t="n">
        <x:f>MAXIFS(tblServiceEvents[Event #],tblServiceEvents[Client],B14)</x:f>
        <x:v>36</x:v>
      </x:c>
      <x:c r="E14" t="n">
        <x:f>COUNTIFS(tblServiceEvents[Client],B14,tblServiceEvents[Status],"Completed")</x:f>
        <x:v>2</x:v>
      </x:c>
      <x:c r="F14" t="n">
        <x:f>COUNTIF(tblLedger[Client],B14)</x:f>
        <x:v>2</x:v>
      </x:c>
      <x:c r="G14" s="24" t="n">
        <x:f>SUMIFS(tblServiceEvents[Confirmed Revenue],tblServiceEvents[Client],B14,tblServiceEvents[Revenue Eligibility],"Eligible")</x:f>
        <x:v>115</x:v>
      </x:c>
      <x:c r="H14" s="24" t="n">
        <x:f>IFERROR(G14/COUNTIFS(tblServiceEvents[Client],B14,tblServiceEvents[Revenue Eligibility],"Eligible"),0)</x:f>
        <x:v>57.5</x:v>
      </x:c>
      <x:c r="I14" s="24" t="n">
        <x:f>IFERROR(SUMIFS(tblLedger[Breakdown Amount],tblLedger[Client],B14,tblLedger[Breakdown Confirmed],"Yes")/COUNTIFS(tblLedger[Client],B14,tblLedger[Breakdown Confirmed],"Yes"),0)</x:f>
        <x:v>57.5</x:v>
      </x:c>
      <x:c r="J14" t="n">
        <x:v>2</x:v>
      </x:c>
      <x:c r="K14" t="n">
        <x:v>2</x:v>
      </x:c>
      <x:c r="L14" t="str">
        <x:f>IF(E14&gt;1,"Yes","No")</x:f>
        <x:v>Yes</x:v>
      </x:c>
      <x:c r="V14" t="str">
        <x:f>A24</x:f>
        <x:v>CL-013</x:v>
      </x:c>
      <x:c r="W14" t="str">
        <x:f>B24</x:f>
        <x:v>Atrium Village</x:v>
      </x:c>
      <x:c r="X14" t="n">
        <x:f>E24</x:f>
        <x:v>1</x:v>
      </x:c>
      <x:c r="Y14" t="n">
        <x:f>F24</x:f>
        <x:v>1</x:v>
      </x:c>
      <x:c r="Z14" s="24" t="n">
        <x:f>G24</x:f>
        <x:v>45</x:v>
      </x:c>
      <x:c r="AA14" s="24" t="n">
        <x:f>H24</x:f>
        <x:v>45</x:v>
      </x:c>
      <x:c r="AB14" s="24" t="n">
        <x:f>I24</x:f>
        <x:v>45</x:v>
      </x:c>
      <x:c r="AC14" t="str">
        <x:f>L24</x:f>
        <x:v>No</x:v>
      </x:c>
      <x:c r="AD14" t="n">
        <x:f>C24</x:f>
        <x:v>16</x:v>
      </x:c>
      <x:c r="AE14" t="n">
        <x:f>G24+(1000-C24)/1000000000</x:f>
        <x:v>45.000000984</x:v>
      </x:c>
      <x:c r="AF14" t="n">
        <x:f>E24+G24/1000000000</x:f>
        <x:v>1.000000045</x:v>
      </x:c>
      <x:c r="AG14" t="n">
        <x:f>IF(E24&gt;1,H24+G24/1000000000,0)</x:f>
        <x:v>0</x:v>
      </x:c>
      <x:c r="AI14" s="35" t="n">
        <x:v>46156</x:v>
      </x:c>
      <x:c r="AJ14" t="n">
        <x:v>1</x:v>
      </x:c>
      <x:c r="AK14" t="n">
        <x:v>1</x:v>
      </x:c>
      <x:c r="AL14" s="24" t="n">
        <x:v>75</x:v>
      </x:c>
      <x:c r="AM14" s="24" t="n">
        <x:v>1863</x:v>
      </x:c>
      <x:c r="AN14" s="24" t="n">
        <x:v>116</x:v>
      </x:c>
    </x:row>
    <x:row r="15">
      <x:c r="A15" t="str">
        <x:v>CL-004</x:v>
      </x:c>
      <x:c r="B15" t="str">
        <x:v>Davis Polk &amp; Wardwell</x:v>
      </x:c>
      <x:c r="C15" t="n">
        <x:f>MINIFS(tblServiceEvents[Event #],tblServiceEvents[Client],B15)</x:f>
        <x:v>7</x:v>
      </x:c>
      <x:c r="D15" t="n">
        <x:f>MAXIFS(tblServiceEvents[Event #],tblServiceEvents[Client],B15)</x:f>
        <x:v>7</x:v>
      </x:c>
      <x:c r="E15" t="n">
        <x:f>COUNTIFS(tblServiceEvents[Client],B15,tblServiceEvents[Status],"Completed")</x:f>
        <x:v>1</x:v>
      </x:c>
      <x:c r="F15" t="n">
        <x:f>COUNTIF(tblLedger[Client],B15)</x:f>
        <x:v>1</x:v>
      </x:c>
      <x:c r="G15" s="24" t="n">
        <x:f>SUMIFS(tblServiceEvents[Confirmed Revenue],tblServiceEvents[Client],B15,tblServiceEvents[Revenue Eligibility],"Eligible")</x:f>
        <x:v>50</x:v>
      </x:c>
      <x:c r="H15" s="24" t="n">
        <x:f>IFERROR(G15/COUNTIFS(tblServiceEvents[Client],B15,tblServiceEvents[Revenue Eligibility],"Eligible"),0)</x:f>
        <x:v>50</x:v>
      </x:c>
      <x:c r="I15" s="24" t="n">
        <x:f>IFERROR(SUMIFS(tblLedger[Breakdown Amount],tblLedger[Client],B15,tblLedger[Breakdown Confirmed],"Yes")/COUNTIFS(tblLedger[Client],B15,tblLedger[Breakdown Confirmed],"Yes"),0)</x:f>
        <x:v>50</x:v>
      </x:c>
      <x:c r="J15" t="n">
        <x:v>1</x:v>
      </x:c>
      <x:c r="K15" t="n">
        <x:v>1</x:v>
      </x:c>
      <x:c r="L15" t="str">
        <x:f>IF(E15&gt;1,"Yes","No")</x:f>
        <x:v>No</x:v>
      </x:c>
      <x:c r="V15" t="str">
        <x:f>A25</x:f>
        <x:v>CL-014</x:v>
      </x:c>
      <x:c r="W15" t="str">
        <x:f>B25</x:f>
        <x:v>Maryland Baptist Age Home</x:v>
      </x:c>
      <x:c r="X15" t="n">
        <x:f>E25</x:f>
        <x:v>1</x:v>
      </x:c>
      <x:c r="Y15" t="n">
        <x:f>F25</x:f>
        <x:v>1</x:v>
      </x:c>
      <x:c r="Z15" s="24" t="n">
        <x:f>G25</x:f>
        <x:v>50</x:v>
      </x:c>
      <x:c r="AA15" s="24" t="n">
        <x:f>H25</x:f>
        <x:v>50</x:v>
      </x:c>
      <x:c r="AB15" s="24" t="n">
        <x:f>I25</x:f>
        <x:v>50</x:v>
      </x:c>
      <x:c r="AC15" t="str">
        <x:f>L25</x:f>
        <x:v>No</x:v>
      </x:c>
      <x:c r="AD15" t="n">
        <x:f>C25</x:f>
        <x:v>17</x:v>
      </x:c>
      <x:c r="AE15" t="n">
        <x:f>G25+(1000-C25)/1000000000</x:f>
        <x:v>50.000000983</x:v>
      </x:c>
      <x:c r="AF15" t="n">
        <x:f>E25+G25/1000000000</x:f>
        <x:v>1.00000005</x:v>
      </x:c>
      <x:c r="AG15" t="n">
        <x:f>IF(E25&gt;1,H25+G25/1000000000,0)</x:f>
        <x:v>0</x:v>
      </x:c>
      <x:c r="AI15" s="35" t="n">
        <x:v>46157</x:v>
      </x:c>
      <x:c r="AJ15" t="n">
        <x:v>1</x:v>
      </x:c>
      <x:c r="AK15" t="n">
        <x:v>1</x:v>
      </x:c>
      <x:c r="AL15" s="24" t="n">
        <x:v>45</x:v>
      </x:c>
      <x:c r="AM15" s="24" t="n">
        <x:v>1908</x:v>
      </x:c>
      <x:c r="AN15" s="24" t="n">
        <x:v>82.5</x:v>
      </x:c>
    </x:row>
    <x:row r="16">
      <x:c r="A16" t="str">
        <x:v>CL-005</x:v>
      </x:c>
      <x:c r="B16" t="str">
        <x:v>Hebrew Home of Greater Washington</x:v>
      </x:c>
      <x:c r="C16" t="n">
        <x:f>MINIFS(tblServiceEvents[Event #],tblServiceEvents[Client],B16)</x:f>
        <x:v>8</x:v>
      </x:c>
      <x:c r="D16" t="n">
        <x:f>MAXIFS(tblServiceEvents[Event #],tblServiceEvents[Client],B16)</x:f>
        <x:v>51</x:v>
      </x:c>
      <x:c r="E16" t="n">
        <x:f>COUNTIFS(tblServiceEvents[Client],B16,tblServiceEvents[Status],"Completed")</x:f>
        <x:v>4</x:v>
      </x:c>
      <x:c r="F16" t="n">
        <x:f>COUNTIF(tblLedger[Client],B16)</x:f>
        <x:v>4</x:v>
      </x:c>
      <x:c r="G16" s="24" t="n">
        <x:f>SUMIFS(tblServiceEvents[Confirmed Revenue],tblServiceEvents[Client],B16,tblServiceEvents[Revenue Eligibility],"Eligible")</x:f>
        <x:v>225</x:v>
      </x:c>
      <x:c r="H16" s="24" t="n">
        <x:f>IFERROR(G16/COUNTIFS(tblServiceEvents[Client],B16,tblServiceEvents[Revenue Eligibility],"Eligible"),0)</x:f>
        <x:v>56.25</x:v>
      </x:c>
      <x:c r="I16" s="24" t="n">
        <x:f>IFERROR(SUMIFS(tblLedger[Breakdown Amount],tblLedger[Client],B16,tblLedger[Breakdown Confirmed],"Yes")/COUNTIFS(tblLedger[Client],B16,tblLedger[Breakdown Confirmed],"Yes"),0)</x:f>
        <x:v>55</x:v>
      </x:c>
      <x:c r="J16" t="n">
        <x:v>1</x:v>
      </x:c>
      <x:c r="K16" t="n">
        <x:v>1</x:v>
      </x:c>
      <x:c r="L16" t="str">
        <x:f>IF(E16&gt;1,"Yes","No")</x:f>
        <x:v>Yes</x:v>
      </x:c>
      <x:c r="V16" t="str">
        <x:f>A26</x:f>
        <x:v>CL-015</x:v>
      </x:c>
      <x:c r="W16" t="str">
        <x:f>B26</x:f>
        <x:v>Under Armour</x:v>
      </x:c>
      <x:c r="X16" t="n">
        <x:f>E26</x:f>
        <x:v>2</x:v>
      </x:c>
      <x:c r="Y16" t="n">
        <x:f>F26</x:f>
        <x:v>2</x:v>
      </x:c>
      <x:c r="Z16" s="24" t="n">
        <x:f>G26</x:f>
        <x:v>260</x:v>
      </x:c>
      <x:c r="AA16" s="24" t="n">
        <x:f>H26</x:f>
        <x:v>130</x:v>
      </x:c>
      <x:c r="AB16" s="24" t="n">
        <x:f>I26</x:f>
        <x:v>130</x:v>
      </x:c>
      <x:c r="AC16" t="str">
        <x:f>L26</x:f>
        <x:v>Yes</x:v>
      </x:c>
      <x:c r="AD16" t="n">
        <x:f>C26</x:f>
        <x:v>18</x:v>
      </x:c>
      <x:c r="AE16" t="n">
        <x:f>G26+(1000-C26)/1000000000</x:f>
        <x:v>260.000000982</x:v>
      </x:c>
      <x:c r="AF16" t="n">
        <x:f>E26+G26/1000000000</x:f>
        <x:v>2.00000026</x:v>
      </x:c>
      <x:c r="AG16" t="n">
        <x:f>IF(E26&gt;1,H26+G26/1000000000,0)</x:f>
        <x:v>130.00000026</x:v>
      </x:c>
      <x:c r="AI16" s="35" t="n">
        <x:v>46161</x:v>
      </x:c>
      <x:c r="AJ16" t="n">
        <x:v>1</x:v>
      </x:c>
      <x:c r="AK16" t="n">
        <x:v>1</x:v>
      </x:c>
      <x:c r="AL16" s="24" t="n">
        <x:v>50</x:v>
      </x:c>
      <x:c r="AM16" s="24" t="n">
        <x:v>1958</x:v>
      </x:c>
      <x:c r="AN16" s="24" t="n">
        <x:v>61</x:v>
      </x:c>
    </x:row>
    <x:row r="17">
      <x:c r="A17" t="str">
        <x:v>CL-006</x:v>
      </x:c>
      <x:c r="B17" t="str">
        <x:v>7-Eleven</x:v>
      </x:c>
      <x:c r="C17" t="n">
        <x:f>MINIFS(tblServiceEvents[Event #],tblServiceEvents[Client],B17)</x:f>
        <x:v>9</x:v>
      </x:c>
      <x:c r="D17" t="n">
        <x:f>MAXIFS(tblServiceEvents[Event #],tblServiceEvents[Client],B17)</x:f>
        <x:v>54</x:v>
      </x:c>
      <x:c r="E17" t="n">
        <x:f>COUNTIFS(tblServiceEvents[Client],B17,tblServiceEvents[Status],"Completed")</x:f>
        <x:v>3</x:v>
      </x:c>
      <x:c r="F17" t="n">
        <x:f>COUNTIF(tblLedger[Client],B17)</x:f>
        <x:v>3</x:v>
      </x:c>
      <x:c r="G17" s="24" t="n">
        <x:f>SUMIFS(tblServiceEvents[Confirmed Revenue],tblServiceEvents[Client],B17,tblServiceEvents[Revenue Eligibility],"Eligible")</x:f>
        <x:v>360</x:v>
      </x:c>
      <x:c r="H17" s="24" t="n">
        <x:f>IFERROR(G17/COUNTIFS(tblServiceEvents[Client],B17,tblServiceEvents[Revenue Eligibility],"Eligible"),0)</x:f>
        <x:v>180</x:v>
      </x:c>
      <x:c r="I17" s="24" t="n">
        <x:f>IFERROR(SUMIFS(tblLedger[Breakdown Amount],tblLedger[Client],B17,tblLedger[Breakdown Confirmed],"Yes")/COUNTIFS(tblLedger[Client],B17,tblLedger[Breakdown Confirmed],"Yes"),0)</x:f>
        <x:v>180</x:v>
      </x:c>
      <x:c r="J17" t="n">
        <x:v>1</x:v>
      </x:c>
      <x:c r="K17" t="n">
        <x:v>3</x:v>
      </x:c>
      <x:c r="L17" t="str">
        <x:f>IF(E17&gt;1,"Yes","No")</x:f>
        <x:v>Yes</x:v>
      </x:c>
      <x:c r="V17" t="str">
        <x:f>A27</x:f>
        <x:v>CL-016</x:v>
      </x:c>
      <x:c r="W17" t="str">
        <x:f>B27</x:f>
        <x:v>HomeGoods</x:v>
      </x:c>
      <x:c r="X17" t="n">
        <x:f>E27</x:f>
        <x:v>3</x:v>
      </x:c>
      <x:c r="Y17" t="n">
        <x:f>F27</x:f>
        <x:v>3</x:v>
      </x:c>
      <x:c r="Z17" s="24" t="n">
        <x:f>G27</x:f>
        <x:v>140</x:v>
      </x:c>
      <x:c r="AA17" s="24" t="n">
        <x:f>H27</x:f>
        <x:v>70</x:v>
      </x:c>
      <x:c r="AB17" s="24" t="n">
        <x:f>I27</x:f>
        <x:v>70</x:v>
      </x:c>
      <x:c r="AC17" t="str">
        <x:f>L27</x:f>
        <x:v>Yes</x:v>
      </x:c>
      <x:c r="AD17" t="n">
        <x:f>C27</x:f>
        <x:v>22</x:v>
      </x:c>
      <x:c r="AE17" t="n">
        <x:f>G27+(1000-C27)/1000000000</x:f>
        <x:v>140.000000978</x:v>
      </x:c>
      <x:c r="AF17" t="n">
        <x:f>E27+G27/1000000000</x:f>
        <x:v>3.00000014</x:v>
      </x:c>
      <x:c r="AG17" t="n">
        <x:f>IF(E27&gt;1,H27+G27/1000000000,0)</x:f>
        <x:v>70.00000014</x:v>
      </x:c>
      <x:c r="AI17" s="35" t="n">
        <x:v>46162</x:v>
      </x:c>
      <x:c r="AJ17" t="n">
        <x:v>1</x:v>
      </x:c>
      <x:c r="AK17" t="n">
        <x:v>1</x:v>
      </x:c>
      <x:c r="AL17" s="24" t="n">
        <x:v>106.67</x:v>
      </x:c>
      <x:c r="AM17" s="24" t="n">
        <x:v>2064.67</x:v>
      </x:c>
      <x:c r="AN17" s="24" t="n">
        <x:v>65.33</x:v>
      </x:c>
    </x:row>
    <x:row r="18">
      <x:c r="A18" t="str">
        <x:v>CL-007</x:v>
      </x:c>
      <x:c r="B18" t="str">
        <x:v>Giant Food Stores</x:v>
      </x:c>
      <x:c r="C18" t="n">
        <x:f>MINIFS(tblServiceEvents[Event #],tblServiceEvents[Client],B18)</x:f>
        <x:v>10</x:v>
      </x:c>
      <x:c r="D18" t="n">
        <x:f>MAXIFS(tblServiceEvents[Event #],tblServiceEvents[Client],B18)</x:f>
        <x:v>70</x:v>
      </x:c>
      <x:c r="E18" t="n">
        <x:f>COUNTIFS(tblServiceEvents[Client],B18,tblServiceEvents[Status],"Completed")</x:f>
        <x:v>4</x:v>
      </x:c>
      <x:c r="F18" t="n">
        <x:f>COUNTIF(tblLedger[Client],B18)</x:f>
        <x:v>4</x:v>
      </x:c>
      <x:c r="G18" s="24" t="n">
        <x:f>SUMIFS(tblServiceEvents[Confirmed Revenue],tblServiceEvents[Client],B18,tblServiceEvents[Revenue Eligibility],"Eligible")</x:f>
        <x:v>375</x:v>
      </x:c>
      <x:c r="H18" s="24" t="n">
        <x:f>IFERROR(G18/COUNTIFS(tblServiceEvents[Client],B18,tblServiceEvents[Revenue Eligibility],"Eligible"),0)</x:f>
        <x:v>125</x:v>
      </x:c>
      <x:c r="I18" s="24" t="n">
        <x:f>IFERROR(SUMIFS(tblLedger[Breakdown Amount],tblLedger[Client],B18,tblLedger[Breakdown Confirmed],"Yes")/COUNTIFS(tblLedger[Client],B18,tblLedger[Breakdown Confirmed],"Yes"),0)</x:f>
        <x:v>125</x:v>
      </x:c>
      <x:c r="J18" t="n">
        <x:v>2</x:v>
      </x:c>
      <x:c r="K18" t="n">
        <x:v>3</x:v>
      </x:c>
      <x:c r="L18" t="str">
        <x:f>IF(E18&gt;1,"Yes","No")</x:f>
        <x:v>Yes</x:v>
      </x:c>
      <x:c r="V18" t="str">
        <x:f>A28</x:f>
        <x:v>CL-017</x:v>
      </x:c>
      <x:c r="W18" t="str">
        <x:f>B28</x:f>
        <x:v>Joint Base Andrews</x:v>
      </x:c>
      <x:c r="X18" t="n">
        <x:f>E28</x:f>
        <x:v>1</x:v>
      </x:c>
      <x:c r="Y18" t="n">
        <x:f>F28</x:f>
        <x:v>1</x:v>
      </x:c>
      <x:c r="Z18" s="24" t="n">
        <x:f>G28</x:f>
        <x:v>0</x:v>
      </x:c>
      <x:c r="AA18" s="24" t="n">
        <x:f>H28</x:f>
        <x:v>0</x:v>
      </x:c>
      <x:c r="AB18" s="24" t="n">
        <x:f>I28</x:f>
        <x:v>0</x:v>
      </x:c>
      <x:c r="AC18" t="str">
        <x:f>L28</x:f>
        <x:v>No</x:v>
      </x:c>
      <x:c r="AD18" t="n">
        <x:f>C28</x:f>
        <x:v>23</x:v>
      </x:c>
      <x:c r="AE18" t="n">
        <x:f>G28+(1000-C28)/1000000000</x:f>
        <x:v>9.77e-7</x:v>
      </x:c>
      <x:c r="AF18" t="n">
        <x:f>E28+G28/1000000000</x:f>
        <x:v>1</x:v>
      </x:c>
      <x:c r="AG18" t="n">
        <x:f>IF(E28&gt;1,H28+G28/1000000000,0)</x:f>
        <x:v>0</x:v>
      </x:c>
      <x:c r="AI18" s="35" t="n">
        <x:v>46163</x:v>
      </x:c>
      <x:c r="AJ18" t="n">
        <x:v>2</x:v>
      </x:c>
      <x:c r="AK18" t="n">
        <x:v>2</x:v>
      </x:c>
      <x:c r="AL18" s="24" t="n">
        <x:v>265.83</x:v>
      </x:c>
      <x:c r="AM18" s="24" t="n">
        <x:v>2330.5</x:v>
      </x:c>
      <x:c r="AN18" s="24" t="n">
        <x:v>108.5</x:v>
      </x:c>
    </x:row>
    <x:row r="19">
      <x:c r="A19" t="str">
        <x:v>CL-008</x:v>
      </x:c>
      <x:c r="B19" t="str">
        <x:v>Food Lion</x:v>
      </x:c>
      <x:c r="C19" t="n">
        <x:f>MINIFS(tblServiceEvents[Event #],tblServiceEvents[Client],B19)</x:f>
        <x:v>11</x:v>
      </x:c>
      <x:c r="D19" t="n">
        <x:f>MAXIFS(tblServiceEvents[Event #],tblServiceEvents[Client],B19)</x:f>
        <x:v>52</x:v>
      </x:c>
      <x:c r="E19" t="n">
        <x:f>COUNTIFS(tblServiceEvents[Client],B19,tblServiceEvents[Status],"Completed")</x:f>
        <x:v>3</x:v>
      </x:c>
      <x:c r="F19" t="n">
        <x:f>COUNTIF(tblLedger[Client],B19)</x:f>
        <x:v>3</x:v>
      </x:c>
      <x:c r="G19" s="24" t="n">
        <x:f>SUMIFS(tblServiceEvents[Confirmed Revenue],tblServiceEvents[Client],B19,tblServiceEvents[Revenue Eligibility],"Eligible")</x:f>
        <x:v>371.65</x:v>
      </x:c>
      <x:c r="H19" s="24" t="n">
        <x:f>IFERROR(G19/COUNTIFS(tblServiceEvents[Client],B19,tblServiceEvents[Revenue Eligibility],"Eligible"),0)</x:f>
        <x:v>123.88333333333333</x:v>
      </x:c>
      <x:c r="I19" s="24" t="n">
        <x:f>IFERROR(SUMIFS(tblLedger[Breakdown Amount],tblLedger[Client],B19,tblLedger[Breakdown Confirmed],"Yes")/COUNTIFS(tblLedger[Client],B19,tblLedger[Breakdown Confirmed],"Yes"),0)</x:f>
        <x:v>123.88333333333333</x:v>
      </x:c>
      <x:c r="J19" t="n">
        <x:v>2</x:v>
      </x:c>
      <x:c r="K19" t="n">
        <x:v>3</x:v>
      </x:c>
      <x:c r="L19" t="str">
        <x:f>IF(E19&gt;1,"Yes","No")</x:f>
        <x:v>Yes</x:v>
      </x:c>
      <x:c r="V19" t="str">
        <x:f>A29</x:f>
        <x:v>CL-018</x:v>
      </x:c>
      <x:c r="W19" t="str">
        <x:f>B29</x:f>
        <x:v>USDA</x:v>
      </x:c>
      <x:c r="X19" t="n">
        <x:f>E29</x:f>
        <x:v>6</x:v>
      </x:c>
      <x:c r="Y19" t="n">
        <x:f>F29</x:f>
        <x:v>6</x:v>
      </x:c>
      <x:c r="Z19" s="24" t="n">
        <x:f>G29</x:f>
        <x:v>1355</x:v>
      </x:c>
      <x:c r="AA19" s="24" t="n">
        <x:f>H29</x:f>
        <x:v>225.83333333333334</x:v>
      </x:c>
      <x:c r="AB19" s="24" t="n">
        <x:f>I29</x:f>
        <x:v>225.83333333333334</x:v>
      </x:c>
      <x:c r="AC19" t="str">
        <x:f>L29</x:f>
        <x:v>Yes</x:v>
      </x:c>
      <x:c r="AD19" t="n">
        <x:f>C29</x:f>
        <x:v>24</x:v>
      </x:c>
      <x:c r="AE19" t="n">
        <x:f>G29+(1000-C29)/1000000000</x:f>
        <x:v>1355.000000976</x:v>
      </x:c>
      <x:c r="AF19" t="n">
        <x:f>E29+G29/1000000000</x:f>
        <x:v>6.000001355</x:v>
      </x:c>
      <x:c r="AG19" t="n">
        <x:f>IF(E29&gt;1,H29+G29/1000000000,0)</x:f>
        <x:v>225.83333468833334</x:v>
      </x:c>
      <x:c r="AI19" s="35" t="n">
        <x:v>46168</x:v>
      </x:c>
      <x:c r="AJ19" t="n">
        <x:v>2</x:v>
      </x:c>
      <x:c r="AK19" t="n">
        <x:v>2</x:v>
      </x:c>
      <x:c r="AL19" s="24" t="n">
        <x:v>147.91</x:v>
      </x:c>
      <x:c r="AM19" s="24" t="n">
        <x:v>2478.41</x:v>
      </x:c>
      <x:c r="AN19" s="24" t="n">
        <x:v>123.08</x:v>
      </x:c>
    </x:row>
    <x:row r="20">
      <x:c r="A20" t="str">
        <x:v>CL-009</x:v>
      </x:c>
      <x:c r="B20" t="str">
        <x:v>Weis Markets</x:v>
      </x:c>
      <x:c r="C20" t="n">
        <x:f>MINIFS(tblServiceEvents[Event #],tblServiceEvents[Client],B20)</x:f>
        <x:v>12</x:v>
      </x:c>
      <x:c r="D20" t="n">
        <x:f>MAXIFS(tblServiceEvents[Event #],tblServiceEvents[Client],B20)</x:f>
        <x:v>49</x:v>
      </x:c>
      <x:c r="E20" t="n">
        <x:f>COUNTIFS(tblServiceEvents[Client],B20,tblServiceEvents[Status],"Completed")</x:f>
        <x:v>2</x:v>
      </x:c>
      <x:c r="F20" t="n">
        <x:f>COUNTIF(tblLedger[Client],B20)</x:f>
        <x:v>2</x:v>
      </x:c>
      <x:c r="G20" s="24" t="n">
        <x:f>SUMIFS(tblServiceEvents[Confirmed Revenue],tblServiceEvents[Client],B20,tblServiceEvents[Revenue Eligibility],"Eligible")</x:f>
        <x:v>175</x:v>
      </x:c>
      <x:c r="H20" s="24" t="n">
        <x:f>IFERROR(G20/COUNTIFS(tblServiceEvents[Client],B20,tblServiceEvents[Revenue Eligibility],"Eligible"),0)</x:f>
        <x:v>87.5</x:v>
      </x:c>
      <x:c r="I20" s="24" t="n">
        <x:f>IFERROR(SUMIFS(tblLedger[Breakdown Amount],tblLedger[Client],B20,tblLedger[Breakdown Confirmed],"Yes")/COUNTIFS(tblLedger[Client],B20,tblLedger[Breakdown Confirmed],"Yes"),0)</x:f>
        <x:v>87.5</x:v>
      </x:c>
      <x:c r="J20" t="n">
        <x:v>2</x:v>
      </x:c>
      <x:c r="K20" t="n">
        <x:v>2</x:v>
      </x:c>
      <x:c r="L20" t="str">
        <x:f>IF(E20&gt;1,"Yes","No")</x:f>
        <x:v>Yes</x:v>
      </x:c>
      <x:c r="V20" t="str">
        <x:f>A30</x:f>
        <x:v>CL-019</x:v>
      </x:c>
      <x:c r="W20" t="str">
        <x:f>B30</x:f>
        <x:v>PepsiCo</x:v>
      </x:c>
      <x:c r="X20" t="n">
        <x:f>E30</x:f>
        <x:v>1</x:v>
      </x:c>
      <x:c r="Y20" t="n">
        <x:f>F30</x:f>
        <x:v>1</x:v>
      </x:c>
      <x:c r="Z20" s="24" t="n">
        <x:f>G30</x:f>
        <x:v>0</x:v>
      </x:c>
      <x:c r="AA20" s="24" t="n">
        <x:f>H30</x:f>
        <x:v>0</x:v>
      </x:c>
      <x:c r="AB20" s="24" t="n">
        <x:f>I30</x:f>
        <x:v>0</x:v>
      </x:c>
      <x:c r="AC20" t="str">
        <x:f>L30</x:f>
        <x:v>No</x:v>
      </x:c>
      <x:c r="AD20" t="n">
        <x:f>C30</x:f>
        <x:v>25</x:v>
      </x:c>
      <x:c r="AE20" t="n">
        <x:f>G30+(1000-C30)/1000000000</x:f>
        <x:v>9.75e-7</x:v>
      </x:c>
      <x:c r="AF20" t="n">
        <x:f>E30+G30/1000000000</x:f>
        <x:v>1</x:v>
      </x:c>
      <x:c r="AG20" t="n">
        <x:f>IF(E30&gt;1,H30+G30/1000000000,0)</x:f>
        <x:v>0</x:v>
      </x:c>
      <x:c r="AI20" s="35" t="n">
        <x:v>46169</x:v>
      </x:c>
      <x:c r="AJ20" t="n">
        <x:v>2</x:v>
      </x:c>
      <x:c r="AK20" t="n">
        <x:v>1</x:v>
      </x:c>
      <x:c r="AL20" s="24" t="n">
        <x:v>200</x:v>
      </x:c>
      <x:c r="AM20" s="24" t="n">
        <x:v>2678.41</x:v>
      </x:c>
      <x:c r="AN20" s="24" t="n">
        <x:v>154.08</x:v>
      </x:c>
    </x:row>
    <x:row r="21">
      <x:c r="A21" t="str">
        <x:v>CL-010</x:v>
      </x:c>
      <x:c r="B21" t="str">
        <x:v>Office of MD Senator Chris Van Hollen</x:v>
      </x:c>
      <x:c r="C21" t="n">
        <x:f>MINIFS(tblServiceEvents[Event #],tblServiceEvents[Client],B21)</x:f>
        <x:v>13</x:v>
      </x:c>
      <x:c r="D21" t="n">
        <x:f>MAXIFS(tblServiceEvents[Event #],tblServiceEvents[Client],B21)</x:f>
        <x:v>13</x:v>
      </x:c>
      <x:c r="E21" t="n">
        <x:f>COUNTIFS(tblServiceEvents[Client],B21,tblServiceEvents[Status],"Completed")</x:f>
        <x:v>1</x:v>
      </x:c>
      <x:c r="F21" t="n">
        <x:f>COUNTIF(tblLedger[Client],B21)</x:f>
        <x:v>1</x:v>
      </x:c>
      <x:c r="G21" s="24" t="n">
        <x:f>SUMIFS(tblServiceEvents[Confirmed Revenue],tblServiceEvents[Client],B21,tblServiceEvents[Revenue Eligibility],"Eligible")</x:f>
        <x:v>50</x:v>
      </x:c>
      <x:c r="H21" s="24" t="n">
        <x:f>IFERROR(G21/COUNTIFS(tblServiceEvents[Client],B21,tblServiceEvents[Revenue Eligibility],"Eligible"),0)</x:f>
        <x:v>50</x:v>
      </x:c>
      <x:c r="I21" s="24" t="n">
        <x:f>IFERROR(SUMIFS(tblLedger[Breakdown Amount],tblLedger[Client],B21,tblLedger[Breakdown Confirmed],"Yes")/COUNTIFS(tblLedger[Client],B21,tblLedger[Breakdown Confirmed],"Yes"),0)</x:f>
        <x:v>50</x:v>
      </x:c>
      <x:c r="J21" t="n">
        <x:v>1</x:v>
      </x:c>
      <x:c r="K21" t="n">
        <x:v>1</x:v>
      </x:c>
      <x:c r="L21" t="str">
        <x:f>IF(E21&gt;1,"Yes","No")</x:f>
        <x:v>No</x:v>
      </x:c>
      <x:c r="V21" t="str">
        <x:f>A31</x:f>
        <x:v>CL-020</x:v>
      </x:c>
      <x:c r="W21" t="str">
        <x:f>B31</x:f>
        <x:v>TJ Maxx</x:v>
      </x:c>
      <x:c r="X21" t="n">
        <x:f>E31</x:f>
        <x:v>7</x:v>
      </x:c>
      <x:c r="Y21" t="n">
        <x:f>F31</x:f>
        <x:v>7</x:v>
      </x:c>
      <x:c r="Z21" s="24" t="n">
        <x:f>G31</x:f>
        <x:v>552.48</x:v>
      </x:c>
      <x:c r="AA21" s="24" t="n">
        <x:f>H31</x:f>
        <x:v>110.49600000000001</x:v>
      </x:c>
      <x:c r="AB21" s="24" t="n">
        <x:f>I31</x:f>
        <x:v>110.49600000000001</x:v>
      </x:c>
      <x:c r="AC21" t="str">
        <x:f>L31</x:f>
        <x:v>Yes</x:v>
      </x:c>
      <x:c r="AD21" t="n">
        <x:f>C31</x:f>
        <x:v>30</x:v>
      </x:c>
      <x:c r="AE21" t="n">
        <x:f>G31+(1000-C31)/1000000000</x:f>
        <x:v>552.48000097</x:v>
      </x:c>
      <x:c r="AF21" t="n">
        <x:f>E31+G31/1000000000</x:f>
        <x:v>7.00000055248</x:v>
      </x:c>
      <x:c r="AG21" t="n">
        <x:f>IF(E31&gt;1,H31+G31/1000000000,0)</x:f>
        <x:v>110.49600055248001</x:v>
      </x:c>
      <x:c r="AI21" s="35" t="n">
        <x:v>46170</x:v>
      </x:c>
      <x:c r="AJ21" t="n">
        <x:v>2</x:v>
      </x:c>
      <x:c r="AK21" t="n">
        <x:v>1</x:v>
      </x:c>
      <x:c r="AL21" s="24" t="n">
        <x:v>175</x:v>
      </x:c>
      <x:c r="AM21" s="24" t="n">
        <x:v>2853.41</x:v>
      </x:c>
      <x:c r="AN21" s="24" t="n">
        <x:v>179.08</x:v>
      </x:c>
    </x:row>
    <x:row r="22">
      <x:c r="A22" t="str">
        <x:v>CL-011</x:v>
      </x:c>
      <x:c r="B22" t="str">
        <x:v>Residential – Annapolis Neck, MD</x:v>
      </x:c>
      <x:c r="C22" t="n">
        <x:f>MINIFS(tblServiceEvents[Event #],tblServiceEvents[Client],B22)</x:f>
        <x:v>14</x:v>
      </x:c>
      <x:c r="D22" t="n">
        <x:f>MAXIFS(tblServiceEvents[Event #],tblServiceEvents[Client],B22)</x:f>
        <x:v>40</x:v>
      </x:c>
      <x:c r="E22" t="n">
        <x:f>COUNTIFS(tblServiceEvents[Client],B22,tblServiceEvents[Status],"Completed")</x:f>
        <x:v>2</x:v>
      </x:c>
      <x:c r="F22" t="n">
        <x:f>COUNTIF(tblLedger[Client],B22)</x:f>
        <x:v>2</x:v>
      </x:c>
      <x:c r="G22" s="24" t="n">
        <x:f>SUMIFS(tblServiceEvents[Confirmed Revenue],tblServiceEvents[Client],B22,tblServiceEvents[Revenue Eligibility],"Eligible")</x:f>
        <x:v>60</x:v>
      </x:c>
      <x:c r="H22" s="24" t="n">
        <x:f>IFERROR(G22/COUNTIFS(tblServiceEvents[Client],B22,tblServiceEvents[Revenue Eligibility],"Eligible"),0)</x:f>
        <x:v>60</x:v>
      </x:c>
      <x:c r="I22" s="24" t="n">
        <x:f>IFERROR(SUMIFS(tblLedger[Breakdown Amount],tblLedger[Client],B22,tblLedger[Breakdown Confirmed],"Yes")/COUNTIFS(tblLedger[Client],B22,tblLedger[Breakdown Confirmed],"Yes"),0)</x:f>
        <x:v>60</x:v>
      </x:c>
      <x:c r="J22" t="n">
        <x:v>1</x:v>
      </x:c>
      <x:c r="K22" t="n">
        <x:v>1</x:v>
      </x:c>
      <x:c r="L22" t="str">
        <x:f>IF(E22&gt;1,"Yes","No")</x:f>
        <x:v>Yes</x:v>
      </x:c>
      <x:c r="V22" t="str">
        <x:f>A32</x:f>
        <x:v>CL-021</x:v>
      </x:c>
      <x:c r="W22" t="str">
        <x:f>B32</x:f>
        <x:v>Hilton Garden Inn</x:v>
      </x:c>
      <x:c r="X22" t="n">
        <x:f>E32</x:f>
        <x:v>2</x:v>
      </x:c>
      <x:c r="Y22" t="n">
        <x:f>F32</x:f>
        <x:v>2</x:v>
      </x:c>
      <x:c r="Z22" s="24" t="n">
        <x:f>G32</x:f>
        <x:v>157.03</x:v>
      </x:c>
      <x:c r="AA22" s="24" t="n">
        <x:f>H32</x:f>
        <x:v>78.515</x:v>
      </x:c>
      <x:c r="AB22" s="24" t="n">
        <x:f>I32</x:f>
        <x:v>78.515</x:v>
      </x:c>
      <x:c r="AC22" t="str">
        <x:f>L32</x:f>
        <x:v>Yes</x:v>
      </x:c>
      <x:c r="AD22" t="n">
        <x:f>C32</x:f>
        <x:v>32</x:v>
      </x:c>
      <x:c r="AE22" t="n">
        <x:f>G32+(1000-C32)/1000000000</x:f>
        <x:v>157.030000968</x:v>
      </x:c>
      <x:c r="AF22" t="n">
        <x:f>E32+G32/1000000000</x:f>
        <x:v>2.00000015703</x:v>
      </x:c>
      <x:c r="AG22" t="n">
        <x:f>IF(E32&gt;1,H32+G32/1000000000,0)</x:f>
        <x:v>78.51500015703</x:v>
      </x:c>
      <x:c r="AI22" s="35" t="n">
        <x:v>46174</x:v>
      </x:c>
      <x:c r="AJ22" t="n">
        <x:v>1</x:v>
      </x:c>
      <x:c r="AK22" t="n">
        <x:v>1</x:v>
      </x:c>
      <x:c r="AL22" s="24" t="n">
        <x:v>320</x:v>
      </x:c>
      <x:c r="AM22" s="24" t="n">
        <x:v>3173.41</x:v>
      </x:c>
      <x:c r="AN22" s="24" t="n">
        <x:v>221.75</x:v>
      </x:c>
    </x:row>
    <x:row r="23">
      <x:c r="A23" t="str">
        <x:v>CL-012</x:v>
      </x:c>
      <x:c r="B23" t="str">
        <x:v>Verizon</x:v>
      </x:c>
      <x:c r="C23" t="n">
        <x:f>MINIFS(tblServiceEvents[Event #],tblServiceEvents[Client],B23)</x:f>
        <x:v>15</x:v>
      </x:c>
      <x:c r="D23" t="n">
        <x:f>MAXIFS(tblServiceEvents[Event #],tblServiceEvents[Client],B23)</x:f>
        <x:v>43</x:v>
      </x:c>
      <x:c r="E23" t="n">
        <x:f>COUNTIFS(tblServiceEvents[Client],B23,tblServiceEvents[Status],"Completed")</x:f>
        <x:v>3</x:v>
      </x:c>
      <x:c r="F23" t="n">
        <x:f>COUNTIF(tblLedger[Client],B23)</x:f>
        <x:v>3</x:v>
      </x:c>
      <x:c r="G23" s="24" t="n">
        <x:f>SUMIFS(tblServiceEvents[Confirmed Revenue],tblServiceEvents[Client],B23,tblServiceEvents[Revenue Eligibility],"Eligible")</x:f>
        <x:v>175</x:v>
      </x:c>
      <x:c r="H23" s="24" t="n">
        <x:f>IFERROR(G23/COUNTIFS(tblServiceEvents[Client],B23,tblServiceEvents[Revenue Eligibility],"Eligible"),0)</x:f>
        <x:v>58.333333333333336</x:v>
      </x:c>
      <x:c r="I23" s="24" t="n">
        <x:f>IFERROR(SUMIFS(tblLedger[Breakdown Amount],tblLedger[Client],B23,tblLedger[Breakdown Confirmed],"Yes")/COUNTIFS(tblLedger[Client],B23,tblLedger[Breakdown Confirmed],"Yes"),0)</x:f>
        <x:v>58.333333333333336</x:v>
      </x:c>
      <x:c r="J23" t="n">
        <x:v>1</x:v>
      </x:c>
      <x:c r="K23" t="n">
        <x:v>3</x:v>
      </x:c>
      <x:c r="L23" t="str">
        <x:f>IF(E23&gt;1,"Yes","No")</x:f>
        <x:v>Yes</x:v>
      </x:c>
      <x:c r="V23" t="str">
        <x:f>A33</x:f>
        <x:v>CL-022</x:v>
      </x:c>
      <x:c r="W23" t="str">
        <x:f>B33</x:f>
        <x:v>Marshalls</x:v>
      </x:c>
      <x:c r="X23" t="n">
        <x:f>E33</x:f>
        <x:v>5</x:v>
      </x:c>
      <x:c r="Y23" t="n">
        <x:f>F33</x:f>
        <x:v>5</x:v>
      </x:c>
      <x:c r="Z23" s="24" t="n">
        <x:f>G33</x:f>
        <x:v>283.75</x:v>
      </x:c>
      <x:c r="AA23" s="24" t="n">
        <x:f>H33</x:f>
        <x:v>94.58333333333333</x:v>
      </x:c>
      <x:c r="AB23" s="24" t="n">
        <x:f>I33</x:f>
        <x:v>94.58333333333333</x:v>
      </x:c>
      <x:c r="AC23" t="str">
        <x:f>L33</x:f>
        <x:v>Yes</x:v>
      </x:c>
      <x:c r="AD23" t="n">
        <x:f>C33</x:f>
        <x:v>35</x:v>
      </x:c>
      <x:c r="AE23" t="n">
        <x:f>G33+(1000-C33)/1000000000</x:f>
        <x:v>283.750000965</x:v>
      </x:c>
      <x:c r="AF23" t="n">
        <x:f>E33+G33/1000000000</x:f>
        <x:v>5.00000028375</x:v>
      </x:c>
      <x:c r="AG23" t="n">
        <x:f>IF(E33&gt;1,H33+G33/1000000000,0)</x:f>
        <x:v>94.58333361708333</x:v>
      </x:c>
      <x:c r="AI23" s="35" t="n">
        <x:v>46175</x:v>
      </x:c>
      <x:c r="AJ23" t="n">
        <x:v>1</x:v>
      </x:c>
      <x:c r="AK23" t="n">
        <x:v>1</x:v>
      </x:c>
      <x:c r="AL23" s="24" t="n">
        <x:v>320</x:v>
      </x:c>
      <x:c r="AM23" s="24" t="n">
        <x:v>3493.41</x:v>
      </x:c>
      <x:c r="AN23" s="24" t="n">
        <x:v>232.58</x:v>
      </x:c>
    </x:row>
    <x:row r="24">
      <x:c r="A24" t="str">
        <x:v>CL-013</x:v>
      </x:c>
      <x:c r="B24" t="str">
        <x:v>Atrium Village</x:v>
      </x:c>
      <x:c r="C24" t="n">
        <x:f>MINIFS(tblServiceEvents[Event #],tblServiceEvents[Client],B24)</x:f>
        <x:v>16</x:v>
      </x:c>
      <x:c r="D24" t="n">
        <x:f>MAXIFS(tblServiceEvents[Event #],tblServiceEvents[Client],B24)</x:f>
        <x:v>16</x:v>
      </x:c>
      <x:c r="E24" t="n">
        <x:f>COUNTIFS(tblServiceEvents[Client],B24,tblServiceEvents[Status],"Completed")</x:f>
        <x:v>1</x:v>
      </x:c>
      <x:c r="F24" t="n">
        <x:f>COUNTIF(tblLedger[Client],B24)</x:f>
        <x:v>1</x:v>
      </x:c>
      <x:c r="G24" s="24" t="n">
        <x:f>SUMIFS(tblServiceEvents[Confirmed Revenue],tblServiceEvents[Client],B24,tblServiceEvents[Revenue Eligibility],"Eligible")</x:f>
        <x:v>45</x:v>
      </x:c>
      <x:c r="H24" s="24" t="n">
        <x:f>IFERROR(G24/COUNTIFS(tblServiceEvents[Client],B24,tblServiceEvents[Revenue Eligibility],"Eligible"),0)</x:f>
        <x:v>45</x:v>
      </x:c>
      <x:c r="I24" s="24" t="n">
        <x:f>IFERROR(SUMIFS(tblLedger[Breakdown Amount],tblLedger[Client],B24,tblLedger[Breakdown Confirmed],"Yes")/COUNTIFS(tblLedger[Client],B24,tblLedger[Breakdown Confirmed],"Yes"),0)</x:f>
        <x:v>45</x:v>
      </x:c>
      <x:c r="J24" t="n">
        <x:v>1</x:v>
      </x:c>
      <x:c r="K24" t="n">
        <x:v>1</x:v>
      </x:c>
      <x:c r="L24" t="str">
        <x:f>IF(E24&gt;1,"Yes","No")</x:f>
        <x:v>No</x:v>
      </x:c>
      <x:c r="V24" t="str">
        <x:f>A34</x:f>
        <x:v>CL-023</x:v>
      </x:c>
      <x:c r="W24" t="str">
        <x:f>B34</x:f>
        <x:v>Baskin-Robbins</x:v>
      </x:c>
      <x:c r="X24" t="n">
        <x:f>E34</x:f>
        <x:v>1</x:v>
      </x:c>
      <x:c r="Y24" t="n">
        <x:f>F34</x:f>
        <x:v>1</x:v>
      </x:c>
      <x:c r="Z24" s="24" t="n">
        <x:f>G34</x:f>
        <x:v>45</x:v>
      </x:c>
      <x:c r="AA24" s="24" t="n">
        <x:f>H34</x:f>
        <x:v>45</x:v>
      </x:c>
      <x:c r="AB24" s="24" t="n">
        <x:f>I34</x:f>
        <x:v>45</x:v>
      </x:c>
      <x:c r="AC24" t="str">
        <x:f>L34</x:f>
        <x:v>No</x:v>
      </x:c>
      <x:c r="AD24" t="n">
        <x:f>C34</x:f>
        <x:v>41</x:v>
      </x:c>
      <x:c r="AE24" t="n">
        <x:f>G34+(1000-C34)/1000000000</x:f>
        <x:v>45.000000959</x:v>
      </x:c>
      <x:c r="AF24" t="n">
        <x:f>E34+G34/1000000000</x:f>
        <x:v>1.000000045</x:v>
      </x:c>
      <x:c r="AG24" t="n">
        <x:f>IF(E34&gt;1,H34+G34/1000000000,0)</x:f>
        <x:v>0</x:v>
      </x:c>
      <x:c r="AI24" s="35" t="n">
        <x:v>46176</x:v>
      </x:c>
      <x:c r="AJ24" t="n">
        <x:v>2</x:v>
      </x:c>
      <x:c r="AK24" t="n">
        <x:v>2</x:v>
      </x:c>
      <x:c r="AL24" s="24" t="n">
        <x:v>296.66</x:v>
      </x:c>
      <x:c r="AM24" s="24" t="n">
        <x:v>3790.07</x:v>
      </x:c>
      <x:c r="AN24" s="24" t="n">
        <x:v>262.33</x:v>
      </x:c>
    </x:row>
    <x:row r="25">
      <x:c r="A25" t="str">
        <x:v>CL-014</x:v>
      </x:c>
      <x:c r="B25" t="str">
        <x:v>Maryland Baptist Age Home</x:v>
      </x:c>
      <x:c r="C25" t="n">
        <x:f>MINIFS(tblServiceEvents[Event #],tblServiceEvents[Client],B25)</x:f>
        <x:v>17</x:v>
      </x:c>
      <x:c r="D25" t="n">
        <x:f>MAXIFS(tblServiceEvents[Event #],tblServiceEvents[Client],B25)</x:f>
        <x:v>17</x:v>
      </x:c>
      <x:c r="E25" t="n">
        <x:f>COUNTIFS(tblServiceEvents[Client],B25,tblServiceEvents[Status],"Completed")</x:f>
        <x:v>1</x:v>
      </x:c>
      <x:c r="F25" t="n">
        <x:f>COUNTIF(tblLedger[Client],B25)</x:f>
        <x:v>1</x:v>
      </x:c>
      <x:c r="G25" s="24" t="n">
        <x:f>SUMIFS(tblServiceEvents[Confirmed Revenue],tblServiceEvents[Client],B25,tblServiceEvents[Revenue Eligibility],"Eligible")</x:f>
        <x:v>50</x:v>
      </x:c>
      <x:c r="H25" s="24" t="n">
        <x:f>IFERROR(G25/COUNTIFS(tblServiceEvents[Client],B25,tblServiceEvents[Revenue Eligibility],"Eligible"),0)</x:f>
        <x:v>50</x:v>
      </x:c>
      <x:c r="I25" s="24" t="n">
        <x:f>IFERROR(SUMIFS(tblLedger[Breakdown Amount],tblLedger[Client],B25,tblLedger[Breakdown Confirmed],"Yes")/COUNTIFS(tblLedger[Client],B25,tblLedger[Breakdown Confirmed],"Yes"),0)</x:f>
        <x:v>50</x:v>
      </x:c>
      <x:c r="J25" t="n">
        <x:v>1</x:v>
      </x:c>
      <x:c r="K25" t="n">
        <x:v>1</x:v>
      </x:c>
      <x:c r="L25" t="str">
        <x:f>IF(E25&gt;1,"Yes","No")</x:f>
        <x:v>No</x:v>
      </x:c>
      <x:c r="V25" t="str">
        <x:f>A35</x:f>
        <x:v>CL-024</x:v>
      </x:c>
      <x:c r="W25" t="str">
        <x:f>B35</x:f>
        <x:v>Montpelier Liquors</x:v>
      </x:c>
      <x:c r="X25" t="n">
        <x:f>E35</x:f>
        <x:v>2</x:v>
      </x:c>
      <x:c r="Y25" t="n">
        <x:f>F35</x:f>
        <x:v>2</x:v>
      </x:c>
      <x:c r="Z25" s="24" t="n">
        <x:f>G35</x:f>
        <x:v>194.74</x:v>
      </x:c>
      <x:c r="AA25" s="24" t="n">
        <x:f>H35</x:f>
        <x:v>97.37</x:v>
      </x:c>
      <x:c r="AB25" s="24" t="n">
        <x:f>I35</x:f>
        <x:v>97.37</x:v>
      </x:c>
      <x:c r="AC25" t="str">
        <x:f>L35</x:f>
        <x:v>Yes</x:v>
      </x:c>
      <x:c r="AD25" t="n">
        <x:f>C35</x:f>
        <x:v>45</x:v>
      </x:c>
      <x:c r="AE25" t="n">
        <x:f>G35+(1000-C35)/1000000000</x:f>
        <x:v>194.740000955</x:v>
      </x:c>
      <x:c r="AF25" t="n">
        <x:f>E35+G35/1000000000</x:f>
        <x:v>2.00000019474</x:v>
      </x:c>
      <x:c r="AG25" t="n">
        <x:f>IF(E35&gt;1,H35+G35/1000000000,0)</x:f>
        <x:v>97.37000019474</x:v>
      </x:c>
      <x:c r="AI25" s="35" t="n">
        <x:v>46177</x:v>
      </x:c>
      <x:c r="AJ25" t="n">
        <x:v>1</x:v>
      </x:c>
      <x:c r="AK25" t="n">
        <x:v>1</x:v>
      </x:c>
      <x:c r="AL25" s="24" t="n">
        <x:v>140</x:v>
      </x:c>
      <x:c r="AM25" s="24" t="n">
        <x:v>3930.07</x:v>
      </x:c>
      <x:c r="AN25" s="24" t="n">
        <x:v>250.33</x:v>
      </x:c>
    </x:row>
    <x:row r="26">
      <x:c r="A26" t="str">
        <x:v>CL-015</x:v>
      </x:c>
      <x:c r="B26" t="str">
        <x:v>Under Armour</x:v>
      </x:c>
      <x:c r="C26" t="n">
        <x:f>MINIFS(tblServiceEvents[Event #],tblServiceEvents[Client],B26)</x:f>
        <x:v>18</x:v>
      </x:c>
      <x:c r="D26" t="n">
        <x:f>MAXIFS(tblServiceEvents[Event #],tblServiceEvents[Client],B26)</x:f>
        <x:v>19</x:v>
      </x:c>
      <x:c r="E26" t="n">
        <x:f>COUNTIFS(tblServiceEvents[Client],B26,tblServiceEvents[Status],"Completed")</x:f>
        <x:v>2</x:v>
      </x:c>
      <x:c r="F26" t="n">
        <x:f>COUNTIF(tblLedger[Client],B26)</x:f>
        <x:v>2</x:v>
      </x:c>
      <x:c r="G26" s="24" t="n">
        <x:f>SUMIFS(tblServiceEvents[Confirmed Revenue],tblServiceEvents[Client],B26,tblServiceEvents[Revenue Eligibility],"Eligible")</x:f>
        <x:v>260</x:v>
      </x:c>
      <x:c r="H26" s="24" t="n">
        <x:f>IFERROR(G26/COUNTIFS(tblServiceEvents[Client],B26,tblServiceEvents[Revenue Eligibility],"Eligible"),0)</x:f>
        <x:v>130</x:v>
      </x:c>
      <x:c r="I26" s="24" t="n">
        <x:f>IFERROR(SUMIFS(tblLedger[Breakdown Amount],tblLedger[Client],B26,tblLedger[Breakdown Confirmed],"Yes")/COUNTIFS(tblLedger[Client],B26,tblLedger[Breakdown Confirmed],"Yes"),0)</x:f>
        <x:v>130</x:v>
      </x:c>
      <x:c r="J26" t="n">
        <x:v>1</x:v>
      </x:c>
      <x:c r="K26" t="n">
        <x:v>1</x:v>
      </x:c>
      <x:c r="L26" t="str">
        <x:f>IF(E26&gt;1,"Yes","No")</x:f>
        <x:v>Yes</x:v>
      </x:c>
      <x:c r="V26" t="str">
        <x:f>A36</x:f>
        <x:v>CL-025</x:v>
      </x:c>
      <x:c r="W26" t="str">
        <x:f>B36</x:f>
        <x:v>Office of MD Senator Angela Alsobrooks</x:v>
      </x:c>
      <x:c r="X26" t="n">
        <x:f>E36</x:f>
        <x:v>2</x:v>
      </x:c>
      <x:c r="Y26" t="n">
        <x:f>F36</x:f>
        <x:v>2</x:v>
      </x:c>
      <x:c r="Z26" s="24" t="n">
        <x:f>G36</x:f>
        <x:v>250</x:v>
      </x:c>
      <x:c r="AA26" s="24" t="n">
        <x:f>H36</x:f>
        <x:v>125</x:v>
      </x:c>
      <x:c r="AB26" s="24" t="n">
        <x:f>I36</x:f>
        <x:v>125</x:v>
      </x:c>
      <x:c r="AC26" t="str">
        <x:f>L36</x:f>
        <x:v>Yes</x:v>
      </x:c>
      <x:c r="AD26" t="n">
        <x:f>C36</x:f>
        <x:v>47</x:v>
      </x:c>
      <x:c r="AE26" t="n">
        <x:f>G36+(1000-C36)/1000000000</x:f>
        <x:v>250.000000953</x:v>
      </x:c>
      <x:c r="AF26" t="n">
        <x:f>E36+G36/1000000000</x:f>
        <x:v>2.00000025</x:v>
      </x:c>
      <x:c r="AG26" t="n">
        <x:f>IF(E36&gt;1,H36+G36/1000000000,0)</x:f>
        <x:v>125.00000025</x:v>
      </x:c>
      <x:c r="AI26" s="35" t="n">
        <x:v>46178</x:v>
      </x:c>
      <x:c r="AJ26" t="n">
        <x:v>3</x:v>
      </x:c>
      <x:c r="AK26" t="n">
        <x:v>3</x:v>
      </x:c>
      <x:c r="AL26" s="24" t="n">
        <x:v>145</x:v>
      </x:c>
      <x:c r="AM26" s="24" t="n">
        <x:v>4075.07</x:v>
      </x:c>
      <x:c r="AN26" s="24" t="n">
        <x:v>244.33</x:v>
      </x:c>
    </x:row>
    <x:row r="27">
      <x:c r="A27" t="str">
        <x:v>CL-016</x:v>
      </x:c>
      <x:c r="B27" t="str">
        <x:v>HomeGoods</x:v>
      </x:c>
      <x:c r="C27" t="n">
        <x:f>MINIFS(tblServiceEvents[Event #],tblServiceEvents[Client],B27)</x:f>
        <x:v>22</x:v>
      </x:c>
      <x:c r="D27" t="n">
        <x:f>MAXIFS(tblServiceEvents[Event #],tblServiceEvents[Client],B27)</x:f>
        <x:v>65</x:v>
      </x:c>
      <x:c r="E27" t="n">
        <x:f>COUNTIFS(tblServiceEvents[Client],B27,tblServiceEvents[Status],"Completed")</x:f>
        <x:v>3</x:v>
      </x:c>
      <x:c r="F27" t="n">
        <x:f>COUNTIF(tblLedger[Client],B27)</x:f>
        <x:v>3</x:v>
      </x:c>
      <x:c r="G27" s="24" t="n">
        <x:f>SUMIFS(tblServiceEvents[Confirmed Revenue],tblServiceEvents[Client],B27,tblServiceEvents[Revenue Eligibility],"Eligible")</x:f>
        <x:v>140</x:v>
      </x:c>
      <x:c r="H27" s="24" t="n">
        <x:f>IFERROR(G27/COUNTIFS(tblServiceEvents[Client],B27,tblServiceEvents[Revenue Eligibility],"Eligible"),0)</x:f>
        <x:v>70</x:v>
      </x:c>
      <x:c r="I27" s="24" t="n">
        <x:f>IFERROR(SUMIFS(tblLedger[Breakdown Amount],tblLedger[Client],B27,tblLedger[Breakdown Confirmed],"Yes")/COUNTIFS(tblLedger[Client],B27,tblLedger[Breakdown Confirmed],"Yes"),0)</x:f>
        <x:v>70</x:v>
      </x:c>
      <x:c r="J27" t="n">
        <x:v>2</x:v>
      </x:c>
      <x:c r="K27" t="n">
        <x:v>2</x:v>
      </x:c>
      <x:c r="L27" t="str">
        <x:f>IF(E27&gt;1,"Yes","No")</x:f>
        <x:v>Yes</x:v>
      </x:c>
      <x:c r="V27" t="str">
        <x:f>A37</x:f>
        <x:v>CL-026</x:v>
      </x:c>
      <x:c r="W27" t="str">
        <x:f>B37</x:f>
        <x:v>Dunkin</x:v>
      </x:c>
      <x:c r="X27" t="n">
        <x:f>E37</x:f>
        <x:v>5</x:v>
      </x:c>
      <x:c r="Y27" t="n">
        <x:f>F37</x:f>
        <x:v>5</x:v>
      </x:c>
      <x:c r="Z27" s="24" t="n">
        <x:f>G37</x:f>
        <x:v>1156.9</x:v>
      </x:c>
      <x:c r="AA27" s="24" t="n">
        <x:f>H37</x:f>
        <x:v>231.38000000000002</x:v>
      </x:c>
      <x:c r="AB27" s="24" t="n">
        <x:f>I37</x:f>
        <x:v>231.38000000000002</x:v>
      </x:c>
      <x:c r="AC27" t="str">
        <x:f>L37</x:f>
        <x:v>Yes</x:v>
      </x:c>
      <x:c r="AD27" t="n">
        <x:f>C37</x:f>
        <x:v>56</x:v>
      </x:c>
      <x:c r="AE27" t="n">
        <x:f>G37+(1000-C37)/1000000000</x:f>
        <x:v>1156.900000944</x:v>
      </x:c>
      <x:c r="AF27" t="n">
        <x:f>E37+G37/1000000000</x:f>
        <x:v>5.0000011569</x:v>
      </x:c>
      <x:c r="AG27" t="n">
        <x:f>IF(E37&gt;1,H37+G37/1000000000,0)</x:f>
        <x:v>231.38000115690002</x:v>
      </x:c>
      <x:c r="AI27" s="35" t="n">
        <x:v>46181</x:v>
      </x:c>
      <x:c r="AJ27" t="n">
        <x:v>1</x:v>
      </x:c>
      <x:c r="AK27" t="n">
        <x:v>1</x:v>
      </x:c>
      <x:c r="AL27" s="24" t="n">
        <x:v>70</x:v>
      </x:c>
      <x:c r="AM27" s="24" t="n">
        <x:v>4145.07</x:v>
      </x:c>
      <x:c r="AN27" s="24" t="n">
        <x:v>194.33</x:v>
      </x:c>
    </x:row>
    <x:row r="28">
      <x:c r="A28" t="str">
        <x:v>CL-017</x:v>
      </x:c>
      <x:c r="B28" t="str">
        <x:v>Joint Base Andrews</x:v>
      </x:c>
      <x:c r="C28" t="n">
        <x:f>MINIFS(tblServiceEvents[Event #],tblServiceEvents[Client],B28)</x:f>
        <x:v>23</x:v>
      </x:c>
      <x:c r="D28" t="n">
        <x:f>MAXIFS(tblServiceEvents[Event #],tblServiceEvents[Client],B28)</x:f>
        <x:v>23</x:v>
      </x:c>
      <x:c r="E28" t="n">
        <x:f>COUNTIFS(tblServiceEvents[Client],B28,tblServiceEvents[Status],"Completed")</x:f>
        <x:v>1</x:v>
      </x:c>
      <x:c r="F28" t="n">
        <x:f>COUNTIF(tblLedger[Client],B28)</x:f>
        <x:v>1</x:v>
      </x:c>
      <x:c r="G28" s="24" t="n">
        <x:f>SUMIFS(tblServiceEvents[Confirmed Revenue],tblServiceEvents[Client],B28,tblServiceEvents[Revenue Eligibility],"Eligible")</x:f>
        <x:v>0</x:v>
      </x:c>
      <x:c r="H28" s="24" t="n">
        <x:f>IFERROR(G28/COUNTIFS(tblServiceEvents[Client],B28,tblServiceEvents[Revenue Eligibility],"Eligible"),0)</x:f>
        <x:v>0</x:v>
      </x:c>
      <x:c r="I28" s="24" t="n">
        <x:f>IFERROR(SUMIFS(tblLedger[Breakdown Amount],tblLedger[Client],B28,tblLedger[Breakdown Confirmed],"Yes")/COUNTIFS(tblLedger[Client],B28,tblLedger[Breakdown Confirmed],"Yes"),0)</x:f>
        <x:v>0</x:v>
      </x:c>
      <x:c r="J28" t="n">
        <x:v>1</x:v>
      </x:c>
      <x:c r="K28" t="n">
        <x:v>1</x:v>
      </x:c>
      <x:c r="L28" t="str">
        <x:f>IF(E28&gt;1,"Yes","No")</x:f>
        <x:v>No</x:v>
      </x:c>
      <x:c r="V28" t="str">
        <x:f>A38</x:f>
        <x:v>CL-027</x:v>
      </x:c>
      <x:c r="W28" t="str">
        <x:f>B38</x:f>
        <x:v>Carvana</x:v>
      </x:c>
      <x:c r="X28" t="n">
        <x:f>E38</x:f>
        <x:v>1</x:v>
      </x:c>
      <x:c r="Y28" t="n">
        <x:f>F38</x:f>
        <x:v>2</x:v>
      </x:c>
      <x:c r="Z28" s="24" t="n">
        <x:f>G38</x:f>
        <x:v>0</x:v>
      </x:c>
      <x:c r="AA28" s="24" t="n">
        <x:f>H38</x:f>
        <x:v>0</x:v>
      </x:c>
      <x:c r="AB28" s="24" t="n">
        <x:f>I38</x:f>
        <x:v>0</x:v>
      </x:c>
      <x:c r="AC28" t="str">
        <x:f>L38</x:f>
        <x:v>No</x:v>
      </x:c>
      <x:c r="AD28" t="n">
        <x:f>C38</x:f>
        <x:v>60</x:v>
      </x:c>
      <x:c r="AE28" t="n">
        <x:f>G38+(1000-C38)/1000000000</x:f>
        <x:v>9.4e-7</x:v>
      </x:c>
      <x:c r="AF28" t="n">
        <x:f>E38+G38/1000000000</x:f>
        <x:v>1</x:v>
      </x:c>
      <x:c r="AG28" t="n">
        <x:f>IF(E38&gt;1,H38+G38/1000000000,0)</x:f>
        <x:v>0</x:v>
      </x:c>
      <x:c r="AI28" s="35" t="n">
        <x:v>46182</x:v>
      </x:c>
      <x:c r="AJ28" t="n">
        <x:v>2</x:v>
      </x:c>
      <x:c r="AK28" t="n">
        <x:v>2</x:v>
      </x:c>
      <x:c r="AL28" s="24" t="n">
        <x:v>155</x:v>
      </x:c>
      <x:c r="AM28" s="24" t="n">
        <x:v>4300.07</x:v>
      </x:c>
      <x:c r="AN28" s="24" t="n">
        <x:v>161.33</x:v>
      </x:c>
    </x:row>
    <x:row r="29">
      <x:c r="A29" t="str">
        <x:v>CL-018</x:v>
      </x:c>
      <x:c r="B29" t="str">
        <x:v>USDA</x:v>
      </x:c>
      <x:c r="C29" t="n">
        <x:f>MINIFS(tblServiceEvents[Event #],tblServiceEvents[Client],B29)</x:f>
        <x:v>24</x:v>
      </x:c>
      <x:c r="D29" t="n">
        <x:f>MAXIFS(tblServiceEvents[Event #],tblServiceEvents[Client],B29)</x:f>
        <x:v>31</x:v>
      </x:c>
      <x:c r="E29" t="n">
        <x:f>COUNTIFS(tblServiceEvents[Client],B29,tblServiceEvents[Status],"Completed")</x:f>
        <x:v>6</x:v>
      </x:c>
      <x:c r="F29" t="n">
        <x:f>COUNTIF(tblLedger[Client],B29)</x:f>
        <x:v>6</x:v>
      </x:c>
      <x:c r="G29" s="24" t="n">
        <x:f>SUMIFS(tblServiceEvents[Confirmed Revenue],tblServiceEvents[Client],B29,tblServiceEvents[Revenue Eligibility],"Eligible")</x:f>
        <x:v>1355</x:v>
      </x:c>
      <x:c r="H29" s="24" t="n">
        <x:f>IFERROR(G29/COUNTIFS(tblServiceEvents[Client],B29,tblServiceEvents[Revenue Eligibility],"Eligible"),0)</x:f>
        <x:v>225.83333333333334</x:v>
      </x:c>
      <x:c r="I29" s="24" t="n">
        <x:f>IFERROR(SUMIFS(tblLedger[Breakdown Amount],tblLedger[Client],B29,tblLedger[Breakdown Confirmed],"Yes")/COUNTIFS(tblLedger[Client],B29,tblLedger[Breakdown Confirmed],"Yes"),0)</x:f>
        <x:v>225.83333333333334</x:v>
      </x:c>
      <x:c r="J29" t="n">
        <x:v>1</x:v>
      </x:c>
      <x:c r="K29" t="n">
        <x:v>1</x:v>
      </x:c>
      <x:c r="L29" t="str">
        <x:f>IF(E29&gt;1,"Yes","No")</x:f>
        <x:v>Yes</x:v>
      </x:c>
      <x:c r="AI29" s="35" t="n">
        <x:v>46183</x:v>
      </x:c>
      <x:c r="AJ29" t="n">
        <x:v>3</x:v>
      </x:c>
      <x:c r="AK29" t="n">
        <x:v>3</x:v>
      </x:c>
      <x:c r="AL29" s="24" t="n">
        <x:v>390</x:v>
      </x:c>
      <x:c r="AM29" s="24" t="n">
        <x:v>4690.07</x:v>
      </x:c>
      <x:c r="AN29" s="24" t="n">
        <x:v>180</x:v>
      </x:c>
    </x:row>
    <x:row r="30">
      <x:c r="A30" t="str">
        <x:v>CL-019</x:v>
      </x:c>
      <x:c r="B30" t="str">
        <x:v>PepsiCo</x:v>
      </x:c>
      <x:c r="C30" t="n">
        <x:f>MINIFS(tblServiceEvents[Event #],tblServiceEvents[Client],B30)</x:f>
        <x:v>25</x:v>
      </x:c>
      <x:c r="D30" t="n">
        <x:f>MAXIFS(tblServiceEvents[Event #],tblServiceEvents[Client],B30)</x:f>
        <x:v>25</x:v>
      </x:c>
      <x:c r="E30" t="n">
        <x:f>COUNTIFS(tblServiceEvents[Client],B30,tblServiceEvents[Status],"Completed")</x:f>
        <x:v>1</x:v>
      </x:c>
      <x:c r="F30" t="n">
        <x:f>COUNTIF(tblLedger[Client],B30)</x:f>
        <x:v>1</x:v>
      </x:c>
      <x:c r="G30" s="24" t="n">
        <x:f>SUMIFS(tblServiceEvents[Confirmed Revenue],tblServiceEvents[Client],B30,tblServiceEvents[Revenue Eligibility],"Eligible")</x:f>
        <x:v>0</x:v>
      </x:c>
      <x:c r="H30" s="24" t="n">
        <x:f>IFERROR(G30/COUNTIFS(tblServiceEvents[Client],B30,tblServiceEvents[Revenue Eligibility],"Eligible"),0)</x:f>
        <x:v>0</x:v>
      </x:c>
      <x:c r="I30" s="24" t="n">
        <x:f>IFERROR(SUMIFS(tblLedger[Breakdown Amount],tblLedger[Client],B30,tblLedger[Breakdown Confirmed],"Yes")/COUNTIFS(tblLedger[Client],B30,tblLedger[Breakdown Confirmed],"Yes"),0)</x:f>
        <x:v>0</x:v>
      </x:c>
      <x:c r="J30" t="n">
        <x:v>1</x:v>
      </x:c>
      <x:c r="K30" t="n">
        <x:v>1</x:v>
      </x:c>
      <x:c r="L30" t="str">
        <x:f>IF(E30&gt;1,"Yes","No")</x:f>
        <x:v>No</x:v>
      </x:c>
      <x:c r="AI30" s="35" t="n">
        <x:v>46184</x:v>
      </x:c>
      <x:c r="AJ30" t="n">
        <x:v>2</x:v>
      </x:c>
      <x:c r="AK30" t="n">
        <x:v>2</x:v>
      </x:c>
      <x:c r="AL30" s="24" t="n">
        <x:v>95</x:v>
      </x:c>
      <x:c r="AM30" s="24" t="n">
        <x:v>4785.07</x:v>
      </x:c>
      <x:c r="AN30" s="24" t="n">
        <x:v>171</x:v>
      </x:c>
    </x:row>
    <x:row r="31">
      <x:c r="A31" t="str">
        <x:v>CL-020</x:v>
      </x:c>
      <x:c r="B31" t="str">
        <x:v>TJ Maxx</x:v>
      </x:c>
      <x:c r="C31" t="n">
        <x:f>MINIFS(tblServiceEvents[Event #],tblServiceEvents[Client],B31)</x:f>
        <x:v>30</x:v>
      </x:c>
      <x:c r="D31" t="n">
        <x:f>MAXIFS(tblServiceEvents[Event #],tblServiceEvents[Client],B31)</x:f>
        <x:v>69</x:v>
      </x:c>
      <x:c r="E31" t="n">
        <x:f>COUNTIFS(tblServiceEvents[Client],B31,tblServiceEvents[Status],"Completed")</x:f>
        <x:v>7</x:v>
      </x:c>
      <x:c r="F31" t="n">
        <x:f>COUNTIF(tblLedger[Client],B31)</x:f>
        <x:v>7</x:v>
      </x:c>
      <x:c r="G31" s="24" t="n">
        <x:f>SUMIFS(tblServiceEvents[Confirmed Revenue],tblServiceEvents[Client],B31,tblServiceEvents[Revenue Eligibility],"Eligible")</x:f>
        <x:v>552.48</x:v>
      </x:c>
      <x:c r="H31" s="24" t="n">
        <x:f>IFERROR(G31/COUNTIFS(tblServiceEvents[Client],B31,tblServiceEvents[Revenue Eligibility],"Eligible"),0)</x:f>
        <x:v>110.49600000000001</x:v>
      </x:c>
      <x:c r="I31" s="24" t="n">
        <x:f>IFERROR(SUMIFS(tblLedger[Breakdown Amount],tblLedger[Client],B31,tblLedger[Breakdown Confirmed],"Yes")/COUNTIFS(tblLedger[Client],B31,tblLedger[Breakdown Confirmed],"Yes"),0)</x:f>
        <x:v>110.49600000000001</x:v>
      </x:c>
      <x:c r="J31" t="n">
        <x:v>2</x:v>
      </x:c>
      <x:c r="K31" t="n">
        <x:v>4</x:v>
      </x:c>
      <x:c r="L31" t="str">
        <x:f>IF(E31&gt;1,"Yes","No")</x:f>
        <x:v>Yes</x:v>
      </x:c>
      <x:c r="V31" s="231" t="str">
        <x:v>City</x:v>
      </x:c>
      <x:c r="W31" s="231" t="str">
        <x:v>Jurisdiction</x:v>
      </x:c>
      <x:c r="X31" s="231" t="str">
        <x:v>Events</x:v>
      </x:c>
      <x:c r="Y31" s="231" t="str">
        <x:v>Eligible Events</x:v>
      </x:c>
      <x:c r="Z31" s="231" t="str">
        <x:v>Revenue</x:v>
      </x:c>
      <x:c r="AA31" s="231" t="str">
        <x:v>Avg/Event</x:v>
      </x:c>
      <x:c r="AB31" s="231" t="str">
        <x:v>Rank Key</x:v>
      </x:c>
      <x:c r="AI31" s="35" t="n">
        <x:v>46185</x:v>
      </x:c>
      <x:c r="AJ31" t="n">
        <x:v>1</x:v>
      </x:c>
      <x:c r="AK31" t="n">
        <x:v>1</x:v>
      </x:c>
      <x:c r="AL31" s="24" t="n">
        <x:v>50</x:v>
      </x:c>
      <x:c r="AM31" s="24" t="n">
        <x:v>4835.07</x:v>
      </x:c>
      <x:c r="AN31" s="24" t="n">
        <x:v>152</x:v>
      </x:c>
    </x:row>
    <x:row r="32">
      <x:c r="A32" t="str">
        <x:v>CL-021</x:v>
      </x:c>
      <x:c r="B32" t="str">
        <x:v>Hilton Garden Inn</x:v>
      </x:c>
      <x:c r="C32" t="n">
        <x:f>MINIFS(tblServiceEvents[Event #],tblServiceEvents[Client],B32)</x:f>
        <x:v>32</x:v>
      </x:c>
      <x:c r="D32" t="n">
        <x:f>MAXIFS(tblServiceEvents[Event #],tblServiceEvents[Client],B32)</x:f>
        <x:v>53</x:v>
      </x:c>
      <x:c r="E32" t="n">
        <x:f>COUNTIFS(tblServiceEvents[Client],B32,tblServiceEvents[Status],"Completed")</x:f>
        <x:v>2</x:v>
      </x:c>
      <x:c r="F32" t="n">
        <x:f>COUNTIF(tblLedger[Client],B32)</x:f>
        <x:v>2</x:v>
      </x:c>
      <x:c r="G32" s="24" t="n">
        <x:f>SUMIFS(tblServiceEvents[Confirmed Revenue],tblServiceEvents[Client],B32,tblServiceEvents[Revenue Eligibility],"Eligible")</x:f>
        <x:v>157.03</x:v>
      </x:c>
      <x:c r="H32" s="24" t="n">
        <x:f>IFERROR(G32/COUNTIFS(tblServiceEvents[Client],B32,tblServiceEvents[Revenue Eligibility],"Eligible"),0)</x:f>
        <x:v>78.515</x:v>
      </x:c>
      <x:c r="I32" s="24" t="n">
        <x:f>IFERROR(SUMIFS(tblLedger[Breakdown Amount],tblLedger[Client],B32,tblLedger[Breakdown Confirmed],"Yes")/COUNTIFS(tblLedger[Client],B32,tblLedger[Breakdown Confirmed],"Yes"),0)</x:f>
        <x:v>78.515</x:v>
      </x:c>
      <x:c r="J32" t="n">
        <x:v>2</x:v>
      </x:c>
      <x:c r="K32" t="n">
        <x:v>2</x:v>
      </x:c>
      <x:c r="L32" t="str">
        <x:f>IF(E32&gt;1,"Yes","No")</x:f>
        <x:v>Yes</x:v>
      </x:c>
      <x:c r="V32" t="str">
        <x:v>Fairfax</x:v>
      </x:c>
      <x:c r="W32" t="str">
        <x:v>VA</x:v>
      </x:c>
      <x:c r="X32" t="n">
        <x:v>2</x:v>
      </x:c>
      <x:c r="Y32" t="n">
        <x:v>2</x:v>
      </x:c>
      <x:c r="Z32" s="24" t="n">
        <x:v>115</x:v>
      </x:c>
      <x:c r="AA32" s="24" t="n">
        <x:v>57.5</x:v>
      </x:c>
      <x:c r="AB32" t="n">
        <x:v>115.000002</x:v>
      </x:c>
      <x:c r="AI32" s="35" t="n">
        <x:v>46188</x:v>
      </x:c>
      <x:c r="AJ32" t="n">
        <x:v>1</x:v>
      </x:c>
      <x:c r="AK32" t="n">
        <x:v>1</x:v>
      </x:c>
      <x:c r="AL32" s="24" t="n">
        <x:v>123.75</x:v>
      </x:c>
      <x:c r="AM32" s="24" t="n">
        <x:v>4958.82</x:v>
      </x:c>
      <x:c r="AN32" s="24" t="n">
        <x:v>162.75</x:v>
      </x:c>
    </x:row>
    <x:row r="33">
      <x:c r="A33" t="str">
        <x:v>CL-022</x:v>
      </x:c>
      <x:c r="B33" t="str">
        <x:v>Marshalls</x:v>
      </x:c>
      <x:c r="C33" t="n">
        <x:f>MINIFS(tblServiceEvents[Event #],tblServiceEvents[Client],B33)</x:f>
        <x:v>35</x:v>
      </x:c>
      <x:c r="D33" t="n">
        <x:f>MAXIFS(tblServiceEvents[Event #],tblServiceEvents[Client],B33)</x:f>
        <x:v>64</x:v>
      </x:c>
      <x:c r="E33" t="n">
        <x:f>COUNTIFS(tblServiceEvents[Client],B33,tblServiceEvents[Status],"Completed")</x:f>
        <x:v>5</x:v>
      </x:c>
      <x:c r="F33" t="n">
        <x:f>COUNTIF(tblLedger[Client],B33)</x:f>
        <x:v>5</x:v>
      </x:c>
      <x:c r="G33" s="24" t="n">
        <x:f>SUMIFS(tblServiceEvents[Confirmed Revenue],tblServiceEvents[Client],B33,tblServiceEvents[Revenue Eligibility],"Eligible")</x:f>
        <x:v>283.75</x:v>
      </x:c>
      <x:c r="H33" s="24" t="n">
        <x:f>IFERROR(G33/COUNTIFS(tblServiceEvents[Client],B33,tblServiceEvents[Revenue Eligibility],"Eligible"),0)</x:f>
        <x:v>94.58333333333333</x:v>
      </x:c>
      <x:c r="I33" s="24" t="n">
        <x:f>IFERROR(SUMIFS(tblLedger[Breakdown Amount],tblLedger[Client],B33,tblLedger[Breakdown Confirmed],"Yes")/COUNTIFS(tblLedger[Client],B33,tblLedger[Breakdown Confirmed],"Yes"),0)</x:f>
        <x:v>94.58333333333333</x:v>
      </x:c>
      <x:c r="J33" t="n">
        <x:v>1</x:v>
      </x:c>
      <x:c r="K33" t="n">
        <x:v>3</x:v>
      </x:c>
      <x:c r="L33" t="str">
        <x:f>IF(E33&gt;1,"Yes","No")</x:f>
        <x:v>Yes</x:v>
      </x:c>
      <x:c r="V33" t="str">
        <x:v>Tysons</x:v>
      </x:c>
      <x:c r="W33" t="str">
        <x:v>VA</x:v>
      </x:c>
      <x:c r="X33" t="n">
        <x:v>2</x:v>
      </x:c>
      <x:c r="Y33" t="n">
        <x:v>2</x:v>
      </x:c>
      <x:c r="Z33" s="24" t="n">
        <x:v>688</x:v>
      </x:c>
      <x:c r="AA33" s="24" t="n">
        <x:v>344</x:v>
      </x:c>
      <x:c r="AB33" t="n">
        <x:v>688.000002</x:v>
      </x:c>
      <x:c r="AI33" s="35" t="n">
        <x:v>46190</x:v>
      </x:c>
      <x:c r="AJ33" t="n">
        <x:v>2</x:v>
      </x:c>
      <x:c r="AK33" t="n">
        <x:v>2</x:v>
      </x:c>
      <x:c r="AL33" s="24" t="n">
        <x:v>218</x:v>
      </x:c>
      <x:c r="AM33" s="24" t="n">
        <x:v>5176.82</x:v>
      </x:c>
      <x:c r="AN33" s="24" t="n">
        <x:v>175.35</x:v>
      </x:c>
    </x:row>
    <x:row r="34">
      <x:c r="A34" t="str">
        <x:v>CL-023</x:v>
      </x:c>
      <x:c r="B34" t="str">
        <x:v>Baskin-Robbins</x:v>
      </x:c>
      <x:c r="C34" t="n">
        <x:f>MINIFS(tblServiceEvents[Event #],tblServiceEvents[Client],B34)</x:f>
        <x:v>41</x:v>
      </x:c>
      <x:c r="D34" t="n">
        <x:f>MAXIFS(tblServiceEvents[Event #],tblServiceEvents[Client],B34)</x:f>
        <x:v>41</x:v>
      </x:c>
      <x:c r="E34" t="n">
        <x:f>COUNTIFS(tblServiceEvents[Client],B34,tblServiceEvents[Status],"Completed")</x:f>
        <x:v>1</x:v>
      </x:c>
      <x:c r="F34" t="n">
        <x:f>COUNTIF(tblLedger[Client],B34)</x:f>
        <x:v>1</x:v>
      </x:c>
      <x:c r="G34" s="24" t="n">
        <x:f>SUMIFS(tblServiceEvents[Confirmed Revenue],tblServiceEvents[Client],B34,tblServiceEvents[Revenue Eligibility],"Eligible")</x:f>
        <x:v>45</x:v>
      </x:c>
      <x:c r="H34" s="24" t="n">
        <x:f>IFERROR(G34/COUNTIFS(tblServiceEvents[Client],B34,tblServiceEvents[Revenue Eligibility],"Eligible"),0)</x:f>
        <x:v>45</x:v>
      </x:c>
      <x:c r="I34" s="24" t="n">
        <x:f>IFERROR(SUMIFS(tblLedger[Breakdown Amount],tblLedger[Client],B34,tblLedger[Breakdown Confirmed],"Yes")/COUNTIFS(tblLedger[Client],B34,tblLedger[Breakdown Confirmed],"Yes"),0)</x:f>
        <x:v>45</x:v>
      </x:c>
      <x:c r="J34" t="n">
        <x:v>1</x:v>
      </x:c>
      <x:c r="K34" t="n">
        <x:v>1</x:v>
      </x:c>
      <x:c r="L34" t="str">
        <x:f>IF(E34&gt;1,"Yes","No")</x:f>
        <x:v>No</x:v>
      </x:c>
      <x:c r="V34" t="str">
        <x:v>Frederick</x:v>
      </x:c>
      <x:c r="W34" t="str">
        <x:v>MD</x:v>
      </x:c>
      <x:c r="X34" t="n">
        <x:v>3</x:v>
      </x:c>
      <x:c r="Y34" t="n">
        <x:v>3</x:v>
      </x:c>
      <x:c r="Z34" s="24" t="n">
        <x:v>483.75</x:v>
      </x:c>
      <x:c r="AA34" s="24" t="n">
        <x:v>161.25</x:v>
      </x:c>
      <x:c r="AB34" t="n">
        <x:v>483.750003</x:v>
      </x:c>
      <x:c r="AI34" s="35" t="n">
        <x:v>46191</x:v>
      </x:c>
      <x:c r="AJ34" t="n">
        <x:v>2</x:v>
      </x:c>
      <x:c r="AK34" t="n">
        <x:v>2</x:v>
      </x:c>
      <x:c r="AL34" s="24" t="n">
        <x:v>200</x:v>
      </x:c>
      <x:c r="AM34" s="24" t="n">
        <x:v>5376.82</x:v>
      </x:c>
      <x:c r="AN34" s="24" t="n">
        <x:v>137.35</x:v>
      </x:c>
    </x:row>
    <x:row r="35">
      <x:c r="A35" t="str">
        <x:v>CL-024</x:v>
      </x:c>
      <x:c r="B35" t="str">
        <x:v>Montpelier Liquors</x:v>
      </x:c>
      <x:c r="C35" t="n">
        <x:f>MINIFS(tblServiceEvents[Event #],tblServiceEvents[Client],B35)</x:f>
        <x:v>45</x:v>
      </x:c>
      <x:c r="D35" t="n">
        <x:f>MAXIFS(tblServiceEvents[Event #],tblServiceEvents[Client],B35)</x:f>
        <x:v>57</x:v>
      </x:c>
      <x:c r="E35" t="n">
        <x:f>COUNTIFS(tblServiceEvents[Client],B35,tblServiceEvents[Status],"Completed")</x:f>
        <x:v>2</x:v>
      </x:c>
      <x:c r="F35" t="n">
        <x:f>COUNTIF(tblLedger[Client],B35)</x:f>
        <x:v>2</x:v>
      </x:c>
      <x:c r="G35" s="24" t="n">
        <x:f>SUMIFS(tblServiceEvents[Confirmed Revenue],tblServiceEvents[Client],B35,tblServiceEvents[Revenue Eligibility],"Eligible")</x:f>
        <x:v>194.74</x:v>
      </x:c>
      <x:c r="H35" s="24" t="n">
        <x:f>IFERROR(G35/COUNTIFS(tblServiceEvents[Client],B35,tblServiceEvents[Revenue Eligibility],"Eligible"),0)</x:f>
        <x:v>97.37</x:v>
      </x:c>
      <x:c r="I35" s="24" t="n">
        <x:f>IFERROR(SUMIFS(tblLedger[Breakdown Amount],tblLedger[Client],B35,tblLedger[Breakdown Confirmed],"Yes")/COUNTIFS(tblLedger[Client],B35,tblLedger[Breakdown Confirmed],"Yes"),0)</x:f>
        <x:v>97.37</x:v>
      </x:c>
      <x:c r="J35" t="n">
        <x:v>1</x:v>
      </x:c>
      <x:c r="K35" t="n">
        <x:v>1</x:v>
      </x:c>
      <x:c r="L35" t="str">
        <x:f>IF(E35&gt;1,"Yes","No")</x:f>
        <x:v>Yes</x:v>
      </x:c>
      <x:c r="V35" t="str">
        <x:v>Washington</x:v>
      </x:c>
      <x:c r="W35" t="str">
        <x:v>DC</x:v>
      </x:c>
      <x:c r="X35" t="n">
        <x:v>10</x:v>
      </x:c>
      <x:c r="Y35" t="n">
        <x:v>10</x:v>
      </x:c>
      <x:c r="Z35" s="24" t="n">
        <x:v>1637.03</x:v>
      </x:c>
      <x:c r="AA35" s="24" t="n">
        <x:v>163.703</x:v>
      </x:c>
      <x:c r="AB35" t="n">
        <x:v>1637.03001</x:v>
      </x:c>
      <x:c r="AI35" s="35" t="n">
        <x:v>46192</x:v>
      </x:c>
      <x:c r="AJ35" t="n">
        <x:v>2</x:v>
      </x:c>
      <x:c r="AK35" t="n">
        <x:v>2</x:v>
      </x:c>
      <x:c r="AL35" s="24" t="n">
        <x:v>140</x:v>
      </x:c>
      <x:c r="AM35" s="24" t="n">
        <x:v>5516.82</x:v>
      </x:c>
      <x:c r="AN35" s="24" t="n">
        <x:v>146.35</x:v>
      </x:c>
    </x:row>
    <x:row r="36">
      <x:c r="A36" t="str">
        <x:v>CL-025</x:v>
      </x:c>
      <x:c r="B36" t="str">
        <x:v>Office of MD Senator Angela Alsobrooks</x:v>
      </x:c>
      <x:c r="C36" t="n">
        <x:f>MINIFS(tblServiceEvents[Event #],tblServiceEvents[Client],B36)</x:f>
        <x:v>47</x:v>
      </x:c>
      <x:c r="D36" t="n">
        <x:f>MAXIFS(tblServiceEvents[Event #],tblServiceEvents[Client],B36)</x:f>
        <x:v>55</x:v>
      </x:c>
      <x:c r="E36" t="n">
        <x:f>COUNTIFS(tblServiceEvents[Client],B36,tblServiceEvents[Status],"Completed")</x:f>
        <x:v>2</x:v>
      </x:c>
      <x:c r="F36" t="n">
        <x:f>COUNTIF(tblLedger[Client],B36)</x:f>
        <x:v>2</x:v>
      </x:c>
      <x:c r="G36" s="24" t="n">
        <x:f>SUMIFS(tblServiceEvents[Confirmed Revenue],tblServiceEvents[Client],B36,tblServiceEvents[Revenue Eligibility],"Eligible")</x:f>
        <x:v>250</x:v>
      </x:c>
      <x:c r="H36" s="24" t="n">
        <x:f>IFERROR(G36/COUNTIFS(tblServiceEvents[Client],B36,tblServiceEvents[Revenue Eligibility],"Eligible"),0)</x:f>
        <x:v>125</x:v>
      </x:c>
      <x:c r="I36" s="24" t="n">
        <x:f>IFERROR(SUMIFS(tblLedger[Breakdown Amount],tblLedger[Client],B36,tblLedger[Breakdown Confirmed],"Yes")/COUNTIFS(tblLedger[Client],B36,tblLedger[Breakdown Confirmed],"Yes"),0)</x:f>
        <x:v>125</x:v>
      </x:c>
      <x:c r="J36" t="n">
        <x:v>1</x:v>
      </x:c>
      <x:c r="K36" t="n">
        <x:v>2</x:v>
      </x:c>
      <x:c r="L36" t="str">
        <x:f>IF(E36&gt;1,"Yes","No")</x:f>
        <x:v>Yes</x:v>
      </x:c>
      <x:c r="V36" t="str">
        <x:v>North Bethesda</x:v>
      </x:c>
      <x:c r="W36" t="str">
        <x:v>MD</x:v>
      </x:c>
      <x:c r="X36" t="n">
        <x:v>4</x:v>
      </x:c>
      <x:c r="Y36" t="n">
        <x:v>4</x:v>
      </x:c>
      <x:c r="Z36" s="24" t="n">
        <x:v>225</x:v>
      </x:c>
      <x:c r="AA36" s="24" t="n">
        <x:v>56.25</x:v>
      </x:c>
      <x:c r="AB36" t="n">
        <x:v>225.000004</x:v>
      </x:c>
      <x:c r="AI36" s="35" t="n">
        <x:v>46195</x:v>
      </x:c>
      <x:c r="AJ36" t="n">
        <x:v>1</x:v>
      </x:c>
      <x:c r="AK36" t="n">
        <x:v>1</x:v>
      </x:c>
      <x:c r="AL36" s="24" t="n">
        <x:v>60</x:v>
      </x:c>
      <x:c r="AM36" s="24" t="n">
        <x:v>5576.82</x:v>
      </x:c>
      <x:c r="AN36" s="24" t="n">
        <x:v>148.35</x:v>
      </x:c>
    </x:row>
    <x:row r="37">
      <x:c r="A37" t="str">
        <x:v>CL-026</x:v>
      </x:c>
      <x:c r="B37" t="str">
        <x:v>Dunkin</x:v>
      </x:c>
      <x:c r="C37" t="n">
        <x:f>MINIFS(tblServiceEvents[Event #],tblServiceEvents[Client],B37)</x:f>
        <x:v>56</x:v>
      </x:c>
      <x:c r="D37" t="n">
        <x:f>MAXIFS(tblServiceEvents[Event #],tblServiceEvents[Client],B37)</x:f>
        <x:v>68</x:v>
      </x:c>
      <x:c r="E37" t="n">
        <x:f>COUNTIFS(tblServiceEvents[Client],B37,tblServiceEvents[Status],"Completed")</x:f>
        <x:v>5</x:v>
      </x:c>
      <x:c r="F37" t="n">
        <x:f>COUNTIF(tblLedger[Client],B37)</x:f>
        <x:v>5</x:v>
      </x:c>
      <x:c r="G37" s="24" t="n">
        <x:f>SUMIFS(tblServiceEvents[Confirmed Revenue],tblServiceEvents[Client],B37,tblServiceEvents[Revenue Eligibility],"Eligible")</x:f>
        <x:v>1156.9</x:v>
      </x:c>
      <x:c r="H37" s="24" t="n">
        <x:f>IFERROR(G37/COUNTIFS(tblServiceEvents[Client],B37,tblServiceEvents[Revenue Eligibility],"Eligible"),0)</x:f>
        <x:v>231.38000000000002</x:v>
      </x:c>
      <x:c r="I37" s="24" t="n">
        <x:f>IFERROR(SUMIFS(tblLedger[Breakdown Amount],tblLedger[Client],B37,tblLedger[Breakdown Confirmed],"Yes")/COUNTIFS(tblLedger[Client],B37,tblLedger[Breakdown Confirmed],"Yes"),0)</x:f>
        <x:v>231.38000000000002</x:v>
      </x:c>
      <x:c r="J37" t="n">
        <x:v>1</x:v>
      </x:c>
      <x:c r="K37" t="n">
        <x:v>3</x:v>
      </x:c>
      <x:c r="L37" t="str">
        <x:f>IF(E37&gt;1,"Yes","No")</x:f>
        <x:v>Yes</x:v>
      </x:c>
      <x:c r="V37" t="str">
        <x:v>Baltimore</x:v>
      </x:c>
      <x:c r="W37" t="str">
        <x:v>MD</x:v>
      </x:c>
      <x:c r="X37" t="n">
        <x:v>3</x:v>
      </x:c>
      <x:c r="Y37" t="n">
        <x:v>1</x:v>
      </x:c>
      <x:c r="Z37" s="24" t="n">
        <x:v>50</x:v>
      </x:c>
      <x:c r="AA37" s="24" t="n">
        <x:v>50</x:v>
      </x:c>
      <x:c r="AB37" t="n">
        <x:v>50.000003</x:v>
      </x:c>
      <x:c r="AI37" s="35" t="n">
        <x:v>46196</x:v>
      </x:c>
      <x:c r="AJ37" t="n">
        <x:v>1</x:v>
      </x:c>
      <x:c r="AK37" t="n">
        <x:v>1</x:v>
      </x:c>
      <x:c r="AL37" s="24" t="n">
        <x:v>116.24</x:v>
      </x:c>
      <x:c r="AM37" s="24" t="n">
        <x:v>5693.06</x:v>
      </x:c>
      <x:c r="AN37" s="24" t="n">
        <x:v>146.85</x:v>
      </x:c>
    </x:row>
    <x:row r="38">
      <x:c r="A38" t="str">
        <x:v>CL-027</x:v>
      </x:c>
      <x:c r="B38" t="str">
        <x:v>Carvana</x:v>
      </x:c>
      <x:c r="C38" t="n">
        <x:f>MINIFS(tblServiceEvents[Event #],tblServiceEvents[Client],B38)</x:f>
        <x:v>60</x:v>
      </x:c>
      <x:c r="D38" t="n">
        <x:f>MAXIFS(tblServiceEvents[Event #],tblServiceEvents[Client],B38)</x:f>
        <x:v>60</x:v>
      </x:c>
      <x:c r="E38" t="n">
        <x:f>COUNTIFS(tblServiceEvents[Client],B38,tblServiceEvents[Status],"Completed")</x:f>
        <x:v>1</x:v>
      </x:c>
      <x:c r="F38" t="n">
        <x:f>COUNTIF(tblLedger[Client],B38)</x:f>
        <x:v>2</x:v>
      </x:c>
      <x:c r="G38" s="24" t="n">
        <x:f>SUMIFS(tblServiceEvents[Confirmed Revenue],tblServiceEvents[Client],B38,tblServiceEvents[Revenue Eligibility],"Eligible")</x:f>
        <x:v>0</x:v>
      </x:c>
      <x:c r="H38" s="24" t="n">
        <x:f>IFERROR(G38/COUNTIFS(tblServiceEvents[Client],B38,tblServiceEvents[Revenue Eligibility],"Eligible"),0)</x:f>
        <x:v>0</x:v>
      </x:c>
      <x:c r="I38" s="24" t="n">
        <x:f>IFERROR(SUMIFS(tblLedger[Breakdown Amount],tblLedger[Client],B38,tblLedger[Breakdown Confirmed],"Yes")/COUNTIFS(tblLedger[Client],B38,tblLedger[Breakdown Confirmed],"Yes"),0)</x:f>
        <x:v>0</x:v>
      </x:c>
      <x:c r="J38" t="n">
        <x:v>1</x:v>
      </x:c>
      <x:c r="K38" t="n">
        <x:v>1</x:v>
      </x:c>
      <x:c r="L38" t="str">
        <x:f>IF(E38&gt;1,"Yes","No")</x:f>
        <x:v>No</x:v>
      </x:c>
      <x:c r="V38" t="str">
        <x:v>Hanover</x:v>
      </x:c>
      <x:c r="W38" t="str">
        <x:v>PA</x:v>
      </x:c>
      <x:c r="X38" t="n">
        <x:v>1</x:v>
      </x:c>
      <x:c r="Y38" t="n">
        <x:v>1</x:v>
      </x:c>
      <x:c r="Z38" s="24" t="n">
        <x:v>212.5</x:v>
      </x:c>
      <x:c r="AA38" s="24" t="n">
        <x:v>212.5</x:v>
      </x:c>
      <x:c r="AB38" t="n">
        <x:v>212.500001</x:v>
      </x:c>
      <x:c r="AI38" s="35" t="n">
        <x:v>46197</x:v>
      </x:c>
      <x:c r="AJ38" t="n">
        <x:v>1</x:v>
      </x:c>
      <x:c r="AK38" t="n">
        <x:v>1</x:v>
      </x:c>
      <x:c r="AL38" s="24" t="n">
        <x:v>132.03</x:v>
      </x:c>
      <x:c r="AM38" s="24" t="n">
        <x:v>5825.09</x:v>
      </x:c>
      <x:c r="AN38" s="24" t="n">
        <x:v>129.65</x:v>
      </x:c>
    </x:row>
    <x:row r="39">
      <x:c r="A39"/>
      <x:c r="B39"/>
      <x:c r="C39"/>
      <x:c r="D39"/>
      <x:c r="E39"/>
      <x:c r="F39"/>
      <x:c r="G39"/>
      <x:c r="V39" t="str">
        <x:v>Leesburg</x:v>
      </x:c>
      <x:c r="W39" t="str">
        <x:v>VA</x:v>
      </x:c>
      <x:c r="X39" t="n">
        <x:v>1</x:v>
      </x:c>
      <x:c r="Y39" t="n">
        <x:v>1</x:v>
      </x:c>
      <x:c r="Z39" s="24" t="n">
        <x:v>157.5</x:v>
      </x:c>
      <x:c r="AA39" s="24" t="n">
        <x:v>157.5</x:v>
      </x:c>
      <x:c r="AB39" t="n">
        <x:v>157.500001</x:v>
      </x:c>
      <x:c r="AI39" s="35" t="n">
        <x:v>46203</x:v>
      </x:c>
      <x:c r="AJ39" t="n">
        <x:v>1</x:v>
      </x:c>
      <x:c r="AK39" t="n">
        <x:v>1</x:v>
      </x:c>
      <x:c r="AL39" s="24" t="n">
        <x:v>120</x:v>
      </x:c>
      <x:c r="AM39" s="24" t="n">
        <x:v>5945.09</x:v>
      </x:c>
      <x:c r="AN39" s="24" t="n">
        <x:v>113.65</x:v>
      </x:c>
    </x:row>
    <x:row r="40">
      <x:c r="A40"/>
      <x:c r="B40"/>
      <x:c r="C40"/>
      <x:c r="D40"/>
      <x:c r="E40"/>
      <x:c r="F40"/>
      <x:c r="G40"/>
      <x:c r="V40" t="str">
        <x:v>Chambersburg</x:v>
      </x:c>
      <x:c r="W40" t="str">
        <x:v>PA</x:v>
      </x:c>
      <x:c r="X40" t="n">
        <x:v>1</x:v>
      </x:c>
      <x:c r="Y40" t="n">
        <x:v>1</x:v>
      </x:c>
      <x:c r="Z40" s="24" t="n">
        <x:v>85</x:v>
      </x:c>
      <x:c r="AA40" s="24" t="n">
        <x:v>85</x:v>
      </x:c>
      <x:c r="AB40" t="n">
        <x:v>85.000001</x:v>
      </x:c>
      <x:c r="AI40" s="35" t="n">
        <x:v>46204</x:v>
      </x:c>
      <x:c r="AJ40" t="n">
        <x:v>1</x:v>
      </x:c>
      <x:c r="AK40" t="n">
        <x:v>1</x:v>
      </x:c>
      <x:c r="AL40" s="24" t="n">
        <x:v>120</x:v>
      </x:c>
      <x:c r="AM40" s="24" t="n">
        <x:v>6065.09</x:v>
      </x:c>
      <x:c r="AN40" s="24" t="n">
        <x:v>109.65</x:v>
      </x:c>
    </x:row>
    <x:row r="41">
      <x:c r="A41" s="95" t="str">
        <x:v>State / Jurisdiction Summary</x:v>
      </x:c>
      <x:c r="B41" s="95"/>
      <x:c r="C41" s="95"/>
      <x:c r="D41" s="95"/>
      <x:c r="E41" s="95"/>
      <x:c r="F41" s="95"/>
      <x:c r="G41" s="95"/>
      <x:c r="H41" s="95"/>
      <x:c r="J41" s="95" t="str">
        <x:v>Weekday Summary</x:v>
      </x:c>
      <x:c r="K41" s="95"/>
      <x:c r="L41" s="95"/>
      <x:c r="M41" s="95"/>
      <x:c r="N41" s="95"/>
      <x:c r="O41" s="95"/>
      <x:c r="P41" s="95"/>
      <x:c r="Q41" s="95"/>
      <x:c r="R41" s="95"/>
      <x:c r="V41" t="str">
        <x:v>Rockville</x:v>
      </x:c>
      <x:c r="W41" t="str">
        <x:v>MD</x:v>
      </x:c>
      <x:c r="X41" t="n">
        <x:v>2</x:v>
      </x:c>
      <x:c r="Y41" t="n">
        <x:v>2</x:v>
      </x:c>
      <x:c r="Z41" s="24" t="n">
        <x:v>146.66</x:v>
      </x:c>
      <x:c r="AA41" s="24" t="n">
        <x:v>73.33</x:v>
      </x:c>
      <x:c r="AB41" t="n">
        <x:v>146.660002</x:v>
      </x:c>
      <x:c r="AI41" s="35" t="n">
        <x:v>46205</x:v>
      </x:c>
      <x:c r="AJ41" t="n">
        <x:v>1</x:v>
      </x:c>
      <x:c r="AK41" t="n">
        <x:v>1</x:v>
      </x:c>
      <x:c r="AL41" s="24" t="n">
        <x:v>170.66</x:v>
      </x:c>
      <x:c r="AM41" s="24" t="n">
        <x:v>6235.75</x:v>
      </x:c>
      <x:c r="AN41" s="24" t="n">
        <x:v>131.79</x:v>
      </x:c>
    </x:row>
    <x:row r="42">
      <x:c r="A42" s="98" t="str">
        <x:v>Jurisdiction</x:v>
      </x:c>
      <x:c r="B42" s="98" t="str">
        <x:v>Events</x:v>
      </x:c>
      <x:c r="C42" s="98" t="str">
        <x:v>Eligible Events</x:v>
      </x:c>
      <x:c r="D42" s="98" t="str">
        <x:v>Clients</x:v>
      </x:c>
      <x:c r="E42" s="98" t="str">
        <x:v>Confirmed Revenue</x:v>
      </x:c>
      <x:c r="F42" s="98" t="str">
        <x:v>Avg Revenue / Eligible Event</x:v>
      </x:c>
      <x:c r="G42" s="98" t="str">
        <x:v>Revenue Share</x:v>
      </x:c>
      <x:c r="H42" s="98" t="str">
        <x:v>Event Share</x:v>
      </x:c>
      <x:c r="J42" s="98" t="str">
        <x:v>Weekday</x:v>
      </x:c>
      <x:c r="K42" s="98" t="str">
        <x:v>Confirmed Revenue</x:v>
      </x:c>
      <x:c r="L42" s="98" t="str">
        <x:v>Eligible Events</x:v>
      </x:c>
      <x:c r="M42" s="98" t="str">
        <x:v>Avg Revenue / Event</x:v>
      </x:c>
      <x:c r="N42" s="98" t="str">
        <x:v>Active Weeks</x:v>
      </x:c>
      <x:c r="O42" s="98" t="str">
        <x:v>Activity Rate</x:v>
      </x:c>
      <x:c r="P42" s="98" t="str">
        <x:v>Highest Revenue Event</x:v>
      </x:c>
      <x:c r="Q42" s="98" t="str">
        <x:v>Lowest Revenue Event</x:v>
      </x:c>
      <x:c r="R42" s="98" t="str">
        <x:v>Rank</x:v>
      </x:c>
      <x:c r="V42" t="str">
        <x:v>Annapolis Neck</x:v>
      </x:c>
      <x:c r="W42" t="str">
        <x:v>MD</x:v>
      </x:c>
      <x:c r="X42" t="n">
        <x:v>2</x:v>
      </x:c>
      <x:c r="Y42" t="n">
        <x:v>1</x:v>
      </x:c>
      <x:c r="Z42" s="24" t="n">
        <x:v>60</x:v>
      </x:c>
      <x:c r="AA42" s="24" t="n">
        <x:v>60</x:v>
      </x:c>
      <x:c r="AB42" t="n">
        <x:v>60.000002</x:v>
      </x:c>
      <x:c r="AI42" s="35" t="n">
        <x:v>46209</x:v>
      </x:c>
      <x:c r="AJ42" t="n">
        <x:v>2</x:v>
      </x:c>
      <x:c r="AK42" t="n">
        <x:v>2</x:v>
      </x:c>
      <x:c r="AL42" s="24" t="n">
        <x:v>269.24</x:v>
      </x:c>
      <x:c r="AM42" s="24" t="n">
        <x:v>6504.99</x:v>
      </x:c>
      <x:c r="AN42" s="24" t="n">
        <x:v>162.39</x:v>
      </x:c>
    </x:row>
    <x:row r="43">
      <x:c r="A43" t="str">
        <x:v>VA</x:v>
      </x:c>
      <x:c r="B43" t="n">
        <x:f>COUNTIFS(tblServiceEvents[Jurisdiction],A43,tblServiceEvents[Status],"Completed")</x:f>
        <x:v>7</x:v>
      </x:c>
      <x:c r="C43" t="n">
        <x:f>COUNTIFS(tblServiceEvents[Jurisdiction],A43,tblServiceEvents[Revenue Eligibility],"Eligible")</x:f>
        <x:v>7</x:v>
      </x:c>
      <x:c r="D43" t="n">
        <x:v>6</x:v>
      </x:c>
      <x:c r="E43" s="24" t="n">
        <x:f>SUMIFS(tblServiceEvents[Confirmed Revenue],tblServiceEvents[Jurisdiction],A43,tblServiceEvents[Revenue Eligibility],"Eligible")</x:f>
        <x:v>1095.5</x:v>
      </x:c>
      <x:c r="F43" s="24" t="n">
        <x:f>IFERROR(E43/C43,0)</x:f>
        <x:v>156.5</x:v>
      </x:c>
      <x:c r="G43" s="33" t="n">
        <x:f>IFERROR(E43/$B$7,0)</x:f>
        <x:v>0.14443836483377392</x:v>
      </x:c>
      <x:c r="H43" s="33" t="n">
        <x:f>IFERROR(B43/$B$6,0)</x:f>
        <x:v>0.09722222222222222</x:v>
      </x:c>
      <x:c r="J43" t="str">
        <x:v>Monday</x:v>
      </x:c>
      <x:c r="K43" s="24" t="n">
        <x:f>SUMIFS(tblServiceEvents[Confirmed Revenue],tblServiceEvents[Weekday],J43,tblServiceEvents[Revenue Eligibility],"Eligible")</x:f>
        <x:v>1270.49</x:v>
      </x:c>
      <x:c r="L43" s="24" t="n">
        <x:f>COUNTIFS(tblServiceEvents[Weekday],J43,tblServiceEvents[Revenue Eligibility],"Eligible")</x:f>
        <x:v>9</x:v>
      </x:c>
      <x:c r="M43" s="24" t="n">
        <x:f>IFERROR(K43/L43,0)</x:f>
        <x:v>141.16555555555556</x:v>
      </x:c>
      <x:c r="N43" t="n">
        <x:v>9</x:v>
      </x:c>
      <x:c r="O43" s="33" t="n">
        <x:f>IFERROR(N43/($B$5+IF(WEEKDAY(MAXIFS(tblServiceEvents[Service Date],tblServiceEvents[Status],"Completed"),2)&gt;=1,1,0)),0)</x:f>
        <x:v>0.6923076923076923</x:v>
      </x:c>
      <x:c r="P43" s="24" t="n">
        <x:f>MAXIFS(tblServiceEvents[Confirmed Revenue],tblServiceEvents[Weekday],J43,tblServiceEvents[Revenue Eligibility],"Eligible")</x:f>
        <x:v>320</x:v>
      </x:c>
      <x:c r="Q43" s="24" t="n">
        <x:f>MINIFS(tblServiceEvents[Confirmed Revenue],tblServiceEvents[Weekday],J43,tblServiceEvents[Revenue Eligibility],"Eligible")</x:f>
        <x:v>60</x:v>
      </x:c>
      <x:c r="R43" t="n">
        <x:f>RANK(K43,$K$43:$K$47,0)</x:f>
        <x:v>4</x:v>
      </x:c>
      <x:c r="V43" t="str">
        <x:v>College Park</x:v>
      </x:c>
      <x:c r="W43" t="str">
        <x:v>MD</x:v>
      </x:c>
      <x:c r="X43" t="n">
        <x:v>1</x:v>
      </x:c>
      <x:c r="Y43" t="n">
        <x:v>1</x:v>
      </x:c>
      <x:c r="Z43" s="24" t="n">
        <x:v>75</x:v>
      </x:c>
      <x:c r="AA43" s="24" t="n">
        <x:v>75</x:v>
      </x:c>
      <x:c r="AB43" t="n">
        <x:v>75.000001</x:v>
      </x:c>
      <x:c r="AI43" s="35" t="n">
        <x:v>46210</x:v>
      </x:c>
      <x:c r="AJ43" t="n">
        <x:v>1</x:v>
      </x:c>
      <x:c r="AK43" t="n">
        <x:v>1</x:v>
      </x:c>
      <x:c r="AL43" s="24" t="n">
        <x:v>250</x:v>
      </x:c>
      <x:c r="AM43" s="24" t="n">
        <x:v>6754.99</x:v>
      </x:c>
      <x:c r="AN43" s="24" t="n">
        <x:v>185.98</x:v>
      </x:c>
    </x:row>
    <x:row r="44">
      <x:c r="A44" t="str">
        <x:v>MD</x:v>
      </x:c>
      <x:c r="B44" t="n">
        <x:f>COUNTIFS(tblServiceEvents[Jurisdiction],A44,tblServiceEvents[Status],"Completed")</x:f>
        <x:v>50</x:v>
      </x:c>
      <x:c r="C44" t="n">
        <x:f>COUNTIFS(tblServiceEvents[Jurisdiction],A44,tblServiceEvents[Revenue Eligibility],"Eligible")</x:f>
        <x:v>38</x:v>
      </x:c>
      <x:c r="D44" t="n">
        <x:v>21</x:v>
      </x:c>
      <x:c r="E44" s="24" t="n">
        <x:f>SUMIFS(tblServiceEvents[Confirmed Revenue],tblServiceEvents[Jurisdiction],A44,tblServiceEvents[Revenue Eligibility],"Eligible")</x:f>
        <x:v>4341.189999999999</x:v>
      </x:c>
      <x:c r="F44" s="24" t="n">
        <x:f>IFERROR(E44/C44,0)</x:f>
        <x:v>114.24184210526312</x:v>
      </x:c>
      <x:c r="G44" s="33" t="n">
        <x:f>IFERROR(E44/$B$7,0)</x:f>
        <x:v>0.5723727841467191</x:v>
      </x:c>
      <x:c r="H44" s="33" t="n">
        <x:f>IFERROR(B44/$B$6,0)</x:f>
        <x:v>0.6944444444444444</x:v>
      </x:c>
      <x:c r="J44" t="str">
        <x:v>Tuesday</x:v>
      </x:c>
      <x:c r="K44" s="24" t="n">
        <x:f>SUMIFS(tblServiceEvents[Confirmed Revenue],tblServiceEvents[Weekday],J44,tblServiceEvents[Revenue Eligibility],"Eligible")</x:f>
        <x:v>1984.3899999999999</x:v>
      </x:c>
      <x:c r="L44" s="24" t="n">
        <x:f>COUNTIFS(tblServiceEvents[Weekday],J44,tblServiceEvents[Revenue Eligibility],"Eligible")</x:f>
        <x:v>13</x:v>
      </x:c>
      <x:c r="M44" s="24" t="n">
        <x:f>IFERROR(K44/L44,0)</x:f>
        <x:v>152.64538461538461</x:v>
      </x:c>
      <x:c r="N44" t="n">
        <x:v>11</x:v>
      </x:c>
      <x:c r="O44" s="33" t="n">
        <x:f>IFERROR(N44/($B$5+IF(WEEKDAY(MAXIFS(tblServiceEvents[Service Date],tblServiceEvents[Status],"Completed"),2)&gt;=2,1,0)),0)</x:f>
        <x:v>0.8461538461538461</x:v>
      </x:c>
      <x:c r="P44" s="24" t="n">
        <x:f>MAXIFS(tblServiceEvents[Confirmed Revenue],tblServiceEvents[Weekday],J44,tblServiceEvents[Revenue Eligibility],"Eligible")</x:f>
        <x:v>344</x:v>
      </x:c>
      <x:c r="Q44" s="24" t="n">
        <x:f>MINIFS(tblServiceEvents[Confirmed Revenue],tblServiceEvents[Weekday],J44,tblServiceEvents[Revenue Eligibility],"Eligible")</x:f>
        <x:v>50</x:v>
      </x:c>
      <x:c r="R44" t="n">
        <x:f>RANK(K44,$K$43:$K$47,0)</x:f>
        <x:v>2</x:v>
      </x:c>
      <x:c r="V44" t="str">
        <x:v>Owings Mills</x:v>
      </x:c>
      <x:c r="W44" t="str">
        <x:v>MD</x:v>
      </x:c>
      <x:c r="X44" t="n">
        <x:v>2</x:v>
      </x:c>
      <x:c r="Y44" t="n">
        <x:v>2</x:v>
      </x:c>
      <x:c r="Z44" s="24" t="n">
        <x:v>165</x:v>
      </x:c>
      <x:c r="AA44" s="24" t="n">
        <x:v>82.5</x:v>
      </x:c>
      <x:c r="AB44" t="n">
        <x:v>165.000002</x:v>
      </x:c>
      <x:c r="AI44" s="35" t="n">
        <x:v>46211</x:v>
      </x:c>
      <x:c r="AJ44" t="n">
        <x:v>1</x:v>
      </x:c>
      <x:c r="AK44" t="n">
        <x:v>0</x:v>
      </x:c>
      <x:c r="AL44" s="24" t="n">
        <x:v>0</x:v>
      </x:c>
      <x:c r="AM44" s="24" t="n">
        <x:v>6754.99</x:v>
      </x:c>
      <x:c r="AN44" s="24" t="n">
        <x:v>161.98</x:v>
      </x:c>
    </x:row>
    <x:row r="45">
      <x:c r="A45" t="str">
        <x:v>DC</x:v>
      </x:c>
      <x:c r="B45" t="n">
        <x:f>COUNTIFS(tblServiceEvents[Jurisdiction],A45,tblServiceEvents[Status],"Completed")</x:f>
        <x:v>11</x:v>
      </x:c>
      <x:c r="C45" t="n">
        <x:f>COUNTIFS(tblServiceEvents[Jurisdiction],A45,tblServiceEvents[Revenue Eligibility],"Eligible")</x:f>
        <x:v>10</x:v>
      </x:c>
      <x:c r="D45" t="n">
        <x:v>5</x:v>
      </x:c>
      <x:c r="E45" s="24" t="n">
        <x:f>SUMIFS(tblServiceEvents[Confirmed Revenue],tblServiceEvents[Jurisdiction],A45,tblServiceEvents[Revenue Eligibility],"Eligible")</x:f>
        <x:v>1637.03</x:v>
      </x:c>
      <x:c r="F45" s="24" t="n">
        <x:f>IFERROR(E45/C45,0)</x:f>
        <x:v>163.703</x:v>
      </x:c>
      <x:c r="G45" s="33" t="n">
        <x:f>IFERROR(E45/$B$7,0)</x:f>
        <x:v>0.21583745904503232</x:v>
      </x:c>
      <x:c r="H45" s="33" t="n">
        <x:f>IFERROR(B45/$B$6,0)</x:f>
        <x:v>0.1527777777777778</x:v>
      </x:c>
      <x:c r="J45" t="str">
        <x:v>Wednesday</x:v>
      </x:c>
      <x:c r="K45" s="24" t="n">
        <x:f>SUMIFS(tblServiceEvents[Confirmed Revenue],tblServiceEvents[Weekday],J45,tblServiceEvents[Revenue Eligibility],"Eligible")</x:f>
        <x:v>2302.3599999999997</x:v>
      </x:c>
      <x:c r="L45" s="24" t="n">
        <x:f>COUNTIFS(tblServiceEvents[Weekday],J45,tblServiceEvents[Revenue Eligibility],"Eligible")</x:f>
        <x:v>16</x:v>
      </x:c>
      <x:c r="M45" s="24" t="n">
        <x:f>IFERROR(K45/L45,0)</x:f>
        <x:v>143.89749999999998</x:v>
      </x:c>
      <x:c r="N45" t="n">
        <x:v>11</x:v>
      </x:c>
      <x:c r="O45" s="33" t="n">
        <x:f>IFERROR(N45/($B$5+IF(WEEKDAY(MAXIFS(tblServiceEvents[Service Date],tblServiceEvents[Status],"Completed"),2)&gt;=3,1,0)),0)</x:f>
        <x:v>0.8461538461538461</x:v>
      </x:c>
      <x:c r="P45" s="24" t="n">
        <x:f>MAXIFS(tblServiceEvents[Confirmed Revenue],tblServiceEvents[Weekday],J45,tblServiceEvents[Revenue Eligibility],"Eligible")</x:f>
        <x:v>350</x:v>
      </x:c>
      <x:c r="Q45" s="24" t="n">
        <x:f>MINIFS(tblServiceEvents[Confirmed Revenue],tblServiceEvents[Weekday],J45,tblServiceEvents[Revenue Eligibility],"Eligible")</x:f>
        <x:v>45</x:v>
      </x:c>
      <x:c r="R45" t="n">
        <x:f>RANK(K45,$K$43:$K$47,0)</x:f>
        <x:v>1</x:v>
      </x:c>
      <x:c r="V45" t="str">
        <x:v>Red Lion</x:v>
      </x:c>
      <x:c r="W45" t="str">
        <x:v>PA</x:v>
      </x:c>
      <x:c r="X45" t="n">
        <x:v>1</x:v>
      </x:c>
      <x:c r="Y45" t="n">
        <x:v>1</x:v>
      </x:c>
      <x:c r="Z45" s="24" t="n">
        <x:v>112.5</x:v>
      </x:c>
      <x:c r="AA45" s="24" t="n">
        <x:v>112.5</x:v>
      </x:c>
      <x:c r="AB45" t="n">
        <x:v>112.500001</x:v>
      </x:c>
      <x:c r="AI45" s="35" t="n">
        <x:v>46212</x:v>
      </x:c>
      <x:c r="AJ45" t="n">
        <x:v>2</x:v>
      </x:c>
      <x:c r="AK45" t="n">
        <x:v>2</x:v>
      </x:c>
      <x:c r="AL45" s="24" t="n">
        <x:v>295.82</x:v>
      </x:c>
      <x:c r="AM45" s="24" t="n">
        <x:v>7050.81</x:v>
      </x:c>
      <x:c r="AN45" s="24" t="n">
        <x:v>197.14</x:v>
      </x:c>
    </x:row>
    <x:row r="46">
      <x:c r="A46" t="str">
        <x:v>PA</x:v>
      </x:c>
      <x:c r="B46" t="n">
        <x:f>COUNTIFS(tblServiceEvents[Jurisdiction],A46,tblServiceEvents[Status],"Completed")</x:f>
        <x:v>3</x:v>
      </x:c>
      <x:c r="C46" t="n">
        <x:f>COUNTIFS(tblServiceEvents[Jurisdiction],A46,tblServiceEvents[Revenue Eligibility],"Eligible")</x:f>
        <x:v>3</x:v>
      </x:c>
      <x:c r="D46" t="n">
        <x:v>2</x:v>
      </x:c>
      <x:c r="E46" s="24" t="n">
        <x:f>SUMIFS(tblServiceEvents[Confirmed Revenue],tblServiceEvents[Jurisdiction],A46,tblServiceEvents[Revenue Eligibility],"Eligible")</x:f>
        <x:v>410</x:v>
      </x:c>
      <x:c r="F46" s="24" t="n">
        <x:f>IFERROR(E46/C46,0)</x:f>
        <x:v>136.66666666666666</x:v>
      </x:c>
      <x:c r="G46" s="33" t="n">
        <x:f>IFERROR(E46/$B$7,0)</x:f>
        <x:v>0.054057261142717764</x:v>
      </x:c>
      <x:c r="H46" s="33" t="n">
        <x:f>IFERROR(B46/$B$6,0)</x:f>
        <x:v>0.041666666666666664</x:v>
      </x:c>
      <x:c r="J46" t="str">
        <x:v>Thursday</x:v>
      </x:c>
      <x:c r="K46" s="24" t="n">
        <x:f>SUMIFS(tblServiceEvents[Confirmed Revenue],tblServiceEvents[Weekday],J46,tblServiceEvents[Revenue Eligibility],"Eligible")</x:f>
        <x:v>1597.31</x:v>
      </x:c>
      <x:c r="L46" s="24" t="n">
        <x:f>COUNTIFS(tblServiceEvents[Weekday],J46,tblServiceEvents[Revenue Eligibility],"Eligible")</x:f>
        <x:v>13</x:v>
      </x:c>
      <x:c r="M46" s="24" t="n">
        <x:f>IFERROR(K46/L46,0)</x:f>
        <x:v>122.86999999999999</x:v>
      </x:c>
      <x:c r="N46" t="n">
        <x:v>10</x:v>
      </x:c>
      <x:c r="O46" s="33" t="n">
        <x:f>IFERROR(N46/($B$5+IF(WEEKDAY(MAXIFS(tblServiceEvents[Service Date],tblServiceEvents[Status],"Completed"),2)&gt;=4,1,0)),0)</x:f>
        <x:v>0.7692307692307693</x:v>
      </x:c>
      <x:c r="P46" s="24" t="n">
        <x:f>MAXIFS(tblServiceEvents[Confirmed Revenue],tblServiceEvents[Weekday],J46,tblServiceEvents[Revenue Eligibility],"Eligible")</x:f>
        <x:v>194.99</x:v>
      </x:c>
      <x:c r="Q46" s="24" t="n">
        <x:f>MINIFS(tblServiceEvents[Confirmed Revenue],tblServiceEvents[Weekday],J46,tblServiceEvents[Revenue Eligibility],"Eligible")</x:f>
        <x:v>45</x:v>
      </x:c>
      <x:c r="R46" t="n">
        <x:f>RANK(K46,$K$43:$K$47,0)</x:f>
        <x:v>3</x:v>
      </x:c>
      <x:c r="V46" t="str">
        <x:v>Middle River</x:v>
      </x:c>
      <x:c r="W46" t="str">
        <x:v>MD</x:v>
      </x:c>
      <x:c r="X46" t="n">
        <x:v>1</x:v>
      </x:c>
      <x:c r="Y46" t="n">
        <x:v>1</x:v>
      </x:c>
      <x:c r="Z46" s="24" t="n">
        <x:v>97.91</x:v>
      </x:c>
      <x:c r="AA46" s="24" t="n">
        <x:v>97.91</x:v>
      </x:c>
      <x:c r="AB46" t="n">
        <x:v>97.910001</x:v>
      </x:c>
      <x:c r="AI46" s="35" t="n">
        <x:v>46216</x:v>
      </x:c>
      <x:c r="AJ46" t="n">
        <x:v>3</x:v>
      </x:c>
      <x:c r="AK46" t="n">
        <x:v>0</x:v>
      </x:c>
      <x:c r="AL46" s="24" t="n">
        <x:v>0</x:v>
      </x:c>
      <x:c r="AM46" s="24" t="n">
        <x:v>7050.81</x:v>
      </x:c>
      <x:c r="AN46" s="24" t="n">
        <x:v>163.01</x:v>
      </x:c>
    </x:row>
    <x:row r="47">
      <x:c r="A47" t="str">
        <x:v>WV</x:v>
      </x:c>
      <x:c r="B47" t="n">
        <x:f>COUNTIFS(tblServiceEvents[Jurisdiction],A47,tblServiceEvents[Status],"Completed")</x:f>
        <x:v>1</x:v>
      </x:c>
      <x:c r="C47" t="n">
        <x:f>COUNTIFS(tblServiceEvents[Jurisdiction],A47,tblServiceEvents[Revenue Eligibility],"Eligible")</x:f>
        <x:v>1</x:v>
      </x:c>
      <x:c r="D47" t="n">
        <x:v>1</x:v>
      </x:c>
      <x:c r="E47" s="24" t="n">
        <x:f>SUMIFS(tblServiceEvents[Confirmed Revenue],tblServiceEvents[Jurisdiction],A47,tblServiceEvents[Revenue Eligibility],"Eligible")</x:f>
        <x:v>100.83</x:v>
      </x:c>
      <x:c r="F47" s="24" t="n">
        <x:f>IFERROR(E47/C47,0)</x:f>
        <x:v>100.83</x:v>
      </x:c>
      <x:c r="G47" s="33" t="n">
        <x:f>IFERROR(E47/$B$7,0)</x:f>
        <x:v>0.013294130831756663</x:v>
      </x:c>
      <x:c r="H47" s="33" t="n">
        <x:f>IFERROR(B47/$B$6,0)</x:f>
        <x:v>0.013888888888888888</x:v>
      </x:c>
      <x:c r="J47" t="str">
        <x:v>Friday</x:v>
      </x:c>
      <x:c r="K47" s="24" t="n">
        <x:f>SUMIFS(tblServiceEvents[Confirmed Revenue],tblServiceEvents[Weekday],J47,tblServiceEvents[Revenue Eligibility],"Eligible")</x:f>
        <x:v>430</x:v>
      </x:c>
      <x:c r="L47" s="24" t="n">
        <x:f>COUNTIFS(tblServiceEvents[Weekday],J47,tblServiceEvents[Revenue Eligibility],"Eligible")</x:f>
        <x:v>8</x:v>
      </x:c>
      <x:c r="M47" s="24" t="n">
        <x:f>IFERROR(K47/L47,0)</x:f>
        <x:v>53.75</x:v>
      </x:c>
      <x:c r="N47" t="n">
        <x:v>5</x:v>
      </x:c>
      <x:c r="O47" s="33" t="n">
        <x:f>IFERROR(N47/($B$5+IF(WEEKDAY(MAXIFS(tblServiceEvents[Service Date],tblServiceEvents[Status],"Completed"),2)&gt;=5,1,0)),0)</x:f>
        <x:v>0.38461538461538464</x:v>
      </x:c>
      <x:c r="P47" s="24" t="n">
        <x:f>MAXIFS(tblServiceEvents[Confirmed Revenue],tblServiceEvents[Weekday],J47,tblServiceEvents[Revenue Eligibility],"Eligible")</x:f>
        <x:v>90</x:v>
      </x:c>
      <x:c r="Q47" s="24" t="n">
        <x:f>MINIFS(tblServiceEvents[Confirmed Revenue],tblServiceEvents[Weekday],J47,tblServiceEvents[Revenue Eligibility],"Eligible")</x:f>
        <x:v>25</x:v>
      </x:c>
      <x:c r="R47" t="n">
        <x:f>RANK(K47,$K$43:$K$47,0)</x:f>
        <x:v>5</x:v>
      </x:c>
      <x:c r="V47" t="str">
        <x:v>Gaithersburg</x:v>
      </x:c>
      <x:c r="W47" t="str">
        <x:v>MD</x:v>
      </x:c>
      <x:c r="X47" t="n">
        <x:v>2</x:v>
      </x:c>
      <x:c r="Y47" t="n">
        <x:v>1</x:v>
      </x:c>
      <x:c r="Z47" s="24" t="n">
        <x:v>50</x:v>
      </x:c>
      <x:c r="AA47" s="24" t="n">
        <x:v>50</x:v>
      </x:c>
      <x:c r="AB47" t="n">
        <x:v>50.000002</x:v>
      </x:c>
      <x:c r="AI47" s="35" t="n">
        <x:v>46217</x:v>
      </x:c>
      <x:c r="AJ47" t="n">
        <x:v>2</x:v>
      </x:c>
      <x:c r="AK47" t="n">
        <x:v>1</x:v>
      </x:c>
      <x:c r="AL47" s="24" t="n">
        <x:v>183.74</x:v>
      </x:c>
      <x:c r="AM47" s="24" t="n">
        <x:v>7234.55</x:v>
      </x:c>
      <x:c r="AN47" s="24" t="n">
        <x:v>145.91</x:v>
      </x:c>
    </x:row>
    <x:row r="48">
      <x:c r="V48" t="str">
        <x:v>Andrews AFB</x:v>
      </x:c>
      <x:c r="W48" t="str">
        <x:v>MD</x:v>
      </x:c>
      <x:c r="X48" t="n">
        <x:v>1</x:v>
      </x:c>
      <x:c r="Y48" t="n">
        <x:v>0</x:v>
      </x:c>
      <x:c r="Z48" s="24" t="n">
        <x:v>0</x:v>
      </x:c>
      <x:c r="AA48" s="24" t="n">
        <x:v>0</x:v>
      </x:c>
      <x:c r="AB48" t="n">
        <x:v>0.000001</x:v>
      </x:c>
      <x:c r="AI48" s="313" t="str">
        <x:v>Workweek</x:v>
      </x:c>
      <x:c r="AJ48" s="313" t="str">
        <x:v>Events</x:v>
      </x:c>
      <x:c r="AK48" s="313" t="str">
        <x:v>Eligible Events</x:v>
      </x:c>
      <x:c r="AL48" s="313" t="str">
        <x:v>Weekly Revenue</x:v>
      </x:c>
      <x:c r="AM48" s="313" t="str">
        <x:v>Running Revenue</x:v>
      </x:c>
    </x:row>
    <x:row r="49">
      <x:c r="V49" t="str">
        <x:v>Cheverly</x:v>
      </x:c>
      <x:c r="W49" t="str">
        <x:v>MD</x:v>
      </x:c>
      <x:c r="X49" t="n">
        <x:v>1</x:v>
      </x:c>
      <x:c r="Y49" t="n">
        <x:v>0</x:v>
      </x:c>
      <x:c r="Z49" s="24" t="n">
        <x:v>0</x:v>
      </x:c>
      <x:c r="AA49" s="24" t="n">
        <x:v>0</x:v>
      </x:c>
      <x:c r="AB49" t="n">
        <x:v>0.000001</x:v>
      </x:c>
      <x:c r="AI49" t="n">
        <x:v>1</x:v>
      </x:c>
      <x:c r="AJ49" t="n">
        <x:v>5</x:v>
      </x:c>
      <x:c r="AK49" t="n">
        <x:v>5</x:v>
      </x:c>
      <x:c r="AL49" s="24" t="n">
        <x:v>1008</x:v>
      </x:c>
      <x:c r="AM49" s="24" t="n">
        <x:v>1008</x:v>
      </x:c>
    </x:row>
    <x:row r="50">
      <x:c r="A50" s="99" t="str">
        <x:v>MY_MONTH Summary</x:v>
      </x:c>
      <x:c r="B50" s="99"/>
      <x:c r="C50" s="99"/>
      <x:c r="D50" s="99"/>
      <x:c r="E50" s="99"/>
      <x:c r="F50" s="99"/>
      <x:c r="G50" s="99"/>
      <x:c r="H50" s="12"/>
      <x:c r="I50" s="12"/>
      <x:c r="J50" s="12"/>
      <x:c r="K50" s="12"/>
      <x:c r="V50" t="str">
        <x:v>Annapolis</x:v>
      </x:c>
      <x:c r="W50" t="str">
        <x:v>MD</x:v>
      </x:c>
      <x:c r="X50" t="n">
        <x:v>2</x:v>
      </x:c>
      <x:c r="Y50" t="n">
        <x:v>2</x:v>
      </x:c>
      <x:c r="Z50" s="24" t="n">
        <x:v>160</x:v>
      </x:c>
      <x:c r="AA50" s="24" t="n">
        <x:v>80</x:v>
      </x:c>
      <x:c r="AB50" t="n">
        <x:v>160.000002</x:v>
      </x:c>
      <x:c r="AI50" t="n">
        <x:v>2</x:v>
      </x:c>
      <x:c r="AJ50" t="n">
        <x:v>4</x:v>
      </x:c>
      <x:c r="AK50" t="n">
        <x:v>3</x:v>
      </x:c>
      <x:c r="AL50" s="24" t="n">
        <x:v>275</x:v>
      </x:c>
      <x:c r="AM50" s="24" t="n">
        <x:v>1283</x:v>
      </x:c>
    </x:row>
    <x:row r="51">
      <x:c r="A51" s="98" t="str">
        <x:v>MY_MONTH</x:v>
      </x:c>
      <x:c r="B51" s="98" t="str">
        <x:v>Events</x:v>
      </x:c>
      <x:c r="C51" s="98" t="str">
        <x:v>Eligible Events</x:v>
      </x:c>
      <x:c r="D51" s="98" t="str">
        <x:v>Clients</x:v>
      </x:c>
      <x:c r="E51" s="98" t="str">
        <x:v>Jurisdictions</x:v>
      </x:c>
      <x:c r="F51" s="98" t="str">
        <x:v>Confirmed Revenue</x:v>
      </x:c>
      <x:c r="G51" s="98" t="str">
        <x:v>Avg Revenue / Eligible Event</x:v>
      </x:c>
      <x:c r="H51" s="29"/>
      <x:c r="I51" s="29"/>
      <x:c r="J51" s="29"/>
      <x:c r="K51" s="29"/>
      <x:c r="V51" t="str">
        <x:v>Dunkirk</x:v>
      </x:c>
      <x:c r="W51" t="str">
        <x:v>MD</x:v>
      </x:c>
      <x:c r="X51" t="n">
        <x:v>1</x:v>
      </x:c>
      <x:c r="Y51" t="n">
        <x:v>1</x:v>
      </x:c>
      <x:c r="Z51" s="24" t="n">
        <x:v>70</x:v>
      </x:c>
      <x:c r="AA51" s="24" t="n">
        <x:v>70</x:v>
      </x:c>
      <x:c r="AB51" t="n">
        <x:v>70.000001</x:v>
      </x:c>
      <x:c r="AI51" t="n">
        <x:v>3</x:v>
      </x:c>
      <x:c r="AJ51" t="n">
        <x:v>1</x:v>
      </x:c>
      <x:c r="AK51" t="n">
        <x:v>1</x:v>
      </x:c>
      <x:c r="AL51" s="24" t="n">
        <x:v>212.5</x:v>
      </x:c>
      <x:c r="AM51" s="24" t="n">
        <x:v>1495.5</x:v>
      </x:c>
    </x:row>
    <x:row r="52">
      <x:c r="A52" t="str">
        <x:v>MY_MONTH 1</x:v>
      </x:c>
      <x:c r="B52" t="n">
        <x:f>COUNTIFS(tblServiceEvents[MY_MONTH],A52,tblServiceEvents[Status],"Completed")</x:f>
        <x:v>20</x:v>
      </x:c>
      <x:c r="C52" t="n">
        <x:f>COUNTIFS(tblServiceEvents[MY_MONTH],A52,tblServiceEvents[Revenue Eligibility],"Eligible")</x:f>
        <x:v>18</x:v>
      </x:c>
      <x:c r="D52" t="n">
        <x:v>15</x:v>
      </x:c>
      <x:c r="E52" t="n">
        <x:v>4</x:v>
      </x:c>
      <x:c r="F52" s="24" t="n">
        <x:f>SUMIFS(tblServiceEvents[Confirmed Revenue],tblServiceEvents[MY_MONTH],A52,tblServiceEvents[Revenue Eligibility],"Eligible")</x:f>
        <x:v>2330.5</x:v>
      </x:c>
      <x:c r="G52" s="24" t="n">
        <x:f>IFERROR(F52/C52,0)</x:f>
        <x:v>129.47222222222223</x:v>
      </x:c>
      <x:c r="H52"/>
      <x:c r="I52"/>
      <x:c r="J52"/>
      <x:c r="K52"/>
      <x:c r="V52" t="str">
        <x:v>Edgewood</x:v>
      </x:c>
      <x:c r="W52" t="str">
        <x:v>MD</x:v>
      </x:c>
      <x:c r="X52" t="n">
        <x:v>1</x:v>
      </x:c>
      <x:c r="Y52" t="n">
        <x:v>1</x:v>
      </x:c>
      <x:c r="Z52" s="24" t="n">
        <x:v>65</x:v>
      </x:c>
      <x:c r="AA52" s="24" t="n">
        <x:v>65</x:v>
      </x:c>
      <x:c r="AB52" t="n">
        <x:v>65.000001</x:v>
      </x:c>
      <x:c r="AI52" t="n">
        <x:v>4</x:v>
      </x:c>
      <x:c r="AJ52" t="n">
        <x:v>6</x:v>
      </x:c>
      <x:c r="AK52" t="n">
        <x:v>5</x:v>
      </x:c>
      <x:c r="AL52" s="24" t="n">
        <x:v>412.5</x:v>
      </x:c>
      <x:c r="AM52" s="24" t="n">
        <x:v>1908</x:v>
      </x:c>
    </x:row>
    <x:row r="53">
      <x:c r="A53" t="str">
        <x:v>MY_MONTH 2</x:v>
      </x:c>
      <x:c r="B53" t="n">
        <x:f>COUNTIFS(tblServiceEvents[MY_MONTH],A53,tblServiceEvents[Status],"Completed")</x:f>
        <x:v>30</x:v>
      </x:c>
      <x:c r="C53" t="n">
        <x:f>COUNTIFS(tblServiceEvents[MY_MONTH],A53,tblServiceEvents[Revenue Eligibility],"Eligible")</x:f>
        <x:v>28</x:v>
      </x:c>
      <x:c r="D53" t="n">
        <x:v>18</x:v>
      </x:c>
      <x:c r="E53" t="n">
        <x:v>3</x:v>
      </x:c>
      <x:c r="F53" s="24" t="n">
        <x:f>SUMIFS(tblServiceEvents[Confirmed Revenue],tblServiceEvents[MY_MONTH],A53,tblServiceEvents[Revenue Eligibility],"Eligible")</x:f>
        <x:v>3186.3199999999997</x:v>
      </x:c>
      <x:c r="G53" s="24" t="n">
        <x:f>IFERROR(F53/C53,0)</x:f>
        <x:v>113.79714285714284</x:v>
      </x:c>
      <x:c r="H53"/>
      <x:c r="I53"/>
      <x:c r="J53"/>
      <x:c r="K53"/>
      <x:c r="V53" t="str">
        <x:v>Sterling</x:v>
      </x:c>
      <x:c r="W53" t="str">
        <x:v>VA</x:v>
      </x:c>
      <x:c r="X53" t="n">
        <x:v>1</x:v>
      </x:c>
      <x:c r="Y53" t="n">
        <x:v>1</x:v>
      </x:c>
      <x:c r="Z53" s="24" t="n">
        <x:v>90</x:v>
      </x:c>
      <x:c r="AA53" s="24" t="n">
        <x:v>90</x:v>
      </x:c>
      <x:c r="AB53" t="n">
        <x:v>90.000001</x:v>
      </x:c>
      <x:c r="AI53" t="n">
        <x:v>5</x:v>
      </x:c>
      <x:c r="AJ53" t="n">
        <x:v>4</x:v>
      </x:c>
      <x:c r="AK53" t="n">
        <x:v>4</x:v>
      </x:c>
      <x:c r="AL53" s="24" t="n">
        <x:v>422.5</x:v>
      </x:c>
      <x:c r="AM53" s="24" t="n">
        <x:v>2330.5</x:v>
      </x:c>
    </x:row>
    <x:row r="54">
      <x:c r="A54" t="str">
        <x:v>MY_MONTH 3</x:v>
      </x:c>
      <x:c r="B54" t="n">
        <x:f>COUNTIFS(tblServiceEvents[MY_MONTH],A54,tblServiceEvents[Status],"Completed")</x:f>
        <x:v>22</x:v>
      </x:c>
      <x:c r="C54" t="n">
        <x:f>COUNTIFS(tblServiceEvents[MY_MONTH],A54,tblServiceEvents[Revenue Eligibility],"Eligible")</x:f>
        <x:v>13</x:v>
      </x:c>
      <x:c r="D54" t="n">
        <x:v>9</x:v>
      </x:c>
      <x:c r="E54" t="n">
        <x:v>3</x:v>
      </x:c>
      <x:c r="F54" s="24" t="n">
        <x:f>SUMIFS(tblServiceEvents[Confirmed Revenue],tblServiceEvents[MY_MONTH],A54,tblServiceEvents[Revenue Eligibility],"Eligible")</x:f>
        <x:v>2067.73</x:v>
      </x:c>
      <x:c r="G54" s="24" t="n">
        <x:f>IFERROR(F54/C54,0)</x:f>
        <x:v>159.05615384615385</x:v>
      </x:c>
      <x:c r="H54"/>
      <x:c r="I54"/>
      <x:c r="J54"/>
      <x:c r="K54"/>
      <x:c r="V54" t="str">
        <x:v>Lanham</x:v>
      </x:c>
      <x:c r="W54" t="str">
        <x:v>MD</x:v>
      </x:c>
      <x:c r="X54" t="n">
        <x:v>2</x:v>
      </x:c>
      <x:c r="Y54" t="n">
        <x:v>2</x:v>
      </x:c>
      <x:c r="Z54" s="24" t="n">
        <x:v>290</x:v>
      </x:c>
      <x:c r="AA54" s="24" t="n">
        <x:v>145</x:v>
      </x:c>
      <x:c r="AB54" t="n">
        <x:v>290.000002</x:v>
      </x:c>
      <x:c r="AI54" t="n">
        <x:v>6</x:v>
      </x:c>
      <x:c r="AJ54" t="n">
        <x:v>6</x:v>
      </x:c>
      <x:c r="AK54" t="n">
        <x:v>4</x:v>
      </x:c>
      <x:c r="AL54" s="24" t="n">
        <x:v>522.91</x:v>
      </x:c>
      <x:c r="AM54" s="24" t="n">
        <x:v>2853.41</x:v>
      </x:c>
    </x:row>
    <x:row r="55">
      <x:c r="A55"/>
      <x:c r="B55"/>
      <x:c r="C55"/>
      <x:c r="D55"/>
      <x:c r="E55"/>
      <x:c r="F55"/>
      <x:c r="G55"/>
      <x:c r="H55"/>
      <x:c r="I55"/>
      <x:c r="J55"/>
      <x:c r="K55"/>
      <x:c r="V55" t="str">
        <x:v>Falls Church</x:v>
      </x:c>
      <x:c r="W55" t="str">
        <x:v>VA</x:v>
      </x:c>
      <x:c r="X55" t="n">
        <x:v>1</x:v>
      </x:c>
      <x:c r="Y55" t="n">
        <x:v>1</x:v>
      </x:c>
      <x:c r="Z55" s="24" t="n">
        <x:v>45</x:v>
      </x:c>
      <x:c r="AA55" s="24" t="n">
        <x:v>45</x:v>
      </x:c>
      <x:c r="AB55" t="n">
        <x:v>45.000001</x:v>
      </x:c>
      <x:c r="AI55" t="n">
        <x:v>7</x:v>
      </x:c>
      <x:c r="AJ55" t="n">
        <x:v>8</x:v>
      </x:c>
      <x:c r="AK55" t="n">
        <x:v>8</x:v>
      </x:c>
      <x:c r="AL55" s="24" t="n">
        <x:v>1221.66</x:v>
      </x:c>
      <x:c r="AM55" s="24" t="n">
        <x:v>4075.07</x:v>
      </x:c>
    </x:row>
    <x:row r="56">
      <x:c r="A56"/>
      <x:c r="B56"/>
      <x:c r="C56"/>
      <x:c r="D56"/>
      <x:c r="E56"/>
      <x:c r="F56"/>
      <x:c r="G56"/>
      <x:c r="H56"/>
      <x:c r="I56"/>
      <x:c r="J56"/>
      <x:c r="K56"/>
      <x:c r="V56" t="str">
        <x:v>Ellicott City</x:v>
      </x:c>
      <x:c r="W56" t="str">
        <x:v>MD</x:v>
      </x:c>
      <x:c r="X56" t="n">
        <x:v>1</x:v>
      </x:c>
      <x:c r="Y56" t="n">
        <x:v>1</x:v>
      </x:c>
      <x:c r="Z56" s="24" t="n">
        <x:v>50</x:v>
      </x:c>
      <x:c r="AA56" s="24" t="n">
        <x:v>50</x:v>
      </x:c>
      <x:c r="AB56" t="n">
        <x:v>50.000001</x:v>
      </x:c>
      <x:c r="AI56" t="n">
        <x:v>8</x:v>
      </x:c>
      <x:c r="AJ56" t="n">
        <x:v>9</x:v>
      </x:c>
      <x:c r="AK56" t="n">
        <x:v>9</x:v>
      </x:c>
      <x:c r="AL56" s="24" t="n">
        <x:v>760</x:v>
      </x:c>
      <x:c r="AM56" s="24" t="n">
        <x:v>4835.07</x:v>
      </x:c>
    </x:row>
    <x:row r="57">
      <x:c r="A57" s="235" t="str">
        <x:v>Barrister Leaderboards</x:v>
      </x:c>
      <x:c r="B57" s="235"/>
      <x:c r="C57" s="235"/>
      <x:c r="D57" s="235"/>
      <x:c r="E57" s="235"/>
      <x:c r="F57" s="235"/>
      <x:c r="G57" s="235"/>
      <x:c r="H57" s="235"/>
      <x:c r="I57" s="235"/>
      <x:c r="J57" s="235"/>
      <x:c r="K57" s="235"/>
      <x:c r="L57" s="235"/>
      <x:c r="M57" s="235"/>
      <x:c r="N57" s="235"/>
      <x:c r="O57" s="235"/>
      <x:c r="P57" s="235"/>
      <x:c r="Q57" s="235"/>
      <x:c r="R57" s="235"/>
      <x:c r="S57" s="235"/>
      <x:c r="T57" s="235"/>
      <x:c r="V57" t="str">
        <x:v>Laurel</x:v>
      </x:c>
      <x:c r="W57" t="str">
        <x:v>MD</x:v>
      </x:c>
      <x:c r="X57" t="n">
        <x:v>3</x:v>
      </x:c>
      <x:c r="Y57" t="n">
        <x:v>3</x:v>
      </x:c>
      <x:c r="Z57" s="24" t="n">
        <x:v>284.74</x:v>
      </x:c>
      <x:c r="AA57" s="24" t="n">
        <x:v>94.91333333333334</x:v>
      </x:c>
      <x:c r="AB57" t="n">
        <x:v>284.740003</x:v>
      </x:c>
      <x:c r="AI57" t="n">
        <x:v>9</x:v>
      </x:c>
      <x:c r="AJ57" t="n">
        <x:v>7</x:v>
      </x:c>
      <x:c r="AK57" t="n">
        <x:v>7</x:v>
      </x:c>
      <x:c r="AL57" s="24" t="n">
        <x:v>681.75</x:v>
      </x:c>
      <x:c r="AM57" s="24" t="n">
        <x:v>5516.82</x:v>
      </x:c>
    </x:row>
    <x:row r="58">
      <x:c r="A58" s="235"/>
      <x:c r="B58" s="235"/>
      <x:c r="C58" s="235"/>
      <x:c r="D58" s="235"/>
      <x:c r="E58" s="235"/>
      <x:c r="F58" s="235"/>
      <x:c r="G58" s="235"/>
      <x:c r="H58" s="235"/>
      <x:c r="I58" s="235"/>
      <x:c r="J58" s="235"/>
      <x:c r="K58" s="235"/>
      <x:c r="L58" s="235"/>
      <x:c r="M58" s="235"/>
      <x:c r="N58" s="235"/>
      <x:c r="O58" s="235"/>
      <x:c r="P58" s="235"/>
      <x:c r="Q58" s="235"/>
      <x:c r="R58" s="235"/>
      <x:c r="S58" s="235"/>
      <x:c r="T58" s="235"/>
      <x:c r="V58" t="str">
        <x:v>Bowie</x:v>
      </x:c>
      <x:c r="W58" t="str">
        <x:v>MD</x:v>
      </x:c>
      <x:c r="X58" t="n">
        <x:v>1</x:v>
      </x:c>
      <x:c r="Y58" t="n">
        <x:v>1</x:v>
      </x:c>
      <x:c r="Z58" s="24" t="n">
        <x:v>130</x:v>
      </x:c>
      <x:c r="AA58" s="24" t="n">
        <x:v>130</x:v>
      </x:c>
      <x:c r="AB58" t="n">
        <x:v>130.000001</x:v>
      </x:c>
      <x:c r="AI58" t="n">
        <x:v>10</x:v>
      </x:c>
      <x:c r="AJ58" t="n">
        <x:v>3</x:v>
      </x:c>
      <x:c r="AK58" t="n">
        <x:v>3</x:v>
      </x:c>
      <x:c r="AL58" s="24" t="n">
        <x:v>308.27</x:v>
      </x:c>
      <x:c r="AM58" s="24" t="n">
        <x:v>5825.09</x:v>
      </x:c>
    </x:row>
    <x:row r="59">
      <x:c r="V59" t="str">
        <x:v>Callaway</x:v>
      </x:c>
      <x:c r="W59" t="str">
        <x:v>MD</x:v>
      </x:c>
      <x:c r="X59" t="n">
        <x:v>1</x:v>
      </x:c>
      <x:c r="Y59" t="n">
        <x:v>1</x:v>
      </x:c>
      <x:c r="Z59" s="24" t="n">
        <x:v>90</x:v>
      </x:c>
      <x:c r="AA59" s="24" t="n">
        <x:v>90</x:v>
      </x:c>
      <x:c r="AB59" t="n">
        <x:v>90.000001</x:v>
      </x:c>
      <x:c r="AI59" t="n">
        <x:v>11</x:v>
      </x:c>
      <x:c r="AJ59" t="n">
        <x:v>3</x:v>
      </x:c>
      <x:c r="AK59" t="n">
        <x:v>3</x:v>
      </x:c>
      <x:c r="AL59" s="24" t="n">
        <x:v>410.66</x:v>
      </x:c>
      <x:c r="AM59" s="24" t="n">
        <x:v>6235.75</x:v>
      </x:c>
    </x:row>
    <x:row r="60">
      <x:c r="A60" s="237" t="str">
        <x:v>Top Clients — Confirmed Revenue</x:v>
      </x:c>
      <x:c r="B60" s="237"/>
      <x:c r="C60" s="237"/>
      <x:c r="D60" s="237"/>
      <x:c r="E60" s="237"/>
      <x:c r="F60" s="237"/>
      <x:c r="H60" s="237" t="str">
        <x:v>Most Repeat Clients</x:v>
      </x:c>
      <x:c r="I60" s="237"/>
      <x:c r="J60" s="237"/>
      <x:c r="K60" s="237"/>
      <x:c r="L60" s="237"/>
      <x:c r="M60" s="237"/>
      <x:c r="O60" s="237" t="str">
        <x:v>Best Client Average / Event (2+ Events)</x:v>
      </x:c>
      <x:c r="P60" s="237"/>
      <x:c r="Q60" s="237"/>
      <x:c r="R60" s="237"/>
      <x:c r="S60" s="237"/>
      <x:c r="T60" s="237"/>
      <x:c r="V60" t="str">
        <x:v>Upper Marlboro</x:v>
      </x:c>
      <x:c r="W60" t="str">
        <x:v>MD</x:v>
      </x:c>
      <x:c r="X60" t="n">
        <x:v>1</x:v>
      </x:c>
      <x:c r="Y60" t="n">
        <x:v>1</x:v>
      </x:c>
      <x:c r="Z60" s="24" t="n">
        <x:v>116.24</x:v>
      </x:c>
      <x:c r="AA60" s="24" t="n">
        <x:v>116.24</x:v>
      </x:c>
      <x:c r="AB60" t="n">
        <x:v>116.240001</x:v>
      </x:c>
      <x:c r="AI60" t="n">
        <x:v>12</x:v>
      </x:c>
      <x:c r="AJ60" t="n">
        <x:v>6</x:v>
      </x:c>
      <x:c r="AK60" t="n">
        <x:v>5</x:v>
      </x:c>
      <x:c r="AL60" s="24" t="n">
        <x:v>815.06</x:v>
      </x:c>
      <x:c r="AM60" s="24" t="n">
        <x:v>7050.81</x:v>
      </x:c>
    </x:row>
    <x:row r="61">
      <x:c r="A61" s="238" t="str">
        <x:v>Rank</x:v>
      </x:c>
      <x:c r="B61" s="238" t="str">
        <x:v>Client</x:v>
      </x:c>
      <x:c r="C61" s="238" t="str">
        <x:v>Revenue</x:v>
      </x:c>
      <x:c r="D61" s="238" t="str">
        <x:v>Events</x:v>
      </x:c>
      <x:c r="E61" s="238" t="str">
        <x:v>Avg/Event</x:v>
      </x:c>
      <x:c r="F61" s="238" t="str">
        <x:v>Work Orders</x:v>
      </x:c>
      <x:c r="H61" s="238" t="str">
        <x:v>Rank</x:v>
      </x:c>
      <x:c r="I61" s="238" t="str">
        <x:v>Client</x:v>
      </x:c>
      <x:c r="J61" s="238" t="str">
        <x:v>Events</x:v>
      </x:c>
      <x:c r="K61" s="238" t="str">
        <x:v>Revenue</x:v>
      </x:c>
      <x:c r="L61" s="238" t="str">
        <x:v>Avg/Event</x:v>
      </x:c>
      <x:c r="M61" s="238" t="str">
        <x:v>First Event</x:v>
      </x:c>
      <x:c r="O61" s="238" t="str">
        <x:v>Rank</x:v>
      </x:c>
      <x:c r="P61" s="238" t="str">
        <x:v>Client</x:v>
      </x:c>
      <x:c r="Q61" s="238" t="str">
        <x:v>Avg/Event</x:v>
      </x:c>
      <x:c r="R61" s="238" t="str">
        <x:v>Events</x:v>
      </x:c>
      <x:c r="S61" s="238" t="str">
        <x:v>Revenue</x:v>
      </x:c>
      <x:c r="T61" s="238" t="str">
        <x:v>Avg/WO</x:v>
      </x:c>
      <x:c r="V61" t="str">
        <x:v>Largo</x:v>
      </x:c>
      <x:c r="W61" t="str">
        <x:v>MD</x:v>
      </x:c>
      <x:c r="X61" t="n">
        <x:v>1</x:v>
      </x:c>
      <x:c r="Y61" t="n">
        <x:v>1</x:v>
      </x:c>
      <x:c r="Z61" s="24" t="n">
        <x:v>120</x:v>
      </x:c>
      <x:c r="AA61" s="24" t="n">
        <x:v>120</x:v>
      </x:c>
      <x:c r="AB61" t="n">
        <x:v>120.000001</x:v>
      </x:c>
      <x:c r="AI61" t="n">
        <x:v>13</x:v>
      </x:c>
      <x:c r="AJ61" t="n">
        <x:v>5</x:v>
      </x:c>
      <x:c r="AK61" t="n">
        <x:v>1</x:v>
      </x:c>
      <x:c r="AL61" s="24" t="n">
        <x:v>183.74</x:v>
      </x:c>
      <x:c r="AM61" s="24" t="n">
        <x:v>7234.55</x:v>
      </x:c>
    </x:row>
    <x:row r="62">
      <x:c r="A62" s="192" t="n">
        <x:v>1</x:v>
      </x:c>
      <x:c r="B62" s="192" t="str">
        <x:f>INDEX(tblLeaderboardClients[Client],MATCH(LARGE(tblLeaderboardClients[Revenue Key],A62),tblLeaderboardClients[Revenue Key],0))</x:f>
        <x:v>USDA</x:v>
      </x:c>
      <x:c r="C62" s="193" t="n">
        <x:f>INDEX(tblLeaderboardClients[Revenue],MATCH(LARGE(tblLeaderboardClients[Revenue Key],A62),tblLeaderboardClients[Revenue Key],0))</x:f>
        <x:v>1355</x:v>
      </x:c>
      <x:c r="D62" s="192" t="n">
        <x:f>INDEX(tblLeaderboardClients[Events],MATCH(LARGE(tblLeaderboardClients[Revenue Key],A62),tblLeaderboardClients[Revenue Key],0))</x:f>
        <x:v>6</x:v>
      </x:c>
      <x:c r="E62" s="193" t="n">
        <x:f>INDEX(tblLeaderboardClients[Avg/Event],MATCH(LARGE(tblLeaderboardClients[Revenue Key],A62),tblLeaderboardClients[Revenue Key],0))</x:f>
        <x:v>225.83333333333334</x:v>
      </x:c>
      <x:c r="F62" s="192" t="n">
        <x:f>INDEX(tblLeaderboardClients[Work Orders],MATCH(LARGE(tblLeaderboardClients[Revenue Key],A62),tblLeaderboardClients[Revenue Key],0))</x:f>
        <x:v>6</x:v>
      </x:c>
      <x:c r="H62" s="192" t="n">
        <x:v>1</x:v>
      </x:c>
      <x:c r="I62" s="192" t="str">
        <x:f>INDEX(tblLeaderboardClients[Client],MATCH(LARGE(tblLeaderboardClients[Repeat Key],H62),tblLeaderboardClients[Repeat Key],0))</x:f>
        <x:v>TJ Maxx</x:v>
      </x:c>
      <x:c r="J62" s="192" t="n">
        <x:f>INDEX(tblLeaderboardClients[Events],MATCH(LARGE(tblLeaderboardClients[Repeat Key],H62),tblLeaderboardClients[Repeat Key],0))</x:f>
        <x:v>7</x:v>
      </x:c>
      <x:c r="K62" s="193" t="n">
        <x:f>INDEX(tblLeaderboardClients[Revenue],MATCH(LARGE(tblLeaderboardClients[Repeat Key],H62),tblLeaderboardClients[Repeat Key],0))</x:f>
        <x:v>552.48</x:v>
      </x:c>
      <x:c r="L62" s="193" t="n">
        <x:f>INDEX(tblLeaderboardClients[Avg/Event],MATCH(LARGE(tblLeaderboardClients[Repeat Key],H62),tblLeaderboardClients[Repeat Key],0))</x:f>
        <x:v>110.49600000000001</x:v>
      </x:c>
      <x:c r="M62" s="192" t="n">
        <x:f>INDEX(tblLeaderboardClients[First Event],MATCH(LARGE(tblLeaderboardClients[Repeat Key],H62),tblLeaderboardClients[Repeat Key],0))</x:f>
        <x:v>30</x:v>
      </x:c>
      <x:c r="O62" s="192" t="n">
        <x:v>1</x:v>
      </x:c>
      <x:c r="P62" s="192" t="str">
        <x:f>INDEX(tblLeaderboardClients[Client],MATCH(LARGE(tblLeaderboardClients[Avg Key],O62),tblLeaderboardClients[Avg Key],0))</x:f>
        <x:v>Bloomingdale's</x:v>
      </x:c>
      <x:c r="Q62" s="193" t="n">
        <x:f>INDEX(tblLeaderboardClients[Avg/Event],MATCH(LARGE(tblLeaderboardClients[Avg Key],O62),tblLeaderboardClients[Avg Key],0))</x:f>
        <x:v>344</x:v>
      </x:c>
      <x:c r="R62" s="192" t="n">
        <x:f>INDEX(tblLeaderboardClients[Events],MATCH(LARGE(tblLeaderboardClients[Avg Key],O62),tblLeaderboardClients[Avg Key],0))</x:f>
        <x:v>2</x:v>
      </x:c>
      <x:c r="S62" s="193" t="n">
        <x:f>INDEX(tblLeaderboardClients[Revenue],MATCH(LARGE(tblLeaderboardClients[Avg Key],O62),tblLeaderboardClients[Avg Key],0))</x:f>
        <x:v>688</x:v>
      </x:c>
      <x:c r="T62" s="193" t="n">
        <x:f>INDEX(tblLeaderboardClients[Avg/WO],MATCH(LARGE(tblLeaderboardClients[Avg Key],O62),tblLeaderboardClients[Avg Key],0))</x:f>
        <x:v>344</x:v>
      </x:c>
      <x:c r="V62" t="str">
        <x:v>Reisterstown</x:v>
      </x:c>
      <x:c r="W62" t="str">
        <x:v>MD</x:v>
      </x:c>
      <x:c r="X62" t="n">
        <x:v>1</x:v>
      </x:c>
      <x:c r="Y62" t="n">
        <x:v>1</x:v>
      </x:c>
      <x:c r="Z62" s="24" t="n">
        <x:v>170.66</x:v>
      </x:c>
      <x:c r="AA62" s="24" t="n">
        <x:v>170.66</x:v>
      </x:c>
      <x:c r="AB62" t="n">
        <x:v>170.660001</x:v>
      </x:c>
    </x:row>
    <x:row r="63">
      <x:c r="A63" s="192" t="n">
        <x:v>2</x:v>
      </x:c>
      <x:c r="B63" s="192" t="str">
        <x:f>INDEX(tblLeaderboardClients[Client],MATCH(LARGE(tblLeaderboardClients[Revenue Key],A63),tblLeaderboardClients[Revenue Key],0))</x:f>
        <x:v>Dunkin</x:v>
      </x:c>
      <x:c r="C63" s="193" t="n">
        <x:f>INDEX(tblLeaderboardClients[Revenue],MATCH(LARGE(tblLeaderboardClients[Revenue Key],A63),tblLeaderboardClients[Revenue Key],0))</x:f>
        <x:v>1156.9</x:v>
      </x:c>
      <x:c r="D63" s="192" t="n">
        <x:f>INDEX(tblLeaderboardClients[Events],MATCH(LARGE(tblLeaderboardClients[Revenue Key],A63),tblLeaderboardClients[Revenue Key],0))</x:f>
        <x:v>5</x:v>
      </x:c>
      <x:c r="E63" s="193" t="n">
        <x:f>INDEX(tblLeaderboardClients[Avg/Event],MATCH(LARGE(tblLeaderboardClients[Revenue Key],A63),tblLeaderboardClients[Revenue Key],0))</x:f>
        <x:v>231.38000000000002</x:v>
      </x:c>
      <x:c r="F63" s="192" t="n">
        <x:f>INDEX(tblLeaderboardClients[Work Orders],MATCH(LARGE(tblLeaderboardClients[Revenue Key],A63),tblLeaderboardClients[Revenue Key],0))</x:f>
        <x:v>5</x:v>
      </x:c>
      <x:c r="H63" s="192" t="n">
        <x:v>2</x:v>
      </x:c>
      <x:c r="I63" s="192" t="str">
        <x:f>INDEX(tblLeaderboardClients[Client],MATCH(LARGE(tblLeaderboardClients[Repeat Key],H63),tblLeaderboardClients[Repeat Key],0))</x:f>
        <x:v>USDA</x:v>
      </x:c>
      <x:c r="J63" s="192" t="n">
        <x:f>INDEX(tblLeaderboardClients[Events],MATCH(LARGE(tblLeaderboardClients[Repeat Key],H63),tblLeaderboardClients[Repeat Key],0))</x:f>
        <x:v>6</x:v>
      </x:c>
      <x:c r="K63" s="193" t="n">
        <x:f>INDEX(tblLeaderboardClients[Revenue],MATCH(LARGE(tblLeaderboardClients[Repeat Key],H63),tblLeaderboardClients[Repeat Key],0))</x:f>
        <x:v>1355</x:v>
      </x:c>
      <x:c r="L63" s="193" t="n">
        <x:f>INDEX(tblLeaderboardClients[Avg/Event],MATCH(LARGE(tblLeaderboardClients[Repeat Key],H63),tblLeaderboardClients[Repeat Key],0))</x:f>
        <x:v>225.83333333333334</x:v>
      </x:c>
      <x:c r="M63" s="192" t="n">
        <x:f>INDEX(tblLeaderboardClients[First Event],MATCH(LARGE(tblLeaderboardClients[Repeat Key],H63),tblLeaderboardClients[Repeat Key],0))</x:f>
        <x:v>24</x:v>
      </x:c>
      <x:c r="O63" s="192" t="n">
        <x:v>2</x:v>
      </x:c>
      <x:c r="P63" s="192" t="str">
        <x:f>INDEX(tblLeaderboardClients[Client],MATCH(LARGE(tblLeaderboardClients[Avg Key],O63),tblLeaderboardClients[Avg Key],0))</x:f>
        <x:v>Dunkin</x:v>
      </x:c>
      <x:c r="Q63" s="193" t="n">
        <x:f>INDEX(tblLeaderboardClients[Avg/Event],MATCH(LARGE(tblLeaderboardClients[Avg Key],O63),tblLeaderboardClients[Avg Key],0))</x:f>
        <x:v>231.38000000000002</x:v>
      </x:c>
      <x:c r="R63" s="192" t="n">
        <x:f>INDEX(tblLeaderboardClients[Events],MATCH(LARGE(tblLeaderboardClients[Avg Key],O63),tblLeaderboardClients[Avg Key],0))</x:f>
        <x:v>5</x:v>
      </x:c>
      <x:c r="S63" s="193" t="n">
        <x:f>INDEX(tblLeaderboardClients[Revenue],MATCH(LARGE(tblLeaderboardClients[Avg Key],O63),tblLeaderboardClients[Avg Key],0))</x:f>
        <x:v>1156.9</x:v>
      </x:c>
      <x:c r="T63" s="193" t="n">
        <x:f>INDEX(tblLeaderboardClients[Avg/WO],MATCH(LARGE(tblLeaderboardClients[Avg Key],O63),tblLeaderboardClients[Avg Key],0))</x:f>
        <x:v>231.38000000000002</x:v>
      </x:c>
      <x:c r="V63" t="str">
        <x:v>Lutherville</x:v>
      </x:c>
      <x:c r="W63" t="str">
        <x:v>MD</x:v>
      </x:c>
      <x:c r="X63" t="n">
        <x:v>1</x:v>
      </x:c>
      <x:c r="Y63" t="n">
        <x:v>1</x:v>
      </x:c>
      <x:c r="Z63" s="24" t="n">
        <x:v>202.5</x:v>
      </x:c>
      <x:c r="AA63" s="24" t="n">
        <x:v>202.5</x:v>
      </x:c>
      <x:c r="AB63" t="n">
        <x:v>202.500001</x:v>
      </x:c>
      <x:c r="AI63" s="313" t="str">
        <x:v>Client Type</x:v>
      </x:c>
      <x:c r="AJ63" s="313" t="str">
        <x:v>Clients</x:v>
      </x:c>
    </x:row>
    <x:row r="64">
      <x:c r="A64" s="192" t="n">
        <x:v>3</x:v>
      </x:c>
      <x:c r="B64" s="192" t="str">
        <x:f>INDEX(tblLeaderboardClients[Client],MATCH(LARGE(tblLeaderboardClients[Revenue Key],A64),tblLeaderboardClients[Revenue Key],0))</x:f>
        <x:v>Bloomingdale's</x:v>
      </x:c>
      <x:c r="C64" s="193" t="n">
        <x:f>INDEX(tblLeaderboardClients[Revenue],MATCH(LARGE(tblLeaderboardClients[Revenue Key],A64),tblLeaderboardClients[Revenue Key],0))</x:f>
        <x:v>688</x:v>
      </x:c>
      <x:c r="D64" s="192" t="n">
        <x:f>INDEX(tblLeaderboardClients[Events],MATCH(LARGE(tblLeaderboardClients[Revenue Key],A64),tblLeaderboardClients[Revenue Key],0))</x:f>
        <x:v>2</x:v>
      </x:c>
      <x:c r="E64" s="193" t="n">
        <x:f>INDEX(tblLeaderboardClients[Avg/Event],MATCH(LARGE(tblLeaderboardClients[Revenue Key],A64),tblLeaderboardClients[Revenue Key],0))</x:f>
        <x:v>344</x:v>
      </x:c>
      <x:c r="F64" s="192" t="n">
        <x:f>INDEX(tblLeaderboardClients[Work Orders],MATCH(LARGE(tblLeaderboardClients[Revenue Key],A64),tblLeaderboardClients[Revenue Key],0))</x:f>
        <x:v>2</x:v>
      </x:c>
      <x:c r="H64" s="192" t="n">
        <x:v>3</x:v>
      </x:c>
      <x:c r="I64" s="192" t="str">
        <x:f>INDEX(tblLeaderboardClients[Client],MATCH(LARGE(tblLeaderboardClients[Repeat Key],H64),tblLeaderboardClients[Repeat Key],0))</x:f>
        <x:v>Dunkin</x:v>
      </x:c>
      <x:c r="J64" s="192" t="n">
        <x:f>INDEX(tblLeaderboardClients[Events],MATCH(LARGE(tblLeaderboardClients[Repeat Key],H64),tblLeaderboardClients[Repeat Key],0))</x:f>
        <x:v>5</x:v>
      </x:c>
      <x:c r="K64" s="193" t="n">
        <x:f>INDEX(tblLeaderboardClients[Revenue],MATCH(LARGE(tblLeaderboardClients[Repeat Key],H64),tblLeaderboardClients[Repeat Key],0))</x:f>
        <x:v>1156.9</x:v>
      </x:c>
      <x:c r="L64" s="193" t="n">
        <x:f>INDEX(tblLeaderboardClients[Avg/Event],MATCH(LARGE(tblLeaderboardClients[Repeat Key],H64),tblLeaderboardClients[Repeat Key],0))</x:f>
        <x:v>231.38000000000002</x:v>
      </x:c>
      <x:c r="M64" s="192" t="n">
        <x:f>INDEX(tblLeaderboardClients[First Event],MATCH(LARGE(tblLeaderboardClients[Repeat Key],H64),tblLeaderboardClients[Repeat Key],0))</x:f>
        <x:v>56</x:v>
      </x:c>
      <x:c r="O64" s="192" t="n">
        <x:v>3</x:v>
      </x:c>
      <x:c r="P64" s="192" t="str">
        <x:f>INDEX(tblLeaderboardClients[Client],MATCH(LARGE(tblLeaderboardClients[Avg Key],O64),tblLeaderboardClients[Avg Key],0))</x:f>
        <x:v>USDA</x:v>
      </x:c>
      <x:c r="Q64" s="193" t="n">
        <x:f>INDEX(tblLeaderboardClients[Avg/Event],MATCH(LARGE(tblLeaderboardClients[Avg Key],O64),tblLeaderboardClients[Avg Key],0))</x:f>
        <x:v>225.83333333333334</x:v>
      </x:c>
      <x:c r="R64" s="192" t="n">
        <x:f>INDEX(tblLeaderboardClients[Events],MATCH(LARGE(tblLeaderboardClients[Avg Key],O64),tblLeaderboardClients[Avg Key],0))</x:f>
        <x:v>6</x:v>
      </x:c>
      <x:c r="S64" s="193" t="n">
        <x:f>INDEX(tblLeaderboardClients[Revenue],MATCH(LARGE(tblLeaderboardClients[Avg Key],O64),tblLeaderboardClients[Avg Key],0))</x:f>
        <x:v>1355</x:v>
      </x:c>
      <x:c r="T64" s="193" t="n">
        <x:f>INDEX(tblLeaderboardClients[Avg/WO],MATCH(LARGE(tblLeaderboardClients[Avg Key],O64),tblLeaderboardClients[Avg Key],0))</x:f>
        <x:v>225.83333333333334</x:v>
      </x:c>
      <x:c r="V64" t="str">
        <x:v>Aberdeen</x:v>
      </x:c>
      <x:c r="W64" t="str">
        <x:v>MD</x:v>
      </x:c>
      <x:c r="X64" t="n">
        <x:v>2</x:v>
      </x:c>
      <x:c r="Y64" t="n">
        <x:v>2</x:v>
      </x:c>
      <x:c r="Z64" s="24" t="n">
        <x:v>433.74</x:v>
      </x:c>
      <x:c r="AA64" s="24" t="n">
        <x:v>216.87</x:v>
      </x:c>
      <x:c r="AB64" t="n">
        <x:v>433.740002</x:v>
      </x:c>
      <x:c r="AI64" t="str">
        <x:v>Repeat</x:v>
      </x:c>
      <x:c r="AJ64" t="n">
        <x:v>19</x:v>
      </x:c>
    </x:row>
    <x:row r="65">
      <x:c r="A65" s="192" t="n">
        <x:v>4</x:v>
      </x:c>
      <x:c r="B65" s="192" t="str">
        <x:f>INDEX(tblLeaderboardClients[Client],MATCH(LARGE(tblLeaderboardClients[Revenue Key],A65),tblLeaderboardClients[Revenue Key],0))</x:f>
        <x:v>TJ Maxx</x:v>
      </x:c>
      <x:c r="C65" s="193" t="n">
        <x:f>INDEX(tblLeaderboardClients[Revenue],MATCH(LARGE(tblLeaderboardClients[Revenue Key],A65),tblLeaderboardClients[Revenue Key],0))</x:f>
        <x:v>552.48</x:v>
      </x:c>
      <x:c r="D65" s="192" t="n">
        <x:f>INDEX(tblLeaderboardClients[Events],MATCH(LARGE(tblLeaderboardClients[Revenue Key],A65),tblLeaderboardClients[Revenue Key],0))</x:f>
        <x:v>7</x:v>
      </x:c>
      <x:c r="E65" s="193" t="n">
        <x:f>INDEX(tblLeaderboardClients[Avg/Event],MATCH(LARGE(tblLeaderboardClients[Revenue Key],A65),tblLeaderboardClients[Revenue Key],0))</x:f>
        <x:v>110.49600000000001</x:v>
      </x:c>
      <x:c r="F65" s="192" t="n">
        <x:f>INDEX(tblLeaderboardClients[Work Orders],MATCH(LARGE(tblLeaderboardClients[Revenue Key],A65),tblLeaderboardClients[Revenue Key],0))</x:f>
        <x:v>7</x:v>
      </x:c>
      <x:c r="H65" s="192" t="n">
        <x:v>4</x:v>
      </x:c>
      <x:c r="I65" s="192" t="str">
        <x:f>INDEX(tblLeaderboardClients[Client],MATCH(LARGE(tblLeaderboardClients[Repeat Key],H65),tblLeaderboardClients[Repeat Key],0))</x:f>
        <x:v>Marshalls</x:v>
      </x:c>
      <x:c r="J65" s="192" t="n">
        <x:f>INDEX(tblLeaderboardClients[Events],MATCH(LARGE(tblLeaderboardClients[Repeat Key],H65),tblLeaderboardClients[Repeat Key],0))</x:f>
        <x:v>5</x:v>
      </x:c>
      <x:c r="K65" s="193" t="n">
        <x:f>INDEX(tblLeaderboardClients[Revenue],MATCH(LARGE(tblLeaderboardClients[Repeat Key],H65),tblLeaderboardClients[Repeat Key],0))</x:f>
        <x:v>283.75</x:v>
      </x:c>
      <x:c r="L65" s="193" t="n">
        <x:f>INDEX(tblLeaderboardClients[Avg/Event],MATCH(LARGE(tblLeaderboardClients[Repeat Key],H65),tblLeaderboardClients[Repeat Key],0))</x:f>
        <x:v>94.58333333333333</x:v>
      </x:c>
      <x:c r="M65" s="192" t="n">
        <x:f>INDEX(tblLeaderboardClients[First Event],MATCH(LARGE(tblLeaderboardClients[Repeat Key],H65),tblLeaderboardClients[Repeat Key],0))</x:f>
        <x:v>35</x:v>
      </x:c>
      <x:c r="O65" s="192" t="n">
        <x:v>4</x:v>
      </x:c>
      <x:c r="P65" s="192" t="str">
        <x:f>INDEX(tblLeaderboardClients[Client],MATCH(LARGE(tblLeaderboardClients[Avg Key],O65),tblLeaderboardClients[Avg Key],0))</x:f>
        <x:v>7-Eleven</x:v>
      </x:c>
      <x:c r="Q65" s="193" t="n">
        <x:f>INDEX(tblLeaderboardClients[Avg/Event],MATCH(LARGE(tblLeaderboardClients[Avg Key],O65),tblLeaderboardClients[Avg Key],0))</x:f>
        <x:v>180</x:v>
      </x:c>
      <x:c r="R65" s="192" t="n">
        <x:f>INDEX(tblLeaderboardClients[Events],MATCH(LARGE(tblLeaderboardClients[Avg Key],O65),tblLeaderboardClients[Avg Key],0))</x:f>
        <x:v>3</x:v>
      </x:c>
      <x:c r="S65" s="193" t="n">
        <x:f>INDEX(tblLeaderboardClients[Revenue],MATCH(LARGE(tblLeaderboardClients[Avg Key],O65),tblLeaderboardClients[Avg Key],0))</x:f>
        <x:v>360</x:v>
      </x:c>
      <x:c r="T65" s="193" t="n">
        <x:f>INDEX(tblLeaderboardClients[Avg/WO],MATCH(LARGE(tblLeaderboardClients[Avg Key],O65),tblLeaderboardClients[Avg Key],0))</x:f>
        <x:v>180</x:v>
      </x:c>
      <x:c r="V65" t="str">
        <x:v>Germantown</x:v>
      </x:c>
      <x:c r="W65" t="str">
        <x:v>MD</x:v>
      </x:c>
      <x:c r="X65" t="n">
        <x:v>1</x:v>
      </x:c>
      <x:c r="Y65" t="n">
        <x:v>1</x:v>
      </x:c>
      <x:c r="Z65" s="24" t="n">
        <x:v>194.99</x:v>
      </x:c>
      <x:c r="AA65" s="24" t="n">
        <x:v>194.99</x:v>
      </x:c>
      <x:c r="AB65" t="n">
        <x:v>194.990001</x:v>
      </x:c>
      <x:c r="AI65" t="str">
        <x:v>One-Time</x:v>
      </x:c>
      <x:c r="AJ65" t="n">
        <x:v>8</x:v>
      </x:c>
    </x:row>
    <x:row r="66">
      <x:c r="A66" s="192" t="n">
        <x:v>5</x:v>
      </x:c>
      <x:c r="B66" s="192" t="str">
        <x:f>INDEX(tblLeaderboardClients[Client],MATCH(LARGE(tblLeaderboardClients[Revenue Key],A66),tblLeaderboardClients[Revenue Key],0))</x:f>
        <x:v>Macy's</x:v>
      </x:c>
      <x:c r="C66" s="193" t="n">
        <x:f>INDEX(tblLeaderboardClients[Revenue],MATCH(LARGE(tblLeaderboardClients[Revenue Key],A66),tblLeaderboardClients[Revenue Key],0))</x:f>
        <x:v>450</x:v>
      </x:c>
      <x:c r="D66" s="192" t="n">
        <x:f>INDEX(tblLeaderboardClients[Events],MATCH(LARGE(tblLeaderboardClients[Revenue Key],A66),tblLeaderboardClients[Revenue Key],0))</x:f>
        <x:v>3</x:v>
      </x:c>
      <x:c r="E66" s="193" t="n">
        <x:f>INDEX(tblLeaderboardClients[Avg/Event],MATCH(LARGE(tblLeaderboardClients[Revenue Key],A66),tblLeaderboardClients[Revenue Key],0))</x:f>
        <x:v>150</x:v>
      </x:c>
      <x:c r="F66" s="192" t="n">
        <x:f>INDEX(tblLeaderboardClients[Work Orders],MATCH(LARGE(tblLeaderboardClients[Revenue Key],A66),tblLeaderboardClients[Revenue Key],0))</x:f>
        <x:v>3</x:v>
      </x:c>
      <x:c r="H66" s="192" t="n">
        <x:v>5</x:v>
      </x:c>
      <x:c r="I66" s="192" t="str">
        <x:f>INDEX(tblLeaderboardClients[Client],MATCH(LARGE(tblLeaderboardClients[Repeat Key],H66),tblLeaderboardClients[Repeat Key],0))</x:f>
        <x:v>Giant Food Stores</x:v>
      </x:c>
      <x:c r="J66" s="192" t="n">
        <x:f>INDEX(tblLeaderboardClients[Events],MATCH(LARGE(tblLeaderboardClients[Repeat Key],H66),tblLeaderboardClients[Repeat Key],0))</x:f>
        <x:v>4</x:v>
      </x:c>
      <x:c r="K66" s="193" t="n">
        <x:f>INDEX(tblLeaderboardClients[Revenue],MATCH(LARGE(tblLeaderboardClients[Repeat Key],H66),tblLeaderboardClients[Repeat Key],0))</x:f>
        <x:v>375</x:v>
      </x:c>
      <x:c r="L66" s="193" t="n">
        <x:f>INDEX(tblLeaderboardClients[Avg/Event],MATCH(LARGE(tblLeaderboardClients[Repeat Key],H66),tblLeaderboardClients[Repeat Key],0))</x:f>
        <x:v>125</x:v>
      </x:c>
      <x:c r="M66" s="192" t="n">
        <x:f>INDEX(tblLeaderboardClients[First Event],MATCH(LARGE(tblLeaderboardClients[Repeat Key],H66),tblLeaderboardClients[Repeat Key],0))</x:f>
        <x:v>10</x:v>
      </x:c>
      <x:c r="O66" s="192" t="n">
        <x:v>5</x:v>
      </x:c>
      <x:c r="P66" s="192" t="str">
        <x:f>INDEX(tblLeaderboardClients[Client],MATCH(LARGE(tblLeaderboardClients[Avg Key],O66),tblLeaderboardClients[Avg Key],0))</x:f>
        <x:v>Macy's</x:v>
      </x:c>
      <x:c r="Q66" s="193" t="n">
        <x:f>INDEX(tblLeaderboardClients[Avg/Event],MATCH(LARGE(tblLeaderboardClients[Avg Key],O66),tblLeaderboardClients[Avg Key],0))</x:f>
        <x:v>150</x:v>
      </x:c>
      <x:c r="R66" s="192" t="n">
        <x:f>INDEX(tblLeaderboardClients[Events],MATCH(LARGE(tblLeaderboardClients[Avg Key],O66),tblLeaderboardClients[Avg Key],0))</x:f>
        <x:v>3</x:v>
      </x:c>
      <x:c r="S66" s="193" t="n">
        <x:f>INDEX(tblLeaderboardClients[Revenue],MATCH(LARGE(tblLeaderboardClients[Avg Key],O66),tblLeaderboardClients[Avg Key],0))</x:f>
        <x:v>450</x:v>
      </x:c>
      <x:c r="T66" s="193" t="n">
        <x:f>INDEX(tblLeaderboardClients[Avg/WO],MATCH(LARGE(tblLeaderboardClients[Avg Key],O66),tblLeaderboardClients[Avg Key],0))</x:f>
        <x:v>150</x:v>
      </x:c>
      <x:c r="V66" t="str">
        <x:v>Martinsburg</x:v>
      </x:c>
      <x:c r="W66" t="str">
        <x:v>WV</x:v>
      </x:c>
      <x:c r="X66" t="n">
        <x:v>1</x:v>
      </x:c>
      <x:c r="Y66" t="n">
        <x:v>1</x:v>
      </x:c>
      <x:c r="Z66" s="24" t="n">
        <x:v>100.83</x:v>
      </x:c>
      <x:c r="AA66" s="24" t="n">
        <x:v>100.83</x:v>
      </x:c>
      <x:c r="AB66" t="n">
        <x:v>100.830001</x:v>
      </x:c>
    </x:row>
    <x:row r="67">
      <x:c r="A67" s="192" t="n">
        <x:v>6</x:v>
      </x:c>
      <x:c r="B67" s="192" t="str">
        <x:f>INDEX(tblLeaderboardClients[Client],MATCH(LARGE(tblLeaderboardClients[Revenue Key],A67),tblLeaderboardClients[Revenue Key],0))</x:f>
        <x:v>Giant Food Stores</x:v>
      </x:c>
      <x:c r="C67" s="193" t="n">
        <x:f>INDEX(tblLeaderboardClients[Revenue],MATCH(LARGE(tblLeaderboardClients[Revenue Key],A67),tblLeaderboardClients[Revenue Key],0))</x:f>
        <x:v>375</x:v>
      </x:c>
      <x:c r="D67" s="192" t="n">
        <x:f>INDEX(tblLeaderboardClients[Events],MATCH(LARGE(tblLeaderboardClients[Revenue Key],A67),tblLeaderboardClients[Revenue Key],0))</x:f>
        <x:v>4</x:v>
      </x:c>
      <x:c r="E67" s="193" t="n">
        <x:f>INDEX(tblLeaderboardClients[Avg/Event],MATCH(LARGE(tblLeaderboardClients[Revenue Key],A67),tblLeaderboardClients[Revenue Key],0))</x:f>
        <x:v>125</x:v>
      </x:c>
      <x:c r="F67" s="192" t="n">
        <x:f>INDEX(tblLeaderboardClients[Work Orders],MATCH(LARGE(tblLeaderboardClients[Revenue Key],A67),tblLeaderboardClients[Revenue Key],0))</x:f>
        <x:v>4</x:v>
      </x:c>
      <x:c r="H67" s="192" t="n">
        <x:v>6</x:v>
      </x:c>
      <x:c r="I67" s="192" t="str">
        <x:f>INDEX(tblLeaderboardClients[Client],MATCH(LARGE(tblLeaderboardClients[Repeat Key],H67),tblLeaderboardClients[Repeat Key],0))</x:f>
        <x:v>Hebrew Home of Greater Washington</x:v>
      </x:c>
      <x:c r="J67" s="192" t="n">
        <x:f>INDEX(tblLeaderboardClients[Events],MATCH(LARGE(tblLeaderboardClients[Repeat Key],H67),tblLeaderboardClients[Repeat Key],0))</x:f>
        <x:v>4</x:v>
      </x:c>
      <x:c r="K67" s="193" t="n">
        <x:f>INDEX(tblLeaderboardClients[Revenue],MATCH(LARGE(tblLeaderboardClients[Repeat Key],H67),tblLeaderboardClients[Repeat Key],0))</x:f>
        <x:v>225</x:v>
      </x:c>
      <x:c r="L67" s="193" t="n">
        <x:f>INDEX(tblLeaderboardClients[Avg/Event],MATCH(LARGE(tblLeaderboardClients[Repeat Key],H67),tblLeaderboardClients[Repeat Key],0))</x:f>
        <x:v>56.25</x:v>
      </x:c>
      <x:c r="M67" s="192" t="n">
        <x:f>INDEX(tblLeaderboardClients[First Event],MATCH(LARGE(tblLeaderboardClients[Repeat Key],H67),tblLeaderboardClients[Repeat Key],0))</x:f>
        <x:v>8</x:v>
      </x:c>
      <x:c r="O67" s="192" t="n">
        <x:v>6</x:v>
      </x:c>
      <x:c r="P67" s="192" t="str">
        <x:f>INDEX(tblLeaderboardClients[Client],MATCH(LARGE(tblLeaderboardClients[Avg Key],O67),tblLeaderboardClients[Avg Key],0))</x:f>
        <x:v>Under Armour</x:v>
      </x:c>
      <x:c r="Q67" s="193" t="n">
        <x:f>INDEX(tblLeaderboardClients[Avg/Event],MATCH(LARGE(tblLeaderboardClients[Avg Key],O67),tblLeaderboardClients[Avg Key],0))</x:f>
        <x:v>130</x:v>
      </x:c>
      <x:c r="R67" s="192" t="n">
        <x:f>INDEX(tblLeaderboardClients[Events],MATCH(LARGE(tblLeaderboardClients[Avg Key],O67),tblLeaderboardClients[Avg Key],0))</x:f>
        <x:v>2</x:v>
      </x:c>
      <x:c r="S67" s="193" t="n">
        <x:f>INDEX(tblLeaderboardClients[Revenue],MATCH(LARGE(tblLeaderboardClients[Avg Key],O67),tblLeaderboardClients[Avg Key],0))</x:f>
        <x:v>260</x:v>
      </x:c>
      <x:c r="T67" s="193" t="n">
        <x:f>INDEX(tblLeaderboardClients[Avg/WO],MATCH(LARGE(tblLeaderboardClients[Avg Key],O67),tblLeaderboardClients[Avg Key],0))</x:f>
        <x:v>130</x:v>
      </x:c>
      <x:c r="V67" t="str">
        <x:v>Cockeysville</x:v>
      </x:c>
      <x:c r="W67" t="str">
        <x:v>MD</x:v>
      </x:c>
      <x:c r="X67" t="n">
        <x:v>1</x:v>
      </x:c>
      <x:c r="Y67" t="n">
        <x:v>0</x:v>
      </x:c>
      <x:c r="Z67" t="n">
        <x:v>0</x:v>
      </x:c>
      <x:c r="AA67" t="n">
        <x:v>0</x:v>
      </x:c>
      <x:c r="AB67" t="n">
        <x:v>0.000001</x:v>
      </x:c>
    </x:row>
    <x:row r="68">
      <x:c r="A68" s="192" t="n">
        <x:v>7</x:v>
      </x:c>
      <x:c r="B68" s="192" t="str">
        <x:f>INDEX(tblLeaderboardClients[Client],MATCH(LARGE(tblLeaderboardClients[Revenue Key],A68),tblLeaderboardClients[Revenue Key],0))</x:f>
        <x:v>Food Lion</x:v>
      </x:c>
      <x:c r="C68" s="193" t="n">
        <x:f>INDEX(tblLeaderboardClients[Revenue],MATCH(LARGE(tblLeaderboardClients[Revenue Key],A68),tblLeaderboardClients[Revenue Key],0))</x:f>
        <x:v>371.65</x:v>
      </x:c>
      <x:c r="D68" s="192" t="n">
        <x:f>INDEX(tblLeaderboardClients[Events],MATCH(LARGE(tblLeaderboardClients[Revenue Key],A68),tblLeaderboardClients[Revenue Key],0))</x:f>
        <x:v>3</x:v>
      </x:c>
      <x:c r="E68" s="193" t="n">
        <x:f>INDEX(tblLeaderboardClients[Avg/Event],MATCH(LARGE(tblLeaderboardClients[Revenue Key],A68),tblLeaderboardClients[Revenue Key],0))</x:f>
        <x:v>123.88333333333333</x:v>
      </x:c>
      <x:c r="F68" s="192" t="n">
        <x:f>INDEX(tblLeaderboardClients[Work Orders],MATCH(LARGE(tblLeaderboardClients[Revenue Key],A68),tblLeaderboardClients[Revenue Key],0))</x:f>
        <x:v>3</x:v>
      </x:c>
      <x:c r="H68" s="192" t="n">
        <x:v>7</x:v>
      </x:c>
      <x:c r="I68" s="192" t="str">
        <x:f>INDEX(tblLeaderboardClients[Client],MATCH(LARGE(tblLeaderboardClients[Repeat Key],H68),tblLeaderboardClients[Repeat Key],0))</x:f>
        <x:v>Macy's</x:v>
      </x:c>
      <x:c r="J68" s="192" t="n">
        <x:f>INDEX(tblLeaderboardClients[Events],MATCH(LARGE(tblLeaderboardClients[Repeat Key],H68),tblLeaderboardClients[Repeat Key],0))</x:f>
        <x:v>3</x:v>
      </x:c>
      <x:c r="K68" s="193" t="n">
        <x:f>INDEX(tblLeaderboardClients[Revenue],MATCH(LARGE(tblLeaderboardClients[Repeat Key],H68),tblLeaderboardClients[Repeat Key],0))</x:f>
        <x:v>450</x:v>
      </x:c>
      <x:c r="L68" s="193" t="n">
        <x:f>INDEX(tblLeaderboardClients[Avg/Event],MATCH(LARGE(tblLeaderboardClients[Repeat Key],H68),tblLeaderboardClients[Repeat Key],0))</x:f>
        <x:v>150</x:v>
      </x:c>
      <x:c r="M68" s="192" t="n">
        <x:f>INDEX(tblLeaderboardClients[First Event],MATCH(LARGE(tblLeaderboardClients[Repeat Key],H68),tblLeaderboardClients[Repeat Key],0))</x:f>
        <x:v>1</x:v>
      </x:c>
      <x:c r="O68" s="192" t="n">
        <x:v>7</x:v>
      </x:c>
      <x:c r="P68" s="192" t="str">
        <x:f>INDEX(tblLeaderboardClients[Client],MATCH(LARGE(tblLeaderboardClients[Avg Key],O68),tblLeaderboardClients[Avg Key],0))</x:f>
        <x:v>Giant Food Stores</x:v>
      </x:c>
      <x:c r="Q68" s="193" t="n">
        <x:f>INDEX(tblLeaderboardClients[Avg/Event],MATCH(LARGE(tblLeaderboardClients[Avg Key],O68),tblLeaderboardClients[Avg Key],0))</x:f>
        <x:v>125</x:v>
      </x:c>
      <x:c r="R68" s="192" t="n">
        <x:f>INDEX(tblLeaderboardClients[Events],MATCH(LARGE(tblLeaderboardClients[Avg Key],O68),tblLeaderboardClients[Avg Key],0))</x:f>
        <x:v>4</x:v>
      </x:c>
      <x:c r="S68" s="193" t="n">
        <x:f>INDEX(tblLeaderboardClients[Revenue],MATCH(LARGE(tblLeaderboardClients[Avg Key],O68),tblLeaderboardClients[Avg Key],0))</x:f>
        <x:v>375</x:v>
      </x:c>
      <x:c r="T68" s="193" t="n">
        <x:f>INDEX(tblLeaderboardClients[Avg/WO],MATCH(LARGE(tblLeaderboardClients[Avg Key],O68),tblLeaderboardClients[Avg Key],0))</x:f>
        <x:v>125</x:v>
      </x:c>
      <x:c r="V68" t="str">
        <x:v>Hagerstown</x:v>
      </x:c>
      <x:c r="W68" t="str">
        <x:v>MD</x:v>
      </x:c>
      <x:c r="X68" t="n">
        <x:v>1</x:v>
      </x:c>
      <x:c r="Y68" t="n">
        <x:v>0</x:v>
      </x:c>
      <x:c r="Z68" t="n">
        <x:v>0</x:v>
      </x:c>
      <x:c r="AA68" t="n">
        <x:v>0</x:v>
      </x:c>
      <x:c r="AB68" t="n">
        <x:v>0.000001</x:v>
      </x:c>
    </x:row>
    <x:row r="69">
      <x:c r="A69" s="192" t="n">
        <x:v>8</x:v>
      </x:c>
      <x:c r="B69" s="192" t="str">
        <x:f>INDEX(tblLeaderboardClients[Client],MATCH(LARGE(tblLeaderboardClients[Revenue Key],A69),tblLeaderboardClients[Revenue Key],0))</x:f>
        <x:v>7-Eleven</x:v>
      </x:c>
      <x:c r="C69" s="193" t="n">
        <x:f>INDEX(tblLeaderboardClients[Revenue],MATCH(LARGE(tblLeaderboardClients[Revenue Key],A69),tblLeaderboardClients[Revenue Key],0))</x:f>
        <x:v>360</x:v>
      </x:c>
      <x:c r="D69" s="192" t="n">
        <x:f>INDEX(tblLeaderboardClients[Events],MATCH(LARGE(tblLeaderboardClients[Revenue Key],A69),tblLeaderboardClients[Revenue Key],0))</x:f>
        <x:v>3</x:v>
      </x:c>
      <x:c r="E69" s="193" t="n">
        <x:f>INDEX(tblLeaderboardClients[Avg/Event],MATCH(LARGE(tblLeaderboardClients[Revenue Key],A69),tblLeaderboardClients[Revenue Key],0))</x:f>
        <x:v>180</x:v>
      </x:c>
      <x:c r="F69" s="192" t="n">
        <x:f>INDEX(tblLeaderboardClients[Work Orders],MATCH(LARGE(tblLeaderboardClients[Revenue Key],A69),tblLeaderboardClients[Revenue Key],0))</x:f>
        <x:v>3</x:v>
      </x:c>
      <x:c r="H69" s="192" t="n">
        <x:v>8</x:v>
      </x:c>
      <x:c r="I69" s="192" t="str">
        <x:f>INDEX(tblLeaderboardClients[Client],MATCH(LARGE(tblLeaderboardClients[Repeat Key],H69),tblLeaderboardClients[Repeat Key],0))</x:f>
        <x:v>Food Lion</x:v>
      </x:c>
      <x:c r="J69" s="192" t="n">
        <x:f>INDEX(tblLeaderboardClients[Events],MATCH(LARGE(tblLeaderboardClients[Repeat Key],H69),tblLeaderboardClients[Repeat Key],0))</x:f>
        <x:v>3</x:v>
      </x:c>
      <x:c r="K69" s="193" t="n">
        <x:f>INDEX(tblLeaderboardClients[Revenue],MATCH(LARGE(tblLeaderboardClients[Repeat Key],H69),tblLeaderboardClients[Repeat Key],0))</x:f>
        <x:v>371.65</x:v>
      </x:c>
      <x:c r="L69" s="193" t="n">
        <x:f>INDEX(tblLeaderboardClients[Avg/Event],MATCH(LARGE(tblLeaderboardClients[Repeat Key],H69),tblLeaderboardClients[Repeat Key],0))</x:f>
        <x:v>123.88333333333333</x:v>
      </x:c>
      <x:c r="M69" s="192" t="n">
        <x:f>INDEX(tblLeaderboardClients[First Event],MATCH(LARGE(tblLeaderboardClients[Repeat Key],H69),tblLeaderboardClients[Repeat Key],0))</x:f>
        <x:v>11</x:v>
      </x:c>
      <x:c r="O69" s="192" t="n">
        <x:v>8</x:v>
      </x:c>
      <x:c r="P69" s="192" t="str">
        <x:f>INDEX(tblLeaderboardClients[Client],MATCH(LARGE(tblLeaderboardClients[Avg Key],O69),tblLeaderboardClients[Avg Key],0))</x:f>
        <x:v>Office of MD Senator Angela Alsobrooks</x:v>
      </x:c>
      <x:c r="Q69" s="193" t="n">
        <x:f>INDEX(tblLeaderboardClients[Avg/Event],MATCH(LARGE(tblLeaderboardClients[Avg Key],O69),tblLeaderboardClients[Avg Key],0))</x:f>
        <x:v>125</x:v>
      </x:c>
      <x:c r="R69" s="192" t="n">
        <x:f>INDEX(tblLeaderboardClients[Events],MATCH(LARGE(tblLeaderboardClients[Avg Key],O69),tblLeaderboardClients[Avg Key],0))</x:f>
        <x:v>2</x:v>
      </x:c>
      <x:c r="S69" s="193" t="n">
        <x:f>INDEX(tblLeaderboardClients[Revenue],MATCH(LARGE(tblLeaderboardClients[Avg Key],O69),tblLeaderboardClients[Avg Key],0))</x:f>
        <x:v>250</x:v>
      </x:c>
      <x:c r="T69" s="193" t="n">
        <x:f>INDEX(tblLeaderboardClients[Avg/WO],MATCH(LARGE(tblLeaderboardClients[Avg Key],O69),tblLeaderboardClients[Avg Key],0))</x:f>
        <x:v>125</x:v>
      </x:c>
      <x:c r="V69" s="231" t="str">
        <x:v>Hanover</x:v>
      </x:c>
      <x:c r="W69" s="231" t="str">
        <x:v>MD</x:v>
      </x:c>
      <x:c r="X69" s="231" t="n">
        <x:v>2</x:v>
      </x:c>
      <x:c r="Y69" s="231" t="n">
        <x:v>2</x:v>
      </x:c>
      <x:c r="Z69" s="231" t="n">
        <x:v>260</x:v>
      </x:c>
      <x:c r="AA69" s="231" t="n">
        <x:v>130</x:v>
      </x:c>
      <x:c r="AB69" s="231" t="n">
        <x:v>260.000002</x:v>
      </x:c>
    </x:row>
    <x:row r="70">
      <x:c r="A70" s="192" t="n">
        <x:v>9</x:v>
      </x:c>
      <x:c r="B70" s="192" t="str">
        <x:f>INDEX(tblLeaderboardClients[Client],MATCH(LARGE(tblLeaderboardClients[Revenue Key],A70),tblLeaderboardClients[Revenue Key],0))</x:f>
        <x:v>Marshalls</x:v>
      </x:c>
      <x:c r="C70" s="193" t="n">
        <x:f>INDEX(tblLeaderboardClients[Revenue],MATCH(LARGE(tblLeaderboardClients[Revenue Key],A70),tblLeaderboardClients[Revenue Key],0))</x:f>
        <x:v>283.75</x:v>
      </x:c>
      <x:c r="D70" s="192" t="n">
        <x:f>INDEX(tblLeaderboardClients[Events],MATCH(LARGE(tblLeaderboardClients[Revenue Key],A70),tblLeaderboardClients[Revenue Key],0))</x:f>
        <x:v>5</x:v>
      </x:c>
      <x:c r="E70" s="193" t="n">
        <x:f>INDEX(tblLeaderboardClients[Avg/Event],MATCH(LARGE(tblLeaderboardClients[Revenue Key],A70),tblLeaderboardClients[Revenue Key],0))</x:f>
        <x:v>94.58333333333333</x:v>
      </x:c>
      <x:c r="F70" s="192" t="n">
        <x:f>INDEX(tblLeaderboardClients[Work Orders],MATCH(LARGE(tblLeaderboardClients[Revenue Key],A70),tblLeaderboardClients[Revenue Key],0))</x:f>
        <x:v>5</x:v>
      </x:c>
      <x:c r="H70" s="192" t="n">
        <x:v>9</x:v>
      </x:c>
      <x:c r="I70" s="192" t="str">
        <x:f>INDEX(tblLeaderboardClients[Client],MATCH(LARGE(tblLeaderboardClients[Repeat Key],H70),tblLeaderboardClients[Repeat Key],0))</x:f>
        <x:v>7-Eleven</x:v>
      </x:c>
      <x:c r="J70" s="192" t="n">
        <x:f>INDEX(tblLeaderboardClients[Events],MATCH(LARGE(tblLeaderboardClients[Repeat Key],H70),tblLeaderboardClients[Repeat Key],0))</x:f>
        <x:v>3</x:v>
      </x:c>
      <x:c r="K70" s="193" t="n">
        <x:f>INDEX(tblLeaderboardClients[Revenue],MATCH(LARGE(tblLeaderboardClients[Repeat Key],H70),tblLeaderboardClients[Repeat Key],0))</x:f>
        <x:v>360</x:v>
      </x:c>
      <x:c r="L70" s="193" t="n">
        <x:f>INDEX(tblLeaderboardClients[Avg/Event],MATCH(LARGE(tblLeaderboardClients[Repeat Key],H70),tblLeaderboardClients[Repeat Key],0))</x:f>
        <x:v>180</x:v>
      </x:c>
      <x:c r="M70" s="192" t="n">
        <x:f>INDEX(tblLeaderboardClients[First Event],MATCH(LARGE(tblLeaderboardClients[Repeat Key],H70),tblLeaderboardClients[Repeat Key],0))</x:f>
        <x:v>9</x:v>
      </x:c>
      <x:c r="O70" s="192" t="n">
        <x:v>9</x:v>
      </x:c>
      <x:c r="P70" s="192" t="str">
        <x:f>INDEX(tblLeaderboardClients[Client],MATCH(LARGE(tblLeaderboardClients[Avg Key],O70),tblLeaderboardClients[Avg Key],0))</x:f>
        <x:v>Food Lion</x:v>
      </x:c>
      <x:c r="Q70" s="193" t="n">
        <x:f>INDEX(tblLeaderboardClients[Avg/Event],MATCH(LARGE(tblLeaderboardClients[Avg Key],O70),tblLeaderboardClients[Avg Key],0))</x:f>
        <x:v>123.88333333333333</x:v>
      </x:c>
      <x:c r="R70" s="192" t="n">
        <x:f>INDEX(tblLeaderboardClients[Events],MATCH(LARGE(tblLeaderboardClients[Avg Key],O70),tblLeaderboardClients[Avg Key],0))</x:f>
        <x:v>3</x:v>
      </x:c>
      <x:c r="S70" s="193" t="n">
        <x:f>INDEX(tblLeaderboardClients[Revenue],MATCH(LARGE(tblLeaderboardClients[Avg Key],O70),tblLeaderboardClients[Avg Key],0))</x:f>
        <x:v>371.65</x:v>
      </x:c>
      <x:c r="T70" s="193" t="n">
        <x:f>INDEX(tblLeaderboardClients[Avg/WO],MATCH(LARGE(tblLeaderboardClients[Avg Key],O70),tblLeaderboardClients[Avg Key],0))</x:f>
        <x:v>123.88333333333333</x:v>
      </x:c>
      <x:c r="V70" t="str">
        <x:v>Bel Air</x:v>
      </x:c>
      <x:c r="W70" t="str">
        <x:v>MD</x:v>
      </x:c>
      <x:c r="X70" t="n">
        <x:v>1</x:v>
      </x:c>
      <x:c r="Y70" s="24" t="n">
        <x:v>0</x:v>
      </x:c>
      <x:c r="Z70" s="24" t="n">
        <x:v>0</x:v>
      </x:c>
      <x:c r="AA70" t="n">
        <x:v>0</x:v>
      </x:c>
      <x:c r="AB70" t="n">
        <x:v>0.000001</x:v>
      </x:c>
    </x:row>
    <x:row r="71">
      <x:c r="A71" s="192" t="n">
        <x:v>10</x:v>
      </x:c>
      <x:c r="B71" s="192" t="str">
        <x:f>INDEX(tblLeaderboardClients[Client],MATCH(LARGE(tblLeaderboardClients[Revenue Key],A71),tblLeaderboardClients[Revenue Key],0))</x:f>
        <x:v>Under Armour</x:v>
      </x:c>
      <x:c r="C71" s="193" t="n">
        <x:f>INDEX(tblLeaderboardClients[Revenue],MATCH(LARGE(tblLeaderboardClients[Revenue Key],A71),tblLeaderboardClients[Revenue Key],0))</x:f>
        <x:v>260</x:v>
      </x:c>
      <x:c r="D71" s="192" t="n">
        <x:f>INDEX(tblLeaderboardClients[Events],MATCH(LARGE(tblLeaderboardClients[Revenue Key],A71),tblLeaderboardClients[Revenue Key],0))</x:f>
        <x:v>2</x:v>
      </x:c>
      <x:c r="E71" s="193" t="n">
        <x:f>INDEX(tblLeaderboardClients[Avg/Event],MATCH(LARGE(tblLeaderboardClients[Revenue Key],A71),tblLeaderboardClients[Revenue Key],0))</x:f>
        <x:v>130</x:v>
      </x:c>
      <x:c r="F71" s="192" t="n">
        <x:f>INDEX(tblLeaderboardClients[Work Orders],MATCH(LARGE(tblLeaderboardClients[Revenue Key],A71),tblLeaderboardClients[Revenue Key],0))</x:f>
        <x:v>2</x:v>
      </x:c>
      <x:c r="H71" s="192" t="n">
        <x:v>10</x:v>
      </x:c>
      <x:c r="I71" s="192" t="str">
        <x:f>INDEX(tblLeaderboardClients[Client],MATCH(LARGE(tblLeaderboardClients[Repeat Key],H71),tblLeaderboardClients[Repeat Key],0))</x:f>
        <x:v>Verizon</x:v>
      </x:c>
      <x:c r="J71" s="192" t="n">
        <x:f>INDEX(tblLeaderboardClients[Events],MATCH(LARGE(tblLeaderboardClients[Repeat Key],H71),tblLeaderboardClients[Repeat Key],0))</x:f>
        <x:v>3</x:v>
      </x:c>
      <x:c r="K71" s="193" t="n">
        <x:f>INDEX(tblLeaderboardClients[Revenue],MATCH(LARGE(tblLeaderboardClients[Repeat Key],H71),tblLeaderboardClients[Repeat Key],0))</x:f>
        <x:v>175</x:v>
      </x:c>
      <x:c r="L71" s="193" t="n">
        <x:f>INDEX(tblLeaderboardClients[Avg/Event],MATCH(LARGE(tblLeaderboardClients[Repeat Key],H71),tblLeaderboardClients[Repeat Key],0))</x:f>
        <x:v>58.333333333333336</x:v>
      </x:c>
      <x:c r="M71" s="192" t="n">
        <x:f>INDEX(tblLeaderboardClients[First Event],MATCH(LARGE(tblLeaderboardClients[Repeat Key],H71),tblLeaderboardClients[Repeat Key],0))</x:f>
        <x:v>15</x:v>
      </x:c>
      <x:c r="O71" s="192" t="n">
        <x:v>10</x:v>
      </x:c>
      <x:c r="P71" s="192" t="str">
        <x:f>INDEX(tblLeaderboardClients[Client],MATCH(LARGE(tblLeaderboardClients[Avg Key],O71),tblLeaderboardClients[Avg Key],0))</x:f>
        <x:v>TJ Maxx</x:v>
      </x:c>
      <x:c r="Q71" s="193" t="n">
        <x:f>INDEX(tblLeaderboardClients[Avg/Event],MATCH(LARGE(tblLeaderboardClients[Avg Key],O71),tblLeaderboardClients[Avg Key],0))</x:f>
        <x:v>110.49600000000001</x:v>
      </x:c>
      <x:c r="R71" s="192" t="n">
        <x:f>INDEX(tblLeaderboardClients[Events],MATCH(LARGE(tblLeaderboardClients[Avg Key],O71),tblLeaderboardClients[Avg Key],0))</x:f>
        <x:v>7</x:v>
      </x:c>
      <x:c r="S71" s="193" t="n">
        <x:f>INDEX(tblLeaderboardClients[Revenue],MATCH(LARGE(tblLeaderboardClients[Avg Key],O71),tblLeaderboardClients[Avg Key],0))</x:f>
        <x:v>552.48</x:v>
      </x:c>
      <x:c r="T71" s="193" t="n">
        <x:f>INDEX(tblLeaderboardClients[Avg/WO],MATCH(LARGE(tblLeaderboardClients[Avg Key],O71),tblLeaderboardClients[Avg Key],0))</x:f>
        <x:v>110.49600000000001</x:v>
      </x:c>
      <x:c r="V71" t="str">
        <x:v>Workweek</x:v>
      </x:c>
      <x:c r="W71" t="str">
        <x:v>Events</x:v>
      </x:c>
      <x:c r="X71" t="str">
        <x:v>Eligible Events</x:v>
      </x:c>
      <x:c r="Y71" s="24" t="str">
        <x:v>Revenue</x:v>
      </x:c>
      <x:c r="Z71" s="24" t="str">
        <x:v>Avg/Event</x:v>
      </x:c>
      <x:c r="AA71" t="str">
        <x:v>Worked Days</x:v>
      </x:c>
      <x:c r="AB71" t="str">
        <x:v>Rank Key</x:v>
      </x:c>
    </x:row>
    <x:row r="72">
      <x:c r="V72" t="n">
        <x:v>1</x:v>
      </x:c>
      <x:c r="W72" t="n">
        <x:v>5</x:v>
      </x:c>
      <x:c r="X72" t="n">
        <x:v>5</x:v>
      </x:c>
      <x:c r="Y72" s="24" t="n">
        <x:v>1008</x:v>
      </x:c>
      <x:c r="Z72" s="24" t="n">
        <x:v>201.6</x:v>
      </x:c>
      <x:c r="AA72" t="n">
        <x:v>5</x:v>
      </x:c>
      <x:c r="AB72" t="n">
        <x:v>1008.000001</x:v>
      </x:c>
    </x:row>
    <x:row r="73">
      <x:c r="V73" t="n">
        <x:v>2</x:v>
      </x:c>
      <x:c r="W73" t="n">
        <x:v>4</x:v>
      </x:c>
      <x:c r="X73" t="n">
        <x:v>3</x:v>
      </x:c>
      <x:c r="Y73" s="24" t="n">
        <x:v>275</x:v>
      </x:c>
      <x:c r="Z73" s="24" t="n">
        <x:v>91.66666666666667</x:v>
      </x:c>
      <x:c r="AA73" t="n">
        <x:v>3</x:v>
      </x:c>
      <x:c r="AB73" t="n">
        <x:v>275.000002</x:v>
      </x:c>
    </x:row>
    <x:row r="74">
      <x:c r="A74" s="237" t="str">
        <x:v>Jurisdictions — Confirmed Revenue</x:v>
      </x:c>
      <x:c r="B74" s="237"/>
      <x:c r="C74" s="237"/>
      <x:c r="D74" s="237"/>
      <x:c r="E74" s="237"/>
      <x:c r="F74" s="237"/>
      <x:c r="H74" s="237" t="str">
        <x:v>Cities — Confirmed Revenue</x:v>
      </x:c>
      <x:c r="I74" s="237"/>
      <x:c r="J74" s="237"/>
      <x:c r="K74" s="237"/>
      <x:c r="L74" s="237"/>
      <x:c r="M74" s="237"/>
      <x:c r="O74" s="237" t="str">
        <x:v>Top Revenue Events</x:v>
      </x:c>
      <x:c r="P74" s="237"/>
      <x:c r="Q74" s="237"/>
      <x:c r="R74" s="237"/>
      <x:c r="S74" s="237"/>
      <x:c r="T74" s="237"/>
      <x:c r="V74" t="n">
        <x:v>3</x:v>
      </x:c>
      <x:c r="W74" t="n">
        <x:v>1</x:v>
      </x:c>
      <x:c r="X74" t="n">
        <x:v>1</x:v>
      </x:c>
      <x:c r="Y74" s="24" t="n">
        <x:v>212.5</x:v>
      </x:c>
      <x:c r="Z74" s="24" t="n">
        <x:v>212.5</x:v>
      </x:c>
      <x:c r="AA74" t="n">
        <x:v>1</x:v>
      </x:c>
      <x:c r="AB74" t="n">
        <x:v>212.500003</x:v>
      </x:c>
    </x:row>
    <x:row r="75">
      <x:c r="A75" s="238" t="str">
        <x:v>Rank</x:v>
      </x:c>
      <x:c r="B75" s="238" t="str">
        <x:v>Jurisdiction</x:v>
      </x:c>
      <x:c r="C75" s="238" t="str">
        <x:v>Revenue</x:v>
      </x:c>
      <x:c r="D75" s="238" t="str">
        <x:v>Events</x:v>
      </x:c>
      <x:c r="E75" s="238" t="str">
        <x:v>Clients</x:v>
      </x:c>
      <x:c r="F75" s="238" t="str">
        <x:v>Avg/Event</x:v>
      </x:c>
      <x:c r="H75" s="238" t="str">
        <x:v>Rank</x:v>
      </x:c>
      <x:c r="I75" s="238" t="str">
        <x:v>City</x:v>
      </x:c>
      <x:c r="J75" s="238" t="str">
        <x:v>Jurisdiction</x:v>
      </x:c>
      <x:c r="K75" s="238" t="str">
        <x:v>Revenue</x:v>
      </x:c>
      <x:c r="L75" s="238" t="str">
        <x:v>Events</x:v>
      </x:c>
      <x:c r="M75" s="238" t="str">
        <x:v>Avg/Event</x:v>
      </x:c>
      <x:c r="O75" s="238" t="str">
        <x:v>Rank</x:v>
      </x:c>
      <x:c r="P75" s="238" t="str">
        <x:v>Event #</x:v>
      </x:c>
      <x:c r="Q75" s="238" t="str">
        <x:v>Client</x:v>
      </x:c>
      <x:c r="R75" s="238" t="str">
        <x:v>Date</x:v>
      </x:c>
      <x:c r="S75" s="238" t="str">
        <x:v>City</x:v>
      </x:c>
      <x:c r="T75" s="238" t="str">
        <x:v>Revenue</x:v>
      </x:c>
      <x:c r="V75" t="n">
        <x:v>4</x:v>
      </x:c>
      <x:c r="W75" t="n">
        <x:v>6</x:v>
      </x:c>
      <x:c r="X75" t="n">
        <x:v>5</x:v>
      </x:c>
      <x:c r="Y75" s="24" t="n">
        <x:v>412.5</x:v>
      </x:c>
      <x:c r="Z75" s="24" t="n">
        <x:v>82.5</x:v>
      </x:c>
      <x:c r="AA75" t="n">
        <x:v>5</x:v>
      </x:c>
      <x:c r="AB75" t="n">
        <x:v>412.500004</x:v>
      </x:c>
    </x:row>
    <x:row r="76">
      <x:c r="A76" s="192" t="n">
        <x:f>1</x:f>
        <x:v>1</x:v>
      </x:c>
      <x:c r="B76" s="192" t="str">
        <x:f>INDEX(tblStateSummary[Jurisdiction],MATCH(LARGE(tblStateSummary[Confirmed Revenue],A76),tblStateSummary[Confirmed Revenue],0))</x:f>
        <x:v>MD</x:v>
      </x:c>
      <x:c r="C76" s="193" t="n">
        <x:f>LARGE(tblStateSummary[Confirmed Revenue],A76)</x:f>
        <x:v>4341.189999999999</x:v>
      </x:c>
      <x:c r="D76" s="192" t="n">
        <x:f>INDEX(tblStateSummary[Events],MATCH(C76,tblStateSummary[Confirmed Revenue],0))</x:f>
        <x:v>50</x:v>
      </x:c>
      <x:c r="E76" s="192" t="n">
        <x:f>INDEX(tblStateSummary[Clients],MATCH(C76,tblStateSummary[Confirmed Revenue],0))</x:f>
        <x:v>21</x:v>
      </x:c>
      <x:c r="F76" s="193" t="n">
        <x:f>INDEX(tblStateSummary[Avg Revenue / Eligible Event],MATCH(C76,tblStateSummary[Confirmed Revenue],0))</x:f>
        <x:v>114.24184210526312</x:v>
      </x:c>
      <x:c r="H76" s="192" t="n">
        <x:v>1</x:v>
      </x:c>
      <x:c r="I76" s="192" t="str">
        <x:f>INDEX(tblCitySummary[City],MATCH(LARGE(tblCitySummary[Rank Key],H76),tblCitySummary[Rank Key],0))</x:f>
        <x:v>Washington</x:v>
      </x:c>
      <x:c r="J76" s="192" t="str">
        <x:f>INDEX(tblCitySummary[Jurisdiction],MATCH(LARGE(tblCitySummary[Rank Key],H76),tblCitySummary[Rank Key],0))</x:f>
        <x:v>DC</x:v>
      </x:c>
      <x:c r="K76" s="193" t="n">
        <x:f>INDEX(tblCitySummary[Revenue],MATCH(LARGE(tblCitySummary[Rank Key],H76),tblCitySummary[Rank Key],0))</x:f>
        <x:v>1637.03</x:v>
      </x:c>
      <x:c r="L76" s="192" t="n">
        <x:f>INDEX(tblCitySummary[Events],MATCH(LARGE(tblCitySummary[Rank Key],H76),tblCitySummary[Rank Key],0))</x:f>
        <x:v>10</x:v>
      </x:c>
      <x:c r="M76" s="193" t="n">
        <x:f>INDEX(tblCitySummary[Avg/Event],MATCH(LARGE(tblCitySummary[Rank Key],H76),tblCitySummary[Rank Key],0))</x:f>
        <x:v>163.703</x:v>
      </x:c>
      <x:c r="O76" s="192" t="n">
        <x:v>1</x:v>
      </x:c>
      <x:c r="P76" s="192" t="n">
        <x:f>INDEX(tblEventLeaderboardSource[Event #],MATCH(LARGE(tblEventLeaderboardSource[Rank Key],O76),tblEventLeaderboardSource[Rank Key],0))</x:f>
        <x:v>3</x:v>
      </x:c>
      <x:c r="Q76" s="192" t="str">
        <x:f>INDEX(tblEventLeaderboardSource[Client],MATCH(LARGE(tblEventLeaderboardSource[Rank Key],O76),tblEventLeaderboardSource[Rank Key],0))</x:f>
        <x:v>Bloomingdale's</x:v>
      </x:c>
      <x:c r="R76" s="195" t="n">
        <x:f>INDEX(tblEventLeaderboardSource[Date],MATCH(LARGE(tblEventLeaderboardSource[Rank Key],O76),tblEventLeaderboardSource[Rank Key],0))</x:f>
        <x:v>46134</x:v>
      </x:c>
      <x:c r="S76" s="192" t="str">
        <x:f>INDEX(tblEventLeaderboardSource[City],MATCH(LARGE(tblEventLeaderboardSource[Rank Key],O76),tblEventLeaderboardSource[Rank Key],0))</x:f>
        <x:v>Tysons</x:v>
      </x:c>
      <x:c r="T76" s="193" t="n">
        <x:f>INDEX(tblEventLeaderboardSource[Revenue],MATCH(LARGE(tblEventLeaderboardSource[Rank Key],O76),tblEventLeaderboardSource[Rank Key],0))</x:f>
        <x:v>344</x:v>
      </x:c>
      <x:c r="V76" t="n">
        <x:v>5</x:v>
      </x:c>
      <x:c r="W76" t="n">
        <x:v>4</x:v>
      </x:c>
      <x:c r="X76" t="n">
        <x:v>4</x:v>
      </x:c>
      <x:c r="Y76" s="24" t="n">
        <x:v>422.5</x:v>
      </x:c>
      <x:c r="Z76" s="24" t="n">
        <x:v>105.625</x:v>
      </x:c>
      <x:c r="AA76" t="n">
        <x:v>3</x:v>
      </x:c>
      <x:c r="AB76" t="n">
        <x:v>422.500005</x:v>
      </x:c>
    </x:row>
    <x:row r="77">
      <x:c r="A77" s="192" t="n">
        <x:f>2</x:f>
        <x:v>2</x:v>
      </x:c>
      <x:c r="B77" s="192" t="str">
        <x:f>INDEX(tblStateSummary[Jurisdiction],MATCH(LARGE(tblStateSummary[Confirmed Revenue],A77),tblStateSummary[Confirmed Revenue],0))</x:f>
        <x:v>DC</x:v>
      </x:c>
      <x:c r="C77" s="193" t="n">
        <x:f>LARGE(tblStateSummary[Confirmed Revenue],A77)</x:f>
        <x:v>1637.03</x:v>
      </x:c>
      <x:c r="D77" s="192" t="n">
        <x:f>INDEX(tblStateSummary[Events],MATCH(C77,tblStateSummary[Confirmed Revenue],0))</x:f>
        <x:v>11</x:v>
      </x:c>
      <x:c r="E77" s="192" t="n">
        <x:f>INDEX(tblStateSummary[Clients],MATCH(C77,tblStateSummary[Confirmed Revenue],0))</x:f>
        <x:v>5</x:v>
      </x:c>
      <x:c r="F77" s="193" t="n">
        <x:f>INDEX(tblStateSummary[Avg Revenue / Eligible Event],MATCH(C77,tblStateSummary[Confirmed Revenue],0))</x:f>
        <x:v>163.703</x:v>
      </x:c>
      <x:c r="H77" s="192" t="n">
        <x:v>2</x:v>
      </x:c>
      <x:c r="I77" s="192" t="str">
        <x:f>INDEX(tblCitySummary[City],MATCH(LARGE(tblCitySummary[Rank Key],H77),tblCitySummary[Rank Key],0))</x:f>
        <x:v>Tysons</x:v>
      </x:c>
      <x:c r="J77" s="192" t="str">
        <x:f>INDEX(tblCitySummary[Jurisdiction],MATCH(LARGE(tblCitySummary[Rank Key],H77),tblCitySummary[Rank Key],0))</x:f>
        <x:v>VA</x:v>
      </x:c>
      <x:c r="K77" s="193" t="n">
        <x:f>INDEX(tblCitySummary[Revenue],MATCH(LARGE(tblCitySummary[Rank Key],H77),tblCitySummary[Rank Key],0))</x:f>
        <x:v>688</x:v>
      </x:c>
      <x:c r="L77" s="192" t="n">
        <x:f>INDEX(tblCitySummary[Events],MATCH(LARGE(tblCitySummary[Rank Key],H77),tblCitySummary[Rank Key],0))</x:f>
        <x:v>2</x:v>
      </x:c>
      <x:c r="M77" s="193" t="n">
        <x:f>INDEX(tblCitySummary[Avg/Event],MATCH(LARGE(tblCitySummary[Rank Key],H77),tblCitySummary[Rank Key],0))</x:f>
        <x:v>344</x:v>
      </x:c>
      <x:c r="O77" s="192" t="n">
        <x:v>2</x:v>
      </x:c>
      <x:c r="P77" s="192" t="n">
        <x:f>INDEX(tblEventLeaderboardSource[Event #],MATCH(LARGE(tblEventLeaderboardSource[Rank Key],O77),tblEventLeaderboardSource[Rank Key],0))</x:f>
        <x:v>2</x:v>
      </x:c>
      <x:c r="Q77" s="192" t="str">
        <x:f>INDEX(tblEventLeaderboardSource[Client],MATCH(LARGE(tblEventLeaderboardSource[Rank Key],O77),tblEventLeaderboardSource[Rank Key],0))</x:f>
        <x:v>Bloomingdale's</x:v>
      </x:c>
      <x:c r="R77" s="195" t="n">
        <x:f>INDEX(tblEventLeaderboardSource[Date],MATCH(LARGE(tblEventLeaderboardSource[Rank Key],O77),tblEventLeaderboardSource[Rank Key],0))</x:f>
        <x:v>46133</x:v>
      </x:c>
      <x:c r="S77" s="192" t="str">
        <x:f>INDEX(tblEventLeaderboardSource[City],MATCH(LARGE(tblEventLeaderboardSource[Rank Key],O77),tblEventLeaderboardSource[Rank Key],0))</x:f>
        <x:v>Tysons</x:v>
      </x:c>
      <x:c r="T77" s="193" t="n">
        <x:f>INDEX(tblEventLeaderboardSource[Revenue],MATCH(LARGE(tblEventLeaderboardSource[Rank Key],O77),tblEventLeaderboardSource[Rank Key],0))</x:f>
        <x:v>344</x:v>
      </x:c>
      <x:c r="V77" t="n">
        <x:v>6</x:v>
      </x:c>
      <x:c r="W77" t="n">
        <x:v>6</x:v>
      </x:c>
      <x:c r="X77" t="n">
        <x:v>4</x:v>
      </x:c>
      <x:c r="Y77" s="24" t="n">
        <x:v>522.91</x:v>
      </x:c>
      <x:c r="Z77" s="24" t="n">
        <x:v>130.7275</x:v>
      </x:c>
      <x:c r="AA77" t="n">
        <x:v>3</x:v>
      </x:c>
      <x:c r="AB77" t="n">
        <x:v>522.910006</x:v>
      </x:c>
    </x:row>
    <x:row r="78">
      <x:c r="A78" s="192" t="n">
        <x:f>3</x:f>
        <x:v>3</x:v>
      </x:c>
      <x:c r="B78" s="192" t="str">
        <x:f>INDEX(tblStateSummary[Jurisdiction],MATCH(LARGE(tblStateSummary[Confirmed Revenue],A78),tblStateSummary[Confirmed Revenue],0))</x:f>
        <x:v>VA</x:v>
      </x:c>
      <x:c r="C78" s="193" t="n">
        <x:f>LARGE(tblStateSummary[Confirmed Revenue],A78)</x:f>
        <x:v>1095.5</x:v>
      </x:c>
      <x:c r="D78" s="192" t="n">
        <x:f>INDEX(tblStateSummary[Events],MATCH(C78,tblStateSummary[Confirmed Revenue],0))</x:f>
        <x:v>7</x:v>
      </x:c>
      <x:c r="E78" s="192" t="n">
        <x:f>INDEX(tblStateSummary[Clients],MATCH(C78,tblStateSummary[Confirmed Revenue],0))</x:f>
        <x:v>6</x:v>
      </x:c>
      <x:c r="F78" s="193" t="n">
        <x:f>INDEX(tblStateSummary[Avg Revenue / Eligible Event],MATCH(C78,tblStateSummary[Confirmed Revenue],0))</x:f>
        <x:v>156.5</x:v>
      </x:c>
      <x:c r="H78" s="192" t="n">
        <x:v>3</x:v>
      </x:c>
      <x:c r="I78" s="192" t="str">
        <x:f>INDEX(tblCitySummary[City],MATCH(LARGE(tblCitySummary[Rank Key],H78),tblCitySummary[Rank Key],0))</x:f>
        <x:v>Frederick</x:v>
      </x:c>
      <x:c r="J78" s="192" t="str">
        <x:f>INDEX(tblCitySummary[Jurisdiction],MATCH(LARGE(tblCitySummary[Rank Key],H78),tblCitySummary[Rank Key],0))</x:f>
        <x:v>MD</x:v>
      </x:c>
      <x:c r="K78" s="193" t="n">
        <x:f>INDEX(tblCitySummary[Revenue],MATCH(LARGE(tblCitySummary[Rank Key],H78),tblCitySummary[Rank Key],0))</x:f>
        <x:v>483.75</x:v>
      </x:c>
      <x:c r="L78" s="192" t="n">
        <x:f>INDEX(tblCitySummary[Events],MATCH(LARGE(tblCitySummary[Rank Key],H78),tblCitySummary[Rank Key],0))</x:f>
        <x:v>3</x:v>
      </x:c>
      <x:c r="M78" s="193" t="n">
        <x:f>INDEX(tblCitySummary[Avg/Event],MATCH(LARGE(tblCitySummary[Rank Key],H78),tblCitySummary[Rank Key],0))</x:f>
        <x:v>161.25</x:v>
      </x:c>
      <x:c r="O78" s="192" t="n">
        <x:v>3</x:v>
      </x:c>
      <x:c r="P78" s="192" t="n">
        <x:f>INDEX(tblEventLeaderboardSource[Event #],MATCH(LARGE(tblEventLeaderboardSource[Rank Key],O78),tblEventLeaderboardSource[Rank Key],0))</x:f>
        <x:v>28</x:v>
      </x:c>
      <x:c r="Q78" s="192" t="str">
        <x:f>INDEX(tblEventLeaderboardSource[Client],MATCH(LARGE(tblEventLeaderboardSource[Rank Key],O78),tblEventLeaderboardSource[Rank Key],0))</x:f>
        <x:v>USDA</x:v>
      </x:c>
      <x:c r="R78" s="195" t="n">
        <x:f>INDEX(tblEventLeaderboardSource[Date],MATCH(LARGE(tblEventLeaderboardSource[Rank Key],O78),tblEventLeaderboardSource[Rank Key],0))</x:f>
        <x:v>46175</x:v>
      </x:c>
      <x:c r="S78" s="192" t="str">
        <x:f>INDEX(tblEventLeaderboardSource[City],MATCH(LARGE(tblEventLeaderboardSource[Rank Key],O78),tblEventLeaderboardSource[Rank Key],0))</x:f>
        <x:v>Washington</x:v>
      </x:c>
      <x:c r="T78" s="193" t="n">
        <x:f>INDEX(tblEventLeaderboardSource[Revenue],MATCH(LARGE(tblEventLeaderboardSource[Rank Key],O78),tblEventLeaderboardSource[Rank Key],0))</x:f>
        <x:v>320</x:v>
      </x:c>
      <x:c r="V78" t="n">
        <x:v>7</x:v>
      </x:c>
      <x:c r="W78" t="n">
        <x:v>8</x:v>
      </x:c>
      <x:c r="X78" t="n">
        <x:v>8</x:v>
      </x:c>
      <x:c r="Y78" s="24" t="n">
        <x:v>1221.66</x:v>
      </x:c>
      <x:c r="Z78" s="24" t="n">
        <x:v>152.70749999999998</x:v>
      </x:c>
      <x:c r="AA78" t="n">
        <x:v>5</x:v>
      </x:c>
      <x:c r="AB78" t="n">
        <x:v>1221.660007</x:v>
      </x:c>
    </x:row>
    <x:row r="79">
      <x:c r="A79" s="192" t="n">
        <x:f>4</x:f>
        <x:v>4</x:v>
      </x:c>
      <x:c r="B79" s="192" t="str">
        <x:f>INDEX(tblStateSummary[Jurisdiction],MATCH(LARGE(tblStateSummary[Confirmed Revenue],A79),tblStateSummary[Confirmed Revenue],0))</x:f>
        <x:v>PA</x:v>
      </x:c>
      <x:c r="C79" s="193" t="n">
        <x:f>LARGE(tblStateSummary[Confirmed Revenue],A79)</x:f>
        <x:v>410</x:v>
      </x:c>
      <x:c r="D79" s="192" t="n">
        <x:f>INDEX(tblStateSummary[Events],MATCH(C79,tblStateSummary[Confirmed Revenue],0))</x:f>
        <x:v>3</x:v>
      </x:c>
      <x:c r="E79" s="192" t="n">
        <x:f>INDEX(tblStateSummary[Clients],MATCH(C79,tblStateSummary[Confirmed Revenue],0))</x:f>
        <x:v>2</x:v>
      </x:c>
      <x:c r="F79" s="193" t="n">
        <x:f>INDEX(tblStateSummary[Avg Revenue / Eligible Event],MATCH(C79,tblStateSummary[Confirmed Revenue],0))</x:f>
        <x:v>136.66666666666666</x:v>
      </x:c>
      <x:c r="H79" s="192" t="n">
        <x:v>4</x:v>
      </x:c>
      <x:c r="I79" s="192" t="str">
        <x:f>INDEX(tblCitySummary[City],MATCH(LARGE(tblCitySummary[Rank Key],H79),tblCitySummary[Rank Key],0))</x:f>
        <x:v>Aberdeen</x:v>
      </x:c>
      <x:c r="J79" s="192" t="str">
        <x:f>INDEX(tblCitySummary[Jurisdiction],MATCH(LARGE(tblCitySummary[Rank Key],H79),tblCitySummary[Rank Key],0))</x:f>
        <x:v>MD</x:v>
      </x:c>
      <x:c r="K79" s="193" t="n">
        <x:f>INDEX(tblCitySummary[Revenue],MATCH(LARGE(tblCitySummary[Rank Key],H79),tblCitySummary[Rank Key],0))</x:f>
        <x:v>433.74</x:v>
      </x:c>
      <x:c r="L79" s="192" t="n">
        <x:f>INDEX(tblCitySummary[Events],MATCH(LARGE(tblCitySummary[Rank Key],H79),tblCitySummary[Rank Key],0))</x:f>
        <x:v>2</x:v>
      </x:c>
      <x:c r="M79" s="193" t="n">
        <x:f>INDEX(tblCitySummary[Avg/Event],MATCH(LARGE(tblCitySummary[Rank Key],H79),tblCitySummary[Rank Key],0))</x:f>
        <x:v>216.87</x:v>
      </x:c>
      <x:c r="O79" s="192" t="n">
        <x:v>4</x:v>
      </x:c>
      <x:c r="P79" s="192" t="n">
        <x:f>INDEX(tblEventLeaderboardSource[Event #],MATCH(LARGE(tblEventLeaderboardSource[Rank Key],O79),tblEventLeaderboardSource[Rank Key],0))</x:f>
        <x:v>27</x:v>
      </x:c>
      <x:c r="Q79" s="192" t="str">
        <x:f>INDEX(tblEventLeaderboardSource[Client],MATCH(LARGE(tblEventLeaderboardSource[Rank Key],O79),tblEventLeaderboardSource[Rank Key],0))</x:f>
        <x:v>USDA</x:v>
      </x:c>
      <x:c r="R79" s="195" t="n">
        <x:f>INDEX(tblEventLeaderboardSource[Date],MATCH(LARGE(tblEventLeaderboardSource[Rank Key],O79),tblEventLeaderboardSource[Rank Key],0))</x:f>
        <x:v>46174</x:v>
      </x:c>
      <x:c r="S79" s="192" t="str">
        <x:f>INDEX(tblEventLeaderboardSource[City],MATCH(LARGE(tblEventLeaderboardSource[Rank Key],O79),tblEventLeaderboardSource[Rank Key],0))</x:f>
        <x:v>Washington</x:v>
      </x:c>
      <x:c r="T79" s="193" t="n">
        <x:f>INDEX(tblEventLeaderboardSource[Revenue],MATCH(LARGE(tblEventLeaderboardSource[Rank Key],O79),tblEventLeaderboardSource[Rank Key],0))</x:f>
        <x:v>320</x:v>
      </x:c>
      <x:c r="V79" t="n">
        <x:v>8</x:v>
      </x:c>
      <x:c r="W79" t="n">
        <x:v>9</x:v>
      </x:c>
      <x:c r="X79" t="n">
        <x:v>9</x:v>
      </x:c>
      <x:c r="Y79" s="24" t="n">
        <x:v>760</x:v>
      </x:c>
      <x:c r="Z79" s="24" t="n">
        <x:v>84.44444444444444</x:v>
      </x:c>
      <x:c r="AA79" t="n">
        <x:v>5</x:v>
      </x:c>
      <x:c r="AB79" t="n">
        <x:v>760.000008</x:v>
      </x:c>
    </x:row>
    <x:row r="80">
      <x:c r="A80" s="192" t="n">
        <x:f>5</x:f>
        <x:v>5</x:v>
      </x:c>
      <x:c r="B80" s="192" t="str">
        <x:f>INDEX(tblStateSummary[Jurisdiction],MATCH(LARGE(tblStateSummary[Confirmed Revenue],A80),tblStateSummary[Confirmed Revenue],0))</x:f>
        <x:v>WV</x:v>
      </x:c>
      <x:c r="C80" s="193" t="n">
        <x:f>LARGE(tblStateSummary[Confirmed Revenue],A80)</x:f>
        <x:v>100.83</x:v>
      </x:c>
      <x:c r="D80" s="192" t="n">
        <x:f>INDEX(tblStateSummary[Events],MATCH(C80,tblStateSummary[Confirmed Revenue],0))</x:f>
        <x:v>1</x:v>
      </x:c>
      <x:c r="E80" s="192" t="n">
        <x:f>INDEX(tblStateSummary[Clients],MATCH(C80,tblStateSummary[Confirmed Revenue],0))</x:f>
        <x:v>1</x:v>
      </x:c>
      <x:c r="F80" s="193" t="n">
        <x:f>INDEX(tblStateSummary[Avg Revenue / Eligible Event],MATCH(C80,tblStateSummary[Confirmed Revenue],0))</x:f>
        <x:v>100.83</x:v>
      </x:c>
      <x:c r="H80" s="192" t="n">
        <x:v>5</x:v>
      </x:c>
      <x:c r="I80" s="192" t="str">
        <x:f>INDEX(tblCitySummary[City],MATCH(LARGE(tblCitySummary[Rank Key],H80),tblCitySummary[Rank Key],0))</x:f>
        <x:v>Lanham</x:v>
      </x:c>
      <x:c r="J80" s="192" t="str">
        <x:f>INDEX(tblCitySummary[Jurisdiction],MATCH(LARGE(tblCitySummary[Rank Key],H80),tblCitySummary[Rank Key],0))</x:f>
        <x:v>MD</x:v>
      </x:c>
      <x:c r="K80" s="193" t="n">
        <x:f>INDEX(tblCitySummary[Revenue],MATCH(LARGE(tblCitySummary[Rank Key],H80),tblCitySummary[Rank Key],0))</x:f>
        <x:v>290</x:v>
      </x:c>
      <x:c r="L80" s="192" t="n">
        <x:f>INDEX(tblCitySummary[Events],MATCH(LARGE(tblCitySummary[Rank Key],H80),tblCitySummary[Rank Key],0))</x:f>
        <x:v>2</x:v>
      </x:c>
      <x:c r="M80" s="193" t="n">
        <x:f>INDEX(tblCitySummary[Avg/Event],MATCH(LARGE(tblCitySummary[Rank Key],H80),tblCitySummary[Rank Key],0))</x:f>
        <x:v>145</x:v>
      </x:c>
      <x:c r="O80" s="192" t="n">
        <x:v>5</x:v>
      </x:c>
      <x:c r="P80" s="192" t="n">
        <x:f>INDEX(tblEventLeaderboardSource[Event #],MATCH(LARGE(tblEventLeaderboardSource[Rank Key],O80),tblEventLeaderboardSource[Rank Key],0))</x:f>
        <x:v>59</x:v>
      </x:c>
      <x:c r="Q80" s="192" t="str">
        <x:f>INDEX(tblEventLeaderboardSource[Client],MATCH(LARGE(tblEventLeaderboardSource[Rank Key],O80),tblEventLeaderboardSource[Rank Key],0))</x:f>
        <x:v>Dunkin</x:v>
      </x:c>
      <x:c r="R80" s="195" t="n">
        <x:f>INDEX(tblEventLeaderboardSource[Date],MATCH(LARGE(tblEventLeaderboardSource[Rank Key],O80),tblEventLeaderboardSource[Rank Key],0))</x:f>
        <x:v>46210</x:v>
      </x:c>
      <x:c r="S80" s="192" t="str">
        <x:f>INDEX(tblEventLeaderboardSource[City],MATCH(LARGE(tblEventLeaderboardSource[Rank Key],O80),tblEventLeaderboardSource[Rank Key],0))</x:f>
        <x:v>Aberdeen</x:v>
      </x:c>
      <x:c r="T80" s="193" t="n">
        <x:f>INDEX(tblEventLeaderboardSource[Revenue],MATCH(LARGE(tblEventLeaderboardSource[Rank Key],O80),tblEventLeaderboardSource[Rank Key],0))</x:f>
        <x:v>250</x:v>
      </x:c>
      <x:c r="V80" t="n">
        <x:v>9</x:v>
      </x:c>
      <x:c r="W80" t="n">
        <x:v>7</x:v>
      </x:c>
      <x:c r="X80" t="n">
        <x:v>7</x:v>
      </x:c>
      <x:c r="Y80" s="24" t="n">
        <x:v>681.75</x:v>
      </x:c>
      <x:c r="Z80" s="24" t="n">
        <x:v>97.39285714285714</x:v>
      </x:c>
      <x:c r="AA80" t="n">
        <x:v>4</x:v>
      </x:c>
      <x:c r="AB80" t="n">
        <x:v>681.750009</x:v>
      </x:c>
    </x:row>
    <x:row r="81">
      <x:c r="H81" s="192" t="n">
        <x:v>6</x:v>
      </x:c>
      <x:c r="I81" s="192" t="str">
        <x:f>INDEX(tblCitySummary[City],MATCH(LARGE(tblCitySummary[Rank Key],H81),tblCitySummary[Rank Key],0))</x:f>
        <x:v>Laurel</x:v>
      </x:c>
      <x:c r="J81" s="192" t="str">
        <x:f>INDEX(tblCitySummary[Jurisdiction],MATCH(LARGE(tblCitySummary[Rank Key],H81),tblCitySummary[Rank Key],0))</x:f>
        <x:v>MD</x:v>
      </x:c>
      <x:c r="K81" s="193" t="n">
        <x:f>INDEX(tblCitySummary[Revenue],MATCH(LARGE(tblCitySummary[Rank Key],H81),tblCitySummary[Rank Key],0))</x:f>
        <x:v>284.74</x:v>
      </x:c>
      <x:c r="L81" s="192" t="n">
        <x:f>INDEX(tblCitySummary[Events],MATCH(LARGE(tblCitySummary[Rank Key],H81),tblCitySummary[Rank Key],0))</x:f>
        <x:v>3</x:v>
      </x:c>
      <x:c r="M81" s="193" t="n">
        <x:f>INDEX(tblCitySummary[Avg/Event],MATCH(LARGE(tblCitySummary[Rank Key],H81),tblCitySummary[Rank Key],0))</x:f>
        <x:v>94.91333333333334</x:v>
      </x:c>
      <x:c r="O81" s="192" t="n">
        <x:v>6</x:v>
      </x:c>
      <x:c r="P81" s="192" t="n">
        <x:f>INDEX(tblEventLeaderboardSource[Event #],MATCH(LARGE(tblEventLeaderboardSource[Rank Key],O81),tblEventLeaderboardSource[Rank Key],0))</x:f>
        <x:v>38</x:v>
      </x:c>
      <x:c r="Q81" s="192" t="str">
        <x:f>INDEX(tblEventLeaderboardSource[Client],MATCH(LARGE(tblEventLeaderboardSource[Rank Key],O81),tblEventLeaderboardSource[Rank Key],0))</x:f>
        <x:v>7-Eleven</x:v>
      </x:c>
      <x:c r="R81" s="195" t="n">
        <x:f>INDEX(tblEventLeaderboardSource[Date],MATCH(LARGE(tblEventLeaderboardSource[Rank Key],O81),tblEventLeaderboardSource[Rank Key],0))</x:f>
        <x:v>46183</x:v>
      </x:c>
      <x:c r="S81" s="192" t="str">
        <x:f>INDEX(tblEventLeaderboardSource[City],MATCH(LARGE(tblEventLeaderboardSource[Rank Key],O81),tblEventLeaderboardSource[Rank Key],0))</x:f>
        <x:v>Lanham</x:v>
      </x:c>
      <x:c r="T81" s="193" t="n">
        <x:f>INDEX(tblEventLeaderboardSource[Revenue],MATCH(LARGE(tblEventLeaderboardSource[Rank Key],O81),tblEventLeaderboardSource[Rank Key],0))</x:f>
        <x:v>240</x:v>
      </x:c>
      <x:c r="V81" t="n">
        <x:v>10</x:v>
      </x:c>
      <x:c r="W81" t="n">
        <x:v>3</x:v>
      </x:c>
      <x:c r="X81" t="n">
        <x:v>3</x:v>
      </x:c>
      <x:c r="Y81" s="24" t="n">
        <x:v>308.27</x:v>
      </x:c>
      <x:c r="Z81" s="24" t="n">
        <x:v>102.75666666666666</x:v>
      </x:c>
      <x:c r="AA81" t="n">
        <x:v>3</x:v>
      </x:c>
      <x:c r="AB81" t="n">
        <x:v>308.27001</x:v>
      </x:c>
    </x:row>
    <x:row r="82">
      <x:c r="H82" s="192" t="n">
        <x:v>7</x:v>
      </x:c>
      <x:c r="I82" s="192" t="str">
        <x:f>INDEX(tblCitySummary[City],MATCH(LARGE(tblCitySummary[Rank Key],H82),tblCitySummary[Rank Key],0))</x:f>
        <x:v>Hanover</x:v>
      </x:c>
      <x:c r="J82" s="192" t="str">
        <x:f>INDEX(tblCitySummary[Jurisdiction],MATCH(LARGE(tblCitySummary[Rank Key],H82),tblCitySummary[Rank Key],0))</x:f>
        <x:v>MD</x:v>
      </x:c>
      <x:c r="K82" s="193" t="n">
        <x:f>INDEX(tblCitySummary[Revenue],MATCH(LARGE(tblCitySummary[Rank Key],H82),tblCitySummary[Rank Key],0))</x:f>
        <x:v>260</x:v>
      </x:c>
      <x:c r="L82" s="192" t="n">
        <x:f>INDEX(tblCitySummary[Events],MATCH(LARGE(tblCitySummary[Rank Key],H82),tblCitySummary[Rank Key],0))</x:f>
        <x:v>2</x:v>
      </x:c>
      <x:c r="M82" s="193" t="n">
        <x:f>INDEX(tblCitySummary[Avg/Event],MATCH(LARGE(tblCitySummary[Rank Key],H82),tblCitySummary[Rank Key],0))</x:f>
        <x:v>130</x:v>
      </x:c>
      <x:c r="O82" s="192" t="n">
        <x:v>7</x:v>
      </x:c>
      <x:c r="P82" s="192" t="n">
        <x:f>INDEX(tblEventLeaderboardSource[Event #],MATCH(LARGE(tblEventLeaderboardSource[Rank Key],O82),tblEventLeaderboardSource[Rank Key],0))</x:f>
        <x:v>10</x:v>
      </x:c>
      <x:c r="Q82" s="192" t="str">
        <x:f>INDEX(tblEventLeaderboardSource[Client],MATCH(LARGE(tblEventLeaderboardSource[Rank Key],O82),tblEventLeaderboardSource[Rank Key],0))</x:f>
        <x:v>Giant Food Stores</x:v>
      </x:c>
      <x:c r="R82" s="195" t="n">
        <x:f>INDEX(tblEventLeaderboardSource[Date],MATCH(LARGE(tblEventLeaderboardSource[Rank Key],O82),tblEventLeaderboardSource[Rank Key],0))</x:f>
        <x:v>46147</x:v>
      </x:c>
      <x:c r="S82" s="192" t="str">
        <x:f>INDEX(tblEventLeaderboardSource[City],MATCH(LARGE(tblEventLeaderboardSource[Rank Key],O82),tblEventLeaderboardSource[Rank Key],0))</x:f>
        <x:v>Hanover</x:v>
      </x:c>
      <x:c r="T82" s="193" t="n">
        <x:f>INDEX(tblEventLeaderboardSource[Revenue],MATCH(LARGE(tblEventLeaderboardSource[Rank Key],O82),tblEventLeaderboardSource[Rank Key],0))</x:f>
        <x:v>212.5</x:v>
      </x:c>
      <x:c r="V82" t="n">
        <x:v>11</x:v>
      </x:c>
      <x:c r="W82" t="n">
        <x:v>3</x:v>
      </x:c>
      <x:c r="X82" t="n">
        <x:v>3</x:v>
      </x:c>
      <x:c r="Y82" t="n">
        <x:v>410.66</x:v>
      </x:c>
      <x:c r="Z82" t="n">
        <x:v>136.88666666666666</x:v>
      </x:c>
      <x:c r="AA82" t="n">
        <x:v>3</x:v>
      </x:c>
      <x:c r="AB82" t="n">
        <x:v>410.660011</x:v>
      </x:c>
    </x:row>
    <x:row r="83">
      <x:c r="H83" s="192" t="n">
        <x:v>8</x:v>
      </x:c>
      <x:c r="I83" s="192" t="str">
        <x:f>INDEX(tblCitySummary[City],MATCH(LARGE(tblCitySummary[Rank Key],H83),tblCitySummary[Rank Key],0))</x:f>
        <x:v>North Bethesda</x:v>
      </x:c>
      <x:c r="J83" s="192" t="str">
        <x:f>INDEX(tblCitySummary[Jurisdiction],MATCH(LARGE(tblCitySummary[Rank Key],H83),tblCitySummary[Rank Key],0))</x:f>
        <x:v>MD</x:v>
      </x:c>
      <x:c r="K83" s="193" t="n">
        <x:f>INDEX(tblCitySummary[Revenue],MATCH(LARGE(tblCitySummary[Rank Key],H83),tblCitySummary[Rank Key],0))</x:f>
        <x:v>225</x:v>
      </x:c>
      <x:c r="L83" s="192" t="n">
        <x:f>INDEX(tblCitySummary[Events],MATCH(LARGE(tblCitySummary[Rank Key],H83),tblCitySummary[Rank Key],0))</x:f>
        <x:v>4</x:v>
      </x:c>
      <x:c r="M83" s="193" t="n">
        <x:f>INDEX(tblCitySummary[Avg/Event],MATCH(LARGE(tblCitySummary[Rank Key],H83),tblCitySummary[Rank Key],0))</x:f>
        <x:v>56.25</x:v>
      </x:c>
      <x:c r="O83" s="192" t="n">
        <x:v>8</x:v>
      </x:c>
      <x:c r="P83" s="192" t="n">
        <x:f>INDEX(tblEventLeaderboardSource[Event #],MATCH(LARGE(tblEventLeaderboardSource[Rank Key],O83),tblEventLeaderboardSource[Rank Key],0))</x:f>
        <x:v>58</x:v>
      </x:c>
      <x:c r="Q83" s="192" t="str">
        <x:f>INDEX(tblEventLeaderboardSource[Client],MATCH(LARGE(tblEventLeaderboardSource[Rank Key],O83),tblEventLeaderboardSource[Rank Key],0))</x:f>
        <x:v>Dunkin</x:v>
      </x:c>
      <x:c r="R83" s="195" t="n">
        <x:f>INDEX(tblEventLeaderboardSource[Date],MATCH(LARGE(tblEventLeaderboardSource[Rank Key],O83),tblEventLeaderboardSource[Rank Key],0))</x:f>
        <x:v>46209</x:v>
      </x:c>
      <x:c r="S83" s="192" t="str">
        <x:f>INDEX(tblEventLeaderboardSource[City],MATCH(LARGE(tblEventLeaderboardSource[Rank Key],O83),tblEventLeaderboardSource[Rank Key],0))</x:f>
        <x:v>Lutherville</x:v>
      </x:c>
      <x:c r="T83" s="193" t="n">
        <x:f>INDEX(tblEventLeaderboardSource[Revenue],MATCH(LARGE(tblEventLeaderboardSource[Rank Key],O83),tblEventLeaderboardSource[Rank Key],0))</x:f>
        <x:v>202.5</x:v>
      </x:c>
      <x:c r="V83" t="n">
        <x:v>12</x:v>
      </x:c>
      <x:c r="W83" t="n">
        <x:v>6</x:v>
      </x:c>
      <x:c r="X83" t="n">
        <x:v>5</x:v>
      </x:c>
      <x:c r="Y83" t="n">
        <x:v>815.06</x:v>
      </x:c>
      <x:c r="Z83" t="n">
        <x:v>163.012</x:v>
      </x:c>
      <x:c r="AA83" t="n">
        <x:v>4</x:v>
      </x:c>
      <x:c r="AB83" t="n">
        <x:v>815.060012</x:v>
      </x:c>
    </x:row>
    <x:row r="84">
      <x:c r="H84" s="192" t="n">
        <x:v>9</x:v>
      </x:c>
      <x:c r="I84" s="192" t="str">
        <x:f>INDEX(tblCitySummary[City],MATCH(LARGE(tblCitySummary[Rank Key],H84),tblCitySummary[Rank Key],0))</x:f>
        <x:v>Hanover</x:v>
      </x:c>
      <x:c r="J84" s="192" t="str">
        <x:f>INDEX(tblCitySummary[Jurisdiction],MATCH(LARGE(tblCitySummary[Rank Key],H84),tblCitySummary[Rank Key],0))</x:f>
        <x:v>PA</x:v>
      </x:c>
      <x:c r="K84" s="193" t="n">
        <x:f>INDEX(tblCitySummary[Revenue],MATCH(LARGE(tblCitySummary[Rank Key],H84),tblCitySummary[Rank Key],0))</x:f>
        <x:v>212.5</x:v>
      </x:c>
      <x:c r="L84" s="192" t="n">
        <x:f>INDEX(tblCitySummary[Events],MATCH(LARGE(tblCitySummary[Rank Key],H84),tblCitySummary[Rank Key],0))</x:f>
        <x:v>1</x:v>
      </x:c>
      <x:c r="M84" s="193" t="n">
        <x:f>INDEX(tblCitySummary[Avg/Event],MATCH(LARGE(tblCitySummary[Rank Key],H84),tblCitySummary[Rank Key],0))</x:f>
        <x:v>212.5</x:v>
      </x:c>
      <x:c r="O84" s="192" t="n">
        <x:v>9</x:v>
      </x:c>
      <x:c r="P84" s="192" t="n">
        <x:f>INDEX(tblEventLeaderboardSource[Event #],MATCH(LARGE(tblEventLeaderboardSource[Rank Key],O84),tblEventLeaderboardSource[Rank Key],0))</x:f>
        <x:v>29</x:v>
      </x:c>
      <x:c r="Q84" s="192" t="str">
        <x:f>INDEX(tblEventLeaderboardSource[Client],MATCH(LARGE(tblEventLeaderboardSource[Rank Key],O84),tblEventLeaderboardSource[Rank Key],0))</x:f>
        <x:v>USDA</x:v>
      </x:c>
      <x:c r="R84" s="195" t="n">
        <x:f>INDEX(tblEventLeaderboardSource[Date],MATCH(LARGE(tblEventLeaderboardSource[Rank Key],O84),tblEventLeaderboardSource[Rank Key],0))</x:f>
        <x:v>46176</x:v>
      </x:c>
      <x:c r="S84" s="192" t="str">
        <x:f>INDEX(tblEventLeaderboardSource[City],MATCH(LARGE(tblEventLeaderboardSource[Rank Key],O84),tblEventLeaderboardSource[Rank Key],0))</x:f>
        <x:v>Washington</x:v>
      </x:c>
      <x:c r="T84" s="193" t="n">
        <x:f>INDEX(tblEventLeaderboardSource[Revenue],MATCH(LARGE(tblEventLeaderboardSource[Rank Key],O84),tblEventLeaderboardSource[Rank Key],0))</x:f>
        <x:v>200</x:v>
      </x:c>
      <x:c r="V84" s="231" t="n">
        <x:v>13</x:v>
      </x:c>
      <x:c r="W84" s="231" t="n">
        <x:v>5</x:v>
      </x:c>
      <x:c r="X84" s="231" t="n">
        <x:v>1</x:v>
      </x:c>
      <x:c r="Y84" s="231" t="n">
        <x:v>183.74</x:v>
      </x:c>
      <x:c r="Z84" s="231" t="n">
        <x:v>183.74</x:v>
      </x:c>
      <x:c r="AA84" s="231" t="n">
        <x:v>2</x:v>
      </x:c>
      <x:c r="AB84" s="231" t="n">
        <x:v>183.740013</x:v>
      </x:c>
    </x:row>
    <x:row r="85">
      <x:c r="H85" s="192" t="n">
        <x:v>10</x:v>
      </x:c>
      <x:c r="I85" s="192" t="str">
        <x:f>INDEX(tblCitySummary[City],MATCH(LARGE(tblCitySummary[Rank Key],H85),tblCitySummary[Rank Key],0))</x:f>
        <x:v>Lutherville</x:v>
      </x:c>
      <x:c r="J85" s="192" t="str">
        <x:f>INDEX(tblCitySummary[Jurisdiction],MATCH(LARGE(tblCitySummary[Rank Key],H85),tblCitySummary[Rank Key],0))</x:f>
        <x:v>MD</x:v>
      </x:c>
      <x:c r="K85" s="193" t="n">
        <x:f>INDEX(tblCitySummary[Revenue],MATCH(LARGE(tblCitySummary[Rank Key],H85),tblCitySummary[Rank Key],0))</x:f>
        <x:v>202.5</x:v>
      </x:c>
      <x:c r="L85" s="192" t="n">
        <x:f>INDEX(tblCitySummary[Events],MATCH(LARGE(tblCitySummary[Rank Key],H85),tblCitySummary[Rank Key],0))</x:f>
        <x:v>1</x:v>
      </x:c>
      <x:c r="M85" s="193" t="n">
        <x:f>INDEX(tblCitySummary[Avg/Event],MATCH(LARGE(tblCitySummary[Rank Key],H85),tblCitySummary[Rank Key],0))</x:f>
        <x:v>202.5</x:v>
      </x:c>
      <x:c r="O85" s="192" t="n">
        <x:v>10</x:v>
      </x:c>
      <x:c r="P85" s="192" t="n">
        <x:f>INDEX(tblEventLeaderboardSource[Event #],MATCH(LARGE(tblEventLeaderboardSource[Rank Key],O85),tblEventLeaderboardSource[Rank Key],0))</x:f>
        <x:v>24</x:v>
      </x:c>
      <x:c r="Q85" s="192" t="str">
        <x:f>INDEX(tblEventLeaderboardSource[Client],MATCH(LARGE(tblEventLeaderboardSource[Rank Key],O85),tblEventLeaderboardSource[Rank Key],0))</x:f>
        <x:v>USDA</x:v>
      </x:c>
      <x:c r="R85" s="195" t="n">
        <x:f>INDEX(tblEventLeaderboardSource[Date],MATCH(LARGE(tblEventLeaderboardSource[Rank Key],O85),tblEventLeaderboardSource[Rank Key],0))</x:f>
        <x:v>46169</x:v>
      </x:c>
      <x:c r="S85" s="192" t="str">
        <x:f>INDEX(tblEventLeaderboardSource[City],MATCH(LARGE(tblEventLeaderboardSource[Rank Key],O85),tblEventLeaderboardSource[Rank Key],0))</x:f>
        <x:v>Washington</x:v>
      </x:c>
      <x:c r="T85" s="193" t="n">
        <x:f>INDEX(tblEventLeaderboardSource[Revenue],MATCH(LARGE(tblEventLeaderboardSource[Rank Key],O85),tblEventLeaderboardSource[Rank Key],0))</x:f>
        <x:v>200</x:v>
      </x:c>
      <x:c r="V85" s="35"/>
      <x:c r="W85"/>
      <x:c r="X85"/>
      <x:c r="Y85"/>
      <x:c r="Z85" s="24"/>
      <x:c r="AA85" s="24"/>
      <x:c r="AB85"/>
    </x:row>
    <x:row r="86">
      <x:c r="V86" s="35" t="str">
        <x:v>Service Date</x:v>
      </x:c>
      <x:c r="W86" t="str">
        <x:v>Weekday</x:v>
      </x:c>
      <x:c r="X86" t="str">
        <x:v>Events</x:v>
      </x:c>
      <x:c r="Y86" t="str">
        <x:v>Eligible Events</x:v>
      </x:c>
      <x:c r="Z86" s="24" t="str">
        <x:v>Revenue</x:v>
      </x:c>
      <x:c r="AA86" s="24" t="str">
        <x:v>Avg/Event</x:v>
      </x:c>
      <x:c r="AB86" t="str">
        <x:v>Rank Key</x:v>
      </x:c>
    </x:row>
    <x:row r="87">
      <x:c r="V87" s="35" t="n">
        <x:v>46132</x:v>
      </x:c>
      <x:c r="W87" t="str">
        <x:v>Monday</x:v>
      </x:c>
      <x:c r="X87" t="n">
        <x:v>1</x:v>
      </x:c>
      <x:c r="Y87" t="n">
        <x:v>1</x:v>
      </x:c>
      <x:c r="Z87" s="24" t="n">
        <x:v>90</x:v>
      </x:c>
      <x:c r="AA87" s="24" t="n">
        <x:v>90</x:v>
      </x:c>
      <x:c r="AB87" t="n">
        <x:v>90.000046132</x:v>
      </x:c>
    </x:row>
    <x:row r="88">
      <x:c r="A88" s="237" t="str">
        <x:v>Top Workweeks</x:v>
      </x:c>
      <x:c r="B88" s="237"/>
      <x:c r="C88" s="237"/>
      <x:c r="D88" s="237"/>
      <x:c r="E88" s="237"/>
      <x:c r="F88" s="237"/>
      <x:c r="H88" s="237" t="str">
        <x:v>MY_MONTH Ranking</x:v>
      </x:c>
      <x:c r="I88" s="237"/>
      <x:c r="J88" s="237"/>
      <x:c r="K88" s="237"/>
      <x:c r="L88" s="237"/>
      <x:c r="M88" s="237"/>
      <x:c r="O88" s="237" t="str">
        <x:v>Top Worked Dates</x:v>
      </x:c>
      <x:c r="P88" s="237"/>
      <x:c r="Q88" s="237"/>
      <x:c r="R88" s="237"/>
      <x:c r="S88" s="237"/>
      <x:c r="T88" s="237"/>
      <x:c r="V88" s="35" t="n">
        <x:v>46133</x:v>
      </x:c>
      <x:c r="W88" t="str">
        <x:v>Tuesday</x:v>
      </x:c>
      <x:c r="X88" t="n">
        <x:v>1</x:v>
      </x:c>
      <x:c r="Y88" t="n">
        <x:v>1</x:v>
      </x:c>
      <x:c r="Z88" s="24" t="n">
        <x:v>344</x:v>
      </x:c>
      <x:c r="AA88" s="24" t="n">
        <x:v>344</x:v>
      </x:c>
      <x:c r="AB88" t="n">
        <x:v>344.000046133</x:v>
      </x:c>
    </x:row>
    <x:row r="89">
      <x:c r="A89" s="238" t="str">
        <x:v>Rank</x:v>
      </x:c>
      <x:c r="B89" s="238" t="str">
        <x:v>Workweek</x:v>
      </x:c>
      <x:c r="C89" s="238" t="str">
        <x:v>Revenue</x:v>
      </x:c>
      <x:c r="D89" s="238" t="str">
        <x:v>Events</x:v>
      </x:c>
      <x:c r="E89" s="238" t="str">
        <x:v>Worked Days</x:v>
      </x:c>
      <x:c r="F89" s="238" t="str">
        <x:v>Avg/Event</x:v>
      </x:c>
      <x:c r="H89" s="238" t="str">
        <x:v>Rank</x:v>
      </x:c>
      <x:c r="I89" s="238" t="str">
        <x:v>MY_MONTH</x:v>
      </x:c>
      <x:c r="J89" s="238" t="str">
        <x:v>Revenue</x:v>
      </x:c>
      <x:c r="K89" s="238" t="str">
        <x:v>Events</x:v>
      </x:c>
      <x:c r="L89" s="238" t="str">
        <x:v>Clients</x:v>
      </x:c>
      <x:c r="M89" s="238" t="str">
        <x:v>Avg/Event</x:v>
      </x:c>
      <x:c r="O89" s="238" t="str">
        <x:v>Rank</x:v>
      </x:c>
      <x:c r="P89" s="238" t="str">
        <x:v>Date</x:v>
      </x:c>
      <x:c r="Q89" s="238" t="str">
        <x:v>Weekday</x:v>
      </x:c>
      <x:c r="R89" s="238" t="str">
        <x:v>Revenue</x:v>
      </x:c>
      <x:c r="S89" s="238" t="str">
        <x:v>Events</x:v>
      </x:c>
      <x:c r="T89" s="238" t="str">
        <x:v>Avg/Event</x:v>
      </x:c>
      <x:c r="V89" s="35" t="n">
        <x:v>46134</x:v>
      </x:c>
      <x:c r="W89" t="str">
        <x:v>Wednesday</x:v>
      </x:c>
      <x:c r="X89" t="n">
        <x:v>1</x:v>
      </x:c>
      <x:c r="Y89" t="n">
        <x:v>1</x:v>
      </x:c>
      <x:c r="Z89" s="24" t="n">
        <x:v>344</x:v>
      </x:c>
      <x:c r="AA89" s="24" t="n">
        <x:v>344</x:v>
      </x:c>
      <x:c r="AB89" t="n">
        <x:v>344.000046134</x:v>
      </x:c>
    </x:row>
    <x:row r="90">
      <x:c r="A90" s="192" t="n">
        <x:v>1</x:v>
      </x:c>
      <x:c r="B90" s="192" t="n">
        <x:f>INDEX(tblWeekSummary[Workweek],MATCH(LARGE(tblWeekSummary[Rank Key],A90),tblWeekSummary[Rank Key],0))</x:f>
        <x:v>7</x:v>
      </x:c>
      <x:c r="C90" s="193" t="n">
        <x:f>INDEX(tblWeekSummary[Revenue],MATCH(LARGE(tblWeekSummary[Rank Key],A90),tblWeekSummary[Rank Key],0))</x:f>
        <x:v>1221.66</x:v>
      </x:c>
      <x:c r="D90" s="192" t="n">
        <x:f>INDEX(tblWeekSummary[Events],MATCH(LARGE(tblWeekSummary[Rank Key],A90),tblWeekSummary[Rank Key],0))</x:f>
        <x:v>8</x:v>
      </x:c>
      <x:c r="E90" s="192" t="n">
        <x:f>INDEX(tblWeekSummary[Worked Days],MATCH(LARGE(tblWeekSummary[Rank Key],A90),tblWeekSummary[Rank Key],0))</x:f>
        <x:v>5</x:v>
      </x:c>
      <x:c r="F90" s="193" t="n">
        <x:f>INDEX(tblWeekSummary[Avg/Event],MATCH(LARGE(tblWeekSummary[Rank Key],A90),tblWeekSummary[Rank Key],0))</x:f>
        <x:v>152.70749999999998</x:v>
      </x:c>
      <x:c r="H90" s="192" t="n">
        <x:v>1</x:v>
      </x:c>
      <x:c r="I90" s="192" t="str">
        <x:f>INDEX(tblMonthSummary[MY_MONTH],MATCH(LARGE(tblMonthSummary[Confirmed Revenue],H90),tblMonthSummary[Confirmed Revenue],0))</x:f>
        <x:v>MY_MONTH 2</x:v>
      </x:c>
      <x:c r="J90" s="193" t="n">
        <x:f>LARGE(tblMonthSummary[Confirmed Revenue],H90)</x:f>
        <x:v>3186.3199999999997</x:v>
      </x:c>
      <x:c r="K90" s="192" t="n">
        <x:f>INDEX(tblMonthSummary[Events],MATCH(J90,tblMonthSummary[Confirmed Revenue],0))</x:f>
        <x:v>30</x:v>
      </x:c>
      <x:c r="L90" s="192" t="n">
        <x:f>INDEX(tblMonthSummary[Clients],MATCH(J90,tblMonthSummary[Confirmed Revenue],0))</x:f>
        <x:v>18</x:v>
      </x:c>
      <x:c r="M90" s="193" t="n">
        <x:f>INDEX(tblMonthSummary[Avg Revenue / Eligible Event],MATCH(J90,tblMonthSummary[Confirmed Revenue],0))</x:f>
        <x:v>113.79714285714284</x:v>
      </x:c>
      <x:c r="O90" s="192" t="n">
        <x:v>1</x:v>
      </x:c>
      <x:c r="P90" s="195" t="n">
        <x:f>INDEX(tblDateSummary[Service Date],MATCH(LARGE(tblDateSummary[Rank Key],O90),tblDateSummary[Rank Key],0))</x:f>
        <x:v>46183</x:v>
      </x:c>
      <x:c r="Q90" s="192" t="str">
        <x:f>INDEX(tblDateSummary[Weekday],MATCH(LARGE(tblDateSummary[Rank Key],O90),tblDateSummary[Rank Key],0))</x:f>
        <x:v>Wednesday</x:v>
      </x:c>
      <x:c r="R90" s="193" t="n">
        <x:f>INDEX(tblDateSummary[Revenue],MATCH(LARGE(tblDateSummary[Rank Key],O90),tblDateSummary[Rank Key],0))</x:f>
        <x:v>390</x:v>
      </x:c>
      <x:c r="S90" s="192" t="n">
        <x:f>INDEX(tblDateSummary[Events],MATCH(LARGE(tblDateSummary[Rank Key],O90),tblDateSummary[Rank Key],0))</x:f>
        <x:v>3</x:v>
      </x:c>
      <x:c r="T90" s="193" t="n">
        <x:f>INDEX(tblDateSummary[Avg/Event],MATCH(LARGE(tblDateSummary[Rank Key],O90),tblDateSummary[Rank Key],0))</x:f>
        <x:v>130</x:v>
      </x:c>
      <x:c r="V90" s="35" t="n">
        <x:v>46135</x:v>
      </x:c>
      <x:c r="W90" t="str">
        <x:v>Thursday</x:v>
      </x:c>
      <x:c r="X90" t="n">
        <x:v>1</x:v>
      </x:c>
      <x:c r="Y90" t="n">
        <x:v>1</x:v>
      </x:c>
      <x:c r="Z90" s="24" t="n">
        <x:v>180</x:v>
      </x:c>
      <x:c r="AA90" s="24" t="n">
        <x:v>180</x:v>
      </x:c>
      <x:c r="AB90" t="n">
        <x:v>180.000046135</x:v>
      </x:c>
    </x:row>
    <x:row r="91">
      <x:c r="A91" s="192" t="n">
        <x:v>2</x:v>
      </x:c>
      <x:c r="B91" s="192" t="n">
        <x:f>INDEX(tblWeekSummary[Workweek],MATCH(LARGE(tblWeekSummary[Rank Key],A91),tblWeekSummary[Rank Key],0))</x:f>
        <x:v>1</x:v>
      </x:c>
      <x:c r="C91" s="193" t="n">
        <x:f>INDEX(tblWeekSummary[Revenue],MATCH(LARGE(tblWeekSummary[Rank Key],A91),tblWeekSummary[Rank Key],0))</x:f>
        <x:v>1008</x:v>
      </x:c>
      <x:c r="D91" s="192" t="n">
        <x:f>INDEX(tblWeekSummary[Events],MATCH(LARGE(tblWeekSummary[Rank Key],A91),tblWeekSummary[Rank Key],0))</x:f>
        <x:v>5</x:v>
      </x:c>
      <x:c r="E91" s="192" t="n">
        <x:f>INDEX(tblWeekSummary[Worked Days],MATCH(LARGE(tblWeekSummary[Rank Key],A91),tblWeekSummary[Rank Key],0))</x:f>
        <x:v>5</x:v>
      </x:c>
      <x:c r="F91" s="193" t="n">
        <x:f>INDEX(tblWeekSummary[Avg/Event],MATCH(LARGE(tblWeekSummary[Rank Key],A91),tblWeekSummary[Rank Key],0))</x:f>
        <x:v>201.6</x:v>
      </x:c>
      <x:c r="H91" s="192" t="n">
        <x:v>2</x:v>
      </x:c>
      <x:c r="I91" s="192" t="str">
        <x:f>INDEX(tblMonthSummary[MY_MONTH],MATCH(LARGE(tblMonthSummary[Confirmed Revenue],H91),tblMonthSummary[Confirmed Revenue],0))</x:f>
        <x:v>MY_MONTH 1</x:v>
      </x:c>
      <x:c r="J91" s="193" t="n">
        <x:f>LARGE(tblMonthSummary[Confirmed Revenue],H91)</x:f>
        <x:v>2330.5</x:v>
      </x:c>
      <x:c r="K91" s="192" t="n">
        <x:f>INDEX(tblMonthSummary[Events],MATCH(J91,tblMonthSummary[Confirmed Revenue],0))</x:f>
        <x:v>20</x:v>
      </x:c>
      <x:c r="L91" s="192" t="n">
        <x:f>INDEX(tblMonthSummary[Clients],MATCH(J91,tblMonthSummary[Confirmed Revenue],0))</x:f>
        <x:v>15</x:v>
      </x:c>
      <x:c r="M91" s="193" t="n">
        <x:f>INDEX(tblMonthSummary[Avg Revenue / Eligible Event],MATCH(J91,tblMonthSummary[Confirmed Revenue],0))</x:f>
        <x:v>129.47222222222223</x:v>
      </x:c>
      <x:c r="O91" s="192" t="n">
        <x:v>2</x:v>
      </x:c>
      <x:c r="P91" s="195" t="n">
        <x:f>INDEX(tblDateSummary[Service Date],MATCH(LARGE(tblDateSummary[Rank Key],O91),tblDateSummary[Rank Key],0))</x:f>
        <x:v>46134</x:v>
      </x:c>
      <x:c r="Q91" s="192" t="str">
        <x:f>INDEX(tblDateSummary[Weekday],MATCH(LARGE(tblDateSummary[Rank Key],O91),tblDateSummary[Rank Key],0))</x:f>
        <x:v>Wednesday</x:v>
      </x:c>
      <x:c r="R91" s="193" t="n">
        <x:f>INDEX(tblDateSummary[Revenue],MATCH(LARGE(tblDateSummary[Rank Key],O91),tblDateSummary[Rank Key],0))</x:f>
        <x:v>344</x:v>
      </x:c>
      <x:c r="S91" s="192" t="n">
        <x:f>INDEX(tblDateSummary[Events],MATCH(LARGE(tblDateSummary[Rank Key],O91),tblDateSummary[Rank Key],0))</x:f>
        <x:v>1</x:v>
      </x:c>
      <x:c r="T91" s="193" t="n">
        <x:f>INDEX(tblDateSummary[Avg/Event],MATCH(LARGE(tblDateSummary[Rank Key],O91),tblDateSummary[Rank Key],0))</x:f>
        <x:v>344</x:v>
      </x:c>
      <x:c r="V91" s="35" t="n">
        <x:v>46136</x:v>
      </x:c>
      <x:c r="W91" t="str">
        <x:v>Friday</x:v>
      </x:c>
      <x:c r="X91" t="n">
        <x:v>1</x:v>
      </x:c>
      <x:c r="Y91" t="n">
        <x:v>1</x:v>
      </x:c>
      <x:c r="Z91" s="24" t="n">
        <x:v>50</x:v>
      </x:c>
      <x:c r="AA91" s="24" t="n">
        <x:v>50</x:v>
      </x:c>
      <x:c r="AB91" t="n">
        <x:v>50.000046136</x:v>
      </x:c>
    </x:row>
    <x:row r="92">
      <x:c r="A92" s="192" t="n">
        <x:v>3</x:v>
      </x:c>
      <x:c r="B92" s="192" t="n">
        <x:f>INDEX(tblWeekSummary[Workweek],MATCH(LARGE(tblWeekSummary[Rank Key],A92),tblWeekSummary[Rank Key],0))</x:f>
        <x:v>12</x:v>
      </x:c>
      <x:c r="C92" s="193" t="n">
        <x:f>INDEX(tblWeekSummary[Revenue],MATCH(LARGE(tblWeekSummary[Rank Key],A92),tblWeekSummary[Rank Key],0))</x:f>
        <x:v>815.06</x:v>
      </x:c>
      <x:c r="D92" s="192" t="n">
        <x:f>INDEX(tblWeekSummary[Events],MATCH(LARGE(tblWeekSummary[Rank Key],A92),tblWeekSummary[Rank Key],0))</x:f>
        <x:v>6</x:v>
      </x:c>
      <x:c r="E92" s="192" t="n">
        <x:f>INDEX(tblWeekSummary[Worked Days],MATCH(LARGE(tblWeekSummary[Rank Key],A92),tblWeekSummary[Rank Key],0))</x:f>
        <x:v>4</x:v>
      </x:c>
      <x:c r="F92" s="193" t="n">
        <x:f>INDEX(tblWeekSummary[Avg/Event],MATCH(LARGE(tblWeekSummary[Rank Key],A92),tblWeekSummary[Rank Key],0))</x:f>
        <x:v>163.012</x:v>
      </x:c>
      <x:c r="H92" s="192" t="n">
        <x:v>3</x:v>
      </x:c>
      <x:c r="I92" s="192" t="str">
        <x:f>INDEX(tblMonthSummary[MY_MONTH],MATCH(LARGE(tblMonthSummary[Confirmed Revenue],H92),tblMonthSummary[Confirmed Revenue],0))</x:f>
        <x:v>MY_MONTH 3</x:v>
      </x:c>
      <x:c r="J92" s="193" t="n">
        <x:f>LARGE(tblMonthSummary[Confirmed Revenue],H92)</x:f>
        <x:v>2067.73</x:v>
      </x:c>
      <x:c r="K92" s="192" t="n">
        <x:f>INDEX(tblMonthSummary[Events],MATCH(J92,tblMonthSummary[Confirmed Revenue],0))</x:f>
        <x:v>22</x:v>
      </x:c>
      <x:c r="L92" s="192" t="n">
        <x:f>INDEX(tblMonthSummary[Clients],MATCH(J92,tblMonthSummary[Confirmed Revenue],0))</x:f>
        <x:v>9</x:v>
      </x:c>
      <x:c r="M92" s="193" t="n">
        <x:f>INDEX(tblMonthSummary[Avg Revenue / Eligible Event],MATCH(J92,tblMonthSummary[Confirmed Revenue],0))</x:f>
        <x:v>159.05615384615385</x:v>
      </x:c>
      <x:c r="O92" s="192" t="n">
        <x:v>3</x:v>
      </x:c>
      <x:c r="P92" s="195" t="n">
        <x:f>INDEX(tblDateSummary[Service Date],MATCH(LARGE(tblDateSummary[Rank Key],O92),tblDateSummary[Rank Key],0))</x:f>
        <x:v>46133</x:v>
      </x:c>
      <x:c r="Q92" s="192" t="str">
        <x:f>INDEX(tblDateSummary[Weekday],MATCH(LARGE(tblDateSummary[Rank Key],O92),tblDateSummary[Rank Key],0))</x:f>
        <x:v>Tuesday</x:v>
      </x:c>
      <x:c r="R92" s="193" t="n">
        <x:f>INDEX(tblDateSummary[Revenue],MATCH(LARGE(tblDateSummary[Rank Key],O92),tblDateSummary[Rank Key],0))</x:f>
        <x:v>344</x:v>
      </x:c>
      <x:c r="S92" s="192" t="n">
        <x:f>INDEX(tblDateSummary[Events],MATCH(LARGE(tblDateSummary[Rank Key],O92),tblDateSummary[Rank Key],0))</x:f>
        <x:v>1</x:v>
      </x:c>
      <x:c r="T92" s="193" t="n">
        <x:f>INDEX(tblDateSummary[Avg/Event],MATCH(LARGE(tblDateSummary[Rank Key],O92),tblDateSummary[Rank Key],0))</x:f>
        <x:v>344</x:v>
      </x:c>
      <x:c r="V92" s="35" t="n">
        <x:v>46139</x:v>
      </x:c>
      <x:c r="W92" t="str">
        <x:v>Monday</x:v>
      </x:c>
      <x:c r="X92" t="n">
        <x:v>1</x:v>
      </x:c>
      <x:c r="Y92" t="n">
        <x:v>1</x:v>
      </x:c>
      <x:c r="Z92" s="24" t="n">
        <x:v>180</x:v>
      </x:c>
      <x:c r="AA92" s="24" t="n">
        <x:v>180</x:v>
      </x:c>
      <x:c r="AB92" t="n">
        <x:v>180.000046139</x:v>
      </x:c>
    </x:row>
    <x:row r="93">
      <x:c r="A93" s="192" t="n">
        <x:v>4</x:v>
      </x:c>
      <x:c r="B93" s="192" t="n">
        <x:f>INDEX(tblWeekSummary[Workweek],MATCH(LARGE(tblWeekSummary[Rank Key],A93),tblWeekSummary[Rank Key],0))</x:f>
        <x:v>8</x:v>
      </x:c>
      <x:c r="C93" s="193" t="n">
        <x:f>INDEX(tblWeekSummary[Revenue],MATCH(LARGE(tblWeekSummary[Rank Key],A93),tblWeekSummary[Rank Key],0))</x:f>
        <x:v>760</x:v>
      </x:c>
      <x:c r="D93" s="192" t="n">
        <x:f>INDEX(tblWeekSummary[Events],MATCH(LARGE(tblWeekSummary[Rank Key],A93),tblWeekSummary[Rank Key],0))</x:f>
        <x:v>9</x:v>
      </x:c>
      <x:c r="E93" s="192" t="n">
        <x:f>INDEX(tblWeekSummary[Worked Days],MATCH(LARGE(tblWeekSummary[Rank Key],A93),tblWeekSummary[Rank Key],0))</x:f>
        <x:v>5</x:v>
      </x:c>
      <x:c r="F93" s="193" t="n">
        <x:f>INDEX(tblWeekSummary[Avg/Event],MATCH(LARGE(tblWeekSummary[Rank Key],A93),tblWeekSummary[Rank Key],0))</x:f>
        <x:v>84.44444444444444</x:v>
      </x:c>
      <x:c r="O93" s="192" t="n">
        <x:v>4</x:v>
      </x:c>
      <x:c r="P93" s="195" t="n">
        <x:f>INDEX(tblDateSummary[Service Date],MATCH(LARGE(tblDateSummary[Rank Key],O93),tblDateSummary[Rank Key],0))</x:f>
        <x:v>46175</x:v>
      </x:c>
      <x:c r="Q93" s="192" t="str">
        <x:f>INDEX(tblDateSummary[Weekday],MATCH(LARGE(tblDateSummary[Rank Key],O93),tblDateSummary[Rank Key],0))</x:f>
        <x:v>Tuesday</x:v>
      </x:c>
      <x:c r="R93" s="193" t="n">
        <x:f>INDEX(tblDateSummary[Revenue],MATCH(LARGE(tblDateSummary[Rank Key],O93),tblDateSummary[Rank Key],0))</x:f>
        <x:v>320</x:v>
      </x:c>
      <x:c r="S93" s="192" t="n">
        <x:f>INDEX(tblDateSummary[Events],MATCH(LARGE(tblDateSummary[Rank Key],O93),tblDateSummary[Rank Key],0))</x:f>
        <x:v>1</x:v>
      </x:c>
      <x:c r="T93" s="193" t="n">
        <x:f>INDEX(tblDateSummary[Avg/Event],MATCH(LARGE(tblDateSummary[Rank Key],O93),tblDateSummary[Rank Key],0))</x:f>
        <x:v>320</x:v>
      </x:c>
      <x:c r="V93" s="35" t="n">
        <x:v>46141</x:v>
      </x:c>
      <x:c r="W93" t="str">
        <x:v>Wednesday</x:v>
      </x:c>
      <x:c r="X93" t="n">
        <x:v>2</x:v>
      </x:c>
      <x:c r="Y93" t="n">
        <x:v>2</x:v>
      </x:c>
      <x:c r="Z93" s="24" t="n">
        <x:v>95</x:v>
      </x:c>
      <x:c r="AA93" s="24" t="n">
        <x:v>47.5</x:v>
      </x:c>
      <x:c r="AB93" t="n">
        <x:v>95.000046141</x:v>
      </x:c>
    </x:row>
    <x:row r="94">
      <x:c r="A94" s="192" t="n">
        <x:v>5</x:v>
      </x:c>
      <x:c r="B94" s="192" t="n">
        <x:f>INDEX(tblWeekSummary[Workweek],MATCH(LARGE(tblWeekSummary[Rank Key],A94),tblWeekSummary[Rank Key],0))</x:f>
        <x:v>9</x:v>
      </x:c>
      <x:c r="C94" s="193" t="n">
        <x:f>INDEX(tblWeekSummary[Revenue],MATCH(LARGE(tblWeekSummary[Rank Key],A94),tblWeekSummary[Rank Key],0))</x:f>
        <x:v>681.75</x:v>
      </x:c>
      <x:c r="D94" s="192" t="n">
        <x:f>INDEX(tblWeekSummary[Events],MATCH(LARGE(tblWeekSummary[Rank Key],A94),tblWeekSummary[Rank Key],0))</x:f>
        <x:v>7</x:v>
      </x:c>
      <x:c r="E94" s="192" t="n">
        <x:f>INDEX(tblWeekSummary[Worked Days],MATCH(LARGE(tblWeekSummary[Rank Key],A94),tblWeekSummary[Rank Key],0))</x:f>
        <x:v>4</x:v>
      </x:c>
      <x:c r="F94" s="193" t="n">
        <x:f>INDEX(tblWeekSummary[Avg/Event],MATCH(LARGE(tblWeekSummary[Rank Key],A94),tblWeekSummary[Rank Key],0))</x:f>
        <x:v>97.39285714285714</x:v>
      </x:c>
      <x:c r="O94" s="192" t="n">
        <x:v>5</x:v>
      </x:c>
      <x:c r="P94" s="195" t="n">
        <x:f>INDEX(tblDateSummary[Service Date],MATCH(LARGE(tblDateSummary[Rank Key],O94),tblDateSummary[Rank Key],0))</x:f>
        <x:v>46174</x:v>
      </x:c>
      <x:c r="Q94" s="192" t="str">
        <x:f>INDEX(tblDateSummary[Weekday],MATCH(LARGE(tblDateSummary[Rank Key],O94),tblDateSummary[Rank Key],0))</x:f>
        <x:v>Monday</x:v>
      </x:c>
      <x:c r="R94" s="193" t="n">
        <x:f>INDEX(tblDateSummary[Revenue],MATCH(LARGE(tblDateSummary[Rank Key],O94),tblDateSummary[Rank Key],0))</x:f>
        <x:v>320</x:v>
      </x:c>
      <x:c r="S94" s="192" t="n">
        <x:f>INDEX(tblDateSummary[Events],MATCH(LARGE(tblDateSummary[Rank Key],O94),tblDateSummary[Rank Key],0))</x:f>
        <x:v>1</x:v>
      </x:c>
      <x:c r="T94" s="193" t="n">
        <x:f>INDEX(tblDateSummary[Avg/Event],MATCH(LARGE(tblDateSummary[Rank Key],O94),tblDateSummary[Rank Key],0))</x:f>
        <x:v>320</x:v>
      </x:c>
      <x:c r="V94" s="35" t="n">
        <x:v>46142</x:v>
      </x:c>
      <x:c r="W94" t="str">
        <x:v>Thursday</x:v>
      </x:c>
      <x:c r="X94" t="n">
        <x:v>1</x:v>
      </x:c>
      <x:c r="Y94" t="n">
        <x:v>0</x:v>
      </x:c>
      <x:c r="Z94" s="24" t="n">
        <x:v>0</x:v>
      </x:c>
      <x:c r="AA94" s="24" t="n">
        <x:v>0</x:v>
      </x:c>
      <x:c r="AB94" t="n">
        <x:v>0.000046142</x:v>
      </x:c>
    </x:row>
    <x:row r="95">
      <x:c r="A95" s="192" t="n">
        <x:v>6</x:v>
      </x:c>
      <x:c r="B95" s="192" t="n">
        <x:f>INDEX(tblWeekSummary[Workweek],MATCH(LARGE(tblWeekSummary[Rank Key],A95),tblWeekSummary[Rank Key],0))</x:f>
        <x:v>6</x:v>
      </x:c>
      <x:c r="C95" s="193" t="n">
        <x:f>INDEX(tblWeekSummary[Revenue],MATCH(LARGE(tblWeekSummary[Rank Key],A95),tblWeekSummary[Rank Key],0))</x:f>
        <x:v>522.91</x:v>
      </x:c>
      <x:c r="D95" s="192" t="n">
        <x:f>INDEX(tblWeekSummary[Events],MATCH(LARGE(tblWeekSummary[Rank Key],A95),tblWeekSummary[Rank Key],0))</x:f>
        <x:v>6</x:v>
      </x:c>
      <x:c r="E95" s="192" t="n">
        <x:f>INDEX(tblWeekSummary[Worked Days],MATCH(LARGE(tblWeekSummary[Rank Key],A95),tblWeekSummary[Rank Key],0))</x:f>
        <x:v>3</x:v>
      </x:c>
      <x:c r="F95" s="193" t="n">
        <x:f>INDEX(tblWeekSummary[Avg/Event],MATCH(LARGE(tblWeekSummary[Rank Key],A95),tblWeekSummary[Rank Key],0))</x:f>
        <x:v>130.7275</x:v>
      </x:c>
      <x:c r="O95" s="192" t="n">
        <x:v>6</x:v>
      </x:c>
      <x:c r="P95" s="195" t="n">
        <x:f>INDEX(tblDateSummary[Service Date],MATCH(LARGE(tblDateSummary[Rank Key],O95),tblDateSummary[Rank Key],0))</x:f>
        <x:v>46176</x:v>
      </x:c>
      <x:c r="Q95" s="192" t="str">
        <x:f>INDEX(tblDateSummary[Weekday],MATCH(LARGE(tblDateSummary[Rank Key],O95),tblDateSummary[Rank Key],0))</x:f>
        <x:v>Wednesday</x:v>
      </x:c>
      <x:c r="R95" s="193" t="n">
        <x:f>INDEX(tblDateSummary[Revenue],MATCH(LARGE(tblDateSummary[Rank Key],O95),tblDateSummary[Rank Key],0))</x:f>
        <x:v>296.66</x:v>
      </x:c>
      <x:c r="S95" s="192" t="n">
        <x:f>INDEX(tblDateSummary[Events],MATCH(LARGE(tblDateSummary[Rank Key],O95),tblDateSummary[Rank Key],0))</x:f>
        <x:v>2</x:v>
      </x:c>
      <x:c r="T95" s="193" t="n">
        <x:f>INDEX(tblDateSummary[Avg/Event],MATCH(LARGE(tblDateSummary[Rank Key],O95),tblDateSummary[Rank Key],0))</x:f>
        <x:v>148.32999999999998</x:v>
      </x:c>
      <x:c r="V95" s="35" t="n">
        <x:v>46147</x:v>
      </x:c>
      <x:c r="W95" t="str">
        <x:v>Tuesday</x:v>
      </x:c>
      <x:c r="X95" t="n">
        <x:v>1</x:v>
      </x:c>
      <x:c r="Y95" t="n">
        <x:v>1</x:v>
      </x:c>
      <x:c r="Z95" s="24" t="n">
        <x:v>212.5</x:v>
      </x:c>
      <x:c r="AA95" s="24" t="n">
        <x:v>212.5</x:v>
      </x:c>
      <x:c r="AB95" t="n">
        <x:v>212.500046147</x:v>
      </x:c>
    </x:row>
    <x:row r="96">
      <x:c r="A96" s="192" t="n">
        <x:v>7</x:v>
      </x:c>
      <x:c r="B96" s="192" t="n">
        <x:f>INDEX(tblWeekSummary[Workweek],MATCH(LARGE(tblWeekSummary[Rank Key],A96),tblWeekSummary[Rank Key],0))</x:f>
        <x:v>5</x:v>
      </x:c>
      <x:c r="C96" s="193" t="n">
        <x:f>INDEX(tblWeekSummary[Revenue],MATCH(LARGE(tblWeekSummary[Rank Key],A96),tblWeekSummary[Rank Key],0))</x:f>
        <x:v>422.5</x:v>
      </x:c>
      <x:c r="D96" s="192" t="n">
        <x:f>INDEX(tblWeekSummary[Events],MATCH(LARGE(tblWeekSummary[Rank Key],A96),tblWeekSummary[Rank Key],0))</x:f>
        <x:v>4</x:v>
      </x:c>
      <x:c r="E96" s="192" t="n">
        <x:f>INDEX(tblWeekSummary[Worked Days],MATCH(LARGE(tblWeekSummary[Rank Key],A96),tblWeekSummary[Rank Key],0))</x:f>
        <x:v>3</x:v>
      </x:c>
      <x:c r="F96" s="193" t="n">
        <x:f>INDEX(tblWeekSummary[Avg/Event],MATCH(LARGE(tblWeekSummary[Rank Key],A96),tblWeekSummary[Rank Key],0))</x:f>
        <x:v>105.625</x:v>
      </x:c>
      <x:c r="O96" s="192" t="n">
        <x:v>7</x:v>
      </x:c>
      <x:c r="P96" s="195" t="n">
        <x:f>INDEX(tblDateSummary[Service Date],MATCH(LARGE(tblDateSummary[Rank Key],O96),tblDateSummary[Rank Key],0))</x:f>
        <x:v>46212</x:v>
      </x:c>
      <x:c r="Q96" s="192" t="str">
        <x:f>INDEX(tblDateSummary[Weekday],MATCH(LARGE(tblDateSummary[Rank Key],O96),tblDateSummary[Rank Key],0))</x:f>
        <x:v>Thursday</x:v>
      </x:c>
      <x:c r="R96" s="193" t="n">
        <x:f>INDEX(tblDateSummary[Revenue],MATCH(LARGE(tblDateSummary[Rank Key],O96),tblDateSummary[Rank Key],0))</x:f>
        <x:v>295.82</x:v>
      </x:c>
      <x:c r="S96" s="192" t="n">
        <x:f>INDEX(tblDateSummary[Events],MATCH(LARGE(tblDateSummary[Rank Key],O96),tblDateSummary[Rank Key],0))</x:f>
        <x:v>2</x:v>
      </x:c>
      <x:c r="T96" s="193" t="n">
        <x:f>INDEX(tblDateSummary[Avg/Event],MATCH(LARGE(tblDateSummary[Rank Key],O96),tblDateSummary[Rank Key],0))</x:f>
        <x:v>147.91</x:v>
      </x:c>
      <x:c r="V96" s="35" t="n">
        <x:v>46153</x:v>
      </x:c>
      <x:c r="W96" t="str">
        <x:v>Monday</x:v>
      </x:c>
      <x:c r="X96" t="n">
        <x:v>1</x:v>
      </x:c>
      <x:c r="Y96" t="n">
        <x:v>1</x:v>
      </x:c>
      <x:c r="Z96" s="24" t="n">
        <x:v>157.5</x:v>
      </x:c>
      <x:c r="AA96" s="24" t="n">
        <x:v>157.5</x:v>
      </x:c>
      <x:c r="AB96" t="n">
        <x:v>157.500046153</x:v>
      </x:c>
    </x:row>
    <x:row r="97">
      <x:c r="A97" s="192" t="n">
        <x:v>8</x:v>
      </x:c>
      <x:c r="B97" s="192" t="n">
        <x:f>INDEX(tblWeekSummary[Workweek],MATCH(LARGE(tblWeekSummary[Rank Key],A97),tblWeekSummary[Rank Key],0))</x:f>
        <x:v>4</x:v>
      </x:c>
      <x:c r="C97" s="193" t="n">
        <x:f>INDEX(tblWeekSummary[Revenue],MATCH(LARGE(tblWeekSummary[Rank Key],A97),tblWeekSummary[Rank Key],0))</x:f>
        <x:v>412.5</x:v>
      </x:c>
      <x:c r="D97" s="192" t="n">
        <x:f>INDEX(tblWeekSummary[Events],MATCH(LARGE(tblWeekSummary[Rank Key],A97),tblWeekSummary[Rank Key],0))</x:f>
        <x:v>6</x:v>
      </x:c>
      <x:c r="E97" s="192" t="n">
        <x:f>INDEX(tblWeekSummary[Worked Days],MATCH(LARGE(tblWeekSummary[Rank Key],A97),tblWeekSummary[Rank Key],0))</x:f>
        <x:v>5</x:v>
      </x:c>
      <x:c r="F97" s="193" t="n">
        <x:f>INDEX(tblWeekSummary[Avg/Event],MATCH(LARGE(tblWeekSummary[Rank Key],A97),tblWeekSummary[Rank Key],0))</x:f>
        <x:v>82.5</x:v>
      </x:c>
      <x:c r="O97" s="192" t="n">
        <x:v>8</x:v>
      </x:c>
      <x:c r="P97" s="195" t="n">
        <x:f>INDEX(tblDateSummary[Service Date],MATCH(LARGE(tblDateSummary[Rank Key],O97),tblDateSummary[Rank Key],0))</x:f>
        <x:v>46209</x:v>
      </x:c>
      <x:c r="Q97" s="192" t="str">
        <x:f>INDEX(tblDateSummary[Weekday],MATCH(LARGE(tblDateSummary[Rank Key],O97),tblDateSummary[Rank Key],0))</x:f>
        <x:v>Monday</x:v>
      </x:c>
      <x:c r="R97" s="193" t="n">
        <x:f>INDEX(tblDateSummary[Revenue],MATCH(LARGE(tblDateSummary[Rank Key],O97),tblDateSummary[Rank Key],0))</x:f>
        <x:v>269.24</x:v>
      </x:c>
      <x:c r="S97" s="192" t="n">
        <x:f>INDEX(tblDateSummary[Events],MATCH(LARGE(tblDateSummary[Rank Key],O97),tblDateSummary[Rank Key],0))</x:f>
        <x:v>2</x:v>
      </x:c>
      <x:c r="T97" s="193" t="n">
        <x:f>INDEX(tblDateSummary[Avg/Event],MATCH(LARGE(tblDateSummary[Rank Key],O97),tblDateSummary[Rank Key],0))</x:f>
        <x:v>134.62</x:v>
      </x:c>
      <x:c r="V97" s="35" t="n">
        <x:v>46154</x:v>
      </x:c>
      <x:c r="W97" t="str">
        <x:v>Tuesday</x:v>
      </x:c>
      <x:c r="X97" t="n">
        <x:v>1</x:v>
      </x:c>
      <x:c r="Y97" t="n">
        <x:v>1</x:v>
      </x:c>
      <x:c r="Z97" s="24" t="n">
        <x:v>85</x:v>
      </x:c>
      <x:c r="AA97" s="24" t="n">
        <x:v>85</x:v>
      </x:c>
      <x:c r="AB97" t="n">
        <x:v>85.000046154</x:v>
      </x:c>
    </x:row>
    <x:row r="98">
      <x:c r="A98" s="192" t="n">
        <x:v>9</x:v>
      </x:c>
      <x:c r="B98" s="192" t="n">
        <x:f>INDEX(tblWeekSummary[Workweek],MATCH(LARGE(tblWeekSummary[Rank Key],A98),tblWeekSummary[Rank Key],0))</x:f>
        <x:v>11</x:v>
      </x:c>
      <x:c r="C98" s="193" t="n">
        <x:f>INDEX(tblWeekSummary[Revenue],MATCH(LARGE(tblWeekSummary[Rank Key],A98),tblWeekSummary[Rank Key],0))</x:f>
        <x:v>410.66</x:v>
      </x:c>
      <x:c r="D98" s="192" t="n">
        <x:f>INDEX(tblWeekSummary[Events],MATCH(LARGE(tblWeekSummary[Rank Key],A98),tblWeekSummary[Rank Key],0))</x:f>
        <x:v>3</x:v>
      </x:c>
      <x:c r="E98" s="192" t="n">
        <x:f>INDEX(tblWeekSummary[Worked Days],MATCH(LARGE(tblWeekSummary[Rank Key],A98),tblWeekSummary[Rank Key],0))</x:f>
        <x:v>3</x:v>
      </x:c>
      <x:c r="F98" s="193" t="n">
        <x:f>INDEX(tblWeekSummary[Avg/Event],MATCH(LARGE(tblWeekSummary[Rank Key],A98),tblWeekSummary[Rank Key],0))</x:f>
        <x:v>136.88666666666666</x:v>
      </x:c>
      <x:c r="O98" s="192" t="n">
        <x:v>9</x:v>
      </x:c>
      <x:c r="P98" s="195" t="n">
        <x:f>INDEX(tblDateSummary[Service Date],MATCH(LARGE(tblDateSummary[Rank Key],O98),tblDateSummary[Rank Key],0))</x:f>
        <x:v>46163</x:v>
      </x:c>
      <x:c r="Q98" s="192" t="str">
        <x:f>INDEX(tblDateSummary[Weekday],MATCH(LARGE(tblDateSummary[Rank Key],O98),tblDateSummary[Rank Key],0))</x:f>
        <x:v>Thursday</x:v>
      </x:c>
      <x:c r="R98" s="193" t="n">
        <x:f>INDEX(tblDateSummary[Revenue],MATCH(LARGE(tblDateSummary[Rank Key],O98),tblDateSummary[Rank Key],0))</x:f>
        <x:v>265.83</x:v>
      </x:c>
      <x:c r="S98" s="192" t="n">
        <x:f>INDEX(tblDateSummary[Events],MATCH(LARGE(tblDateSummary[Rank Key],O98),tblDateSummary[Rank Key],0))</x:f>
        <x:v>2</x:v>
      </x:c>
      <x:c r="T98" s="193" t="n">
        <x:f>INDEX(tblDateSummary[Avg/Event],MATCH(LARGE(tblDateSummary[Rank Key],O98),tblDateSummary[Rank Key],0))</x:f>
        <x:v>132.91500000000002</x:v>
      </x:c>
      <x:c r="V98" s="35" t="n">
        <x:v>46155</x:v>
      </x:c>
      <x:c r="W98" t="str">
        <x:v>Wednesday</x:v>
      </x:c>
      <x:c r="X98" t="n">
        <x:v>2</x:v>
      </x:c>
      <x:c r="Y98" t="n">
        <x:v>1</x:v>
      </x:c>
      <x:c r="Z98" s="24" t="n">
        <x:v>50</x:v>
      </x:c>
      <x:c r="AA98" s="24" t="n">
        <x:v>50</x:v>
      </x:c>
      <x:c r="AB98" t="n">
        <x:v>50.000046155</x:v>
      </x:c>
    </x:row>
    <x:row r="99">
      <x:c r="A99" s="192" t="n">
        <x:v>10</x:v>
      </x:c>
      <x:c r="B99" s="192" t="n">
        <x:f>INDEX(tblWeekSummary[Workweek],MATCH(LARGE(tblWeekSummary[Rank Key],A99),tblWeekSummary[Rank Key],0))</x:f>
        <x:v>10</x:v>
      </x:c>
      <x:c r="C99" s="193" t="n">
        <x:f>INDEX(tblWeekSummary[Revenue],MATCH(LARGE(tblWeekSummary[Rank Key],A99),tblWeekSummary[Rank Key],0))</x:f>
        <x:v>308.27</x:v>
      </x:c>
      <x:c r="D99" s="192" t="n">
        <x:f>INDEX(tblWeekSummary[Events],MATCH(LARGE(tblWeekSummary[Rank Key],A99),tblWeekSummary[Rank Key],0))</x:f>
        <x:v>3</x:v>
      </x:c>
      <x:c r="E99" s="192" t="n">
        <x:f>INDEX(tblWeekSummary[Worked Days],MATCH(LARGE(tblWeekSummary[Rank Key],A99),tblWeekSummary[Rank Key],0))</x:f>
        <x:v>3</x:v>
      </x:c>
      <x:c r="F99" s="193" t="n">
        <x:f>INDEX(tblWeekSummary[Avg/Event],MATCH(LARGE(tblWeekSummary[Rank Key],A99),tblWeekSummary[Rank Key],0))</x:f>
        <x:v>102.75666666666666</x:v>
      </x:c>
      <x:c r="O99" s="192" t="n">
        <x:v>10</x:v>
      </x:c>
      <x:c r="P99" s="195" t="n">
        <x:f>INDEX(tblDateSummary[Service Date],MATCH(LARGE(tblDateSummary[Rank Key],O99),tblDateSummary[Rank Key],0))</x:f>
        <x:v>46210</x:v>
      </x:c>
      <x:c r="Q99" s="192" t="str">
        <x:f>INDEX(tblDateSummary[Weekday],MATCH(LARGE(tblDateSummary[Rank Key],O99),tblDateSummary[Rank Key],0))</x:f>
        <x:v>Tuesday</x:v>
      </x:c>
      <x:c r="R99" s="193" t="n">
        <x:f>INDEX(tblDateSummary[Revenue],MATCH(LARGE(tblDateSummary[Rank Key],O99),tblDateSummary[Rank Key],0))</x:f>
        <x:v>250</x:v>
      </x:c>
      <x:c r="S99" s="192" t="n">
        <x:f>INDEX(tblDateSummary[Events],MATCH(LARGE(tblDateSummary[Rank Key],O99),tblDateSummary[Rank Key],0))</x:f>
        <x:v>1</x:v>
      </x:c>
      <x:c r="T99" s="193" t="n">
        <x:f>INDEX(tblDateSummary[Avg/Event],MATCH(LARGE(tblDateSummary[Rank Key],O99),tblDateSummary[Rank Key],0))</x:f>
        <x:v>250</x:v>
      </x:c>
      <x:c r="V99" s="35" t="n">
        <x:v>46156</x:v>
      </x:c>
      <x:c r="W99" t="str">
        <x:v>Thursday</x:v>
      </x:c>
      <x:c r="X99" t="n">
        <x:v>1</x:v>
      </x:c>
      <x:c r="Y99" t="n">
        <x:v>1</x:v>
      </x:c>
      <x:c r="Z99" s="24" t="n">
        <x:v>75</x:v>
      </x:c>
      <x:c r="AA99" s="24" t="n">
        <x:v>75</x:v>
      </x:c>
      <x:c r="AB99" t="n">
        <x:v>75.000046156</x:v>
      </x:c>
    </x:row>
    <x:row r="100">
      <x:c r="A100" s="192" t="n">
        <x:v>11</x:v>
      </x:c>
      <x:c r="B100" s="192" t="n">
        <x:f>INDEX(tblWeekSummary[Workweek],MATCH(LARGE(tblWeekSummary[Rank Key],A100),tblWeekSummary[Rank Key],0))</x:f>
        <x:v>2</x:v>
      </x:c>
      <x:c r="C100" s="193" t="n">
        <x:f>INDEX(tblWeekSummary[Revenue],MATCH(LARGE(tblWeekSummary[Rank Key],A100),tblWeekSummary[Rank Key],0))</x:f>
        <x:v>275</x:v>
      </x:c>
      <x:c r="D100" s="192" t="n">
        <x:f>INDEX(tblWeekSummary[Events],MATCH(LARGE(tblWeekSummary[Rank Key],A100),tblWeekSummary[Rank Key],0))</x:f>
        <x:v>4</x:v>
      </x:c>
      <x:c r="E100" s="192" t="n">
        <x:f>INDEX(tblWeekSummary[Worked Days],MATCH(LARGE(tblWeekSummary[Rank Key],A100),tblWeekSummary[Rank Key],0))</x:f>
        <x:v>3</x:v>
      </x:c>
      <x:c r="F100" s="193" t="n">
        <x:f>INDEX(tblWeekSummary[Avg/Event],MATCH(LARGE(tblWeekSummary[Rank Key],A100),tblWeekSummary[Rank Key],0))</x:f>
        <x:v>91.66666666666667</x:v>
      </x:c>
      <x:c r="O100" s="192" t="n">
        <x:v>11</x:v>
      </x:c>
      <x:c r="P100" s="195" t="n">
        <x:f>INDEX(tblDateSummary[Service Date],MATCH(LARGE(tblDateSummary[Rank Key],O100),tblDateSummary[Rank Key],0))</x:f>
        <x:v>46190</x:v>
      </x:c>
      <x:c r="Q100" s="192" t="str">
        <x:f>INDEX(tblDateSummary[Weekday],MATCH(LARGE(tblDateSummary[Rank Key],O100),tblDateSummary[Rank Key],0))</x:f>
        <x:v>Wednesday</x:v>
      </x:c>
      <x:c r="R100" s="193" t="n">
        <x:f>INDEX(tblDateSummary[Revenue],MATCH(LARGE(tblDateSummary[Rank Key],O100),tblDateSummary[Rank Key],0))</x:f>
        <x:v>218</x:v>
      </x:c>
      <x:c r="S100" s="192" t="n">
        <x:f>INDEX(tblDateSummary[Events],MATCH(LARGE(tblDateSummary[Rank Key],O100),tblDateSummary[Rank Key],0))</x:f>
        <x:v>2</x:v>
      </x:c>
      <x:c r="T100" s="193" t="n">
        <x:f>INDEX(tblDateSummary[Avg/Event],MATCH(LARGE(tblDateSummary[Rank Key],O100),tblDateSummary[Rank Key],0))</x:f>
        <x:v>109</x:v>
      </x:c>
      <x:c r="V100" s="35" t="n">
        <x:v>46157</x:v>
      </x:c>
      <x:c r="W100" t="str">
        <x:v>Friday</x:v>
      </x:c>
      <x:c r="X100" t="n">
        <x:v>1</x:v>
      </x:c>
      <x:c r="Y100" t="n">
        <x:v>1</x:v>
      </x:c>
      <x:c r="Z100" s="24" t="n">
        <x:v>45</x:v>
      </x:c>
      <x:c r="AA100" s="24" t="n">
        <x:v>45</x:v>
      </x:c>
      <x:c r="AB100" t="n">
        <x:v>45.000046157</x:v>
      </x:c>
    </x:row>
    <x:row r="101">
      <x:c r="A101" s="192" t="n">
        <x:v>12</x:v>
      </x:c>
      <x:c r="B101" s="192" t="n">
        <x:f>INDEX(tblWeekSummary[Workweek],MATCH(LARGE(tblWeekSummary[Rank Key],A101),tblWeekSummary[Rank Key],0))</x:f>
        <x:v>3</x:v>
      </x:c>
      <x:c r="C101" s="193" t="n">
        <x:f>INDEX(tblWeekSummary[Revenue],MATCH(LARGE(tblWeekSummary[Rank Key],A101),tblWeekSummary[Rank Key],0))</x:f>
        <x:v>212.5</x:v>
      </x:c>
      <x:c r="D101" s="192" t="n">
        <x:f>INDEX(tblWeekSummary[Events],MATCH(LARGE(tblWeekSummary[Rank Key],A101),tblWeekSummary[Rank Key],0))</x:f>
        <x:v>1</x:v>
      </x:c>
      <x:c r="E101" s="192" t="n">
        <x:f>INDEX(tblWeekSummary[Worked Days],MATCH(LARGE(tblWeekSummary[Rank Key],A101),tblWeekSummary[Rank Key],0))</x:f>
        <x:v>1</x:v>
      </x:c>
      <x:c r="F101" s="193" t="n">
        <x:f>INDEX(tblWeekSummary[Avg/Event],MATCH(LARGE(tblWeekSummary[Rank Key],A101),tblWeekSummary[Rank Key],0))</x:f>
        <x:v>212.5</x:v>
      </x:c>
      <x:c r="O101" s="192" t="n">
        <x:v>12</x:v>
      </x:c>
      <x:c r="P101" s="195" t="n">
        <x:f>INDEX(tblDateSummary[Service Date],MATCH(LARGE(tblDateSummary[Rank Key],O101),tblDateSummary[Rank Key],0))</x:f>
        <x:v>46147</x:v>
      </x:c>
      <x:c r="Q101" s="192" t="str">
        <x:f>INDEX(tblDateSummary[Weekday],MATCH(LARGE(tblDateSummary[Rank Key],O101),tblDateSummary[Rank Key],0))</x:f>
        <x:v>Tuesday</x:v>
      </x:c>
      <x:c r="R101" s="193" t="n">
        <x:f>INDEX(tblDateSummary[Revenue],MATCH(LARGE(tblDateSummary[Rank Key],O101),tblDateSummary[Rank Key],0))</x:f>
        <x:v>212.5</x:v>
      </x:c>
      <x:c r="S101" s="192" t="n">
        <x:f>INDEX(tblDateSummary[Events],MATCH(LARGE(tblDateSummary[Rank Key],O101),tblDateSummary[Rank Key],0))</x:f>
        <x:v>1</x:v>
      </x:c>
      <x:c r="T101" s="193" t="n">
        <x:f>INDEX(tblDateSummary[Avg/Event],MATCH(LARGE(tblDateSummary[Rank Key],O101),tblDateSummary[Rank Key],0))</x:f>
        <x:v>212.5</x:v>
      </x:c>
      <x:c r="V101" s="35" t="n">
        <x:v>46161</x:v>
      </x:c>
      <x:c r="W101" t="str">
        <x:v>Tuesday</x:v>
      </x:c>
      <x:c r="X101" t="n">
        <x:v>1</x:v>
      </x:c>
      <x:c r="Y101" t="n">
        <x:v>1</x:v>
      </x:c>
      <x:c r="Z101" s="24" t="n">
        <x:v>50</x:v>
      </x:c>
      <x:c r="AA101" s="24" t="n">
        <x:v>50</x:v>
      </x:c>
      <x:c r="AB101" t="n">
        <x:v>50.000046161</x:v>
      </x:c>
    </x:row>
    <x:row r="102">
      <x:c r="V102" s="35" t="n">
        <x:v>46162</x:v>
      </x:c>
      <x:c r="W102" t="str">
        <x:v>Wednesday</x:v>
      </x:c>
      <x:c r="X102" t="n">
        <x:v>1</x:v>
      </x:c>
      <x:c r="Y102" t="n">
        <x:v>1</x:v>
      </x:c>
      <x:c r="Z102" s="24" t="n">
        <x:v>106.67</x:v>
      </x:c>
      <x:c r="AA102" s="24" t="n">
        <x:v>106.67</x:v>
      </x:c>
      <x:c r="AB102" t="n">
        <x:v>106.670046162</x:v>
      </x:c>
    </x:row>
    <x:row r="103">
      <x:c r="V103" s="35" t="n">
        <x:v>46163</x:v>
      </x:c>
      <x:c r="W103" t="str">
        <x:v>Thursday</x:v>
      </x:c>
      <x:c r="X103" t="n">
        <x:v>2</x:v>
      </x:c>
      <x:c r="Y103" t="n">
        <x:v>2</x:v>
      </x:c>
      <x:c r="Z103" s="24" t="n">
        <x:v>265.83</x:v>
      </x:c>
      <x:c r="AA103" s="24" t="n">
        <x:v>132.91500000000002</x:v>
      </x:c>
      <x:c r="AB103" t="n">
        <x:v>265.830046163</x:v>
      </x:c>
    </x:row>
    <x:row r="104">
      <x:c r="V104" s="35" t="n">
        <x:v>46168</x:v>
      </x:c>
      <x:c r="W104" t="str">
        <x:v>Tuesday</x:v>
      </x:c>
      <x:c r="X104" t="n">
        <x:v>2</x:v>
      </x:c>
      <x:c r="Y104" t="n">
        <x:v>2</x:v>
      </x:c>
      <x:c r="Z104" s="24" t="n">
        <x:v>147.91</x:v>
      </x:c>
      <x:c r="AA104" s="24" t="n">
        <x:v>73.955</x:v>
      </x:c>
      <x:c r="AB104" t="n">
        <x:v>147.910046168</x:v>
      </x:c>
    </x:row>
    <x:row r="105">
      <x:c r="A105" s="319" t="str">
        <x:v>Phase 3E Chart Gallery</x:v>
      </x:c>
      <x:c r="B105" s="319"/>
      <x:c r="C105" s="319"/>
      <x:c r="D105" s="319"/>
      <x:c r="E105" s="319"/>
      <x:c r="F105" s="319"/>
      <x:c r="G105" s="319"/>
      <x:c r="H105" s="319"/>
      <x:c r="I105" s="319"/>
      <x:c r="J105" s="319"/>
      <x:c r="K105" s="319"/>
      <x:c r="L105" s="319"/>
      <x:c r="M105" s="319"/>
      <x:c r="N105" s="319"/>
      <x:c r="O105" s="319"/>
      <x:c r="P105" s="319"/>
      <x:c r="Q105" s="319"/>
      <x:c r="R105" s="319"/>
      <x:c r="S105" s="319"/>
      <x:c r="T105" s="319"/>
      <x:c r="V105" s="35" t="n">
        <x:v>46169</x:v>
      </x:c>
      <x:c r="W105" t="str">
        <x:v>Wednesday</x:v>
      </x:c>
      <x:c r="X105" t="n">
        <x:v>2</x:v>
      </x:c>
      <x:c r="Y105" t="n">
        <x:v>1</x:v>
      </x:c>
      <x:c r="Z105" s="24" t="n">
        <x:v>200</x:v>
      </x:c>
      <x:c r="AA105" s="24" t="n">
        <x:v>200</x:v>
      </x:c>
      <x:c r="AB105" t="n">
        <x:v>200.000046169</x:v>
      </x:c>
    </x:row>
    <x:row r="106">
      <x:c r="V106" s="35" t="n">
        <x:v>46170</x:v>
      </x:c>
      <x:c r="W106" t="str">
        <x:v>Thursday</x:v>
      </x:c>
      <x:c r="X106" t="n">
        <x:v>2</x:v>
      </x:c>
      <x:c r="Y106" t="n">
        <x:v>1</x:v>
      </x:c>
      <x:c r="Z106" s="24" t="n">
        <x:v>175</x:v>
      </x:c>
      <x:c r="AA106" s="24" t="n">
        <x:v>175</x:v>
      </x:c>
      <x:c r="AB106" t="n">
        <x:v>175.00004617</x:v>
      </x:c>
    </x:row>
    <x:row r="107">
      <x:c r="V107" s="35" t="n">
        <x:v>46174</x:v>
      </x:c>
      <x:c r="W107" t="str">
        <x:v>Monday</x:v>
      </x:c>
      <x:c r="X107" t="n">
        <x:v>1</x:v>
      </x:c>
      <x:c r="Y107" t="n">
        <x:v>1</x:v>
      </x:c>
      <x:c r="Z107" s="24" t="n">
        <x:v>320</x:v>
      </x:c>
      <x:c r="AA107" s="24" t="n">
        <x:v>320</x:v>
      </x:c>
      <x:c r="AB107" t="n">
        <x:v>320.000046174</x:v>
      </x:c>
    </x:row>
    <x:row r="108">
      <x:c r="V108" s="35" t="n">
        <x:v>46175</x:v>
      </x:c>
      <x:c r="W108" t="str">
        <x:v>Tuesday</x:v>
      </x:c>
      <x:c r="X108" t="n">
        <x:v>1</x:v>
      </x:c>
      <x:c r="Y108" t="n">
        <x:v>1</x:v>
      </x:c>
      <x:c r="Z108" s="24" t="n">
        <x:v>320</x:v>
      </x:c>
      <x:c r="AA108" s="24" t="n">
        <x:v>320</x:v>
      </x:c>
      <x:c r="AB108" t="n">
        <x:v>320.000046175</x:v>
      </x:c>
    </x:row>
    <x:row r="109">
      <x:c r="V109" s="35" t="n">
        <x:v>46176</x:v>
      </x:c>
      <x:c r="W109" t="str">
        <x:v>Wednesday</x:v>
      </x:c>
      <x:c r="X109" t="n">
        <x:v>2</x:v>
      </x:c>
      <x:c r="Y109" t="n">
        <x:v>2</x:v>
      </x:c>
      <x:c r="Z109" s="24" t="n">
        <x:v>296.66</x:v>
      </x:c>
      <x:c r="AA109" s="24" t="n">
        <x:v>148.32999999999998</x:v>
      </x:c>
      <x:c r="AB109" t="n">
        <x:v>296.660046176</x:v>
      </x:c>
    </x:row>
    <x:row r="110">
      <x:c r="V110" s="35" t="n">
        <x:v>46177</x:v>
      </x:c>
      <x:c r="W110" t="str">
        <x:v>Thursday</x:v>
      </x:c>
      <x:c r="X110" t="n">
        <x:v>1</x:v>
      </x:c>
      <x:c r="Y110" t="n">
        <x:v>1</x:v>
      </x:c>
      <x:c r="Z110" s="24" t="n">
        <x:v>140</x:v>
      </x:c>
      <x:c r="AA110" s="24" t="n">
        <x:v>140</x:v>
      </x:c>
      <x:c r="AB110" t="n">
        <x:v>140.000046177</x:v>
      </x:c>
    </x:row>
    <x:row r="111">
      <x:c r="V111" s="35" t="n">
        <x:v>46178</x:v>
      </x:c>
      <x:c r="W111" t="str">
        <x:v>Friday</x:v>
      </x:c>
      <x:c r="X111" t="n">
        <x:v>3</x:v>
      </x:c>
      <x:c r="Y111" t="n">
        <x:v>3</x:v>
      </x:c>
      <x:c r="Z111" s="24" t="n">
        <x:v>145</x:v>
      </x:c>
      <x:c r="AA111" s="24" t="n">
        <x:v>48.333333333333336</x:v>
      </x:c>
      <x:c r="AB111" t="n">
        <x:v>145.000046178</x:v>
      </x:c>
    </x:row>
    <x:row r="112">
      <x:c r="V112" s="35" t="n">
        <x:v>46181</x:v>
      </x:c>
      <x:c r="W112" t="str">
        <x:v>Monday</x:v>
      </x:c>
      <x:c r="X112" t="n">
        <x:v>1</x:v>
      </x:c>
      <x:c r="Y112" t="n">
        <x:v>1</x:v>
      </x:c>
      <x:c r="Z112" s="24" t="n">
        <x:v>70</x:v>
      </x:c>
      <x:c r="AA112" s="24" t="n">
        <x:v>70</x:v>
      </x:c>
      <x:c r="AB112" t="n">
        <x:v>70.000046181</x:v>
      </x:c>
    </x:row>
    <x:row r="113">
      <x:c r="V113" s="35" t="n">
        <x:v>46182</x:v>
      </x:c>
      <x:c r="W113" t="str">
        <x:v>Tuesday</x:v>
      </x:c>
      <x:c r="X113" t="n">
        <x:v>2</x:v>
      </x:c>
      <x:c r="Y113" t="n">
        <x:v>2</x:v>
      </x:c>
      <x:c r="Z113" s="24" t="n">
        <x:v>155</x:v>
      </x:c>
      <x:c r="AA113" s="24" t="n">
        <x:v>77.5</x:v>
      </x:c>
      <x:c r="AB113" t="n">
        <x:v>155.000046182</x:v>
      </x:c>
    </x:row>
    <x:row r="114">
      <x:c r="V114" s="35" t="n">
        <x:v>46183</x:v>
      </x:c>
      <x:c r="W114" t="str">
        <x:v>Wednesday</x:v>
      </x:c>
      <x:c r="X114" t="n">
        <x:v>3</x:v>
      </x:c>
      <x:c r="Y114" t="n">
        <x:v>3</x:v>
      </x:c>
      <x:c r="Z114" s="24" t="n">
        <x:v>390</x:v>
      </x:c>
      <x:c r="AA114" s="24" t="n">
        <x:v>130</x:v>
      </x:c>
      <x:c r="AB114" t="n">
        <x:v>390.000046183</x:v>
      </x:c>
    </x:row>
    <x:row r="115">
      <x:c r="V115" s="35" t="n">
        <x:v>46184</x:v>
      </x:c>
      <x:c r="W115" t="str">
        <x:v>Thursday</x:v>
      </x:c>
      <x:c r="X115" t="n">
        <x:v>2</x:v>
      </x:c>
      <x:c r="Y115" t="n">
        <x:v>2</x:v>
      </x:c>
      <x:c r="Z115" s="24" t="n">
        <x:v>95</x:v>
      </x:c>
      <x:c r="AA115" s="24" t="n">
        <x:v>47.5</x:v>
      </x:c>
      <x:c r="AB115" t="n">
        <x:v>95.000046184</x:v>
      </x:c>
    </x:row>
    <x:row r="116">
      <x:c r="V116" s="35" t="n">
        <x:v>46185</x:v>
      </x:c>
      <x:c r="W116" t="str">
        <x:v>Friday</x:v>
      </x:c>
      <x:c r="X116" t="n">
        <x:v>1</x:v>
      </x:c>
      <x:c r="Y116" t="n">
        <x:v>1</x:v>
      </x:c>
      <x:c r="Z116" s="24" t="n">
        <x:v>50</x:v>
      </x:c>
      <x:c r="AA116" s="24" t="n">
        <x:v>50</x:v>
      </x:c>
      <x:c r="AB116" t="n">
        <x:v>50.000046185</x:v>
      </x:c>
    </x:row>
    <x:row r="117">
      <x:c r="V117" s="35" t="n">
        <x:v>46188</x:v>
      </x:c>
      <x:c r="W117" t="str">
        <x:v>Monday</x:v>
      </x:c>
      <x:c r="X117" t="n">
        <x:v>1</x:v>
      </x:c>
      <x:c r="Y117" t="n">
        <x:v>1</x:v>
      </x:c>
      <x:c r="Z117" s="24" t="n">
        <x:v>123.75</x:v>
      </x:c>
      <x:c r="AA117" s="24" t="n">
        <x:v>123.75</x:v>
      </x:c>
      <x:c r="AB117" t="n">
        <x:v>123.750046188</x:v>
      </x:c>
    </x:row>
    <x:row r="118">
      <x:c r="V118" s="35" t="n">
        <x:v>46190</x:v>
      </x:c>
      <x:c r="W118" t="str">
        <x:v>Wednesday</x:v>
      </x:c>
      <x:c r="X118" t="n">
        <x:v>2</x:v>
      </x:c>
      <x:c r="Y118" t="n">
        <x:v>2</x:v>
      </x:c>
      <x:c r="Z118" s="24" t="n">
        <x:v>218</x:v>
      </x:c>
      <x:c r="AA118" s="24" t="n">
        <x:v>109</x:v>
      </x:c>
      <x:c r="AB118" t="n">
        <x:v>218.00004619</x:v>
      </x:c>
    </x:row>
    <x:row r="119">
      <x:c r="V119" s="35" t="n">
        <x:v>46191</x:v>
      </x:c>
      <x:c r="W119" t="str">
        <x:v>Thursday</x:v>
      </x:c>
      <x:c r="X119" t="n">
        <x:v>2</x:v>
      </x:c>
      <x:c r="Y119" t="n">
        <x:v>2</x:v>
      </x:c>
      <x:c r="Z119" s="24" t="n">
        <x:v>200</x:v>
      </x:c>
      <x:c r="AA119" s="24" t="n">
        <x:v>100</x:v>
      </x:c>
      <x:c r="AB119" t="n">
        <x:v>200.000046191</x:v>
      </x:c>
    </x:row>
    <x:row r="120">
      <x:c r="V120" s="35" t="n">
        <x:v>46192</x:v>
      </x:c>
      <x:c r="W120" t="str">
        <x:v>Friday</x:v>
      </x:c>
      <x:c r="X120" t="n">
        <x:v>2</x:v>
      </x:c>
      <x:c r="Y120" t="n">
        <x:v>2</x:v>
      </x:c>
      <x:c r="Z120" s="24" t="n">
        <x:v>140</x:v>
      </x:c>
      <x:c r="AA120" s="24" t="n">
        <x:v>70</x:v>
      </x:c>
      <x:c r="AB120" t="n">
        <x:v>140.000046192</x:v>
      </x:c>
    </x:row>
    <x:row r="121">
      <x:c r="V121" s="35" t="n">
        <x:v>46195</x:v>
      </x:c>
      <x:c r="W121" t="str">
        <x:v>Monday</x:v>
      </x:c>
      <x:c r="X121" t="n">
        <x:v>1</x:v>
      </x:c>
      <x:c r="Y121" t="n">
        <x:v>1</x:v>
      </x:c>
      <x:c r="Z121" s="24" t="n">
        <x:v>60</x:v>
      </x:c>
      <x:c r="AA121" s="24" t="n">
        <x:v>60</x:v>
      </x:c>
      <x:c r="AB121" t="n">
        <x:v>60.000046195</x:v>
      </x:c>
    </x:row>
    <x:row r="122">
      <x:c r="V122" s="35" t="n">
        <x:v>46196</x:v>
      </x:c>
      <x:c r="W122" t="str">
        <x:v>Tuesday</x:v>
      </x:c>
      <x:c r="X122" t="n">
        <x:v>1</x:v>
      </x:c>
      <x:c r="Y122" t="n">
        <x:v>1</x:v>
      </x:c>
      <x:c r="Z122" s="24" t="n">
        <x:v>116.24</x:v>
      </x:c>
      <x:c r="AA122" s="24" t="n">
        <x:v>116.24</x:v>
      </x:c>
      <x:c r="AB122" t="n">
        <x:v>116.240046196</x:v>
      </x:c>
    </x:row>
    <x:row r="123">
      <x:c r="V123" s="35" t="n">
        <x:v>46197</x:v>
      </x:c>
      <x:c r="W123" t="str">
        <x:v>Wednesday</x:v>
      </x:c>
      <x:c r="X123" t="n">
        <x:v>1</x:v>
      </x:c>
      <x:c r="Y123" t="n">
        <x:v>1</x:v>
      </x:c>
      <x:c r="Z123" s="24" t="n">
        <x:v>132.03</x:v>
      </x:c>
      <x:c r="AA123" s="24" t="n">
        <x:v>132.03</x:v>
      </x:c>
      <x:c r="AB123" t="n">
        <x:v>132.030046197</x:v>
      </x:c>
    </x:row>
    <x:row r="124">
      <x:c r="V124" s="35" t="n">
        <x:v>46203</x:v>
      </x:c>
      <x:c r="W124" t="str">
        <x:v>Tuesday</x:v>
      </x:c>
      <x:c r="X124" t="n">
        <x:v>1</x:v>
      </x:c>
      <x:c r="Y124" t="n">
        <x:v>1</x:v>
      </x:c>
      <x:c r="Z124" s="24" t="n">
        <x:v>120</x:v>
      </x:c>
      <x:c r="AA124" s="24" t="n">
        <x:v>120</x:v>
      </x:c>
      <x:c r="AB124" t="n">
        <x:v>120.000046203</x:v>
      </x:c>
    </x:row>
    <x:row r="125">
      <x:c r="V125" s="35" t="n">
        <x:v>46204</x:v>
      </x:c>
      <x:c r="W125" t="str">
        <x:v>Wednesday</x:v>
      </x:c>
      <x:c r="X125" t="n">
        <x:v>1</x:v>
      </x:c>
      <x:c r="Y125" t="n">
        <x:v>1</x:v>
      </x:c>
      <x:c r="Z125" s="24" t="n">
        <x:v>120</x:v>
      </x:c>
      <x:c r="AA125" s="24" t="n">
        <x:v>120</x:v>
      </x:c>
      <x:c r="AB125" t="n">
        <x:v>120.000046204</x:v>
      </x:c>
    </x:row>
    <x:row r="126">
      <x:c r="V126" s="35" t="n">
        <x:v>46205</x:v>
      </x:c>
      <x:c r="W126" t="str">
        <x:v>Thursday</x:v>
      </x:c>
      <x:c r="X126" t="n">
        <x:v>1</x:v>
      </x:c>
      <x:c r="Y126" t="n">
        <x:v>1</x:v>
      </x:c>
      <x:c r="Z126" s="24" t="n">
        <x:v>170.66</x:v>
      </x:c>
      <x:c r="AA126" s="24" t="n">
        <x:v>170.66</x:v>
      </x:c>
      <x:c r="AB126" t="n">
        <x:v>170.660046205</x:v>
      </x:c>
    </x:row>
    <x:row r="127">
      <x:c r="V127" s="35" t="n">
        <x:v>46209</x:v>
      </x:c>
      <x:c r="W127" t="str">
        <x:v>Monday</x:v>
      </x:c>
      <x:c r="X127" t="n">
        <x:v>2</x:v>
      </x:c>
      <x:c r="Y127" t="n">
        <x:v>2</x:v>
      </x:c>
      <x:c r="Z127" s="24" t="n">
        <x:v>269.24</x:v>
      </x:c>
      <x:c r="AA127" s="24" t="n">
        <x:v>134.62</x:v>
      </x:c>
      <x:c r="AB127" t="n">
        <x:v>269.240046209</x:v>
      </x:c>
    </x:row>
    <x:row r="128">
      <x:c r="V128" s="35" t="n">
        <x:v>46210</x:v>
      </x:c>
      <x:c r="W128" t="str">
        <x:v>Tuesday</x:v>
      </x:c>
      <x:c r="X128" t="n">
        <x:v>1</x:v>
      </x:c>
      <x:c r="Y128" t="n">
        <x:v>1</x:v>
      </x:c>
      <x:c r="Z128" s="24" t="n">
        <x:v>250</x:v>
      </x:c>
      <x:c r="AA128" s="24" t="n">
        <x:v>250</x:v>
      </x:c>
      <x:c r="AB128" t="n">
        <x:v>250.00004621</x:v>
      </x:c>
    </x:row>
    <x:row r="129">
      <x:c r="V129" s="35" t="n">
        <x:v>46211</x:v>
      </x:c>
      <x:c r="W129" t="str">
        <x:v>Wednesday</x:v>
      </x:c>
      <x:c r="X129" t="n">
        <x:v>1</x:v>
      </x:c>
      <x:c r="Y129" t="n">
        <x:v>0</x:v>
      </x:c>
      <x:c r="Z129" t="n">
        <x:v>0</x:v>
      </x:c>
      <x:c r="AA129" t="n">
        <x:v>0</x:v>
      </x:c>
      <x:c r="AB129" t="n">
        <x:v>0.000046211</x:v>
      </x:c>
    </x:row>
    <x:row r="130">
      <x:c r="V130" s="35" t="n">
        <x:v>46212</x:v>
      </x:c>
      <x:c r="W130" t="str">
        <x:v>Thursday</x:v>
      </x:c>
      <x:c r="X130" t="n">
        <x:v>2</x:v>
      </x:c>
      <x:c r="Y130" t="n">
        <x:v>2</x:v>
      </x:c>
      <x:c r="Z130" t="n">
        <x:v>295.82</x:v>
      </x:c>
      <x:c r="AA130" t="n">
        <x:v>147.91</x:v>
      </x:c>
      <x:c r="AB130" t="n">
        <x:v>295.820046212</x:v>
      </x:c>
    </x:row>
    <x:row r="131">
      <x:c r="V131" s="484" t="n">
        <x:v>46216</x:v>
      </x:c>
      <x:c r="W131" s="231" t="str">
        <x:v>Monday</x:v>
      </x:c>
      <x:c r="X131" s="231" t="n">
        <x:v>3</x:v>
      </x:c>
      <x:c r="Y131" s="231" t="n">
        <x:v>0</x:v>
      </x:c>
      <x:c r="Z131" s="231" t="n">
        <x:v>0</x:v>
      </x:c>
      <x:c r="AA131" s="231" t="n">
        <x:v>0</x:v>
      </x:c>
      <x:c r="AB131" s="231" t="n">
        <x:v>0.000046216</x:v>
      </x:c>
      <x:c r="AC131" s="231"/>
      <x:c r="AD131" s="231"/>
    </x:row>
    <x:row r="132">
      <x:c r="V132" s="35" t="n">
        <x:v>46217</x:v>
      </x:c>
      <x:c r="W132" s="35" t="str">
        <x:v>Tuesday</x:v>
      </x:c>
      <x:c r="X132" t="n">
        <x:v>2</x:v>
      </x:c>
      <x:c r="Y132" t="n">
        <x:v>1</x:v>
      </x:c>
      <x:c r="Z132" t="n">
        <x:v>183.74</x:v>
      </x:c>
      <x:c r="AA132" s="24" t="n">
        <x:v>183.74</x:v>
      </x:c>
      <x:c r="AB132" t="n">
        <x:v>183.740046217</x:v>
      </x:c>
      <x:c r="AC132"/>
      <x:c r="AD132"/>
    </x:row>
    <x:row r="133">
      <x:c r="V133"/>
      <x:c r="W133" s="35"/>
      <x:c r="X133"/>
      <x:c r="Y133"/>
      <x:c r="Z133"/>
      <x:c r="AA133" s="24"/>
      <x:c r="AB133"/>
      <x:c r="AC133"/>
      <x:c r="AD133"/>
    </x:row>
    <x:row r="134">
      <x:c r="V134" t="str">
        <x:v>Event #</x:v>
      </x:c>
      <x:c r="W134" s="35" t="str">
        <x:v>Date</x:v>
      </x:c>
      <x:c r="X134" t="str">
        <x:v>Client</x:v>
      </x:c>
      <x:c r="Y134" t="str">
        <x:v>City</x:v>
      </x:c>
      <x:c r="Z134" t="str">
        <x:v>Jurisdiction</x:v>
      </x:c>
      <x:c r="AA134" s="24" t="str">
        <x:v>Revenue</x:v>
      </x:c>
      <x:c r="AB134" t="str">
        <x:v>Eligibility</x:v>
      </x:c>
      <x:c r="AC134" t="str">
        <x:v>Work Orders</x:v>
      </x:c>
      <x:c r="AD134" t="str">
        <x:v>Rank Key</x:v>
      </x:c>
    </x:row>
    <x:row r="135">
      <x:c r="V135" t="n">
        <x:v>1</x:v>
      </x:c>
      <x:c r="W135" s="35" t="n">
        <x:v>46132</x:v>
      </x:c>
      <x:c r="X135" t="str">
        <x:v>Macy's</x:v>
      </x:c>
      <x:c r="Y135" t="str">
        <x:v>Fairfax</x:v>
      </x:c>
      <x:c r="Z135" t="str">
        <x:v>VA</x:v>
      </x:c>
      <x:c r="AA135" s="24" t="n">
        <x:v>90</x:v>
      </x:c>
      <x:c r="AB135" t="str">
        <x:v>Eligible</x:v>
      </x:c>
      <x:c r="AC135" t="str">
        <x:v>5847113</x:v>
      </x:c>
      <x:c r="AD135" t="n">
        <x:v>90.000001</x:v>
      </x:c>
    </x:row>
    <x:row r="136">
      <x:c r="V136" t="n">
        <x:v>2</x:v>
      </x:c>
      <x:c r="W136" s="35" t="n">
        <x:v>46133</x:v>
      </x:c>
      <x:c r="X136" t="str">
        <x:v>Bloomingdale's</x:v>
      </x:c>
      <x:c r="Y136" t="str">
        <x:v>Tysons</x:v>
      </x:c>
      <x:c r="Z136" t="str">
        <x:v>VA</x:v>
      </x:c>
      <x:c r="AA136" s="24" t="n">
        <x:v>344</x:v>
      </x:c>
      <x:c r="AB136" t="str">
        <x:v>Eligible</x:v>
      </x:c>
      <x:c r="AC136" t="str">
        <x:v>5860365</x:v>
      </x:c>
      <x:c r="AD136" t="n">
        <x:v>344.000002</x:v>
      </x:c>
    </x:row>
    <x:row r="137">
      <x:c r="V137" t="n">
        <x:v>3</x:v>
      </x:c>
      <x:c r="W137" s="35" t="n">
        <x:v>46134</x:v>
      </x:c>
      <x:c r="X137" t="str">
        <x:v>Bloomingdale's</x:v>
      </x:c>
      <x:c r="Y137" t="str">
        <x:v>Tysons</x:v>
      </x:c>
      <x:c r="Z137" t="str">
        <x:v>VA</x:v>
      </x:c>
      <x:c r="AA137" s="24" t="n">
        <x:v>344</x:v>
      </x:c>
      <x:c r="AB137" t="str">
        <x:v>Eligible</x:v>
      </x:c>
      <x:c r="AC137" t="str">
        <x:v>5860393</x:v>
      </x:c>
      <x:c r="AD137" t="n">
        <x:v>344.000003</x:v>
      </x:c>
    </x:row>
    <x:row r="138">
      <x:c r="V138" t="n">
        <x:v>4</x:v>
      </x:c>
      <x:c r="W138" s="35" t="n">
        <x:v>46135</x:v>
      </x:c>
      <x:c r="X138" t="str">
        <x:v>Macy's</x:v>
      </x:c>
      <x:c r="Y138" t="str">
        <x:v>Frederick</x:v>
      </x:c>
      <x:c r="Z138" t="str">
        <x:v>MD</x:v>
      </x:c>
      <x:c r="AA138" s="24" t="n">
        <x:v>180</x:v>
      </x:c>
      <x:c r="AB138" t="str">
        <x:v>Eligible</x:v>
      </x:c>
      <x:c r="AC138" t="str">
        <x:v>5874484</x:v>
      </x:c>
      <x:c r="AD138" t="n">
        <x:v>180.000004</x:v>
      </x:c>
    </x:row>
    <x:row r="139">
      <x:c r="V139" t="n">
        <x:v>5</x:v>
      </x:c>
      <x:c r="W139" s="35" t="n">
        <x:v>46136</x:v>
      </x:c>
      <x:c r="X139" t="str">
        <x:v>Hampton Inn &amp; Suites</x:v>
      </x:c>
      <x:c r="Y139" t="str">
        <x:v>Washington</x:v>
      </x:c>
      <x:c r="Z139" t="str">
        <x:v>DC</x:v>
      </x:c>
      <x:c r="AA139" s="24" t="n">
        <x:v>50</x:v>
      </x:c>
      <x:c r="AB139" t="str">
        <x:v>Eligible</x:v>
      </x:c>
      <x:c r="AC139" t="str">
        <x:v>5876589</x:v>
      </x:c>
      <x:c r="AD139" t="n">
        <x:v>50.000005</x:v>
      </x:c>
    </x:row>
    <x:row r="140">
      <x:c r="V140" t="n">
        <x:v>6</x:v>
      </x:c>
      <x:c r="W140" s="35" t="n">
        <x:v>46139</x:v>
      </x:c>
      <x:c r="X140" t="str">
        <x:v>Macy's</x:v>
      </x:c>
      <x:c r="Y140" t="str">
        <x:v>Frederick</x:v>
      </x:c>
      <x:c r="Z140" t="str">
        <x:v>MD</x:v>
      </x:c>
      <x:c r="AA140" s="24" t="n">
        <x:v>180</x:v>
      </x:c>
      <x:c r="AB140" t="str">
        <x:v>Eligible</x:v>
      </x:c>
      <x:c r="AC140" t="str">
        <x:v>5874982</x:v>
      </x:c>
      <x:c r="AD140" t="n">
        <x:v>180.000006</x:v>
      </x:c>
    </x:row>
    <x:row r="141">
      <x:c r="V141" t="n">
        <x:v>7</x:v>
      </x:c>
      <x:c r="W141" s="35" t="n">
        <x:v>46141</x:v>
      </x:c>
      <x:c r="X141" t="str">
        <x:v>Davis Polk &amp; Wardwell</x:v>
      </x:c>
      <x:c r="Y141" t="str">
        <x:v>Washington</x:v>
      </x:c>
      <x:c r="Z141" t="str">
        <x:v>DC</x:v>
      </x:c>
      <x:c r="AA141" s="24" t="n">
        <x:v>50</x:v>
      </x:c>
      <x:c r="AB141" t="str">
        <x:v>Eligible</x:v>
      </x:c>
      <x:c r="AC141" t="str">
        <x:v>5876638</x:v>
      </x:c>
      <x:c r="AD141" t="n">
        <x:v>50.000007</x:v>
      </x:c>
    </x:row>
    <x:row r="142">
      <x:c r="V142" t="n">
        <x:v>8</x:v>
      </x:c>
      <x:c r="W142" s="35" t="n">
        <x:v>46141</x:v>
      </x:c>
      <x:c r="X142" t="str">
        <x:v>Hebrew Home of Greater Washington</x:v>
      </x:c>
      <x:c r="Y142" t="str">
        <x:v>North Bethesda</x:v>
      </x:c>
      <x:c r="Z142" t="str">
        <x:v>MD</x:v>
      </x:c>
      <x:c r="AA142" s="24" t="n">
        <x:v>45</x:v>
      </x:c>
      <x:c r="AB142" t="str">
        <x:v>Eligible</x:v>
      </x:c>
      <x:c r="AC142" t="str">
        <x:v>5878985</x:v>
      </x:c>
      <x:c r="AD142" t="n">
        <x:v>45.000008</x:v>
      </x:c>
    </x:row>
    <x:row r="143">
      <x:c r="V143" t="n">
        <x:v>9</x:v>
      </x:c>
      <x:c r="W143" s="35" t="n">
        <x:v>46142</x:v>
      </x:c>
      <x:c r="X143" t="str">
        <x:v>7-Eleven</x:v>
      </x:c>
      <x:c r="Y143" t="str">
        <x:v>Baltimore</x:v>
      </x:c>
      <x:c r="Z143" t="str">
        <x:v>MD</x:v>
      </x:c>
      <x:c r="AA143" s="24"/>
      <x:c r="AB143" t="str">
        <x:v>Excluded</x:v>
      </x:c>
      <x:c r="AC143" t="str">
        <x:v>UNRESOLVED-E009</x:v>
      </x:c>
      <x:c r="AD143" t="n">
        <x:v>0.000009</x:v>
      </x:c>
    </x:row>
    <x:row r="144">
      <x:c r="V144" t="n">
        <x:v>10</x:v>
      </x:c>
      <x:c r="W144" s="35" t="n">
        <x:v>46147</x:v>
      </x:c>
      <x:c r="X144" t="str">
        <x:v>Giant Food Stores</x:v>
      </x:c>
      <x:c r="Y144" t="str">
        <x:v>Hanover</x:v>
      </x:c>
      <x:c r="Z144" t="str">
        <x:v>PA</x:v>
      </x:c>
      <x:c r="AA144" s="24" t="n">
        <x:v>212.5</x:v>
      </x:c>
      <x:c r="AB144" t="str">
        <x:v>Eligible</x:v>
      </x:c>
      <x:c r="AC144" t="str">
        <x:v>5882097</x:v>
      </x:c>
      <x:c r="AD144" t="n">
        <x:v>212.50001</x:v>
      </x:c>
    </x:row>
    <x:row r="145">
      <x:c r="V145" t="n">
        <x:v>11</x:v>
      </x:c>
      <x:c r="W145" s="35" t="n">
        <x:v>46153</x:v>
      </x:c>
      <x:c r="X145" t="str">
        <x:v>Food Lion</x:v>
      </x:c>
      <x:c r="Y145" t="str">
        <x:v>Leesburg</x:v>
      </x:c>
      <x:c r="Z145" t="str">
        <x:v>VA</x:v>
      </x:c>
      <x:c r="AA145" s="24" t="n">
        <x:v>157.5</x:v>
      </x:c>
      <x:c r="AB145" t="str">
        <x:v>Eligible</x:v>
      </x:c>
      <x:c r="AC145" t="str">
        <x:v>5884987</x:v>
      </x:c>
      <x:c r="AD145" t="n">
        <x:v>157.500011</x:v>
      </x:c>
    </x:row>
    <x:row r="146">
      <x:c r="V146" t="n">
        <x:v>12</x:v>
      </x:c>
      <x:c r="W146" s="35" t="n">
        <x:v>46154</x:v>
      </x:c>
      <x:c r="X146" t="str">
        <x:v>Weis Markets</x:v>
      </x:c>
      <x:c r="Y146" t="str">
        <x:v>Chambersburg</x:v>
      </x:c>
      <x:c r="Z146" t="str">
        <x:v>PA</x:v>
      </x:c>
      <x:c r="AA146" s="24" t="n">
        <x:v>85</x:v>
      </x:c>
      <x:c r="AB146" t="str">
        <x:v>Eligible</x:v>
      </x:c>
      <x:c r="AC146" t="str">
        <x:v>5884369</x:v>
      </x:c>
      <x:c r="AD146" t="n">
        <x:v>85.000012</x:v>
      </x:c>
    </x:row>
    <x:row r="147">
      <x:c r="V147" t="n">
        <x:v>13</x:v>
      </x:c>
      <x:c r="W147" s="35" t="n">
        <x:v>46155</x:v>
      </x:c>
      <x:c r="X147" t="str">
        <x:v>Office of MD Senator Chris Van Hollen</x:v>
      </x:c>
      <x:c r="Y147" t="str">
        <x:v>Rockville</x:v>
      </x:c>
      <x:c r="Z147" t="str">
        <x:v>MD</x:v>
      </x:c>
      <x:c r="AA147" s="24" t="n">
        <x:v>50</x:v>
      </x:c>
      <x:c r="AB147" t="str">
        <x:v>Eligible</x:v>
      </x:c>
      <x:c r="AC147" t="str">
        <x:v>5885429</x:v>
      </x:c>
      <x:c r="AD147" t="n">
        <x:v>50.000013</x:v>
      </x:c>
    </x:row>
    <x:row r="148">
      <x:c r="V148" t="n">
        <x:v>14</x:v>
      </x:c>
      <x:c r="W148" s="35" t="n">
        <x:v>46155</x:v>
      </x:c>
      <x:c r="X148" t="str">
        <x:v>Residential – Annapolis Neck, MD</x:v>
      </x:c>
      <x:c r="Y148" t="str">
        <x:v>Annapolis Neck</x:v>
      </x:c>
      <x:c r="Z148" t="str">
        <x:v>MD</x:v>
      </x:c>
      <x:c r="AA148" s="24"/>
      <x:c r="AB148" t="str">
        <x:v>Excluded</x:v>
      </x:c>
      <x:c r="AC148" t="str">
        <x:v>UNRESOLVED-E014</x:v>
      </x:c>
      <x:c r="AD148" t="n">
        <x:v>0.000014</x:v>
      </x:c>
    </x:row>
    <x:row r="149">
      <x:c r="V149" t="n">
        <x:v>15</x:v>
      </x:c>
      <x:c r="W149" s="35" t="n">
        <x:v>46156</x:v>
      </x:c>
      <x:c r="X149" t="str">
        <x:v>Verizon</x:v>
      </x:c>
      <x:c r="Y149" t="str">
        <x:v>College Park</x:v>
      </x:c>
      <x:c r="Z149" t="str">
        <x:v>MD</x:v>
      </x:c>
      <x:c r="AA149" s="24" t="n">
        <x:v>75</x:v>
      </x:c>
      <x:c r="AB149" t="str">
        <x:v>Eligible</x:v>
      </x:c>
      <x:c r="AC149" t="str">
        <x:v>5886658</x:v>
      </x:c>
      <x:c r="AD149" t="n">
        <x:v>75.000015</x:v>
      </x:c>
    </x:row>
    <x:row r="150">
      <x:c r="V150" t="n">
        <x:v>16</x:v>
      </x:c>
      <x:c r="W150" s="35" t="n">
        <x:v>46157</x:v>
      </x:c>
      <x:c r="X150" t="str">
        <x:v>Atrium Village</x:v>
      </x:c>
      <x:c r="Y150" t="str">
        <x:v>Owings Mills</x:v>
      </x:c>
      <x:c r="Z150" t="str">
        <x:v>MD</x:v>
      </x:c>
      <x:c r="AA150" s="24" t="n">
        <x:v>45</x:v>
      </x:c>
      <x:c r="AB150" t="str">
        <x:v>Eligible</x:v>
      </x:c>
      <x:c r="AC150" t="str">
        <x:v>5887090</x:v>
      </x:c>
      <x:c r="AD150" t="n">
        <x:v>45.000016</x:v>
      </x:c>
    </x:row>
    <x:row r="151">
      <x:c r="V151" t="n">
        <x:v>17</x:v>
      </x:c>
      <x:c r="W151" s="35" t="n">
        <x:v>46161</x:v>
      </x:c>
      <x:c r="X151" t="str">
        <x:v>Maryland Baptist Age Home</x:v>
      </x:c>
      <x:c r="Y151" t="str">
        <x:v>Baltimore</x:v>
      </x:c>
      <x:c r="Z151" t="str">
        <x:v>MD</x:v>
      </x:c>
      <x:c r="AA151" s="24" t="n">
        <x:v>50</x:v>
      </x:c>
      <x:c r="AB151" t="str">
        <x:v>Eligible</x:v>
      </x:c>
      <x:c r="AC151" t="str">
        <x:v>5887094</x:v>
      </x:c>
      <x:c r="AD151" t="n">
        <x:v>50.000017</x:v>
      </x:c>
    </x:row>
    <x:row r="152">
      <x:c r="V152" t="n">
        <x:v>18</x:v>
      </x:c>
      <x:c r="W152" s="35" t="n">
        <x:v>46162</x:v>
      </x:c>
      <x:c r="X152" t="str">
        <x:v>Under Armour</x:v>
      </x:c>
      <x:c r="Y152" t="str">
        <x:v>Hanover</x:v>
      </x:c>
      <x:c r="Z152" t="str">
        <x:v>MD</x:v>
      </x:c>
      <x:c r="AA152" s="24" t="n">
        <x:v>106.67</x:v>
      </x:c>
      <x:c r="AB152" t="str">
        <x:v>Eligible</x:v>
      </x:c>
      <x:c r="AC152" t="str">
        <x:v>5889356</x:v>
      </x:c>
      <x:c r="AD152" t="n">
        <x:v>106.670018</x:v>
      </x:c>
    </x:row>
    <x:row r="153">
      <x:c r="V153" t="n">
        <x:v>19</x:v>
      </x:c>
      <x:c r="W153" s="35" t="n">
        <x:v>46163</x:v>
      </x:c>
      <x:c r="X153" t="str">
        <x:v>Under Armour</x:v>
      </x:c>
      <x:c r="Y153" t="str">
        <x:v>Hanover</x:v>
      </x:c>
      <x:c r="Z153" t="str">
        <x:v>MD</x:v>
      </x:c>
      <x:c r="AA153" s="24" t="n">
        <x:v>153.33</x:v>
      </x:c>
      <x:c r="AB153" t="str">
        <x:v>Eligible</x:v>
      </x:c>
      <x:c r="AC153" t="str">
        <x:v>5889356-D2</x:v>
      </x:c>
      <x:c r="AD153" t="n">
        <x:v>153.330019</x:v>
      </x:c>
    </x:row>
    <x:row r="154">
      <x:c r="V154" t="n">
        <x:v>20</x:v>
      </x:c>
      <x:c r="W154" s="35" t="n">
        <x:v>46163</x:v>
      </x:c>
      <x:c r="X154" t="str">
        <x:v>Giant Food Stores</x:v>
      </x:c>
      <x:c r="Y154" t="str">
        <x:v>Red Lion</x:v>
      </x:c>
      <x:c r="Z154" t="str">
        <x:v>PA</x:v>
      </x:c>
      <x:c r="AA154" s="24" t="n">
        <x:v>112.5</x:v>
      </x:c>
      <x:c r="AB154" t="str">
        <x:v>Eligible</x:v>
      </x:c>
      <x:c r="AC154" t="str">
        <x:v>5890220</x:v>
      </x:c>
      <x:c r="AD154" t="n">
        <x:v>112.50002</x:v>
      </x:c>
    </x:row>
    <x:row r="155">
      <x:c r="V155" t="n">
        <x:v>21</x:v>
      </x:c>
      <x:c r="W155" s="35" t="n">
        <x:v>46168</x:v>
      </x:c>
      <x:c r="X155" t="str">
        <x:v>Food Lion</x:v>
      </x:c>
      <x:c r="Y155" t="str">
        <x:v>Middle River</x:v>
      </x:c>
      <x:c r="Z155" t="str">
        <x:v>MD</x:v>
      </x:c>
      <x:c r="AA155" s="24" t="n">
        <x:v>97.91</x:v>
      </x:c>
      <x:c r="AB155" t="str">
        <x:v>Eligible</x:v>
      </x:c>
      <x:c r="AC155" t="str">
        <x:v>5892123</x:v>
      </x:c>
      <x:c r="AD155" t="n">
        <x:v>97.910021</x:v>
      </x:c>
    </x:row>
    <x:row r="156">
      <x:c r="V156" t="n">
        <x:v>22</x:v>
      </x:c>
      <x:c r="W156" s="35" t="n">
        <x:v>46168</x:v>
      </x:c>
      <x:c r="X156" t="str">
        <x:v>HomeGoods</x:v>
      </x:c>
      <x:c r="Y156" t="str">
        <x:v>Gaithersburg</x:v>
      </x:c>
      <x:c r="Z156" t="str">
        <x:v>MD</x:v>
      </x:c>
      <x:c r="AA156" s="24" t="n">
        <x:v>50</x:v>
      </x:c>
      <x:c r="AB156" t="str">
        <x:v>Eligible</x:v>
      </x:c>
      <x:c r="AC156" t="str">
        <x:v>5889718</x:v>
      </x:c>
      <x:c r="AD156" t="n">
        <x:v>50.000022</x:v>
      </x:c>
    </x:row>
    <x:row r="157">
      <x:c r="V157" t="n">
        <x:v>23</x:v>
      </x:c>
      <x:c r="W157" s="35" t="n">
        <x:v>46169</x:v>
      </x:c>
      <x:c r="X157" t="str">
        <x:v>Joint Base Andrews</x:v>
      </x:c>
      <x:c r="Y157" t="str">
        <x:v>Andrews AFB</x:v>
      </x:c>
      <x:c r="Z157" t="str">
        <x:v>MD</x:v>
      </x:c>
      <x:c r="AA157" s="24"/>
      <x:c r="AB157" t="str">
        <x:v>Excluded</x:v>
      </x:c>
      <x:c r="AC157" t="str">
        <x:v>UNRESOLVED-E023</x:v>
      </x:c>
      <x:c r="AD157" t="n">
        <x:v>0.000023</x:v>
      </x:c>
    </x:row>
    <x:row r="158">
      <x:c r="V158" t="n">
        <x:v>24</x:v>
      </x:c>
      <x:c r="W158" s="35" t="n">
        <x:v>46169</x:v>
      </x:c>
      <x:c r="X158" t="str">
        <x:v>USDA</x:v>
      </x:c>
      <x:c r="Y158" t="str">
        <x:v>Washington</x:v>
      </x:c>
      <x:c r="Z158" t="str">
        <x:v>DC</x:v>
      </x:c>
      <x:c r="AA158" s="24" t="n">
        <x:v>200</x:v>
      </x:c>
      <x:c r="AB158" t="str">
        <x:v>Eligible</x:v>
      </x:c>
      <x:c r="AC158" t="str">
        <x:v>USDA-SPECIAL-E024</x:v>
      </x:c>
      <x:c r="AD158" t="n">
        <x:v>200.000024</x:v>
      </x:c>
    </x:row>
    <x:row r="159">
      <x:c r="V159" t="n">
        <x:v>25</x:v>
      </x:c>
      <x:c r="W159" s="35" t="n">
        <x:v>46170</x:v>
      </x:c>
      <x:c r="X159" t="str">
        <x:v>PepsiCo</x:v>
      </x:c>
      <x:c r="Y159" t="str">
        <x:v>Cheverly</x:v>
      </x:c>
      <x:c r="Z159" t="str">
        <x:v>MD</x:v>
      </x:c>
      <x:c r="AA159" s="24"/>
      <x:c r="AB159" t="str">
        <x:v>Excluded</x:v>
      </x:c>
      <x:c r="AC159" t="str">
        <x:v>UNRESOLVED-E025</x:v>
      </x:c>
      <x:c r="AD159" t="n">
        <x:v>0.000025</x:v>
      </x:c>
    </x:row>
    <x:row r="160">
      <x:c r="V160" t="n">
        <x:v>26</x:v>
      </x:c>
      <x:c r="W160" s="35" t="n">
        <x:v>46170</x:v>
      </x:c>
      <x:c r="X160" t="str">
        <x:v>USDA</x:v>
      </x:c>
      <x:c r="Y160" t="str">
        <x:v>Washington</x:v>
      </x:c>
      <x:c r="Z160" t="str">
        <x:v>DC</x:v>
      </x:c>
      <x:c r="AA160" s="24" t="n">
        <x:v>175</x:v>
      </x:c>
      <x:c r="AB160" t="str">
        <x:v>Eligible</x:v>
      </x:c>
      <x:c r="AC160" t="str">
        <x:v>USDA-SPECIAL-E026</x:v>
      </x:c>
      <x:c r="AD160" t="n">
        <x:v>175.000026</x:v>
      </x:c>
    </x:row>
    <x:row r="161">
      <x:c r="V161" t="n">
        <x:v>27</x:v>
      </x:c>
      <x:c r="W161" s="35" t="n">
        <x:v>46174</x:v>
      </x:c>
      <x:c r="X161" t="str">
        <x:v>USDA</x:v>
      </x:c>
      <x:c r="Y161" t="str">
        <x:v>Washington</x:v>
      </x:c>
      <x:c r="Z161" t="str">
        <x:v>DC</x:v>
      </x:c>
      <x:c r="AA161" s="24" t="n">
        <x:v>320</x:v>
      </x:c>
      <x:c r="AB161" t="str">
        <x:v>Eligible</x:v>
      </x:c>
      <x:c r="AC161" t="str">
        <x:v>USDA-SPECIAL-E027</x:v>
      </x:c>
      <x:c r="AD161" t="n">
        <x:v>320.000027</x:v>
      </x:c>
    </x:row>
    <x:row r="162">
      <x:c r="V162" t="n">
        <x:v>28</x:v>
      </x:c>
      <x:c r="W162" s="35" t="n">
        <x:v>46175</x:v>
      </x:c>
      <x:c r="X162" t="str">
        <x:v>USDA</x:v>
      </x:c>
      <x:c r="Y162" t="str">
        <x:v>Washington</x:v>
      </x:c>
      <x:c r="Z162" t="str">
        <x:v>DC</x:v>
      </x:c>
      <x:c r="AA162" s="24" t="n">
        <x:v>320</x:v>
      </x:c>
      <x:c r="AB162" t="str">
        <x:v>Eligible</x:v>
      </x:c>
      <x:c r="AC162" t="str">
        <x:v>USDA-SPECIAL-E028</x:v>
      </x:c>
      <x:c r="AD162" t="n">
        <x:v>320.000028</x:v>
      </x:c>
    </x:row>
    <x:row r="163">
      <x:c r="V163" t="n">
        <x:v>29</x:v>
      </x:c>
      <x:c r="W163" s="35" t="n">
        <x:v>46176</x:v>
      </x:c>
      <x:c r="X163" t="str">
        <x:v>USDA</x:v>
      </x:c>
      <x:c r="Y163" t="str">
        <x:v>Washington</x:v>
      </x:c>
      <x:c r="Z163" t="str">
        <x:v>DC</x:v>
      </x:c>
      <x:c r="AA163" s="24" t="n">
        <x:v>200</x:v>
      </x:c>
      <x:c r="AB163" t="str">
        <x:v>Eligible</x:v>
      </x:c>
      <x:c r="AC163" t="str">
        <x:v>USDA-SPECIAL-E029</x:v>
      </x:c>
      <x:c r="AD163" t="n">
        <x:v>200.000029</x:v>
      </x:c>
    </x:row>
    <x:row r="164">
      <x:c r="V164" t="n">
        <x:v>30</x:v>
      </x:c>
      <x:c r="W164" s="35" t="n">
        <x:v>46176</x:v>
      </x:c>
      <x:c r="X164" t="str">
        <x:v>TJ Maxx</x:v>
      </x:c>
      <x:c r="Y164" t="str">
        <x:v>Rockville</x:v>
      </x:c>
      <x:c r="Z164" t="str">
        <x:v>MD</x:v>
      </x:c>
      <x:c r="AA164" s="24" t="n">
        <x:v>96.66</x:v>
      </x:c>
      <x:c r="AB164" t="str">
        <x:v>Eligible</x:v>
      </x:c>
      <x:c r="AC164" t="str">
        <x:v>5896733</x:v>
      </x:c>
      <x:c r="AD164" t="n">
        <x:v>96.66003</x:v>
      </x:c>
    </x:row>
    <x:row r="165">
      <x:c r="V165" t="n">
        <x:v>31</x:v>
      </x:c>
      <x:c r="W165" s="35" t="n">
        <x:v>46177</x:v>
      </x:c>
      <x:c r="X165" t="str">
        <x:v>USDA</x:v>
      </x:c>
      <x:c r="Y165" t="str">
        <x:v>Washington</x:v>
      </x:c>
      <x:c r="Z165" t="str">
        <x:v>DC</x:v>
      </x:c>
      <x:c r="AA165" s="24" t="n">
        <x:v>140</x:v>
      </x:c>
      <x:c r="AB165" t="str">
        <x:v>Eligible</x:v>
      </x:c>
      <x:c r="AC165" t="str">
        <x:v>USDA-SPECIAL-E031</x:v>
      </x:c>
      <x:c r="AD165" t="n">
        <x:v>140.000031</x:v>
      </x:c>
    </x:row>
    <x:row r="166">
      <x:c r="V166" t="n">
        <x:v>32</x:v>
      </x:c>
      <x:c r="W166" s="35" t="n">
        <x:v>46178</x:v>
      </x:c>
      <x:c r="X166" t="str">
        <x:v>Hilton Garden Inn</x:v>
      </x:c>
      <x:c r="Y166" t="str">
        <x:v>Fairfax</x:v>
      </x:c>
      <x:c r="Z166" t="str">
        <x:v>VA</x:v>
      </x:c>
      <x:c r="AA166" s="24" t="n">
        <x:v>25</x:v>
      </x:c>
      <x:c r="AB166" t="str">
        <x:v>Eligible</x:v>
      </x:c>
      <x:c r="AC166" t="str">
        <x:v>5898007</x:v>
      </x:c>
      <x:c r="AD166" t="n">
        <x:v>25.000032</x:v>
      </x:c>
    </x:row>
    <x:row r="167">
      <x:c r="V167" t="n">
        <x:v>33</x:v>
      </x:c>
      <x:c r="W167" s="35" t="n">
        <x:v>46178</x:v>
      </x:c>
      <x:c r="X167" t="str">
        <x:v>Hebrew Home of Greater Washington</x:v>
      </x:c>
      <x:c r="Y167" t="str">
        <x:v>North Bethesda</x:v>
      </x:c>
      <x:c r="Z167" t="str">
        <x:v>MD</x:v>
      </x:c>
      <x:c r="AA167" s="24" t="n">
        <x:v>50</x:v>
      </x:c>
      <x:c r="AB167" t="str">
        <x:v>Eligible</x:v>
      </x:c>
      <x:c r="AC167" t="str">
        <x:v>5896039</x:v>
      </x:c>
      <x:c r="AD167" t="n">
        <x:v>50.000033</x:v>
      </x:c>
    </x:row>
    <x:row r="168">
      <x:c r="V168" t="n">
        <x:v>34</x:v>
      </x:c>
      <x:c r="W168" s="35" t="n">
        <x:v>46178</x:v>
      </x:c>
      <x:c r="X168" t="str">
        <x:v>TJ Maxx</x:v>
      </x:c>
      <x:c r="Y168" t="str">
        <x:v>Annapolis</x:v>
      </x:c>
      <x:c r="Z168" t="str">
        <x:v>MD</x:v>
      </x:c>
      <x:c r="AA168" s="24" t="n">
        <x:v>70</x:v>
      </x:c>
      <x:c r="AB168" t="str">
        <x:v>Eligible</x:v>
      </x:c>
      <x:c r="AC168" t="str">
        <x:v>5898904</x:v>
      </x:c>
      <x:c r="AD168" t="n">
        <x:v>70.000034</x:v>
      </x:c>
    </x:row>
    <x:row r="169">
      <x:c r="V169" t="n">
        <x:v>35</x:v>
      </x:c>
      <x:c r="W169" s="35" t="n">
        <x:v>46181</x:v>
      </x:c>
      <x:c r="X169" t="str">
        <x:v>Marshalls</x:v>
      </x:c>
      <x:c r="Y169" t="str">
        <x:v>Dunkirk</x:v>
      </x:c>
      <x:c r="Z169" t="str">
        <x:v>MD</x:v>
      </x:c>
      <x:c r="AA169" s="24" t="n">
        <x:v>70</x:v>
      </x:c>
      <x:c r="AB169" t="str">
        <x:v>Eligible</x:v>
      </x:c>
      <x:c r="AC169" t="str">
        <x:v>5899056</x:v>
      </x:c>
      <x:c r="AD169" t="n">
        <x:v>70.000035</x:v>
      </x:c>
    </x:row>
    <x:row r="170">
      <x:c r="V170" t="n">
        <x:v>36</x:v>
      </x:c>
      <x:c r="W170" s="35" t="n">
        <x:v>46182</x:v>
      </x:c>
      <x:c r="X170" t="str">
        <x:v>Hampton Inn &amp; Suites</x:v>
      </x:c>
      <x:c r="Y170" t="str">
        <x:v>Edgewood</x:v>
      </x:c>
      <x:c r="Z170" t="str">
        <x:v>MD</x:v>
      </x:c>
      <x:c r="AA170" s="24" t="n">
        <x:v>65</x:v>
      </x:c>
      <x:c r="AB170" t="str">
        <x:v>Eligible</x:v>
      </x:c>
      <x:c r="AC170" t="str">
        <x:v>5899295</x:v>
      </x:c>
      <x:c r="AD170" t="n">
        <x:v>65.000036</x:v>
      </x:c>
    </x:row>
    <x:row r="171">
      <x:c r="V171" t="n">
        <x:v>37</x:v>
      </x:c>
      <x:c r="W171" s="35" t="n">
        <x:v>46182</x:v>
      </x:c>
      <x:c r="X171" t="str">
        <x:v>HomeGoods</x:v>
      </x:c>
      <x:c r="Y171" t="str">
        <x:v>Sterling</x:v>
      </x:c>
      <x:c r="Z171" t="str">
        <x:v>VA</x:v>
      </x:c>
      <x:c r="AA171" s="24" t="n">
        <x:v>90</x:v>
      </x:c>
      <x:c r="AB171" t="str">
        <x:v>Eligible</x:v>
      </x:c>
      <x:c r="AC171" t="str">
        <x:v>5899715</x:v>
      </x:c>
      <x:c r="AD171" t="n">
        <x:v>90.000037</x:v>
      </x:c>
    </x:row>
    <x:row r="172">
      <x:c r="V172" t="n">
        <x:v>38</x:v>
      </x:c>
      <x:c r="W172" s="35" t="n">
        <x:v>46183</x:v>
      </x:c>
      <x:c r="X172" t="str">
        <x:v>7-Eleven</x:v>
      </x:c>
      <x:c r="Y172" t="str">
        <x:v>Lanham</x:v>
      </x:c>
      <x:c r="Z172" t="str">
        <x:v>MD</x:v>
      </x:c>
      <x:c r="AA172" s="24" t="n">
        <x:v>240</x:v>
      </x:c>
      <x:c r="AB172" t="str">
        <x:v>Eligible</x:v>
      </x:c>
      <x:c r="AC172" t="str">
        <x:v>5900102</x:v>
      </x:c>
      <x:c r="AD172" t="n">
        <x:v>240.000038</x:v>
      </x:c>
    </x:row>
    <x:row r="173">
      <x:c r="V173" t="n">
        <x:v>39</x:v>
      </x:c>
      <x:c r="W173" s="35" t="n">
        <x:v>46183</x:v>
      </x:c>
      <x:c r="X173" t="str">
        <x:v>TJ Maxx</x:v>
      </x:c>
      <x:c r="Y173" t="str">
        <x:v>Annapolis</x:v>
      </x:c>
      <x:c r="Z173" t="str">
        <x:v>MD</x:v>
      </x:c>
      <x:c r="AA173" s="24" t="n">
        <x:v>90</x:v>
      </x:c>
      <x:c r="AB173" t="str">
        <x:v>Eligible</x:v>
      </x:c>
      <x:c r="AC173" t="str">
        <x:v>5900492</x:v>
      </x:c>
      <x:c r="AD173" t="n">
        <x:v>90.000039</x:v>
      </x:c>
    </x:row>
    <x:row r="174">
      <x:c r="V174" t="n">
        <x:v>40</x:v>
      </x:c>
      <x:c r="W174" s="35" t="n">
        <x:v>46183</x:v>
      </x:c>
      <x:c r="X174" t="str">
        <x:v>Residential – Annapolis Neck, MD</x:v>
      </x:c>
      <x:c r="Y174" t="str">
        <x:v>Annapolis Neck</x:v>
      </x:c>
      <x:c r="Z174" t="str">
        <x:v>MD</x:v>
      </x:c>
      <x:c r="AA174" s="24" t="n">
        <x:v>60</x:v>
      </x:c>
      <x:c r="AB174" t="str">
        <x:v>Eligible</x:v>
      </x:c>
      <x:c r="AC174" t="str">
        <x:v>5877236</x:v>
      </x:c>
      <x:c r="AD174" t="n">
        <x:v>60.00004</x:v>
      </x:c>
    </x:row>
    <x:row r="175">
      <x:c r="V175" t="n">
        <x:v>41</x:v>
      </x:c>
      <x:c r="W175" s="35" t="n">
        <x:v>46184</x:v>
      </x:c>
      <x:c r="X175" t="str">
        <x:v>Baskin-Robbins</x:v>
      </x:c>
      <x:c r="Y175" t="str">
        <x:v>Falls Church</x:v>
      </x:c>
      <x:c r="Z175" t="str">
        <x:v>VA</x:v>
      </x:c>
      <x:c r="AA175" s="24" t="n">
        <x:v>45</x:v>
      </x:c>
      <x:c r="AB175" t="str">
        <x:v>Eligible</x:v>
      </x:c>
      <x:c r="AC175" t="str">
        <x:v>5887374</x:v>
      </x:c>
      <x:c r="AD175" t="n">
        <x:v>45.000041</x:v>
      </x:c>
    </x:row>
    <x:row r="176">
      <x:c r="V176" t="n">
        <x:v>42</x:v>
      </x:c>
      <x:c r="W176" s="35" t="n">
        <x:v>46184</x:v>
      </x:c>
      <x:c r="X176" t="str">
        <x:v>Verizon</x:v>
      </x:c>
      <x:c r="Y176" t="str">
        <x:v>Ellicott City</x:v>
      </x:c>
      <x:c r="Z176" t="str">
        <x:v>MD</x:v>
      </x:c>
      <x:c r="AA176" s="24" t="n">
        <x:v>50</x:v>
      </x:c>
      <x:c r="AB176" t="str">
        <x:v>Eligible</x:v>
      </x:c>
      <x:c r="AC176" t="str">
        <x:v>5901061</x:v>
      </x:c>
      <x:c r="AD176" t="n">
        <x:v>50.000042</x:v>
      </x:c>
    </x:row>
    <x:row r="177">
      <x:c r="V177" t="n">
        <x:v>43</x:v>
      </x:c>
      <x:c r="W177" s="35" t="n">
        <x:v>46185</x:v>
      </x:c>
      <x:c r="X177" t="str">
        <x:v>Verizon</x:v>
      </x:c>
      <x:c r="Y177" t="str">
        <x:v>Lanham</x:v>
      </x:c>
      <x:c r="Z177" t="str">
        <x:v>MD</x:v>
      </x:c>
      <x:c r="AA177" s="24" t="n">
        <x:v>50</x:v>
      </x:c>
      <x:c r="AB177" t="str">
        <x:v>Eligible</x:v>
      </x:c>
      <x:c r="AC177" t="str">
        <x:v>5902689</x:v>
      </x:c>
      <x:c r="AD177" t="n">
        <x:v>50.000043</x:v>
      </x:c>
    </x:row>
    <x:row r="178">
      <x:c r="V178" t="n">
        <x:v>44</x:v>
      </x:c>
      <x:c r="W178" s="35" t="n">
        <x:v>46188</x:v>
      </x:c>
      <x:c r="X178" t="str">
        <x:v>Marshalls</x:v>
      </x:c>
      <x:c r="Y178" t="str">
        <x:v>Frederick</x:v>
      </x:c>
      <x:c r="Z178" t="str">
        <x:v>MD</x:v>
      </x:c>
      <x:c r="AA178" s="24" t="n">
        <x:v>123.75</x:v>
      </x:c>
      <x:c r="AB178" t="str">
        <x:v>Eligible</x:v>
      </x:c>
      <x:c r="AC178" t="str">
        <x:v>5902930</x:v>
      </x:c>
      <x:c r="AD178" t="n">
        <x:v>123.750044</x:v>
      </x:c>
    </x:row>
    <x:row r="179">
      <x:c r="V179" t="n">
        <x:v>45</x:v>
      </x:c>
      <x:c r="W179" s="35" t="n">
        <x:v>46190</x:v>
      </x:c>
      <x:c r="X179" t="str">
        <x:v>Montpelier Liquors</x:v>
      </x:c>
      <x:c r="Y179" t="str">
        <x:v>Laurel</x:v>
      </x:c>
      <x:c r="Z179" t="str">
        <x:v>MD</x:v>
      </x:c>
      <x:c r="AA179" s="24" t="n">
        <x:v>128</x:v>
      </x:c>
      <x:c r="AB179" t="str">
        <x:v>Eligible</x:v>
      </x:c>
      <x:c r="AC179" t="str">
        <x:v>5900963</x:v>
      </x:c>
      <x:c r="AD179" t="n">
        <x:v>128.000045</x:v>
      </x:c>
    </x:row>
    <x:row r="180">
      <x:c r="V180" t="n">
        <x:v>46</x:v>
      </x:c>
      <x:c r="W180" s="35" t="n">
        <x:v>46190</x:v>
      </x:c>
      <x:c r="X180" t="str">
        <x:v>Marshalls</x:v>
      </x:c>
      <x:c r="Y180" t="str">
        <x:v>Laurel</x:v>
      </x:c>
      <x:c r="Z180" t="str">
        <x:v>MD</x:v>
      </x:c>
      <x:c r="AA180" s="24" t="n">
        <x:v>90</x:v>
      </x:c>
      <x:c r="AB180" t="str">
        <x:v>Eligible</x:v>
      </x:c>
      <x:c r="AC180" t="str">
        <x:v>5904843</x:v>
      </x:c>
      <x:c r="AD180" t="n">
        <x:v>90.000046</x:v>
      </x:c>
    </x:row>
    <x:row r="181">
      <x:c r="V181" t="n">
        <x:v>47</x:v>
      </x:c>
      <x:c r="W181" s="35" t="n">
        <x:v>46191</x:v>
      </x:c>
      <x:c r="X181" t="str">
        <x:v>Office of MD Senator Angela Alsobrooks</x:v>
      </x:c>
      <x:c r="Y181" t="str">
        <x:v>Bowie</x:v>
      </x:c>
      <x:c r="Z181" t="str">
        <x:v>MD</x:v>
      </x:c>
      <x:c r="AA181" s="24" t="n">
        <x:v>130</x:v>
      </x:c>
      <x:c r="AB181" t="str">
        <x:v>Eligible</x:v>
      </x:c>
      <x:c r="AC181" t="str">
        <x:v>5898644</x:v>
      </x:c>
      <x:c r="AD181" t="n">
        <x:v>130.000047</x:v>
      </x:c>
    </x:row>
    <x:row r="182">
      <x:c r="V182" t="n">
        <x:v>48</x:v>
      </x:c>
      <x:c r="W182" s="35" t="n">
        <x:v>46191</x:v>
      </x:c>
      <x:c r="X182" t="str">
        <x:v>Hebrew Home of Greater Washington</x:v>
      </x:c>
      <x:c r="Y182" t="str">
        <x:v>North Bethesda</x:v>
      </x:c>
      <x:c r="Z182" t="str">
        <x:v>MD</x:v>
      </x:c>
      <x:c r="AA182" s="24" t="n">
        <x:v>70</x:v>
      </x:c>
      <x:c r="AB182" t="str">
        <x:v>Eligible</x:v>
      </x:c>
      <x:c r="AC182" t="str">
        <x:v>5905576</x:v>
      </x:c>
      <x:c r="AD182" t="n">
        <x:v>70.000048</x:v>
      </x:c>
    </x:row>
    <x:row r="183">
      <x:c r="V183" t="n">
        <x:v>49</x:v>
      </x:c>
      <x:c r="W183" s="35" t="n">
        <x:v>46192</x:v>
      </x:c>
      <x:c r="X183" t="str">
        <x:v>Weis Markets</x:v>
      </x:c>
      <x:c r="Y183" t="str">
        <x:v>Callaway</x:v>
      </x:c>
      <x:c r="Z183" t="str">
        <x:v>MD</x:v>
      </x:c>
      <x:c r="AA183" s="24" t="n">
        <x:v>90</x:v>
      </x:c>
      <x:c r="AB183" t="str">
        <x:v>Eligible</x:v>
      </x:c>
      <x:c r="AC183" t="str">
        <x:v>5899546</x:v>
      </x:c>
      <x:c r="AD183" t="n">
        <x:v>90.000049</x:v>
      </x:c>
    </x:row>
    <x:row r="184">
      <x:c r="V184" t="n">
        <x:v>50</x:v>
      </x:c>
      <x:c r="W184" s="35" t="n">
        <x:v>46192</x:v>
      </x:c>
      <x:c r="X184" t="str">
        <x:v>Giant Food Stores</x:v>
      </x:c>
      <x:c r="Y184" t="str">
        <x:v>Washington</x:v>
      </x:c>
      <x:c r="Z184" t="str">
        <x:v>DC</x:v>
      </x:c>
      <x:c r="AA184" s="24" t="n">
        <x:v>50</x:v>
      </x:c>
      <x:c r="AB184" t="str">
        <x:v>Eligible</x:v>
      </x:c>
      <x:c r="AC184" t="str">
        <x:v>5903036</x:v>
      </x:c>
      <x:c r="AD184" t="n">
        <x:v>50.00005</x:v>
      </x:c>
    </x:row>
    <x:row r="185">
      <x:c r="V185" t="n">
        <x:v>51</x:v>
      </x:c>
      <x:c r="W185" s="35" t="n">
        <x:v>46195</x:v>
      </x:c>
      <x:c r="X185" t="str">
        <x:v>Hebrew Home of Greater Washington</x:v>
      </x:c>
      <x:c r="Y185" t="str">
        <x:v>North Bethesda</x:v>
      </x:c>
      <x:c r="Z185" t="str">
        <x:v>MD</x:v>
      </x:c>
      <x:c r="AA185" s="24" t="n">
        <x:v>60</x:v>
      </x:c>
      <x:c r="AB185" t="str">
        <x:v>Eligible</x:v>
      </x:c>
      <x:c r="AC185" t="str">
        <x:v>5905579</x:v>
      </x:c>
      <x:c r="AD185" t="n">
        <x:v>60.000051</x:v>
      </x:c>
    </x:row>
    <x:row r="186">
      <x:c r="V186" t="n">
        <x:v>52</x:v>
      </x:c>
      <x:c r="W186" s="35" t="n">
        <x:v>46196</x:v>
      </x:c>
      <x:c r="X186" t="str">
        <x:v>Food Lion</x:v>
      </x:c>
      <x:c r="Y186" t="str">
        <x:v>Upper Marlboro</x:v>
      </x:c>
      <x:c r="Z186" t="str">
        <x:v>MD</x:v>
      </x:c>
      <x:c r="AA186" s="24" t="n">
        <x:v>116.24</x:v>
      </x:c>
      <x:c r="AB186" t="str">
        <x:v>Eligible</x:v>
      </x:c>
      <x:c r="AC186" t="str">
        <x:v>5906380</x:v>
      </x:c>
      <x:c r="AD186" t="n">
        <x:v>116.240052</x:v>
      </x:c>
    </x:row>
    <x:row r="187">
      <x:c r="V187" t="n">
        <x:v>53</x:v>
      </x:c>
      <x:c r="W187" s="35" t="n">
        <x:v>46197</x:v>
      </x:c>
      <x:c r="X187" t="str">
        <x:v>Hilton Garden Inn</x:v>
      </x:c>
      <x:c r="Y187" t="str">
        <x:v>Washington</x:v>
      </x:c>
      <x:c r="Z187" t="str">
        <x:v>DC</x:v>
      </x:c>
      <x:c r="AA187" s="24" t="n">
        <x:v>132.03</x:v>
      </x:c>
      <x:c r="AB187" t="str">
        <x:v>Eligible</x:v>
      </x:c>
      <x:c r="AC187" t="str">
        <x:v>5907571</x:v>
      </x:c>
      <x:c r="AD187" t="n">
        <x:v>132.030053</x:v>
      </x:c>
    </x:row>
    <x:row r="188">
      <x:c r="V188" t="n">
        <x:v>54</x:v>
      </x:c>
      <x:c r="W188" s="35" t="n">
        <x:v>46203</x:v>
      </x:c>
      <x:c r="X188" t="str">
        <x:v>7-Eleven</x:v>
      </x:c>
      <x:c r="Y188" t="str">
        <x:v>Owings Mills</x:v>
      </x:c>
      <x:c r="Z188" t="str">
        <x:v>MD</x:v>
      </x:c>
      <x:c r="AA188" s="24" t="n">
        <x:v>120</x:v>
      </x:c>
      <x:c r="AB188" t="str">
        <x:v>Eligible</x:v>
      </x:c>
      <x:c r="AC188" t="str">
        <x:v>5910094</x:v>
      </x:c>
      <x:c r="AD188" t="n">
        <x:v>120.000054</x:v>
      </x:c>
    </x:row>
    <x:row r="189">
      <x:c r="V189" t="n">
        <x:v>55</x:v>
      </x:c>
      <x:c r="W189" s="35" t="n">
        <x:v>46204</x:v>
      </x:c>
      <x:c r="X189" t="str">
        <x:v>Office of MD Senator Angela Alsobrooks</x:v>
      </x:c>
      <x:c r="Y189" t="str">
        <x:v>Largo</x:v>
      </x:c>
      <x:c r="Z189" t="str">
        <x:v>MD</x:v>
      </x:c>
      <x:c r="AA189" s="24" t="n">
        <x:v>120</x:v>
      </x:c>
      <x:c r="AB189" t="str">
        <x:v>Eligible</x:v>
      </x:c>
      <x:c r="AC189" t="str">
        <x:v>5898645</x:v>
      </x:c>
      <x:c r="AD189" t="n">
        <x:v>120.000055</x:v>
      </x:c>
    </x:row>
    <x:row r="190">
      <x:c r="V190" t="n">
        <x:v>56</x:v>
      </x:c>
      <x:c r="W190" s="35" t="n">
        <x:v>46205</x:v>
      </x:c>
      <x:c r="X190" t="str">
        <x:v>Dunkin</x:v>
      </x:c>
      <x:c r="Y190" t="str">
        <x:v>Reisterstown</x:v>
      </x:c>
      <x:c r="Z190" t="str">
        <x:v>MD</x:v>
      </x:c>
      <x:c r="AA190" s="24" t="n">
        <x:v>170.66</x:v>
      </x:c>
      <x:c r="AB190" t="str">
        <x:v>Eligible</x:v>
      </x:c>
      <x:c r="AC190" t="str">
        <x:v>5900784</x:v>
      </x:c>
      <x:c r="AD190" t="n">
        <x:v>170.660056</x:v>
      </x:c>
    </x:row>
    <x:row r="191">
      <x:c r="V191" t="n">
        <x:v>57</x:v>
      </x:c>
      <x:c r="W191" s="35" t="n">
        <x:v>46209</x:v>
      </x:c>
      <x:c r="X191" t="str">
        <x:v>Montpelier Liquors</x:v>
      </x:c>
      <x:c r="Y191" t="str">
        <x:v>Laurel</x:v>
      </x:c>
      <x:c r="Z191" t="str">
        <x:v>MD</x:v>
      </x:c>
      <x:c r="AA191" s="24" t="n">
        <x:v>66.74</x:v>
      </x:c>
      <x:c r="AB191" t="str">
        <x:v>Eligible</x:v>
      </x:c>
      <x:c r="AC191" t="str">
        <x:v>5911577</x:v>
      </x:c>
      <x:c r="AD191" t="n">
        <x:v>66.740057</x:v>
      </x:c>
    </x:row>
    <x:row r="192">
      <x:c r="V192" t="n">
        <x:v>58</x:v>
      </x:c>
      <x:c r="W192" s="35" t="n">
        <x:v>46209</x:v>
      </x:c>
      <x:c r="X192" t="str">
        <x:v>Dunkin</x:v>
      </x:c>
      <x:c r="Y192" t="str">
        <x:v>Lutherville</x:v>
      </x:c>
      <x:c r="Z192" t="str">
        <x:v>MD</x:v>
      </x:c>
      <x:c r="AA192" s="24" t="n">
        <x:v>202.5</x:v>
      </x:c>
      <x:c r="AB192" t="str">
        <x:v>Eligible</x:v>
      </x:c>
      <x:c r="AC192" t="str">
        <x:v>5900780</x:v>
      </x:c>
      <x:c r="AD192" t="n">
        <x:v>202.500058</x:v>
      </x:c>
    </x:row>
    <x:row r="193">
      <x:c r="V193" t="n">
        <x:v>59</x:v>
      </x:c>
      <x:c r="W193" s="35" t="n">
        <x:v>46210</x:v>
      </x:c>
      <x:c r="X193" t="str">
        <x:v>Dunkin</x:v>
      </x:c>
      <x:c r="Y193" t="str">
        <x:v>Aberdeen</x:v>
      </x:c>
      <x:c r="Z193" t="str">
        <x:v>MD</x:v>
      </x:c>
      <x:c r="AA193" s="24" t="n">
        <x:v>250</x:v>
      </x:c>
      <x:c r="AB193" t="str">
        <x:v>Eligible</x:v>
      </x:c>
      <x:c r="AC193" t="str">
        <x:v>5900830</x:v>
      </x:c>
      <x:c r="AD193" t="n">
        <x:v>250.000059</x:v>
      </x:c>
    </x:row>
    <x:row r="194">
      <x:c r="V194" t="n">
        <x:v>60</x:v>
      </x:c>
      <x:c r="W194" s="35" t="n">
        <x:v>46211</x:v>
      </x:c>
      <x:c r="X194" t="str">
        <x:v>Carvana</x:v>
      </x:c>
      <x:c r="Y194" t="str">
        <x:v>Baltimore</x:v>
      </x:c>
      <x:c r="Z194" t="str">
        <x:v>MD</x:v>
      </x:c>
      <x:c r="AA194"/>
      <x:c r="AB194" t="str">
        <x:v>Excluded</x:v>
      </x:c>
      <x:c r="AC194" t="str">
        <x:v>5912364 / 5914049</x:v>
      </x:c>
      <x:c r="AD194" t="n">
        <x:v>0.00006</x:v>
      </x:c>
    </x:row>
    <x:row r="195">
      <x:c r="V195" t="n">
        <x:v>61</x:v>
      </x:c>
      <x:c r="W195" s="35" t="n">
        <x:v>46212</x:v>
      </x:c>
      <x:c r="X195" t="str">
        <x:v>TJ Maxx</x:v>
      </x:c>
      <x:c r="Y195" t="str">
        <x:v>Germantown</x:v>
      </x:c>
      <x:c r="Z195" t="str">
        <x:v>MD</x:v>
      </x:c>
      <x:c r="AA195" t="n">
        <x:v>194.99</x:v>
      </x:c>
      <x:c r="AB195" t="str">
        <x:v>Eligible</x:v>
      </x:c>
      <x:c r="AC195" t="str">
        <x:v>5909344</x:v>
      </x:c>
      <x:c r="AD195" t="n">
        <x:v>194.990061</x:v>
      </x:c>
    </x:row>
    <x:row r="196">
      <x:c r="V196" t="n">
        <x:v>62</x:v>
      </x:c>
      <x:c r="W196" s="35" t="n">
        <x:v>46212</x:v>
      </x:c>
      <x:c r="X196" t="str">
        <x:v>TJ Maxx</x:v>
      </x:c>
      <x:c r="Y196" t="str">
        <x:v>Martinsburg</x:v>
      </x:c>
      <x:c r="Z196" t="str">
        <x:v>WV</x:v>
      </x:c>
      <x:c r="AA196" t="n">
        <x:v>100.83</x:v>
      </x:c>
      <x:c r="AB196" t="str">
        <x:v>Eligible</x:v>
      </x:c>
      <x:c r="AC196" t="str">
        <x:v>5913868</x:v>
      </x:c>
      <x:c r="AD196" t="n">
        <x:v>100.830062</x:v>
      </x:c>
    </x:row>
    <x:row r="197">
      <x:c r="V197" t="n">
        <x:v>63</x:v>
      </x:c>
      <x:c r="W197" s="35" t="n">
        <x:v>46216</x:v>
      </x:c>
      <x:c r="X197" t="str">
        <x:v>Marshalls</x:v>
      </x:c>
      <x:c r="Y197" t="str">
        <x:v>Cockeysville</x:v>
      </x:c>
      <x:c r="Z197" t="str">
        <x:v>MD</x:v>
      </x:c>
      <x:c r="AA197"/>
      <x:c r="AB197" t="str">
        <x:v>Excluded</x:v>
      </x:c>
      <x:c r="AC197" t="str">
        <x:v>5909368</x:v>
      </x:c>
      <x:c r="AD197" t="n">
        <x:v>0.000063</x:v>
      </x:c>
    </x:row>
    <x:row r="198">
      <x:c r="V198" t="n">
        <x:v>64</x:v>
      </x:c>
      <x:c r="W198" s="35" t="n">
        <x:v>46216</x:v>
      </x:c>
      <x:c r="X198" t="str">
        <x:v>Marshalls</x:v>
      </x:c>
      <x:c r="Y198" t="str">
        <x:v>Hagerstown</x:v>
      </x:c>
      <x:c r="Z198" t="str">
        <x:v>MD</x:v>
      </x:c>
      <x:c r="AA198"/>
      <x:c r="AB198" t="str">
        <x:v>Excluded</x:v>
      </x:c>
      <x:c r="AC198" t="str">
        <x:v>5916961</x:v>
      </x:c>
      <x:c r="AD198" t="n">
        <x:v>0.000064</x:v>
      </x:c>
    </x:row>
    <x:row r="199">
      <x:c r="V199" t="n">
        <x:v>65</x:v>
      </x:c>
      <x:c r="W199" s="35" t="n">
        <x:v>46216</x:v>
      </x:c>
      <x:c r="X199" t="str">
        <x:v>HomeGoods</x:v>
      </x:c>
      <x:c r="Y199" t="str">
        <x:v>Gaithersburg</x:v>
      </x:c>
      <x:c r="Z199" t="str">
        <x:v>MD</x:v>
      </x:c>
      <x:c r="AA199"/>
      <x:c r="AB199" t="str">
        <x:v>Excluded</x:v>
      </x:c>
      <x:c r="AC199" t="str">
        <x:v>5917407</x:v>
      </x:c>
      <x:c r="AD199" t="n">
        <x:v>0.000065</x:v>
      </x:c>
    </x:row>
    <x:row r="200">
      <x:c r="V200" t="n">
        <x:v>66</x:v>
      </x:c>
      <x:c r="W200" s="35" t="n">
        <x:v>46217</x:v>
      </x:c>
      <x:c r="X200" t="str">
        <x:v>TJ Maxx</x:v>
      </x:c>
      <x:c r="Y200" t="str">
        <x:v>Bel Air</x:v>
      </x:c>
      <x:c r="Z200" t="str">
        <x:v>MD</x:v>
      </x:c>
      <x:c r="AA200"/>
      <x:c r="AB200" t="str">
        <x:v>Excluded</x:v>
      </x:c>
      <x:c r="AC200" t="str">
        <x:v>5909385</x:v>
      </x:c>
      <x:c r="AD200" t="n">
        <x:v>0.000066</x:v>
      </x:c>
    </x:row>
    <x:row r="201">
      <x:c r="V201" t="n">
        <x:v>67</x:v>
      </x:c>
      <x:c r="W201" s="35" t="n">
        <x:v>46217</x:v>
      </x:c>
      <x:c r="X201" t="str">
        <x:v>Dunkin</x:v>
      </x:c>
      <x:c r="Y201" t="str">
        <x:v>Aberdeen</x:v>
      </x:c>
      <x:c r="Z201" t="str">
        <x:v>MD</x:v>
      </x:c>
      <x:c r="AA201" t="n">
        <x:v>183.74</x:v>
      </x:c>
      <x:c r="AB201" t="str">
        <x:v>Eligible</x:v>
      </x:c>
      <x:c r="AC201" t="str">
        <x:v>5914898</x:v>
      </x:c>
      <x:c r="AD201" t="n">
        <x:v>183.740067</x:v>
      </x:c>
    </x:row>
  </x:sheetData>
  <x:mergeCells>
    <x:mergeCell ref="A1:R2"/>
    <x:mergeCell ref="A4:D4"/>
    <x:mergeCell ref="A10:L10"/>
    <x:mergeCell ref="A41:H41"/>
    <x:mergeCell ref="J41:R41"/>
    <x:mergeCell ref="A50:G50"/>
    <x:mergeCell ref="A57:T58"/>
    <x:mergeCell ref="A60:F60"/>
    <x:mergeCell ref="H60:M60"/>
    <x:mergeCell ref="O60:T60"/>
    <x:mergeCell ref="A74:F74"/>
    <x:mergeCell ref="H74:M74"/>
    <x:mergeCell ref="O74:T74"/>
    <x:mergeCell ref="A88:F88"/>
    <x:mergeCell ref="H88:M88"/>
    <x:mergeCell ref="O88:T88"/>
    <x:mergeCell ref="A105:T105"/>
  </x:mergeCells>
  <x:conditionalFormatting sqref="C62:C71">
    <x:cfRule type="dataBar" priority="5">
      <x:dataBar>
        <x:cfvo type="min"/>
        <x:cfvo type="max"/>
        <x:color rgb="FF5B9BD5"/>
      </x:dataBar>
      <x:extLst>
        <x:ext xmlns:x14="http://schemas.microsoft.com/office/spreadsheetml/2009/9/main" uri="{B025F937-C7B1-47D3-B67F-A62EFF666E3E}">
          <x14:id>{D257180D-4396-6B7C-B3E3-10B52B09EA97}</x14:id>
        </x:ext>
      </x:extLst>
    </x:cfRule>
  </x:conditionalFormatting>
  <x:conditionalFormatting sqref="K62:K71">
    <x:cfRule type="dataBar" priority="6">
      <x:dataBar>
        <x:cfvo type="min"/>
        <x:cfvo type="max"/>
        <x:color rgb="FF5B9BD5"/>
      </x:dataBar>
      <x:extLst>
        <x:ext xmlns:x14="http://schemas.microsoft.com/office/spreadsheetml/2009/9/main" uri="{B025F937-C7B1-47D3-B67F-A62EFF666E3E}">
          <x14:id>{3F740886-0713-E5C1-9EB0-08C8E27EB83E}</x14:id>
        </x:ext>
      </x:extLst>
    </x:cfRule>
  </x:conditionalFormatting>
  <x:conditionalFormatting sqref="Q62:Q71">
    <x:cfRule type="dataBar" priority="7">
      <x:dataBar>
        <x:cfvo type="min"/>
        <x:cfvo type="max"/>
        <x:color rgb="FF5B9BD5"/>
      </x:dataBar>
      <x:extLst>
        <x:ext xmlns:x14="http://schemas.microsoft.com/office/spreadsheetml/2009/9/main" uri="{B025F937-C7B1-47D3-B67F-A62EFF666E3E}">
          <x14:id>{C1A41346-743B-D6AF-EBDF-AD775F32BFE5}</x14:id>
        </x:ext>
      </x:extLst>
    </x:cfRule>
  </x:conditionalFormatting>
  <x:conditionalFormatting sqref="C76:C80">
    <x:cfRule type="dataBar" priority="8">
      <x:dataBar>
        <x:cfvo type="min"/>
        <x:cfvo type="max"/>
        <x:color rgb="FF5B9BD5"/>
      </x:dataBar>
      <x:extLst>
        <x:ext xmlns:x14="http://schemas.microsoft.com/office/spreadsheetml/2009/9/main" uri="{B025F937-C7B1-47D3-B67F-A62EFF666E3E}">
          <x14:id>{69A2FDA2-9957-BE0E-7494-8CA97385BBCD}</x14:id>
        </x:ext>
      </x:extLst>
    </x:cfRule>
  </x:conditionalFormatting>
  <x:conditionalFormatting sqref="K76:K85">
    <x:cfRule type="dataBar" priority="9">
      <x:dataBar>
        <x:cfvo type="min"/>
        <x:cfvo type="max"/>
        <x:color rgb="FF5B9BD5"/>
      </x:dataBar>
      <x:extLst>
        <x:ext xmlns:x14="http://schemas.microsoft.com/office/spreadsheetml/2009/9/main" uri="{B025F937-C7B1-47D3-B67F-A62EFF666E3E}">
          <x14:id>{1FA9B806-574F-EED7-68AA-A11B31C541D5}</x14:id>
        </x:ext>
      </x:extLst>
    </x:cfRule>
  </x:conditionalFormatting>
  <x:conditionalFormatting sqref="T76:T85">
    <x:cfRule type="dataBar" priority="10">
      <x:dataBar>
        <x:cfvo type="min"/>
        <x:cfvo type="max"/>
        <x:color rgb="FF5B9BD5"/>
      </x:dataBar>
      <x:extLst>
        <x:ext xmlns:x14="http://schemas.microsoft.com/office/spreadsheetml/2009/9/main" uri="{B025F937-C7B1-47D3-B67F-A62EFF666E3E}">
          <x14:id>{1FD654BB-E3EE-911C-BA33-25B4775AA362}</x14:id>
        </x:ext>
      </x:extLst>
    </x:cfRule>
  </x:conditionalFormatting>
  <x:conditionalFormatting sqref="C90:C101">
    <x:cfRule type="dataBar" priority="11">
      <x:dataBar>
        <x:cfvo type="min"/>
        <x:cfvo type="max"/>
        <x:color rgb="FF5B9BD5"/>
      </x:dataBar>
      <x:extLst>
        <x:ext xmlns:x14="http://schemas.microsoft.com/office/spreadsheetml/2009/9/main" uri="{B025F937-C7B1-47D3-B67F-A62EFF666E3E}">
          <x14:id>{5FAB4B3D-F900-FAE3-E70B-5F9BD0D219C3}</x14:id>
        </x:ext>
      </x:extLst>
    </x:cfRule>
  </x:conditionalFormatting>
  <x:conditionalFormatting sqref="J90:J92">
    <x:cfRule type="dataBar" priority="12">
      <x:dataBar>
        <x:cfvo type="min"/>
        <x:cfvo type="max"/>
        <x:color rgb="FF5B9BD5"/>
      </x:dataBar>
      <x:extLst>
        <x:ext xmlns:x14="http://schemas.microsoft.com/office/spreadsheetml/2009/9/main" uri="{B025F937-C7B1-47D3-B67F-A62EFF666E3E}">
          <x14:id>{5F0C3A4A-B89D-7364-3E26-2B47469D7B41}</x14:id>
        </x:ext>
      </x:extLst>
    </x:cfRule>
  </x:conditionalFormatting>
  <x:conditionalFormatting sqref="R90:R101">
    <x:cfRule type="dataBar" priority="13">
      <x:dataBar>
        <x:cfvo type="min"/>
        <x:cfvo type="max"/>
        <x:color rgb="FF9DC3E6"/>
      </x:dataBar>
      <x:extLst>
        <x:ext xmlns:x14="http://schemas.microsoft.com/office/spreadsheetml/2009/9/main" uri="{B025F937-C7B1-47D3-B67F-A62EFF666E3E}">
          <x14:id>{21CE3649-1563-6FD3-C9E0-F20B1E4F32D3}</x14:id>
        </x:ext>
      </x:extLst>
    </x:cfRule>
  </x:conditionalFormatting>
  <x:conditionalFormatting sqref="G12:G38">
    <x:cfRule type="dataBar" priority="14">
      <x:dataBar>
        <x:cfvo type="min"/>
        <x:cfvo type="max"/>
        <x:color rgb="FF5B9BD5"/>
      </x:dataBar>
      <x:extLst>
        <x:ext xmlns:x14="http://schemas.microsoft.com/office/spreadsheetml/2009/9/main" uri="{B025F937-C7B1-47D3-B67F-A62EFF666E3E}">
          <x14:id>{1FD654BB-E3EE-911C-BA33-25B4775AA362}</x14:id>
        </x:ext>
      </x:extLst>
    </x:cfRule>
  </x:conditionalFormatting>
  <x:conditionalFormatting sqref="H12:I38">
    <x:cfRule type="colorScale" priority="15">
      <x:colorScale>
        <x:cfvo type="min"/>
        <x:cfvo type="percentile" val="50"/>
        <x:cfvo type="max"/>
        <x:color rgb="FFF4CCCC"/>
        <x:color rgb="FFFFF2CC"/>
        <x:color rgb="FFE2F0D9"/>
      </x:colorScale>
    </x:cfRule>
  </x:conditionalFormatting>
  <x:conditionalFormatting sqref="L12:L38">
    <x:cfRule type="expression" dxfId="89" priority="16">
      <x:formula>$L12="Yes"</x:formula>
    </x:cfRule>
    <x:cfRule type="expression" dxfId="90" priority="17">
      <x:formula>$L12="No"</x:formula>
    </x:cfRule>
  </x:conditionalFormatting>
  <x:conditionalFormatting sqref="B43:B47">
    <x:cfRule type="dataBar" priority="18">
      <x:dataBar>
        <x:cfvo type="min"/>
        <x:cfvo type="max"/>
        <x:color rgb="FF9DC3E6"/>
      </x:dataBar>
      <x:extLst>
        <x:ext xmlns:x14="http://schemas.microsoft.com/office/spreadsheetml/2009/9/main" uri="{B025F937-C7B1-47D3-B67F-A62EFF666E3E}">
          <x14:id>{21CE3649-1563-6FD3-C9E0-F20B1E4F32D3}</x14:id>
        </x:ext>
      </x:extLst>
    </x:cfRule>
  </x:conditionalFormatting>
  <x:conditionalFormatting sqref="E43:E47">
    <x:cfRule type="dataBar" priority="19">
      <x:dataBar>
        <x:cfvo type="min"/>
        <x:cfvo type="max"/>
        <x:color rgb="FF5B9BD5"/>
      </x:dataBar>
      <x:extLst>
        <x:ext xmlns:x14="http://schemas.microsoft.com/office/spreadsheetml/2009/9/main" uri="{B025F937-C7B1-47D3-B67F-A62EFF666E3E}">
          <x14:id>{8AC6AA4C-99C0-1077-2292-96E2B9335CBE}</x14:id>
        </x:ext>
      </x:extLst>
    </x:cfRule>
  </x:conditionalFormatting>
  <x:conditionalFormatting sqref="G43:H47">
    <x:cfRule type="colorScale" priority="20">
      <x:colorScale>
        <x:cfvo type="min"/>
        <x:cfvo type="percentile" val="50"/>
        <x:cfvo type="max"/>
        <x:color rgb="FFFCE4D6"/>
        <x:color rgb="FFFFF2CC"/>
        <x:color rgb="FFE2F0D9"/>
      </x:colorScale>
    </x:cfRule>
  </x:conditionalFormatting>
  <x:conditionalFormatting sqref="K43:K47">
    <x:cfRule type="dataBar" priority="21">
      <x:dataBar>
        <x:cfvo type="min"/>
        <x:cfvo type="max"/>
        <x:color rgb="FF5B9BD5"/>
      </x:dataBar>
      <x:extLst>
        <x:ext xmlns:x14="http://schemas.microsoft.com/office/spreadsheetml/2009/9/main" uri="{B025F937-C7B1-47D3-B67F-A62EFF666E3E}">
          <x14:id>{373A0794-0CC4-C212-8058-55A1183A7639}</x14:id>
        </x:ext>
      </x:extLst>
    </x:cfRule>
  </x:conditionalFormatting>
  <x:conditionalFormatting sqref="O43:O47">
    <x:cfRule type="colorScale" priority="22">
      <x:colorScale>
        <x:cfvo type="min"/>
        <x:cfvo type="percentile" val="50"/>
        <x:cfvo type="max"/>
        <x:color rgb="FFF4CCCC"/>
        <x:color rgb="FFFFF2CC"/>
        <x:color rgb="FFE2F0D9"/>
      </x:colorScale>
    </x:cfRule>
  </x:conditionalFormatting>
  <x:conditionalFormatting sqref="R43:R47">
    <x:cfRule type="expression" dxfId="91" priority="23">
      <x:formula>$R43=1</x:formula>
    </x:cfRule>
    <x:cfRule type="expression" dxfId="92" priority="24">
      <x:formula>$R43=5</x:formula>
    </x:cfRule>
  </x:conditionalFormatting>
  <x:conditionalFormatting sqref="F52:F54">
    <x:cfRule type="dataBar" priority="25">
      <x:dataBar>
        <x:cfvo type="min"/>
        <x:cfvo type="max"/>
        <x:color rgb="FF5B9BD5"/>
      </x:dataBar>
      <x:extLst>
        <x:ext xmlns:x14="http://schemas.microsoft.com/office/spreadsheetml/2009/9/main" uri="{B025F937-C7B1-47D3-B67F-A62EFF666E3E}">
          <x14:id>{1FCB5DE8-2C3A-C80B-C327-9EE94284887E}</x14:id>
        </x:ext>
      </x:extLst>
    </x:cfRule>
  </x:conditionalFormatting>
  <x:conditionalFormatting sqref="G52:G54">
    <x:cfRule type="colorScale" priority="26">
      <x:colorScale>
        <x:cfvo type="min"/>
        <x:cfvo type="percentile" val="50"/>
        <x:cfvo type="max"/>
        <x:color rgb="FFF4CCCC"/>
        <x:color rgb="FFFFF2CC"/>
        <x:color rgb="FFE2F0D9"/>
      </x:colorScale>
    </x:cfRule>
  </x:conditionalFormatting>
  <x:conditionalFormatting sqref="Z2:Z28">
    <x:cfRule type="dataBar" priority="27">
      <x:dataBar>
        <x:cfvo type="min"/>
        <x:cfvo type="max"/>
        <x:color rgb="FF5B9BD5"/>
      </x:dataBar>
      <x:extLst>
        <x:ext xmlns:x14="http://schemas.microsoft.com/office/spreadsheetml/2009/9/main" uri="{B025F937-C7B1-47D3-B67F-A62EFF666E3E}">
          <x14:id>{F1826BE4-4FDA-0323-3728-2DA194C39835}</x14:id>
        </x:ext>
      </x:extLst>
    </x:cfRule>
  </x:conditionalFormatting>
  <x:conditionalFormatting sqref="AA2:AB28">
    <x:cfRule type="colorScale" priority="28">
      <x:colorScale>
        <x:cfvo type="min"/>
        <x:cfvo type="percentile" val="50"/>
        <x:cfvo type="max"/>
        <x:color rgb="FFF4CCCC"/>
        <x:color rgb="FFFFF2CC"/>
        <x:color rgb="FFE2F0D9"/>
      </x:colorScale>
    </x:cfRule>
  </x:conditionalFormatting>
  <x:conditionalFormatting sqref="AC2:AC28">
    <x:cfRule type="expression" dxfId="93" priority="29">
      <x:formula>$AC2="Yes"</x:formula>
    </x:cfRule>
    <x:cfRule type="expression" dxfId="94" priority="30">
      <x:formula>$AC2="No"</x:formula>
    </x:cfRule>
  </x:conditionalFormatting>
  <x:conditionalFormatting sqref="Z32:Z68">
    <x:cfRule type="dataBar" priority="31">
      <x:dataBar>
        <x:cfvo type="min"/>
        <x:cfvo type="max"/>
        <x:color rgb="FF5B9BD5"/>
      </x:dataBar>
      <x:extLst>
        <x:ext xmlns:x14="http://schemas.microsoft.com/office/spreadsheetml/2009/9/main" uri="{B025F937-C7B1-47D3-B67F-A62EFF666E3E}">
          <x14:id>{768FB075-E5BC-5EBD-A4EA-AEBE900E154F}</x14:id>
        </x:ext>
      </x:extLst>
    </x:cfRule>
  </x:conditionalFormatting>
  <x:conditionalFormatting sqref="AA32:AA68">
    <x:cfRule type="colorScale" priority="32">
      <x:colorScale>
        <x:cfvo type="min"/>
        <x:cfvo type="percentile" val="50"/>
        <x:cfvo type="max"/>
        <x:color rgb="FFF4CCCC"/>
        <x:color rgb="FFFFF2CC"/>
        <x:color rgb="FFE2F0D9"/>
      </x:colorScale>
    </x:cfRule>
  </x:conditionalFormatting>
  <x:conditionalFormatting sqref="Y70:Y82">
    <x:cfRule type="dataBar" priority="33">
      <x:dataBar>
        <x:cfvo type="min"/>
        <x:cfvo type="max"/>
        <x:color rgb="FF5B9BD5"/>
      </x:dataBar>
      <x:extLst>
        <x:ext xmlns:x14="http://schemas.microsoft.com/office/spreadsheetml/2009/9/main" uri="{B025F937-C7B1-47D3-B67F-A62EFF666E3E}">
          <x14:id>{2E40AC2E-F260-1052-F7B9-77AA57056ED8}</x14:id>
        </x:ext>
      </x:extLst>
    </x:cfRule>
  </x:conditionalFormatting>
  <x:conditionalFormatting sqref="Z70:Z82">
    <x:cfRule type="colorScale" priority="34">
      <x:colorScale>
        <x:cfvo type="min"/>
        <x:cfvo type="percentile" val="50"/>
        <x:cfvo type="max"/>
        <x:color rgb="FFF4CCCC"/>
        <x:color rgb="FFFFF2CC"/>
        <x:color rgb="FFE2F0D9"/>
      </x:colorScale>
    </x:cfRule>
  </x:conditionalFormatting>
  <x:conditionalFormatting sqref="Z85:Z129">
    <x:cfRule type="dataBar" priority="35">
      <x:dataBar>
        <x:cfvo type="min"/>
        <x:cfvo type="max"/>
        <x:color rgb="FF5B9BD5"/>
      </x:dataBar>
      <x:extLst>
        <x:ext xmlns:x14="http://schemas.microsoft.com/office/spreadsheetml/2009/9/main" uri="{B025F937-C7B1-47D3-B67F-A62EFF666E3E}">
          <x14:id>{C028D795-81BD-A7F4-BA3E-DA7BF6394870}</x14:id>
        </x:ext>
      </x:extLst>
    </x:cfRule>
  </x:conditionalFormatting>
  <x:conditionalFormatting sqref="AA85:AA129">
    <x:cfRule type="colorScale" priority="36">
      <x:colorScale>
        <x:cfvo type="min"/>
        <x:cfvo type="percentile" val="50"/>
        <x:cfvo type="max"/>
        <x:color rgb="FFF4CCCC"/>
        <x:color rgb="FFFFF2CC"/>
        <x:color rgb="FFE2F0D9"/>
      </x:colorScale>
    </x:cfRule>
  </x:conditionalFormatting>
  <x:pageMargins left="0.7" right="0.7" top="0.75" bottom="0.75" header="0.3" footer="0.3"/>
  <x:drawing xmlns:r="http://schemas.openxmlformats.org/officeDocument/2006/relationships" r:id="R3d2685631df84929"/>
  <x:tableParts count="12">
    <x:tablePart xmlns:r="http://schemas.openxmlformats.org/officeDocument/2006/relationships" r:id="R6b4fa091c97d4ab6"/>
    <x:tablePart xmlns:r="http://schemas.openxmlformats.org/officeDocument/2006/relationships" r:id="R4e4385dd84ae4027"/>
    <x:tablePart xmlns:r="http://schemas.openxmlformats.org/officeDocument/2006/relationships" r:id="R1a7972bcb37849bd"/>
    <x:tablePart xmlns:r="http://schemas.openxmlformats.org/officeDocument/2006/relationships" r:id="R7d78171bf97a481f"/>
    <x:tablePart xmlns:r="http://schemas.openxmlformats.org/officeDocument/2006/relationships" r:id="Rffcd1a86b613429d"/>
    <x:tablePart xmlns:r="http://schemas.openxmlformats.org/officeDocument/2006/relationships" r:id="R1f978ab50f724f29"/>
    <x:tablePart xmlns:r="http://schemas.openxmlformats.org/officeDocument/2006/relationships" r:id="R32b7f9f959c64c20"/>
    <x:tablePart xmlns:r="http://schemas.openxmlformats.org/officeDocument/2006/relationships" r:id="R732222a0a32f44c4"/>
    <x:tablePart xmlns:r="http://schemas.openxmlformats.org/officeDocument/2006/relationships" r:id="Re8c5113c507c4e8a"/>
    <x:tablePart xmlns:r="http://schemas.openxmlformats.org/officeDocument/2006/relationships" r:id="Red4c03234fcc4514"/>
    <x:tablePart xmlns:r="http://schemas.openxmlformats.org/officeDocument/2006/relationships" r:id="Re9e341dd343c43e5"/>
    <x:tablePart xmlns:r="http://schemas.openxmlformats.org/officeDocument/2006/relationships" r:id="Rade2c4fb7b5c4e2d"/>
  </x:tableParts>
  <x:extLst>
    <x:ext xmlns:x14="http://schemas.microsoft.com/office/spreadsheetml/2009/9/main" xmlns:xm="http://schemas.microsoft.com/office/excel/2006/main" uri="{78C0D931-6437-407d-A8EE-F0AAD7539E65}">
      <x14:conditionalFormattings>
        <x14:conditionalFormatting>
          <x14:cfRule type="dataBar" priority="5" id="{D257180D-4396-6B7C-B3E3-10B52B09EA97}">
            <x14:dataBar gradient="1">
              <x14:cfvo type="min"/>
              <x14:cfvo type="max"/>
              <x14:fillColor rgb="FF5B9BD5"/>
            </x14:dataBar>
          </x14:cfRule>
          <xm:sqref>C62:C71</xm:sqref>
        </x14:conditionalFormatting>
        <x14:conditionalFormatting>
          <x14:cfRule type="dataBar" priority="6" id="{3F740886-0713-E5C1-9EB0-08C8E27EB83E}">
            <x14:dataBar gradient="1">
              <x14:cfvo type="min"/>
              <x14:cfvo type="max"/>
              <x14:fillColor rgb="FF5B9BD5"/>
            </x14:dataBar>
          </x14:cfRule>
          <xm:sqref>K62:K71</xm:sqref>
        </x14:conditionalFormatting>
        <x14:conditionalFormatting>
          <x14:cfRule type="dataBar" priority="7" id="{C1A41346-743B-D6AF-EBDF-AD775F32BFE5}">
            <x14:dataBar gradient="1">
              <x14:cfvo type="min"/>
              <x14:cfvo type="max"/>
              <x14:fillColor rgb="FF5B9BD5"/>
            </x14:dataBar>
          </x14:cfRule>
          <xm:sqref>Q62:Q71</xm:sqref>
        </x14:conditionalFormatting>
        <x14:conditionalFormatting>
          <x14:cfRule type="dataBar" priority="8" id="{69A2FDA2-9957-BE0E-7494-8CA97385BBCD}">
            <x14:dataBar gradient="1">
              <x14:cfvo type="min"/>
              <x14:cfvo type="max"/>
              <x14:fillColor rgb="FF5B9BD5"/>
            </x14:dataBar>
          </x14:cfRule>
          <xm:sqref>C76:C80</xm:sqref>
        </x14:conditionalFormatting>
        <x14:conditionalFormatting>
          <x14:cfRule type="dataBar" priority="9" id="{1FA9B806-574F-EED7-68AA-A11B31C541D5}">
            <x14:dataBar gradient="1">
              <x14:cfvo type="min"/>
              <x14:cfvo type="max"/>
              <x14:fillColor rgb="FF5B9BD5"/>
            </x14:dataBar>
          </x14:cfRule>
          <xm:sqref>K76:K85</xm:sqref>
        </x14:conditionalFormatting>
        <x14:conditionalFormatting>
          <x14:cfRule type="dataBar" priority="10" id="{1FD654BB-E3EE-911C-BA33-25B4775AA362}">
            <x14:dataBar gradient="1">
              <x14:cfvo type="min"/>
              <x14:cfvo type="max"/>
              <x14:fillColor rgb="FF5B9BD5"/>
            </x14:dataBar>
          </x14:cfRule>
          <xm:sqref>T76:T85</xm:sqref>
        </x14:conditionalFormatting>
        <x14:conditionalFormatting>
          <x14:cfRule type="dataBar" priority="11" id="{5FAB4B3D-F900-FAE3-E70B-5F9BD0D219C3}">
            <x14:dataBar gradient="1">
              <x14:cfvo type="min"/>
              <x14:cfvo type="max"/>
              <x14:fillColor rgb="FF5B9BD5"/>
            </x14:dataBar>
          </x14:cfRule>
          <xm:sqref>C90:C101</xm:sqref>
        </x14:conditionalFormatting>
        <x14:conditionalFormatting>
          <x14:cfRule type="dataBar" priority="12" id="{5F0C3A4A-B89D-7364-3E26-2B47469D7B41}">
            <x14:dataBar gradient="1">
              <x14:cfvo type="min"/>
              <x14:cfvo type="max"/>
              <x14:fillColor rgb="FF5B9BD5"/>
            </x14:dataBar>
          </x14:cfRule>
          <xm:sqref>J90:J92</xm:sqref>
        </x14:conditionalFormatting>
        <x14:conditionalFormatting>
          <x14:cfRule type="dataBar" priority="13" id="{21CE3649-1563-6FD3-C9E0-F20B1E4F32D3}">
            <x14:dataBar gradient="1">
              <x14:cfvo type="min"/>
              <x14:cfvo type="max"/>
              <x14:fillColor rgb="FF9DC3E6"/>
            </x14:dataBar>
          </x14:cfRule>
          <xm:sqref>R90:R101</xm:sqref>
        </x14:conditionalFormatting>
        <x14:conditionalFormatting>
          <x14:cfRule type="dataBar" priority="14" id="{1FD654BB-E3EE-911C-BA33-25B4775AA362}">
            <x14:dataBar gradient="1">
              <x14:cfvo type="min"/>
              <x14:cfvo type="max"/>
              <x14:fillColor rgb="FF5B9BD5"/>
            </x14:dataBar>
          </x14:cfRule>
          <xm:sqref>G12:G38</xm:sqref>
        </x14:conditionalFormatting>
        <x14:conditionalFormatting>
          <x14:cfRule type="dataBar" priority="18" id="{21CE3649-1563-6FD3-C9E0-F20B1E4F32D3}">
            <x14:dataBar gradient="1">
              <x14:cfvo type="min"/>
              <x14:cfvo type="max"/>
              <x14:fillColor rgb="FF9DC3E6"/>
            </x14:dataBar>
          </x14:cfRule>
          <xm:sqref>B43:B47</xm:sqref>
        </x14:conditionalFormatting>
        <x14:conditionalFormatting>
          <x14:cfRule type="dataBar" priority="19" id="{8AC6AA4C-99C0-1077-2292-96E2B9335CBE}">
            <x14:dataBar gradient="1">
              <x14:cfvo type="min"/>
              <x14:cfvo type="max"/>
              <x14:fillColor rgb="FF5B9BD5"/>
            </x14:dataBar>
          </x14:cfRule>
          <xm:sqref>E43:E47</xm:sqref>
        </x14:conditionalFormatting>
        <x14:conditionalFormatting>
          <x14:cfRule type="dataBar" priority="21" id="{373A0794-0CC4-C212-8058-55A1183A7639}">
            <x14:dataBar gradient="1">
              <x14:cfvo type="min"/>
              <x14:cfvo type="max"/>
              <x14:fillColor rgb="FF5B9BD5"/>
            </x14:dataBar>
          </x14:cfRule>
          <xm:sqref>K43:K47</xm:sqref>
        </x14:conditionalFormatting>
        <x14:conditionalFormatting>
          <x14:cfRule type="dataBar" priority="25" id="{1FCB5DE8-2C3A-C80B-C327-9EE94284887E}">
            <x14:dataBar gradient="1">
              <x14:cfvo type="min"/>
              <x14:cfvo type="max"/>
              <x14:fillColor rgb="FF5B9BD5"/>
            </x14:dataBar>
          </x14:cfRule>
          <xm:sqref>F52:F54</xm:sqref>
        </x14:conditionalFormatting>
        <x14:conditionalFormatting>
          <x14:cfRule type="dataBar" priority="27" id="{F1826BE4-4FDA-0323-3728-2DA194C39835}">
            <x14:dataBar gradient="1">
              <x14:cfvo type="min"/>
              <x14:cfvo type="max"/>
              <x14:fillColor rgb="FF5B9BD5"/>
            </x14:dataBar>
          </x14:cfRule>
          <xm:sqref>Z2:Z28</xm:sqref>
        </x14:conditionalFormatting>
        <x14:conditionalFormatting>
          <x14:cfRule type="dataBar" priority="31" id="{768FB075-E5BC-5EBD-A4EA-AEBE900E154F}">
            <x14:dataBar gradient="1">
              <x14:cfvo type="min"/>
              <x14:cfvo type="max"/>
              <x14:fillColor rgb="FF5B9BD5"/>
            </x14:dataBar>
          </x14:cfRule>
          <xm:sqref>Z32:Z68</xm:sqref>
        </x14:conditionalFormatting>
        <x14:conditionalFormatting>
          <x14:cfRule type="dataBar" priority="33" id="{2E40AC2E-F260-1052-F7B9-77AA57056ED8}">
            <x14:dataBar gradient="1">
              <x14:cfvo type="min"/>
              <x14:cfvo type="max"/>
              <x14:fillColor rgb="FF5B9BD5"/>
            </x14:dataBar>
          </x14:cfRule>
          <xm:sqref>Y70:Y82</xm:sqref>
        </x14:conditionalFormatting>
        <x14:conditionalFormatting>
          <x14:cfRule type="dataBar" priority="35" id="{C028D795-81BD-A7F4-BA3E-DA7BF6394870}">
            <x14:dataBar gradient="1">
              <x14:cfvo type="min"/>
              <x14:cfvo type="max"/>
              <x14:fillColor rgb="FF5B9BD5"/>
            </x14:dataBar>
          </x14:cfRule>
          <xm:sqref>Z85:Z129</xm:sqref>
        </x14:conditionalFormatting>
      </x14:conditionalFormattings>
    </x:ext>
  </x:extLst>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34" hidden="0" customWidth="1"/>
    <x:col min="4" max="4" width="16" hidden="0" customWidth="1"/>
    <x:col min="5" max="5" width="14" hidden="0" customWidth="1"/>
    <x:col min="6" max="6" width="14" hidden="0" customWidth="1"/>
    <x:col min="7" max="7" width="32" hidden="0" customWidth="1"/>
    <x:col min="8" max="8" width="38" hidden="0" customWidth="1"/>
    <x:col min="9" max="9" width="14" hidden="0" customWidth="1"/>
    <x:col min="10" max="10" width="16" hidden="0" customWidth="1"/>
    <x:col min="11" max="11" width="15" hidden="0" customWidth="1"/>
    <x:col min="12" max="12" width="38" hidden="0" customWidth="1"/>
    <x:col min="13" max="13" width="18" hidden="0" customWidth="1"/>
    <x:col min="14" max="14" width="18" hidden="0" customWidth="1"/>
    <x:col min="15" max="15" width="18" hidden="0" customWidth="1"/>
    <x:col min="16" max="16" width="22" hidden="0" customWidth="1"/>
    <x:col min="17" max="17" width="18" hidden="0" customWidth="1"/>
    <x:col min="18" max="18" width="22" hidden="0" customWidth="1"/>
    <x:col min="19" max="19" width="15" hidden="0" customWidth="1"/>
    <x:col min="20" max="20" width="32" hidden="0" customWidth="1"/>
    <x:col min="21" max="21" width="10" hidden="0" customWidth="1"/>
    <x:col min="22" max="22" width="16" hidden="0" customWidth="1"/>
  </x:cols>
  <x:sheetData>
    <x:row r="1">
      <x:c r="A1" s="243" t="str">
        <x:v>Barrister Exception &amp; Integrity Engine — Phase 3H</x:v>
      </x:c>
      <x:c r="B1" s="243"/>
      <x:c r="C1" s="243"/>
      <x:c r="D1" s="243"/>
      <x:c r="E1" s="243"/>
      <x:c r="F1" s="243"/>
      <x:c r="G1" s="243"/>
      <x:c r="H1" s="243"/>
      <x:c r="I1" s="243"/>
      <x:c r="J1" s="243"/>
      <x:c r="K1" s="243"/>
      <x:c r="L1" s="243"/>
      <x:c r="M1" s="243"/>
      <x:c r="N1" s="243"/>
      <x:c r="O1" s="243"/>
      <x:c r="P1" s="243"/>
      <x:c r="Q1" s="243"/>
      <x:c r="R1" s="243"/>
      <x:c r="S1" s="243"/>
      <x:c r="T1" s="243"/>
      <x:c r="U1" s="243"/>
      <x:c r="V1" s="243"/>
      <x:c r="W1" s="52"/>
      <x:c r="X1" s="52"/>
      <x:c r="Y1" s="52"/>
      <x:c r="Z1" s="52"/>
      <x:c r="AA1" s="52"/>
      <x:c r="AB1" s="52"/>
      <x:c r="AC1" s="52"/>
      <x:c r="AD1" s="52"/>
      <x:c r="AE1" s="52"/>
      <x:c r="AT1"/>
      <x:c r="AU1"/>
      <x:c r="AV1"/>
      <x:c r="AW1"/>
      <x:c r="AX1"/>
      <x:c r="AY1"/>
      <x:c r="AZ1"/>
      <x:c r="BA1"/>
      <x:c r="BB1"/>
      <x:c r="BC1"/>
      <x:c r="BD1"/>
      <x:c r="BE1"/>
      <x:c r="BF1"/>
      <x:c r="BG1"/>
      <x:c r="BH1"/>
      <x:c r="BI1"/>
      <x:c r="BJ1"/>
      <x:c r="BK1"/>
    </x:row>
    <x:row r="2">
      <x:c r="A2" s="249"/>
      <x:c r="B2" s="249"/>
      <x:c r="C2" s="249"/>
      <x:c r="D2" s="249"/>
      <x:c r="E2" s="249"/>
      <x:c r="F2" s="249"/>
      <x:c r="G2" s="249"/>
      <x:c r="H2" s="249"/>
      <x:c r="I2" s="249"/>
      <x:c r="J2" s="249"/>
      <x:c r="K2" s="249"/>
      <x:c r="L2" s="249"/>
      <x:c r="M2" s="249"/>
      <x:c r="N2" s="249"/>
      <x:c r="O2" s="249"/>
      <x:c r="P2" s="249"/>
      <x:c r="Q2" s="249"/>
      <x:c r="R2" s="249"/>
      <x:c r="S2" s="249"/>
      <x:c r="T2" s="249"/>
      <x:c r="U2" s="249"/>
      <x:c r="V2" s="249"/>
      <x:c r="X2"/>
      <x:c r="AT2"/>
      <x:c r="AU2"/>
      <x:c r="AV2"/>
      <x:c r="AW2"/>
      <x:c r="AX2"/>
      <x:c r="AY2"/>
      <x:c r="AZ2"/>
      <x:c r="BA2"/>
      <x:c r="BB2"/>
      <x:c r="BC2"/>
      <x:c r="BD2"/>
      <x:c r="BE2"/>
      <x:c r="BF2"/>
      <x:c r="BG2"/>
      <x:c r="BH2"/>
      <x:c r="BI2"/>
      <x:c r="BJ2"/>
      <x:c r="BK2"/>
    </x:row>
    <x:row r="3">
      <x:c r="A3" s="255" t="str">
        <x:v>Formula-driven operational, financial, cross-table, and structural integrity controls</x:v>
      </x:c>
      <x:c r="B3" s="255"/>
      <x:c r="C3" s="255"/>
      <x:c r="D3" s="255"/>
      <x:c r="E3" s="255"/>
      <x:c r="F3" s="255"/>
      <x:c r="G3" s="255"/>
      <x:c r="H3" s="255"/>
      <x:c r="I3" s="255"/>
      <x:c r="J3" s="255"/>
      <x:c r="K3" s="255"/>
      <x:c r="L3" s="255"/>
      <x:c r="M3" s="255"/>
      <x:c r="N3" s="255"/>
      <x:c r="O3" s="255"/>
      <x:c r="P3" s="255"/>
      <x:c r="Q3" s="255"/>
      <x:c r="R3" s="255"/>
      <x:c r="S3" s="255"/>
      <x:c r="T3" s="255"/>
      <x:c r="U3" s="255"/>
      <x:c r="V3" s="255"/>
      <x:c r="X3"/>
    </x:row>
    <x:row r="4">
      <x:c r="A4" s="66"/>
      <x:c r="B4" s="66"/>
      <x:c r="C4" s="66"/>
      <x:c r="D4" s="66"/>
      <x:c r="E4" s="66"/>
      <x:c r="F4" s="66"/>
      <x:c r="G4" s="66"/>
      <x:c r="H4" s="66"/>
      <x:c r="I4" s="68"/>
      <x:c r="J4" s="68"/>
      <x:c r="X4"/>
    </x:row>
    <x:row r="5">
      <x:c r="A5" s="257" t="str">
        <x:v>Critical Exceptions</x:v>
      </x:c>
      <x:c r="B5" s="257"/>
      <x:c r="C5" s="257"/>
      <x:c r="D5" s="257" t="str">
        <x:v>Warnings</x:v>
      </x:c>
      <x:c r="E5" s="257"/>
      <x:c r="F5" s="257"/>
      <x:c r="G5" s="257" t="str">
        <x:v>Pending Items</x:v>
      </x:c>
      <x:c r="H5" s="257"/>
      <x:c r="I5" s="257"/>
      <x:c r="J5" s="257" t="str">
        <x:v>Mapping Holds</x:v>
      </x:c>
      <x:c r="K5" s="257"/>
      <x:c r="L5" s="257"/>
      <x:c r="M5" s="257" t="str">
        <x:v>Duplicate WO Flags</x:v>
      </x:c>
      <x:c r="N5" s="257"/>
      <x:c r="O5" s="257"/>
      <x:c r="P5" s="257" t="str">
        <x:v>Missing Event Links</x:v>
      </x:c>
      <x:c r="Q5" s="257"/>
      <x:c r="R5" s="257"/>
      <x:c r="S5" s="257" t="str">
        <x:v>Variance Exposure</x:v>
      </x:c>
      <x:c r="T5" s="257"/>
      <x:c r="U5" s="257"/>
      <x:c r="V5" s="257"/>
      <x:c r="X5"/>
    </x:row>
    <x:row r="6">
      <x:c r="A6" s="262" t="n">
        <x:f>COUNTIF(S31:S98,"Critical")+COUNTIF(Q100:Q166,"Critical")</x:f>
        <x:v>1</x:v>
      </x:c>
      <x:c r="B6" s="262"/>
      <x:c r="C6" s="262"/>
      <x:c r="D6" s="271" t="n">
        <x:f>COUNTIF(S31:S98,"Warning")+COUNTIF(Q100:Q166,"Warning")</x:f>
        <x:v>2</x:v>
      </x:c>
      <x:c r="E6" s="271"/>
      <x:c r="F6" s="272"/>
      <x:c r="G6" s="280" t="n">
        <x:f>COUNTIF(S31:S98,"Informational")+COUNTIF(Q100:Q166,"Informational")</x:f>
        <x:v>13</x:v>
      </x:c>
      <x:c r="H6" s="280"/>
      <x:c r="I6" s="280"/>
      <x:c r="J6" s="262" t="n">
        <x:f>COUNTIF(J31:J98,"Yes")</x:f>
        <x:v>1</x:v>
      </x:c>
      <x:c r="K6" s="262"/>
      <x:c r="L6" s="262"/>
      <x:c r="M6" s="271" t="n">
        <x:f>COUNTIF(H31:H98,"Yes")</x:f>
        <x:v>0</x:v>
      </x:c>
      <x:c r="N6" s="271"/>
      <x:c r="O6" s="271"/>
      <x:c r="P6" s="262" t="n">
        <x:f>COUNTIF(I31:I98,"Yes")</x:f>
        <x:v>1</x:v>
      </x:c>
      <x:c r="Q6" s="262"/>
      <x:c r="R6" s="262"/>
      <x:c r="S6" s="282" t="n">
        <x:f>SUM(V31:V98)</x:f>
        <x:v>49.17</x:v>
      </x:c>
      <x:c r="T6" s="282"/>
      <x:c r="U6" s="282"/>
      <x:c r="V6" s="282"/>
    </x:row>
    <x:row r="7">
      <x:c r="A7" s="262"/>
      <x:c r="B7" s="262"/>
      <x:c r="C7" s="262"/>
      <x:c r="D7" s="271"/>
      <x:c r="E7" s="271"/>
      <x:c r="F7" s="272"/>
      <x:c r="G7" s="280"/>
      <x:c r="H7" s="280"/>
      <x:c r="I7" s="280"/>
      <x:c r="J7" s="262"/>
      <x:c r="K7" s="262"/>
      <x:c r="L7" s="262"/>
      <x:c r="M7" s="271"/>
      <x:c r="N7" s="271"/>
      <x:c r="O7" s="271"/>
      <x:c r="P7" s="262"/>
      <x:c r="Q7" s="262"/>
      <x:c r="R7" s="262"/>
      <x:c r="S7" s="282"/>
      <x:c r="T7" s="282"/>
      <x:c r="U7" s="282"/>
      <x:c r="V7" s="282"/>
    </x:row>
    <x:row r="8">
      <x:c r="A8"/>
      <x:c r="B8"/>
      <x:c r="C8"/>
      <x:c r="D8"/>
      <x:c r="E8"/>
      <x:c r="F8" s="24"/>
      <x:c r="G8"/>
      <x:c r="H8"/>
      <x:c r="I8"/>
      <x:c r="J8"/>
    </x:row>
    <x:row r="9">
      <x:c r="A9" s="287" t="str">
        <x:v>Current Open Exceptions — Snapshot</x:v>
      </x:c>
      <x:c r="B9" s="287"/>
      <x:c r="C9" s="287"/>
      <x:c r="D9" s="287"/>
      <x:c r="E9" s="287"/>
      <x:c r="F9" s="288"/>
      <x:c r="G9" s="287"/>
      <x:c r="H9" s="287"/>
      <x:c r="I9" s="287"/>
      <x:c r="J9" s="287"/>
      <x:c r="K9" s="287"/>
      <x:c r="L9" s="287"/>
    </x:row>
    <x:row r="10">
      <x:c r="A10" s="294" t="str">
        <x:v>Severity</x:v>
      </x:c>
      <x:c r="B10" s="294" t="str">
        <x:v>Issue</x:v>
      </x:c>
      <x:c r="C10" s="294" t="str">
        <x:v>Event #</x:v>
      </x:c>
      <x:c r="D10" s="294" t="str">
        <x:v>WO #</x:v>
      </x:c>
      <x:c r="E10" s="294" t="str">
        <x:v>Client</x:v>
      </x:c>
      <x:c r="F10" s="295" t="str">
        <x:v>City</x:v>
      </x:c>
      <x:c r="G10" s="294" t="str">
        <x:v>Jurisdiction</x:v>
      </x:c>
      <x:c r="H10" s="294" t="str">
        <x:v>Amount</x:v>
      </x:c>
      <x:c r="I10" s="294" t="str">
        <x:v>Status</x:v>
      </x:c>
      <x:c r="J10" s="294" t="str">
        <x:v>Required Action</x:v>
      </x:c>
      <x:c r="K10" s="294" t="str">
        <x:v>Source</x:v>
      </x:c>
      <x:c r="L10" s="294" t="str">
        <x:v>Notes</x:v>
      </x:c>
    </x:row>
    <x:row r="11">
      <x:c r="A11" t="str">
        <x:v>Informational</x:v>
      </x:c>
      <x:c r="B11" t="str">
        <x:v>Pending ACH</x:v>
      </x:c>
      <x:c r="C11" t="n">
        <x:v>52</x:v>
      </x:c>
      <x:c r="D11" t="str">
        <x:v>5906380</x:v>
      </x:c>
      <x:c r="E11" t="str">
        <x:v>Food Lion</x:v>
      </x:c>
      <x:c r="F11" s="24" t="str">
        <x:v>Upper Marlboro</x:v>
      </x:c>
      <x:c r="G11" t="str">
        <x:v>MD</x:v>
      </x:c>
      <x:c r="H11" s="24" t="n">
        <x:v>116.24</x:v>
      </x:c>
      <x:c r="I11" t="str">
        <x:v>ACH missing</x:v>
      </x:c>
      <x:c r="J11" t="str">
        <x:v>Await ACH processing</x:v>
      </x:c>
      <x:c r="K11" t="str">
        <x:v>WO Alias Index + Canonical Ledger</x:v>
      </x:c>
      <x:c r="L11" t="str">
        <x:v>Food Lion payment breakdown confirmed.</x:v>
      </x:c>
    </x:row>
    <x:row r="12">
      <x:c r="A12" t="str">
        <x:v>Informational</x:v>
      </x:c>
      <x:c r="B12" t="str">
        <x:v>Pending ACH</x:v>
      </x:c>
      <x:c r="C12" t="n">
        <x:v>55</x:v>
      </x:c>
      <x:c r="D12" t="str">
        <x:v>5898645</x:v>
      </x:c>
      <x:c r="E12" t="str">
        <x:v>Office of MD Senator Angela Alsobrooks</x:v>
      </x:c>
      <x:c r="F12" s="24" t="str">
        <x:v>Largo</x:v>
      </x:c>
      <x:c r="G12" t="str">
        <x:v>MD</x:v>
      </x:c>
      <x:c r="H12" s="24" t="n">
        <x:v>120</x:v>
      </x:c>
      <x:c r="I12" t="str">
        <x:v>ACH missing</x:v>
      </x:c>
      <x:c r="J12" t="str">
        <x:v>Await ACH processing</x:v>
      </x:c>
      <x:c r="K12" t="str">
        <x:v>WO Alias Index + Canonical Ledger</x:v>
      </x:c>
      <x:c r="L12" t="str">
        <x:v>Payment breakdown $120 received; ACH pending.</x:v>
      </x:c>
    </x:row>
    <x:row r="13">
      <x:c r="A13" t="str">
        <x:v>Informational</x:v>
      </x:c>
      <x:c r="B13" t="str">
        <x:v>Pending ACH</x:v>
      </x:c>
      <x:c r="C13" t="n">
        <x:v>56</x:v>
      </x:c>
      <x:c r="D13" t="str">
        <x:v>5900784</x:v>
      </x:c>
      <x:c r="E13" t="str">
        <x:v>Dunkin</x:v>
      </x:c>
      <x:c r="F13" s="24" t="str">
        <x:v>Reisterstown</x:v>
      </x:c>
      <x:c r="G13" t="str">
        <x:v>MD</x:v>
      </x:c>
      <x:c r="H13" s="24" t="n">
        <x:v>170.66</x:v>
      </x:c>
      <x:c r="I13" t="str">
        <x:v>ACH missing</x:v>
      </x:c>
      <x:c r="J13" t="str">
        <x:v>Await ACH processing</x:v>
      </x:c>
      <x:c r="K13" t="str">
        <x:v>WO Alias Index + Canonical Ledger</x:v>
      </x:c>
      <x:c r="L13" t="str">
        <x:v>Dunkin Reisterstown payment breakdown confirmed.</x:v>
      </x:c>
    </x:row>
    <x:row r="14">
      <x:c r="A14" t="str">
        <x:v>Informational</x:v>
      </x:c>
      <x:c r="B14" t="str">
        <x:v>Pending ACH</x:v>
      </x:c>
      <x:c r="C14" t="n">
        <x:v>57</x:v>
      </x:c>
      <x:c r="D14" t="str">
        <x:v>5911577</x:v>
      </x:c>
      <x:c r="E14" t="str">
        <x:v>Montpelier Liquors</x:v>
      </x:c>
      <x:c r="F14" s="24" t="str">
        <x:v>Laurel</x:v>
      </x:c>
      <x:c r="G14" t="str">
        <x:v>MD</x:v>
      </x:c>
      <x:c r="H14" s="24" t="n">
        <x:v>66.74</x:v>
      </x:c>
      <x:c r="I14" t="str">
        <x:v>ACH missing</x:v>
      </x:c>
      <x:c r="J14" t="str">
        <x:v>Await ACH processing</x:v>
      </x:c>
      <x:c r="K14" t="str">
        <x:v>WO Alias Index + Canonical Ledger</x:v>
      </x:c>
      <x:c r="L14" t="str">
        <x:v>No-access visit paid breakdown.</x:v>
      </x:c>
    </x:row>
    <x:row r="15">
      <x:c r="A15" t="str">
        <x:v>Informational</x:v>
      </x:c>
      <x:c r="B15" t="str">
        <x:v>Pending ACH</x:v>
      </x:c>
      <x:c r="C15" t="n">
        <x:v>58</x:v>
      </x:c>
      <x:c r="D15" t="str">
        <x:v>5900780</x:v>
      </x:c>
      <x:c r="E15" t="str">
        <x:v>Dunkin</x:v>
      </x:c>
      <x:c r="F15" s="24" t="str">
        <x:v>Lutherville</x:v>
      </x:c>
      <x:c r="G15" t="str">
        <x:v>MD</x:v>
      </x:c>
      <x:c r="H15" s="24" t="n">
        <x:v>202.5</x:v>
      </x:c>
      <x:c r="I15" t="str">
        <x:v>ACH missing</x:v>
      </x:c>
      <x:c r="J15" t="str">
        <x:v>Await ACH processing</x:v>
      </x:c>
      <x:c r="K15" t="str">
        <x:v>WO Alias Index + Canonical Ledger</x:v>
      </x:c>
      <x:c r="L15" t="str">
        <x:v>Dunkin Lutherville payment breakdown confirmed.</x:v>
      </x:c>
    </x:row>
    <x:row r="16">
      <x:c r="A16" t="str">
        <x:v>Informational</x:v>
      </x:c>
      <x:c r="B16" t="str">
        <x:v>Pending ACH</x:v>
      </x:c>
      <x:c r="C16" t="n">
        <x:v>59</x:v>
      </x:c>
      <x:c r="D16" t="str">
        <x:v>5900830</x:v>
      </x:c>
      <x:c r="E16" t="str">
        <x:v>Dunkin</x:v>
      </x:c>
      <x:c r="F16" s="24" t="str">
        <x:v>Aberdeen</x:v>
      </x:c>
      <x:c r="G16" t="str">
        <x:v>MD</x:v>
      </x:c>
      <x:c r="H16" s="24" t="n">
        <x:v>250</x:v>
      </x:c>
      <x:c r="I16" t="str">
        <x:v>ACH missing</x:v>
      </x:c>
      <x:c r="J16" t="str">
        <x:v>Await ACH processing</x:v>
      </x:c>
      <x:c r="K16" t="str">
        <x:v>WO Alias Index + Canonical Ledger</x:v>
      </x:c>
      <x:c r="L16" t="str">
        <x:v>First Aberdeen visit payment breakdown confirmed.</x:v>
      </x:c>
    </x:row>
    <x:row r="17">
      <x:c r="A17" t="str">
        <x:v>Informational</x:v>
      </x:c>
      <x:c r="B17" t="str">
        <x:v>Pending Breakdown</x:v>
      </x:c>
      <x:c r="C17" t="n">
        <x:v>60</x:v>
      </x:c>
      <x:c r="D17" t="str">
        <x:v>5912364</x:v>
      </x:c>
      <x:c r="E17" t="str">
        <x:v>Carvana</x:v>
      </x:c>
      <x:c r="F17" s="24" t="str">
        <x:v>Baltimore</x:v>
      </x:c>
      <x:c r="G17" t="str">
        <x:v>MD</x:v>
      </x:c>
      <x:c r="H17" s="24"/>
      <x:c r="I17" t="str">
        <x:v>Combined visit / partial breakdown</x:v>
      </x:c>
      <x:c r="J17" t="str">
        <x:v>Await payment breakdown</x:v>
      </x:c>
      <x:c r="K17" t="str">
        <x:v>WO Alias Index + Canonical Ledger</x:v>
      </x:c>
      <x:c r="L17" t="str">
        <x:v>Alias maps to combined one-visit Carvana event; 5912364 closed by user, breakdown pending.</x:v>
      </x:c>
    </x:row>
    <x:row r="18">
      <x:c r="A18" t="str">
        <x:v>Warning</x:v>
      </x:c>
      <x:c r="B18" t="str">
        <x:v>Partial Breakdown</x:v>
      </x:c>
      <x:c r="C18" t="n">
        <x:v>60</x:v>
      </x:c>
      <x:c r="D18" t="str">
        <x:v>5914049</x:v>
      </x:c>
      <x:c r="E18" t="str">
        <x:v>Carvana</x:v>
      </x:c>
      <x:c r="F18" s="24" t="str">
        <x:v>Baltimore</x:v>
      </x:c>
      <x:c r="G18" t="str">
        <x:v>MD</x:v>
      </x:c>
      <x:c r="H18" s="24" t="n">
        <x:v>65</x:v>
      </x:c>
      <x:c r="I18" t="str">
        <x:v>Combined visit / partial breakdown</x:v>
      </x:c>
      <x:c r="J18" t="str">
        <x:v>Confirm remaining work-order breakdown</x:v>
      </x:c>
      <x:c r="K18" t="str">
        <x:v>WO Alias Index + Canonical Ledger</x:v>
      </x:c>
      <x:c r="L18" t="str">
        <x:v>Alias maps to combined one-visit Carvana event; 5914049 breakdown $65 received.</x:v>
      </x:c>
    </x:row>
    <x:row r="19">
      <x:c r="A19" s="12" t="str">
        <x:v>Informational</x:v>
      </x:c>
      <x:c r="B19" s="12" t="str">
        <x:v>Pending ACH</x:v>
      </x:c>
      <x:c r="C19" s="12" t="n">
        <x:v>61</x:v>
      </x:c>
      <x:c r="D19" s="12" t="str">
        <x:v>5909344</x:v>
      </x:c>
      <x:c r="E19" s="12" t="str">
        <x:v>TJ Maxx</x:v>
      </x:c>
      <x:c r="F19" s="69" t="str">
        <x:v>Germantown</x:v>
      </x:c>
      <x:c r="G19" s="12" t="str">
        <x:v>MD</x:v>
      </x:c>
      <x:c r="H19" s="69" t="n">
        <x:v>194.99</x:v>
      </x:c>
      <x:c r="I19" s="12" t="str">
        <x:v>ACH missing</x:v>
      </x:c>
      <x:c r="J19" s="12" t="str">
        <x:v>Await ACH processing</x:v>
      </x:c>
      <x:c r="K19" t="str">
        <x:v>Gmail payment breakdown 2026-07-11</x:v>
      </x:c>
      <x:c r="L19" t="str">
        <x:v>Payment breakdown confirmed at $194.99; expected payment 2026-07-23; ACH pending.</x:v>
      </x:c>
    </x:row>
    <x:row r="20">
      <x:c r="A20" s="29" t="str">
        <x:v>Warning</x:v>
      </x:c>
      <x:c r="B20" s="29" t="str">
        <x:v>Revenue Variance</x:v>
      </x:c>
      <x:c r="C20" s="29" t="n">
        <x:v>62</x:v>
      </x:c>
      <x:c r="D20" s="29" t="str">
        <x:v>5913868</x:v>
      </x:c>
      <x:c r="E20" s="29" t="str">
        <x:v>TJ Maxx</x:v>
      </x:c>
      <x:c r="F20" s="70" t="str">
        <x:v>Martinsburg</x:v>
      </x:c>
      <x:c r="G20" s="29" t="str">
        <x:v>WV</x:v>
      </x:c>
      <x:c r="H20" s="70" t="n">
        <x:v>49.17</x:v>
      </x:c>
      <x:c r="I20" s="29" t="str">
        <x:v>BREAKDOWN_MISMATCH</x:v>
      </x:c>
      <x:c r="J20" s="29" t="str">
        <x:v>Review and dispute or reconcile the variance</x:v>
      </x:c>
      <x:c r="K20" t="str">
        <x:v>Gmail payment breakdown 2026-07-10 + Phase 1 ledger</x:v>
      </x:c>
      <x:c r="L20" t="str">
        <x:v>Negotiated amount $150.00; payment breakdown received for $100.83; variance -$49.17; expected payment 2026-07-23.</x:v>
      </x:c>
    </x:row>
    <x:row r="21">
      <x:c r="A21" t="str">
        <x:v>Critical</x:v>
      </x:c>
      <x:c r="B21" t="str">
        <x:v>Mapping Hold</x:v>
      </x:c>
      <x:c r="C21"/>
      <x:c r="D21" t="str">
        <x:v>5905579</x:v>
      </x:c>
      <x:c r="E21" t="str">
        <x:v>Hebrew Home of Greater Washington</x:v>
      </x:c>
      <x:c r="F21" s="24" t="str">
        <x:v>North Bethesda</x:v>
      </x:c>
      <x:c r="G21" t="str">
        <x:v>MD</x:v>
      </x:c>
      <x:c r="H21" s="24" t="n">
        <x:v>35</x:v>
      </x:c>
      <x:c r="I21" t="str">
        <x:v>MAPPING_HOLD</x:v>
      </x:c>
      <x:c r="J21" t="str">
        <x:v>Resolve WO-to-event ownership before financial closure</x:v>
      </x:c>
      <x:c r="K21" t="str">
        <x:v>Phase 1 duplicate rows consolidated</x:v>
      </x:c>
      <x:c r="L21" t="str">
        <x:v>Duplicate WO collision preserved without guessing. Event 48 legacy breakdown $70; Event 51 legacy breakdown $60; ACH $35. Human mapping required before assigning this WO.</x:v>
      </x:c>
    </x:row>
    <x:row r="22">
      <x:c r="A22" t="str">
        <x:v>Informational</x:v>
      </x:c>
      <x:c r="B22" t="str">
        <x:v>Pending Breakdown</x:v>
      </x:c>
      <x:c r="C22" t="n">
        <x:v>63</x:v>
      </x:c>
      <x:c r="D22" t="str">
        <x:v>5909368</x:v>
      </x:c>
      <x:c r="E22" t="str">
        <x:v>Marshalls</x:v>
      </x:c>
      <x:c r="F22" t="str">
        <x:v>Cockeysville</x:v>
      </x:c>
      <x:c r="G22" t="str">
        <x:v>MD</x:v>
      </x:c>
      <x:c r="H22" s="24"/>
      <x:c r="I22" t="str">
        <x:v>Breakdown pending</x:v>
      </x:c>
      <x:c r="J22" t="str">
        <x:v>Await payment breakdown</x:v>
      </x:c>
      <x:c r="K22" t="str">
        <x:v>WO 5909368 + user completion</x:v>
      </x:c>
      <x:c r="L22" t="str">
        <x:v>Hourly rate $40.00; final payable hours and breakdown pending.</x:v>
      </x:c>
    </x:row>
    <x:row r="23">
      <x:c r="A23" t="str">
        <x:v>Informational</x:v>
      </x:c>
      <x:c r="B23" t="str">
        <x:v>Pending Breakdown</x:v>
      </x:c>
      <x:c r="C23" t="n">
        <x:v>64</x:v>
      </x:c>
      <x:c r="D23" t="str">
        <x:v>5916961</x:v>
      </x:c>
      <x:c r="E23" t="str">
        <x:v>Marshalls</x:v>
      </x:c>
      <x:c r="F23" t="str">
        <x:v>Hagerstown</x:v>
      </x:c>
      <x:c r="G23" t="str">
        <x:v>MD</x:v>
      </x:c>
      <x:c r="H23" s="24"/>
      <x:c r="I23" t="str">
        <x:v>Breakdown pending</x:v>
      </x:c>
      <x:c r="J23" t="str">
        <x:v>Await payment breakdown</x:v>
      </x:c>
      <x:c r="K23" t="str">
        <x:v>WO 5916961 + onsite timeline</x:v>
      </x:c>
      <x:c r="L23" t="str">
        <x:v>Hourly rate $55.00; documented support-driven extended onsite time; final breakdown pending.</x:v>
      </x:c>
    </x:row>
    <x:row r="24">
      <x:c r="A24" t="str">
        <x:v>Informational</x:v>
      </x:c>
      <x:c r="B24" t="str">
        <x:v>Pending Breakdown</x:v>
      </x:c>
      <x:c r="C24" t="n">
        <x:v>65</x:v>
      </x:c>
      <x:c r="D24" t="str">
        <x:v>5917407</x:v>
      </x:c>
      <x:c r="E24" t="str">
        <x:v>HomeGoods</x:v>
      </x:c>
      <x:c r="F24" t="str">
        <x:v>Gaithersburg</x:v>
      </x:c>
      <x:c r="G24" t="str">
        <x:v>MD</x:v>
      </x:c>
      <x:c r="H24" s="24"/>
      <x:c r="I24" t="str">
        <x:v>Breakdown pending</x:v>
      </x:c>
      <x:c r="J24" t="str">
        <x:v>Await payment breakdown</x:v>
      </x:c>
      <x:c r="K24" t="str">
        <x:v>User completion + ticket/photo evidence</x:v>
      </x:c>
      <x:c r="L24" t="str">
        <x:v>Hourly rate $50.00; power cable and pin pad replaced; final breakdown pending.</x:v>
      </x:c>
    </x:row>
    <x:row r="25">
      <x:c r="A25" t="str">
        <x:v>Informational</x:v>
      </x:c>
      <x:c r="B25" t="str">
        <x:v>Pending Breakdown</x:v>
      </x:c>
      <x:c r="C25" t="n">
        <x:v>66</x:v>
      </x:c>
      <x:c r="D25" t="str">
        <x:v>5909385</x:v>
      </x:c>
      <x:c r="E25" t="str">
        <x:v>TJ Maxx</x:v>
      </x:c>
      <x:c r="F25" t="str">
        <x:v>Bel Air</x:v>
      </x:c>
      <x:c r="G25" t="str">
        <x:v>MD</x:v>
      </x:c>
      <x:c r="H25" s="24"/>
      <x:c r="I25" t="str">
        <x:v>Breakdown pending</x:v>
      </x:c>
      <x:c r="J25" t="str">
        <x:v>Await payment breakdown</x:v>
      </x:c>
      <x:c r="K25" t="str">
        <x:v>WO 5909385 + user completion</x:v>
      </x:c>
      <x:c r="L25" t="str">
        <x:v>Hourly rate $45.00; NextGen 11 server refresh completed; final breakdown pending.</x:v>
      </x:c>
    </x:row>
    <x:row r="26">
      <x:c r="A26" t="str">
        <x:v>Informational</x:v>
      </x:c>
      <x:c r="B26" t="str">
        <x:v>Pending ACH</x:v>
      </x:c>
      <x:c r="C26" t="n">
        <x:v>67</x:v>
      </x:c>
      <x:c r="D26" t="str">
        <x:v>5914898</x:v>
      </x:c>
      <x:c r="E26" t="str">
        <x:v>Dunkin</x:v>
      </x:c>
      <x:c r="F26" t="str">
        <x:v>Aberdeen</x:v>
      </x:c>
      <x:c r="G26" t="str">
        <x:v>MD</x:v>
      </x:c>
      <x:c r="H26" s="24" t="n">
        <x:v>183.74</x:v>
      </x:c>
      <x:c r="I26" t="str">
        <x:v>ACH missing</x:v>
      </x:c>
      <x:c r="J26" t="str">
        <x:v>Await ACH processing</x:v>
      </x:c>
      <x:c r="K26" t="str">
        <x:v>Gmail payment breakdown 2026-07-14 + user completion</x:v>
      </x:c>
      <x:c r="L26" t="str">
        <x:v>Return visit completed; $183.74 breakdown confirmed; expected payment 2026-07-28; ACH pending.</x:v>
      </x:c>
    </x:row>
    <x:row r="27">
      <x:c r="A27"/>
      <x:c r="B27"/>
      <x:c r="C27"/>
      <x:c r="D27"/>
      <x:c r="E27"/>
      <x:c r="F27"/>
      <x:c r="G27"/>
      <x:c r="H27"/>
      <x:c r="I27"/>
      <x:c r="J27"/>
      <x:c r="K27"/>
      <x:c r="L27"/>
    </x:row>
    <x:row r="28">
      <x:c r="A28"/>
      <x:c r="B28"/>
      <x:c r="C28"/>
      <x:c r="D28"/>
      <x:c r="E28"/>
      <x:c r="F28"/>
      <x:c r="G28"/>
      <x:c r="H28"/>
      <x:c r="I28"/>
      <x:c r="J28"/>
      <x:c r="K28"/>
      <x:c r="L28"/>
    </x:row>
    <x:row r="29">
      <x:c r="A29" s="287" t="str">
        <x:v>Ledger Exception Matrix — Dynamic</x:v>
      </x:c>
      <x:c r="B29" s="287"/>
      <x:c r="C29" s="287"/>
      <x:c r="D29" s="287"/>
      <x:c r="E29" s="287"/>
      <x:c r="F29" s="287"/>
      <x:c r="G29" s="287"/>
      <x:c r="H29" s="287"/>
      <x:c r="I29" s="287"/>
      <x:c r="J29" s="287"/>
      <x:c r="K29" s="287"/>
      <x:c r="L29" s="287"/>
      <x:c r="M29" s="287"/>
      <x:c r="N29" s="287"/>
      <x:c r="O29" s="287"/>
      <x:c r="P29" s="287"/>
      <x:c r="Q29" s="287"/>
      <x:c r="R29" s="287"/>
      <x:c r="S29" s="287"/>
      <x:c r="T29" s="287"/>
      <x:c r="U29" s="287"/>
      <x:c r="V29" s="287"/>
    </x:row>
    <x:row r="30">
      <x:c r="A30" s="294" t="str">
        <x:v>Ledger Record ID</x:v>
      </x:c>
      <x:c r="B30" s="294" t="str">
        <x:v>WO #</x:v>
      </x:c>
      <x:c r="C30" s="294" t="str">
        <x:v>Event #</x:v>
      </x:c>
      <x:c r="D30" s="294" t="str">
        <x:v>Client</x:v>
      </x:c>
      <x:c r="E30" s="294" t="str">
        <x:v>Breakdown Status</x:v>
      </x:c>
      <x:c r="F30" s="294" t="str">
        <x:v>ACH Status</x:v>
      </x:c>
      <x:c r="G30" s="294" t="str">
        <x:v>Variance</x:v>
      </x:c>
      <x:c r="H30" s="294" t="str">
        <x:v>Duplicate WO</x:v>
      </x:c>
      <x:c r="I30" s="294" t="str">
        <x:v>Missing Event Link</x:v>
      </x:c>
      <x:c r="J30" s="294" t="str">
        <x:v>Mapping Hold</x:v>
      </x:c>
      <x:c r="K30" s="294" t="str">
        <x:v>Missing Breakdown</x:v>
      </x:c>
      <x:c r="L30" s="294" t="str">
        <x:v>Pending ACH</x:v>
      </x:c>
      <x:c r="M30" s="294" t="str">
        <x:v>Revenue Variance</x:v>
      </x:c>
      <x:c r="N30" s="294" t="str">
        <x:v>Missing Client</x:v>
      </x:c>
      <x:c r="O30" s="294" t="str">
        <x:v>Missing Location</x:v>
      </x:c>
      <x:c r="P30" s="294" t="str">
        <x:v>Unknown Breakdown Status</x:v>
      </x:c>
      <x:c r="Q30" s="294" t="str">
        <x:v>Unknown ACH Status</x:v>
      </x:c>
      <x:c r="R30" s="294" t="str">
        <x:v>Primary Issue</x:v>
      </x:c>
      <x:c r="S30" s="294" t="str">
        <x:v>Severity</x:v>
      </x:c>
      <x:c r="T30" s="294" t="str">
        <x:v>Required Action</x:v>
      </x:c>
      <x:c r="U30" s="294" t="str">
        <x:v>Open?</x:v>
      </x:c>
      <x:c r="V30" s="294" t="str">
        <x:v>Absolute Variance</x:v>
      </x:c>
    </x:row>
    <x:row r="31">
      <x:c r="A31" t="str">
        <x:v>LED-0001</x:v>
      </x:c>
      <x:c r="B31" t="n">
        <x:f>INDEX(tblLedger[Work Order #],MATCH($A31,tblLedger[Ledger Record ID],0))</x:f>
        <x:v>5847113</x:v>
      </x:c>
      <x:c r="C31" t="n">
        <x:f>INDEX(tblLedger[Event #],MATCH($A31,tblLedger[Ledger Record ID],0))</x:f>
        <x:v>1</x:v>
      </x:c>
      <x:c r="D31" t="str">
        <x:f>INDEX(tblLedger[Client],MATCH($A31,tblLedger[Ledger Record ID],0))</x:f>
        <x:v>Macy's</x:v>
      </x:c>
      <x:c r="E31" t="str">
        <x:f>INDEX(tblLedger[Breakdown Confirmed],MATCH($A31,tblLedger[Ledger Record ID],0))</x:f>
        <x:v>Yes</x:v>
      </x:c>
      <x:c r="F31" t="str">
        <x:f>INDEX(tblLedger[ACH Confirmed],MATCH($A31,tblLedger[Ledger Record ID],0))</x:f>
        <x:v>Yes</x:v>
      </x:c>
      <x:c r="G31" s="24" t="str">
        <x:f>INDEX(tblLedger[Variance],MATCH($A31,tblLedger[Ledger Record ID],0))</x:f>
      </x:c>
      <x:c r="H31" t="str">
        <x:f>IF(COUNTIF(tblLedger[Work Order #],B31)&gt;1,"Yes","No")</x:f>
        <x:v>No</x:v>
      </x:c>
      <x:c r="I31" t="str">
        <x:f>IF(C31="","Yes","No")</x:f>
        <x:v>No</x:v>
      </x:c>
      <x:c r="J31" t="str">
        <x:f>IF(INDEX(tblLedger[Mapping Status],MATCH($A31,tblLedger[Ledger Record ID],0))="MAPPING_HOLD","Yes","No")</x:f>
        <x:v>No</x:v>
      </x:c>
      <x:c r="K31" t="str">
        <x:f>IF(AND(OR(E31="No",E31="Pending"),IFERROR(INDEX(tblServiceEvents[Financial Scope],MATCH(C31,tblServiceEvents[Event #],0)),"Included")="Included"),"Yes","No")</x:f>
        <x:v>No</x:v>
      </x:c>
      <x:c r="L31" t="str">
        <x:f>IF(AND(E31="Yes",OR(F31="No",F31="Pending")),"Yes","No")</x:f>
        <x:v>No</x:v>
      </x:c>
      <x:c r="M31" t="str">
        <x:f>IF(OR(ABS(N(G31))&gt;0,INDEX(tblLedger[Reconciliation Status],MATCH($A31,tblLedger[Ledger Record ID],0))="BREAKDOWN_MISMATCH",INDEX(tblLedger[Reconciliation Status],MATCH($A31,tblLedger[Ledger Record ID],0))="ACH_MISMATCH"),"Yes","No")</x:f>
        <x:v>No</x:v>
      </x:c>
      <x:c r="N31" t="str">
        <x:f>IF(D31="","Yes","No")</x:f>
        <x:v>No</x:v>
      </x:c>
      <x:c r="O31" t="str">
        <x:f>IF(OR(INDEX(tblLedger[City],MATCH($A31,tblLedger[Ledger Record ID],0))="",INDEX(tblLedger[Jurisdiction],MATCH($A31,tblLedger[Ledger Record ID],0))=""),"Yes","No")</x:f>
        <x:v>No</x:v>
      </x:c>
      <x:c r="P31" t="str">
        <x:f>IF(COUNTIF({"Yes","No","Partial","Pending","Mapping Hold"},E31)=0,"Yes","No")</x:f>
        <x:v>No</x:v>
      </x:c>
      <x:c r="Q31" t="str">
        <x:f>IF(COUNTIF({"Yes","No","Partial","Pending","Mapping Review"},F31)=0,"Yes","No")</x:f>
        <x:v>No</x:v>
      </x:c>
      <x:c r="R31" t="str">
        <x:f>IF(J31="Yes","Mapping Hold",IF(I31="Yes","Missing Event Link",IF(H31="Yes","Duplicate WO",IF(M31="Yes","Revenue Variance",IF(K31="Yes","Missing Breakdown",IF(L31="Yes","Pending ACH",IF(E31="Partial","Partial Breakdown",IF(N31="Yes","Missing Client",IF(O31="Yes","Missing Location",IF(P31="Yes","Unknown Breakdown Status",IF(Q31="Yes","Unknown ACH Status","OK")))))))))))</x:f>
        <x:v>OK</x:v>
      </x:c>
      <x:c r="S31" t="str">
        <x:f>IF(OR(J31="Yes",I31="Yes",H31="Yes"),"Critical",IF(OR(M31="Yes",E31="Partial",N31="Yes",O31="Yes",P31="Yes",Q31="Yes"),"Warning",IF(OR(K31="Yes",L31="Yes"),"Informational","OK")))</x:f>
        <x:v>OK</x:v>
      </x:c>
      <x:c r="T31" t="str">
        <x:f>IF(R31="Mapping Hold","Resolve mapping before update",IF(R31="Missing Event Link","Map to one authoritative event",IF(R31="Duplicate WO","Review duplicate identity",IF(R31="Revenue Variance","Reconcile or dispute amount",IF(R31="Missing Breakdown","Await breakdown",IF(R31="Pending ACH","Await ACH",IF(R31="Partial Breakdown","Confirm remaining breakdown",IF(R31="Missing Client","Add canonical client",IF(R31="Missing Location","Complete location fields",IF(R31="OK","No action","Review invalid status"))))))))))</x:f>
        <x:v>No action</x:v>
      </x:c>
      <x:c r="U31" t="str">
        <x:f>IF(R31="OK","No","Yes")</x:f>
        <x:v>No</x:v>
      </x:c>
      <x:c r="V31" s="24" t="n">
        <x:f>ABS(N(G31))</x:f>
        <x:v>0</x:v>
      </x:c>
    </x:row>
    <x:row r="32">
      <x:c r="A32" t="str">
        <x:v>LED-0002</x:v>
      </x:c>
      <x:c r="B32" t="n">
        <x:f>INDEX(tblLedger[Work Order #],MATCH($A32,tblLedger[Ledger Record ID],0))</x:f>
        <x:v>5860365</x:v>
      </x:c>
      <x:c r="C32" t="n">
        <x:f>INDEX(tblLedger[Event #],MATCH($A32,tblLedger[Ledger Record ID],0))</x:f>
        <x:v>2</x:v>
      </x:c>
      <x:c r="D32" t="str">
        <x:f>INDEX(tblLedger[Client],MATCH($A32,tblLedger[Ledger Record ID],0))</x:f>
        <x:v>Bloomingdale's</x:v>
      </x:c>
      <x:c r="E32" t="str">
        <x:f>INDEX(tblLedger[Breakdown Confirmed],MATCH($A32,tblLedger[Ledger Record ID],0))</x:f>
        <x:v>Yes</x:v>
      </x:c>
      <x:c r="F32" t="str">
        <x:f>INDEX(tblLedger[ACH Confirmed],MATCH($A32,tblLedger[Ledger Record ID],0))</x:f>
        <x:v>Yes</x:v>
      </x:c>
      <x:c r="G32" s="24" t="str">
        <x:f>INDEX(tblLedger[Variance],MATCH($A32,tblLedger[Ledger Record ID],0))</x:f>
      </x:c>
      <x:c r="H32" t="str">
        <x:f>IF(COUNTIF(tblLedger[Work Order #],B32)&gt;1,"Yes","No")</x:f>
        <x:v>No</x:v>
      </x:c>
      <x:c r="I32" t="str">
        <x:f>IF(C32="","Yes","No")</x:f>
        <x:v>No</x:v>
      </x:c>
      <x:c r="J32" t="str">
        <x:f>IF(INDEX(tblLedger[Mapping Status],MATCH($A32,tblLedger[Ledger Record ID],0))="MAPPING_HOLD","Yes","No")</x:f>
        <x:v>No</x:v>
      </x:c>
      <x:c r="K32" t="str">
        <x:f>IF(AND(OR(E32="No",E32="Pending"),IFERROR(INDEX(tblServiceEvents[Financial Scope],MATCH(C32,tblServiceEvents[Event #],0)),"Included")="Included"),"Yes","No")</x:f>
        <x:v>No</x:v>
      </x:c>
      <x:c r="L32" t="str">
        <x:f>IF(AND(E32="Yes",OR(F32="No",F32="Pending")),"Yes","No")</x:f>
        <x:v>No</x:v>
      </x:c>
      <x:c r="M32" t="str">
        <x:f>IF(OR(ABS(N(G32))&gt;0,INDEX(tblLedger[Reconciliation Status],MATCH($A32,tblLedger[Ledger Record ID],0))="BREAKDOWN_MISMATCH",INDEX(tblLedger[Reconciliation Status],MATCH($A32,tblLedger[Ledger Record ID],0))="ACH_MISMATCH"),"Yes","No")</x:f>
        <x:v>No</x:v>
      </x:c>
      <x:c r="N32" t="str">
        <x:f>IF(D32="","Yes","No")</x:f>
        <x:v>No</x:v>
      </x:c>
      <x:c r="O32" t="str">
        <x:f>IF(OR(INDEX(tblLedger[City],MATCH($A32,tblLedger[Ledger Record ID],0))="",INDEX(tblLedger[Jurisdiction],MATCH($A32,tblLedger[Ledger Record ID],0))=""),"Yes","No")</x:f>
        <x:v>No</x:v>
      </x:c>
      <x:c r="P32" t="str">
        <x:f>IF(COUNTIF({"Yes","No","Partial","Pending","Mapping Hold"},E32)=0,"Yes","No")</x:f>
        <x:v>No</x:v>
      </x:c>
      <x:c r="Q32" t="str">
        <x:f>IF(COUNTIF({"Yes","No","Partial","Pending","Mapping Review"},F32)=0,"Yes","No")</x:f>
        <x:v>No</x:v>
      </x:c>
      <x:c r="R32" t="str">
        <x:f>IF(J32="Yes","Mapping Hold",IF(I32="Yes","Missing Event Link",IF(H32="Yes","Duplicate WO",IF(M32="Yes","Revenue Variance",IF(K32="Yes","Missing Breakdown",IF(L32="Yes","Pending ACH",IF(E32="Partial","Partial Breakdown",IF(N32="Yes","Missing Client",IF(O32="Yes","Missing Location",IF(P32="Yes","Unknown Breakdown Status",IF(Q32="Yes","Unknown ACH Status","OK")))))))))))</x:f>
        <x:v>OK</x:v>
      </x:c>
      <x:c r="S32" t="str">
        <x:f>IF(OR(J32="Yes",I32="Yes",H32="Yes"),"Critical",IF(OR(M32="Yes",E32="Partial",N32="Yes",O32="Yes",P32="Yes",Q32="Yes"),"Warning",IF(OR(K32="Yes",L32="Yes"),"Informational","OK")))</x:f>
        <x:v>OK</x:v>
      </x:c>
      <x:c r="T32" t="str">
        <x:f>IF(R32="Mapping Hold","Resolve mapping before update",IF(R32="Missing Event Link","Map to one authoritative event",IF(R32="Duplicate WO","Review duplicate identity",IF(R32="Revenue Variance","Reconcile or dispute amount",IF(R32="Missing Breakdown","Await breakdown",IF(R32="Pending ACH","Await ACH",IF(R32="Partial Breakdown","Confirm remaining breakdown",IF(R32="Missing Client","Add canonical client",IF(R32="Missing Location","Complete location fields",IF(R32="OK","No action","Review invalid status"))))))))))</x:f>
        <x:v>No action</x:v>
      </x:c>
      <x:c r="U32" t="str">
        <x:f>IF(R32="OK","No","Yes")</x:f>
        <x:v>No</x:v>
      </x:c>
      <x:c r="V32" s="24" t="n">
        <x:f>ABS(N(G32))</x:f>
        <x:v>0</x:v>
      </x:c>
    </x:row>
    <x:row r="33">
      <x:c r="A33" t="str">
        <x:v>LED-0003</x:v>
      </x:c>
      <x:c r="B33" t="n">
        <x:f>INDEX(tblLedger[Work Order #],MATCH($A33,tblLedger[Ledger Record ID],0))</x:f>
        <x:v>5860393</x:v>
      </x:c>
      <x:c r="C33" t="n">
        <x:f>INDEX(tblLedger[Event #],MATCH($A33,tblLedger[Ledger Record ID],0))</x:f>
        <x:v>3</x:v>
      </x:c>
      <x:c r="D33" t="str">
        <x:f>INDEX(tblLedger[Client],MATCH($A33,tblLedger[Ledger Record ID],0))</x:f>
        <x:v>Bloomingdale's</x:v>
      </x:c>
      <x:c r="E33" t="str">
        <x:f>INDEX(tblLedger[Breakdown Confirmed],MATCH($A33,tblLedger[Ledger Record ID],0))</x:f>
        <x:v>Yes</x:v>
      </x:c>
      <x:c r="F33" t="str">
        <x:f>INDEX(tblLedger[ACH Confirmed],MATCH($A33,tblLedger[Ledger Record ID],0))</x:f>
        <x:v>Yes</x:v>
      </x:c>
      <x:c r="G33" s="24" t="str">
        <x:f>INDEX(tblLedger[Variance],MATCH($A33,tblLedger[Ledger Record ID],0))</x:f>
      </x:c>
      <x:c r="H33" t="str">
        <x:f>IF(COUNTIF(tblLedger[Work Order #],B33)&gt;1,"Yes","No")</x:f>
        <x:v>No</x:v>
      </x:c>
      <x:c r="I33" t="str">
        <x:f>IF(C33="","Yes","No")</x:f>
        <x:v>No</x:v>
      </x:c>
      <x:c r="J33" t="str">
        <x:f>IF(INDEX(tblLedger[Mapping Status],MATCH($A33,tblLedger[Ledger Record ID],0))="MAPPING_HOLD","Yes","No")</x:f>
        <x:v>No</x:v>
      </x:c>
      <x:c r="K33" t="str">
        <x:f>IF(AND(OR(E33="No",E33="Pending"),IFERROR(INDEX(tblServiceEvents[Financial Scope],MATCH(C33,tblServiceEvents[Event #],0)),"Included")="Included"),"Yes","No")</x:f>
        <x:v>No</x:v>
      </x:c>
      <x:c r="L33" t="str">
        <x:f>IF(AND(E33="Yes",OR(F33="No",F33="Pending")),"Yes","No")</x:f>
        <x:v>No</x:v>
      </x:c>
      <x:c r="M33" t="str">
        <x:f>IF(OR(ABS(N(G33))&gt;0,INDEX(tblLedger[Reconciliation Status],MATCH($A33,tblLedger[Ledger Record ID],0))="BREAKDOWN_MISMATCH",INDEX(tblLedger[Reconciliation Status],MATCH($A33,tblLedger[Ledger Record ID],0))="ACH_MISMATCH"),"Yes","No")</x:f>
        <x:v>No</x:v>
      </x:c>
      <x:c r="N33" t="str">
        <x:f>IF(D33="","Yes","No")</x:f>
        <x:v>No</x:v>
      </x:c>
      <x:c r="O33" t="str">
        <x:f>IF(OR(INDEX(tblLedger[City],MATCH($A33,tblLedger[Ledger Record ID],0))="",INDEX(tblLedger[Jurisdiction],MATCH($A33,tblLedger[Ledger Record ID],0))=""),"Yes","No")</x:f>
        <x:v>No</x:v>
      </x:c>
      <x:c r="P33" t="str">
        <x:f>IF(COUNTIF({"Yes","No","Partial","Pending","Mapping Hold"},E33)=0,"Yes","No")</x:f>
        <x:v>No</x:v>
      </x:c>
      <x:c r="Q33" t="str">
        <x:f>IF(COUNTIF({"Yes","No","Partial","Pending","Mapping Review"},F33)=0,"Yes","No")</x:f>
        <x:v>No</x:v>
      </x:c>
      <x:c r="R33" t="str">
        <x:f>IF(J33="Yes","Mapping Hold",IF(I33="Yes","Missing Event Link",IF(H33="Yes","Duplicate WO",IF(M33="Yes","Revenue Variance",IF(K33="Yes","Missing Breakdown",IF(L33="Yes","Pending ACH",IF(E33="Partial","Partial Breakdown",IF(N33="Yes","Missing Client",IF(O33="Yes","Missing Location",IF(P33="Yes","Unknown Breakdown Status",IF(Q33="Yes","Unknown ACH Status","OK")))))))))))</x:f>
        <x:v>OK</x:v>
      </x:c>
      <x:c r="S33" t="str">
        <x:f>IF(OR(J33="Yes",I33="Yes",H33="Yes"),"Critical",IF(OR(M33="Yes",E33="Partial",N33="Yes",O33="Yes",P33="Yes",Q33="Yes"),"Warning",IF(OR(K33="Yes",L33="Yes"),"Informational","OK")))</x:f>
        <x:v>OK</x:v>
      </x:c>
      <x:c r="T33" t="str">
        <x:f>IF(R33="Mapping Hold","Resolve mapping before update",IF(R33="Missing Event Link","Map to one authoritative event",IF(R33="Duplicate WO","Review duplicate identity",IF(R33="Revenue Variance","Reconcile or dispute amount",IF(R33="Missing Breakdown","Await breakdown",IF(R33="Pending ACH","Await ACH",IF(R33="Partial Breakdown","Confirm remaining breakdown",IF(R33="Missing Client","Add canonical client",IF(R33="Missing Location","Complete location fields",IF(R33="OK","No action","Review invalid status"))))))))))</x:f>
        <x:v>No action</x:v>
      </x:c>
      <x:c r="U33" t="str">
        <x:f>IF(R33="OK","No","Yes")</x:f>
        <x:v>No</x:v>
      </x:c>
      <x:c r="V33" s="24" t="n">
        <x:f>ABS(N(G33))</x:f>
        <x:v>0</x:v>
      </x:c>
    </x:row>
    <x:row r="34">
      <x:c r="A34" s="12" t="str">
        <x:v>LED-0004</x:v>
      </x:c>
      <x:c r="B34" s="12" t="n">
        <x:f>INDEX(tblLedger[Work Order #],MATCH($A34,tblLedger[Ledger Record ID],0))</x:f>
        <x:v>5874484</x:v>
      </x:c>
      <x:c r="C34" s="12" t="n">
        <x:f>INDEX(tblLedger[Event #],MATCH($A34,tblLedger[Ledger Record ID],0))</x:f>
        <x:v>4</x:v>
      </x:c>
      <x:c r="D34" s="12" t="str">
        <x:f>INDEX(tblLedger[Client],MATCH($A34,tblLedger[Ledger Record ID],0))</x:f>
        <x:v>Macy's</x:v>
      </x:c>
      <x:c r="E34" s="12" t="str">
        <x:f>INDEX(tblLedger[Breakdown Confirmed],MATCH($A34,tblLedger[Ledger Record ID],0))</x:f>
        <x:v>Yes</x:v>
      </x:c>
      <x:c r="F34" s="12" t="str">
        <x:f>INDEX(tblLedger[ACH Confirmed],MATCH($A34,tblLedger[Ledger Record ID],0))</x:f>
        <x:v>Yes</x:v>
      </x:c>
      <x:c r="G34" s="69" t="str">
        <x:f>INDEX(tblLedger[Variance],MATCH($A34,tblLedger[Ledger Record ID],0))</x:f>
      </x:c>
      <x:c r="H34" s="12" t="str">
        <x:f>IF(COUNTIF(tblLedger[Work Order #],B34)&gt;1,"Yes","No")</x:f>
        <x:v>No</x:v>
      </x:c>
      <x:c r="I34" t="str">
        <x:f>IF(C34="","Yes","No")</x:f>
        <x:v>No</x:v>
      </x:c>
      <x:c r="J34" t="str">
        <x:f>IF(INDEX(tblLedger[Mapping Status],MATCH($A34,tblLedger[Ledger Record ID],0))="MAPPING_HOLD","Yes","No")</x:f>
        <x:v>No</x:v>
      </x:c>
      <x:c r="K34" t="str">
        <x:f>IF(AND(OR(E34="No",E34="Pending"),IFERROR(INDEX(tblServiceEvents[Financial Scope],MATCH(C34,tblServiceEvents[Event #],0)),"Included")="Included"),"Yes","No")</x:f>
        <x:v>No</x:v>
      </x:c>
      <x:c r="L34" t="str">
        <x:f>IF(AND(E34="Yes",OR(F34="No",F34="Pending")),"Yes","No")</x:f>
        <x:v>No</x:v>
      </x:c>
      <x:c r="M34" t="str">
        <x:f>IF(OR(ABS(N(G34))&gt;0,INDEX(tblLedger[Reconciliation Status],MATCH($A34,tblLedger[Ledger Record ID],0))="BREAKDOWN_MISMATCH",INDEX(tblLedger[Reconciliation Status],MATCH($A34,tblLedger[Ledger Record ID],0))="ACH_MISMATCH"),"Yes","No")</x:f>
        <x:v>No</x:v>
      </x:c>
      <x:c r="N34" t="str">
        <x:f>IF(D34="","Yes","No")</x:f>
        <x:v>No</x:v>
      </x:c>
      <x:c r="O34" t="str">
        <x:f>IF(OR(INDEX(tblLedger[City],MATCH($A34,tblLedger[Ledger Record ID],0))="",INDEX(tblLedger[Jurisdiction],MATCH($A34,tblLedger[Ledger Record ID],0))=""),"Yes","No")</x:f>
        <x:v>No</x:v>
      </x:c>
      <x:c r="P34" t="str">
        <x:f>IF(COUNTIF({"Yes","No","Partial","Pending","Mapping Hold"},E34)=0,"Yes","No")</x:f>
        <x:v>No</x:v>
      </x:c>
      <x:c r="Q34" t="str">
        <x:f>IF(COUNTIF({"Yes","No","Partial","Pending","Mapping Review"},F34)=0,"Yes","No")</x:f>
        <x:v>No</x:v>
      </x:c>
      <x:c r="R34" t="str">
        <x:f>IF(J34="Yes","Mapping Hold",IF(I34="Yes","Missing Event Link",IF(H34="Yes","Duplicate WO",IF(M34="Yes","Revenue Variance",IF(K34="Yes","Missing Breakdown",IF(L34="Yes","Pending ACH",IF(E34="Partial","Partial Breakdown",IF(N34="Yes","Missing Client",IF(O34="Yes","Missing Location",IF(P34="Yes","Unknown Breakdown Status",IF(Q34="Yes","Unknown ACH Status","OK")))))))))))</x:f>
        <x:v>OK</x:v>
      </x:c>
      <x:c r="S34" t="str">
        <x:f>IF(OR(J34="Yes",I34="Yes",H34="Yes"),"Critical",IF(OR(M34="Yes",E34="Partial",N34="Yes",O34="Yes",P34="Yes",Q34="Yes"),"Warning",IF(OR(K34="Yes",L34="Yes"),"Informational","OK")))</x:f>
        <x:v>OK</x:v>
      </x:c>
      <x:c r="T34" t="str">
        <x:f>IF(R34="Mapping Hold","Resolve mapping before update",IF(R34="Missing Event Link","Map to one authoritative event",IF(R34="Duplicate WO","Review duplicate identity",IF(R34="Revenue Variance","Reconcile or dispute amount",IF(R34="Missing Breakdown","Await breakdown",IF(R34="Pending ACH","Await ACH",IF(R34="Partial Breakdown","Confirm remaining breakdown",IF(R34="Missing Client","Add canonical client",IF(R34="Missing Location","Complete location fields",IF(R34="OK","No action","Review invalid status"))))))))))</x:f>
        <x:v>No action</x:v>
      </x:c>
      <x:c r="U34" t="str">
        <x:f>IF(R34="OK","No","Yes")</x:f>
        <x:v>No</x:v>
      </x:c>
      <x:c r="V34" s="24" t="n">
        <x:f>ABS(N(G34))</x:f>
        <x:v>0</x:v>
      </x:c>
    </x:row>
    <x:row r="35">
      <x:c r="A35" s="29" t="str">
        <x:v>LED-0005</x:v>
      </x:c>
      <x:c r="B35" s="29" t="n">
        <x:f>INDEX(tblLedger[Work Order #],MATCH($A35,tblLedger[Ledger Record ID],0))</x:f>
        <x:v>5876589</x:v>
      </x:c>
      <x:c r="C35" s="29" t="n">
        <x:f>INDEX(tblLedger[Event #],MATCH($A35,tblLedger[Ledger Record ID],0))</x:f>
        <x:v>5</x:v>
      </x:c>
      <x:c r="D35" s="29" t="str">
        <x:f>INDEX(tblLedger[Client],MATCH($A35,tblLedger[Ledger Record ID],0))</x:f>
        <x:v>Hampton Inn &amp; Suites</x:v>
      </x:c>
      <x:c r="E35" s="29" t="str">
        <x:f>INDEX(tblLedger[Breakdown Confirmed],MATCH($A35,tblLedger[Ledger Record ID],0))</x:f>
        <x:v>Yes</x:v>
      </x:c>
      <x:c r="F35" s="29" t="str">
        <x:f>INDEX(tblLedger[ACH Confirmed],MATCH($A35,tblLedger[Ledger Record ID],0))</x:f>
        <x:v>Yes</x:v>
      </x:c>
      <x:c r="G35" s="70" t="str">
        <x:f>INDEX(tblLedger[Variance],MATCH($A35,tblLedger[Ledger Record ID],0))</x:f>
      </x:c>
      <x:c r="H35" s="29" t="str">
        <x:f>IF(COUNTIF(tblLedger[Work Order #],B35)&gt;1,"Yes","No")</x:f>
        <x:v>No</x:v>
      </x:c>
      <x:c r="I35" t="str">
        <x:f>IF(C35="","Yes","No")</x:f>
        <x:v>No</x:v>
      </x:c>
      <x:c r="J35" t="str">
        <x:f>IF(INDEX(tblLedger[Mapping Status],MATCH($A35,tblLedger[Ledger Record ID],0))="MAPPING_HOLD","Yes","No")</x:f>
        <x:v>No</x:v>
      </x:c>
      <x:c r="K35" t="str">
        <x:f>IF(AND(OR(E35="No",E35="Pending"),IFERROR(INDEX(tblServiceEvents[Financial Scope],MATCH(C35,tblServiceEvents[Event #],0)),"Included")="Included"),"Yes","No")</x:f>
        <x:v>No</x:v>
      </x:c>
      <x:c r="L35" t="str">
        <x:f>IF(AND(E35="Yes",OR(F35="No",F35="Pending")),"Yes","No")</x:f>
        <x:v>No</x:v>
      </x:c>
      <x:c r="M35" t="str">
        <x:f>IF(OR(ABS(N(G35))&gt;0,INDEX(tblLedger[Reconciliation Status],MATCH($A35,tblLedger[Ledger Record ID],0))="BREAKDOWN_MISMATCH",INDEX(tblLedger[Reconciliation Status],MATCH($A35,tblLedger[Ledger Record ID],0))="ACH_MISMATCH"),"Yes","No")</x:f>
        <x:v>No</x:v>
      </x:c>
      <x:c r="N35" t="str">
        <x:f>IF(D35="","Yes","No")</x:f>
        <x:v>No</x:v>
      </x:c>
      <x:c r="O35" t="str">
        <x:f>IF(OR(INDEX(tblLedger[City],MATCH($A35,tblLedger[Ledger Record ID],0))="",INDEX(tblLedger[Jurisdiction],MATCH($A35,tblLedger[Ledger Record ID],0))=""),"Yes","No")</x:f>
        <x:v>No</x:v>
      </x:c>
      <x:c r="P35" t="str">
        <x:f>IF(COUNTIF({"Yes","No","Partial","Pending","Mapping Hold"},E35)=0,"Yes","No")</x:f>
        <x:v>No</x:v>
      </x:c>
      <x:c r="Q35" t="str">
        <x:f>IF(COUNTIF({"Yes","No","Partial","Pending","Mapping Review"},F35)=0,"Yes","No")</x:f>
        <x:v>No</x:v>
      </x:c>
      <x:c r="R35" t="str">
        <x:f>IF(J35="Yes","Mapping Hold",IF(I35="Yes","Missing Event Link",IF(H35="Yes","Duplicate WO",IF(M35="Yes","Revenue Variance",IF(K35="Yes","Missing Breakdown",IF(L35="Yes","Pending ACH",IF(E35="Partial","Partial Breakdown",IF(N35="Yes","Missing Client",IF(O35="Yes","Missing Location",IF(P35="Yes","Unknown Breakdown Status",IF(Q35="Yes","Unknown ACH Status","OK")))))))))))</x:f>
        <x:v>OK</x:v>
      </x:c>
      <x:c r="S35" t="str">
        <x:f>IF(OR(J35="Yes",I35="Yes",H35="Yes"),"Critical",IF(OR(M35="Yes",E35="Partial",N35="Yes",O35="Yes",P35="Yes",Q35="Yes"),"Warning",IF(OR(K35="Yes",L35="Yes"),"Informational","OK")))</x:f>
        <x:v>OK</x:v>
      </x:c>
      <x:c r="T35" t="str">
        <x:f>IF(R35="Mapping Hold","Resolve mapping before update",IF(R35="Missing Event Link","Map to one authoritative event",IF(R35="Duplicate WO","Review duplicate identity",IF(R35="Revenue Variance","Reconcile or dispute amount",IF(R35="Missing Breakdown","Await breakdown",IF(R35="Pending ACH","Await ACH",IF(R35="Partial Breakdown","Confirm remaining breakdown",IF(R35="Missing Client","Add canonical client",IF(R35="Missing Location","Complete location fields",IF(R35="OK","No action","Review invalid status"))))))))))</x:f>
        <x:v>No action</x:v>
      </x:c>
      <x:c r="U35" t="str">
        <x:f>IF(R35="OK","No","Yes")</x:f>
        <x:v>No</x:v>
      </x:c>
      <x:c r="V35" s="24" t="n">
        <x:f>ABS(N(G35))</x:f>
        <x:v>0</x:v>
      </x:c>
    </x:row>
    <x:row r="36">
      <x:c r="A36" t="str">
        <x:v>LED-0006</x:v>
      </x:c>
      <x:c r="B36" t="n">
        <x:f>INDEX(tblLedger[Work Order #],MATCH($A36,tblLedger[Ledger Record ID],0))</x:f>
        <x:v>5874982</x:v>
      </x:c>
      <x:c r="C36" t="n">
        <x:f>INDEX(tblLedger[Event #],MATCH($A36,tblLedger[Ledger Record ID],0))</x:f>
        <x:v>6</x:v>
      </x:c>
      <x:c r="D36" t="str">
        <x:f>INDEX(tblLedger[Client],MATCH($A36,tblLedger[Ledger Record ID],0))</x:f>
        <x:v>Macy's</x:v>
      </x:c>
      <x:c r="E36" t="str">
        <x:f>INDEX(tblLedger[Breakdown Confirmed],MATCH($A36,tblLedger[Ledger Record ID],0))</x:f>
        <x:v>Yes</x:v>
      </x:c>
      <x:c r="F36" t="str">
        <x:f>INDEX(tblLedger[ACH Confirmed],MATCH($A36,tblLedger[Ledger Record ID],0))</x:f>
        <x:v>Yes</x:v>
      </x:c>
      <x:c r="G36" s="24" t="str">
        <x:f>INDEX(tblLedger[Variance],MATCH($A36,tblLedger[Ledger Record ID],0))</x:f>
      </x:c>
      <x:c r="H36" t="str">
        <x:f>IF(COUNTIF(tblLedger[Work Order #],B36)&gt;1,"Yes","No")</x:f>
        <x:v>No</x:v>
      </x:c>
      <x:c r="I36" t="str">
        <x:f>IF(C36="","Yes","No")</x:f>
        <x:v>No</x:v>
      </x:c>
      <x:c r="J36" t="str">
        <x:f>IF(INDEX(tblLedger[Mapping Status],MATCH($A36,tblLedger[Ledger Record ID],0))="MAPPING_HOLD","Yes","No")</x:f>
        <x:v>No</x:v>
      </x:c>
      <x:c r="K36" t="str">
        <x:f>IF(AND(OR(E36="No",E36="Pending"),IFERROR(INDEX(tblServiceEvents[Financial Scope],MATCH(C36,tblServiceEvents[Event #],0)),"Included")="Included"),"Yes","No")</x:f>
        <x:v>No</x:v>
      </x:c>
      <x:c r="L36" t="str">
        <x:f>IF(AND(E36="Yes",OR(F36="No",F36="Pending")),"Yes","No")</x:f>
        <x:v>No</x:v>
      </x:c>
      <x:c r="M36" t="str">
        <x:f>IF(OR(ABS(N(G36))&gt;0,INDEX(tblLedger[Reconciliation Status],MATCH($A36,tblLedger[Ledger Record ID],0))="BREAKDOWN_MISMATCH",INDEX(tblLedger[Reconciliation Status],MATCH($A36,tblLedger[Ledger Record ID],0))="ACH_MISMATCH"),"Yes","No")</x:f>
        <x:v>No</x:v>
      </x:c>
      <x:c r="N36" t="str">
        <x:f>IF(D36="","Yes","No")</x:f>
        <x:v>No</x:v>
      </x:c>
      <x:c r="O36" t="str">
        <x:f>IF(OR(INDEX(tblLedger[City],MATCH($A36,tblLedger[Ledger Record ID],0))="",INDEX(tblLedger[Jurisdiction],MATCH($A36,tblLedger[Ledger Record ID],0))=""),"Yes","No")</x:f>
        <x:v>No</x:v>
      </x:c>
      <x:c r="P36" t="str">
        <x:f>IF(COUNTIF({"Yes","No","Partial","Pending","Mapping Hold"},E36)=0,"Yes","No")</x:f>
        <x:v>No</x:v>
      </x:c>
      <x:c r="Q36" t="str">
        <x:f>IF(COUNTIF({"Yes","No","Partial","Pending","Mapping Review"},F36)=0,"Yes","No")</x:f>
        <x:v>No</x:v>
      </x:c>
      <x:c r="R36" t="str">
        <x:f>IF(J36="Yes","Mapping Hold",IF(I36="Yes","Missing Event Link",IF(H36="Yes","Duplicate WO",IF(M36="Yes","Revenue Variance",IF(K36="Yes","Missing Breakdown",IF(L36="Yes","Pending ACH",IF(E36="Partial","Partial Breakdown",IF(N36="Yes","Missing Client",IF(O36="Yes","Missing Location",IF(P36="Yes","Unknown Breakdown Status",IF(Q36="Yes","Unknown ACH Status","OK")))))))))))</x:f>
        <x:v>OK</x:v>
      </x:c>
      <x:c r="S36" t="str">
        <x:f>IF(OR(J36="Yes",I36="Yes",H36="Yes"),"Critical",IF(OR(M36="Yes",E36="Partial",N36="Yes",O36="Yes",P36="Yes",Q36="Yes"),"Warning",IF(OR(K36="Yes",L36="Yes"),"Informational","OK")))</x:f>
        <x:v>OK</x:v>
      </x:c>
      <x:c r="T36" t="str">
        <x:f>IF(R36="Mapping Hold","Resolve mapping before update",IF(R36="Missing Event Link","Map to one authoritative event",IF(R36="Duplicate WO","Review duplicate identity",IF(R36="Revenue Variance","Reconcile or dispute amount",IF(R36="Missing Breakdown","Await breakdown",IF(R36="Pending ACH","Await ACH",IF(R36="Partial Breakdown","Confirm remaining breakdown",IF(R36="Missing Client","Add canonical client",IF(R36="Missing Location","Complete location fields",IF(R36="OK","No action","Review invalid status"))))))))))</x:f>
        <x:v>No action</x:v>
      </x:c>
      <x:c r="U36" t="str">
        <x:f>IF(R36="OK","No","Yes")</x:f>
        <x:v>No</x:v>
      </x:c>
      <x:c r="V36" s="24" t="n">
        <x:f>ABS(N(G36))</x:f>
        <x:v>0</x:v>
      </x:c>
    </x:row>
    <x:row r="37">
      <x:c r="A37" t="str">
        <x:v>LED-0007</x:v>
      </x:c>
      <x:c r="B37" t="n">
        <x:f>INDEX(tblLedger[Work Order #],MATCH($A37,tblLedger[Ledger Record ID],0))</x:f>
        <x:v>5876638</x:v>
      </x:c>
      <x:c r="C37" t="n">
        <x:f>INDEX(tblLedger[Event #],MATCH($A37,tblLedger[Ledger Record ID],0))</x:f>
        <x:v>7</x:v>
      </x:c>
      <x:c r="D37" t="str">
        <x:f>INDEX(tblLedger[Client],MATCH($A37,tblLedger[Ledger Record ID],0))</x:f>
        <x:v>Davis Polk &amp; Wardwell</x:v>
      </x:c>
      <x:c r="E37" t="str">
        <x:f>INDEX(tblLedger[Breakdown Confirmed],MATCH($A37,tblLedger[Ledger Record ID],0))</x:f>
        <x:v>Yes</x:v>
      </x:c>
      <x:c r="F37" t="str">
        <x:f>INDEX(tblLedger[ACH Confirmed],MATCH($A37,tblLedger[Ledger Record ID],0))</x:f>
        <x:v>Yes</x:v>
      </x:c>
      <x:c r="G37" s="24" t="str">
        <x:f>INDEX(tblLedger[Variance],MATCH($A37,tblLedger[Ledger Record ID],0))</x:f>
      </x:c>
      <x:c r="H37" t="str">
        <x:f>IF(COUNTIF(tblLedger[Work Order #],B37)&gt;1,"Yes","No")</x:f>
        <x:v>No</x:v>
      </x:c>
      <x:c r="I37" t="str">
        <x:f>IF(C37="","Yes","No")</x:f>
        <x:v>No</x:v>
      </x:c>
      <x:c r="J37" t="str">
        <x:f>IF(INDEX(tblLedger[Mapping Status],MATCH($A37,tblLedger[Ledger Record ID],0))="MAPPING_HOLD","Yes","No")</x:f>
        <x:v>No</x:v>
      </x:c>
      <x:c r="K37" t="str">
        <x:f>IF(AND(OR(E37="No",E37="Pending"),IFERROR(INDEX(tblServiceEvents[Financial Scope],MATCH(C37,tblServiceEvents[Event #],0)),"Included")="Included"),"Yes","No")</x:f>
        <x:v>No</x:v>
      </x:c>
      <x:c r="L37" t="str">
        <x:f>IF(AND(E37="Yes",OR(F37="No",F37="Pending")),"Yes","No")</x:f>
        <x:v>No</x:v>
      </x:c>
      <x:c r="M37" t="str">
        <x:f>IF(OR(ABS(N(G37))&gt;0,INDEX(tblLedger[Reconciliation Status],MATCH($A37,tblLedger[Ledger Record ID],0))="BREAKDOWN_MISMATCH",INDEX(tblLedger[Reconciliation Status],MATCH($A37,tblLedger[Ledger Record ID],0))="ACH_MISMATCH"),"Yes","No")</x:f>
        <x:v>No</x:v>
      </x:c>
      <x:c r="N37" t="str">
        <x:f>IF(D37="","Yes","No")</x:f>
        <x:v>No</x:v>
      </x:c>
      <x:c r="O37" t="str">
        <x:f>IF(OR(INDEX(tblLedger[City],MATCH($A37,tblLedger[Ledger Record ID],0))="",INDEX(tblLedger[Jurisdiction],MATCH($A37,tblLedger[Ledger Record ID],0))=""),"Yes","No")</x:f>
        <x:v>No</x:v>
      </x:c>
      <x:c r="P37" t="str">
        <x:f>IF(COUNTIF({"Yes","No","Partial","Pending","Mapping Hold"},E37)=0,"Yes","No")</x:f>
        <x:v>No</x:v>
      </x:c>
      <x:c r="Q37" t="str">
        <x:f>IF(COUNTIF({"Yes","No","Partial","Pending","Mapping Review"},F37)=0,"Yes","No")</x:f>
        <x:v>No</x:v>
      </x:c>
      <x:c r="R37" t="str">
        <x:f>IF(J37="Yes","Mapping Hold",IF(I37="Yes","Missing Event Link",IF(H37="Yes","Duplicate WO",IF(M37="Yes","Revenue Variance",IF(K37="Yes","Missing Breakdown",IF(L37="Yes","Pending ACH",IF(E37="Partial","Partial Breakdown",IF(N37="Yes","Missing Client",IF(O37="Yes","Missing Location",IF(P37="Yes","Unknown Breakdown Status",IF(Q37="Yes","Unknown ACH Status","OK")))))))))))</x:f>
        <x:v>OK</x:v>
      </x:c>
      <x:c r="S37" t="str">
        <x:f>IF(OR(J37="Yes",I37="Yes",H37="Yes"),"Critical",IF(OR(M37="Yes",E37="Partial",N37="Yes",O37="Yes",P37="Yes",Q37="Yes"),"Warning",IF(OR(K37="Yes",L37="Yes"),"Informational","OK")))</x:f>
        <x:v>OK</x:v>
      </x:c>
      <x:c r="T37" t="str">
        <x:f>IF(R37="Mapping Hold","Resolve mapping before update",IF(R37="Missing Event Link","Map to one authoritative event",IF(R37="Duplicate WO","Review duplicate identity",IF(R37="Revenue Variance","Reconcile or dispute amount",IF(R37="Missing Breakdown","Await breakdown",IF(R37="Pending ACH","Await ACH",IF(R37="Partial Breakdown","Confirm remaining breakdown",IF(R37="Missing Client","Add canonical client",IF(R37="Missing Location","Complete location fields",IF(R37="OK","No action","Review invalid status"))))))))))</x:f>
        <x:v>No action</x:v>
      </x:c>
      <x:c r="U37" t="str">
        <x:f>IF(R37="OK","No","Yes")</x:f>
        <x:v>No</x:v>
      </x:c>
      <x:c r="V37" s="24" t="n">
        <x:f>ABS(N(G37))</x:f>
        <x:v>0</x:v>
      </x:c>
    </x:row>
    <x:row r="38">
      <x:c r="A38" t="str">
        <x:v>LED-0008</x:v>
      </x:c>
      <x:c r="B38" t="n">
        <x:f>INDEX(tblLedger[Work Order #],MATCH($A38,tblLedger[Ledger Record ID],0))</x:f>
        <x:v>5878985</x:v>
      </x:c>
      <x:c r="C38" t="n">
        <x:f>INDEX(tblLedger[Event #],MATCH($A38,tblLedger[Ledger Record ID],0))</x:f>
        <x:v>8</x:v>
      </x:c>
      <x:c r="D38" t="str">
        <x:f>INDEX(tblLedger[Client],MATCH($A38,tblLedger[Ledger Record ID],0))</x:f>
        <x:v>Hebrew Home of Greater Washington</x:v>
      </x:c>
      <x:c r="E38" t="str">
        <x:f>INDEX(tblLedger[Breakdown Confirmed],MATCH($A38,tblLedger[Ledger Record ID],0))</x:f>
        <x:v>Yes</x:v>
      </x:c>
      <x:c r="F38" t="str">
        <x:f>INDEX(tblLedger[ACH Confirmed],MATCH($A38,tblLedger[Ledger Record ID],0))</x:f>
        <x:v>Yes</x:v>
      </x:c>
      <x:c r="G38" s="24" t="str">
        <x:f>INDEX(tblLedger[Variance],MATCH($A38,tblLedger[Ledger Record ID],0))</x:f>
      </x:c>
      <x:c r="H38" t="str">
        <x:f>IF(COUNTIF(tblLedger[Work Order #],B38)&gt;1,"Yes","No")</x:f>
        <x:v>No</x:v>
      </x:c>
      <x:c r="I38" t="str">
        <x:f>IF(C38="","Yes","No")</x:f>
        <x:v>No</x:v>
      </x:c>
      <x:c r="J38" t="str">
        <x:f>IF(INDEX(tblLedger[Mapping Status],MATCH($A38,tblLedger[Ledger Record ID],0))="MAPPING_HOLD","Yes","No")</x:f>
        <x:v>No</x:v>
      </x:c>
      <x:c r="K38" t="str">
        <x:f>IF(AND(OR(E38="No",E38="Pending"),IFERROR(INDEX(tblServiceEvents[Financial Scope],MATCH(C38,tblServiceEvents[Event #],0)),"Included")="Included"),"Yes","No")</x:f>
        <x:v>No</x:v>
      </x:c>
      <x:c r="L38" t="str">
        <x:f>IF(AND(E38="Yes",OR(F38="No",F38="Pending")),"Yes","No")</x:f>
        <x:v>No</x:v>
      </x:c>
      <x:c r="M38" t="str">
        <x:f>IF(OR(ABS(N(G38))&gt;0,INDEX(tblLedger[Reconciliation Status],MATCH($A38,tblLedger[Ledger Record ID],0))="BREAKDOWN_MISMATCH",INDEX(tblLedger[Reconciliation Status],MATCH($A38,tblLedger[Ledger Record ID],0))="ACH_MISMATCH"),"Yes","No")</x:f>
        <x:v>No</x:v>
      </x:c>
      <x:c r="N38" t="str">
        <x:f>IF(D38="","Yes","No")</x:f>
        <x:v>No</x:v>
      </x:c>
      <x:c r="O38" t="str">
        <x:f>IF(OR(INDEX(tblLedger[City],MATCH($A38,tblLedger[Ledger Record ID],0))="",INDEX(tblLedger[Jurisdiction],MATCH($A38,tblLedger[Ledger Record ID],0))=""),"Yes","No")</x:f>
        <x:v>No</x:v>
      </x:c>
      <x:c r="P38" t="str">
        <x:f>IF(COUNTIF({"Yes","No","Partial","Pending","Mapping Hold"},E38)=0,"Yes","No")</x:f>
        <x:v>No</x:v>
      </x:c>
      <x:c r="Q38" t="str">
        <x:f>IF(COUNTIF({"Yes","No","Partial","Pending","Mapping Review"},F38)=0,"Yes","No")</x:f>
        <x:v>No</x:v>
      </x:c>
      <x:c r="R38" t="str">
        <x:f>IF(J38="Yes","Mapping Hold",IF(I38="Yes","Missing Event Link",IF(H38="Yes","Duplicate WO",IF(M38="Yes","Revenue Variance",IF(K38="Yes","Missing Breakdown",IF(L38="Yes","Pending ACH",IF(E38="Partial","Partial Breakdown",IF(N38="Yes","Missing Client",IF(O38="Yes","Missing Location",IF(P38="Yes","Unknown Breakdown Status",IF(Q38="Yes","Unknown ACH Status","OK")))))))))))</x:f>
        <x:v>OK</x:v>
      </x:c>
      <x:c r="S38" t="str">
        <x:f>IF(OR(J38="Yes",I38="Yes",H38="Yes"),"Critical",IF(OR(M38="Yes",E38="Partial",N38="Yes",O38="Yes",P38="Yes",Q38="Yes"),"Warning",IF(OR(K38="Yes",L38="Yes"),"Informational","OK")))</x:f>
        <x:v>OK</x:v>
      </x:c>
      <x:c r="T38" t="str">
        <x:f>IF(R38="Mapping Hold","Resolve mapping before update",IF(R38="Missing Event Link","Map to one authoritative event",IF(R38="Duplicate WO","Review duplicate identity",IF(R38="Revenue Variance","Reconcile or dispute amount",IF(R38="Missing Breakdown","Await breakdown",IF(R38="Pending ACH","Await ACH",IF(R38="Partial Breakdown","Confirm remaining breakdown",IF(R38="Missing Client","Add canonical client",IF(R38="Missing Location","Complete location fields",IF(R38="OK","No action","Review invalid status"))))))))))</x:f>
        <x:v>No action</x:v>
      </x:c>
      <x:c r="U38" t="str">
        <x:f>IF(R38="OK","No","Yes")</x:f>
        <x:v>No</x:v>
      </x:c>
      <x:c r="V38" s="24" t="n">
        <x:f>ABS(N(G38))</x:f>
        <x:v>0</x:v>
      </x:c>
    </x:row>
    <x:row r="39">
      <x:c r="A39" t="str">
        <x:v>LED-0009</x:v>
      </x:c>
      <x:c r="B39" t="str">
        <x:f>INDEX(tblLedger[Work Order #],MATCH($A39,tblLedger[Ledger Record ID],0))</x:f>
        <x:v>UNRESOLVED-E009</x:v>
      </x:c>
      <x:c r="C39" t="n">
        <x:f>INDEX(tblLedger[Event #],MATCH($A39,tblLedger[Ledger Record ID],0))</x:f>
        <x:v>9</x:v>
      </x:c>
      <x:c r="D39" t="str">
        <x:f>INDEX(tblLedger[Client],MATCH($A39,tblLedger[Ledger Record ID],0))</x:f>
        <x:v>7-Eleven</x:v>
      </x:c>
      <x:c r="E39" t="str">
        <x:f>INDEX(tblLedger[Breakdown Confirmed],MATCH($A39,tblLedger[Ledger Record ID],0))</x:f>
        <x:v>No</x:v>
      </x:c>
      <x:c r="F39" t="str">
        <x:f>INDEX(tblLedger[ACH Confirmed],MATCH($A39,tblLedger[Ledger Record ID],0))</x:f>
        <x:v>Yes</x:v>
      </x:c>
      <x:c r="G39" s="24" t="str">
        <x:f>INDEX(tblLedger[Variance],MATCH($A39,tblLedger[Ledger Record ID],0))</x:f>
      </x:c>
      <x:c r="H39" t="str">
        <x:f>IF(COUNTIF(tblLedger[Work Order #],B39)&gt;1,"Yes","No")</x:f>
        <x:v>No</x:v>
      </x:c>
      <x:c r="I39" t="str">
        <x:f>IF(C39="","Yes","No")</x:f>
        <x:v>No</x:v>
      </x:c>
      <x:c r="J39" t="str">
        <x:f>IF(INDEX(tblLedger[Mapping Status],MATCH($A39,tblLedger[Ledger Record ID],0))="MAPPING_HOLD","Yes","No")</x:f>
        <x:v>No</x:v>
      </x:c>
      <x:c r="K39" t="str">
        <x:f>IF(AND(OR(E39="No",E39="Pending"),IFERROR(INDEX(tblServiceEvents[Financial Scope],MATCH(C39,tblServiceEvents[Event #],0)),"Included")="Included"),"Yes","No")</x:f>
        <x:v>No</x:v>
      </x:c>
      <x:c r="L39" t="str">
        <x:f>IF(AND(E39="Yes",OR(F39="No",F39="Pending")),"Yes","No")</x:f>
        <x:v>No</x:v>
      </x:c>
      <x:c r="M39" t="str">
        <x:f>IF(OR(ABS(N(G39))&gt;0,INDEX(tblLedger[Reconciliation Status],MATCH($A39,tblLedger[Ledger Record ID],0))="BREAKDOWN_MISMATCH",INDEX(tblLedger[Reconciliation Status],MATCH($A39,tblLedger[Ledger Record ID],0))="ACH_MISMATCH"),"Yes","No")</x:f>
        <x:v>No</x:v>
      </x:c>
      <x:c r="N39" t="str">
        <x:f>IF(D39="","Yes","No")</x:f>
        <x:v>No</x:v>
      </x:c>
      <x:c r="O39" t="str">
        <x:f>IF(OR(INDEX(tblLedger[City],MATCH($A39,tblLedger[Ledger Record ID],0))="",INDEX(tblLedger[Jurisdiction],MATCH($A39,tblLedger[Ledger Record ID],0))=""),"Yes","No")</x:f>
        <x:v>No</x:v>
      </x:c>
      <x:c r="P39" t="str">
        <x:f>IF(COUNTIF({"Yes","No","Partial","Pending","Mapping Hold"},E39)=0,"Yes","No")</x:f>
        <x:v>No</x:v>
      </x:c>
      <x:c r="Q39" t="str">
        <x:f>IF(COUNTIF({"Yes","No","Partial","Pending","Mapping Review"},F39)=0,"Yes","No")</x:f>
        <x:v>No</x:v>
      </x:c>
      <x:c r="R39" t="str">
        <x:f>IF(J39="Yes","Mapping Hold",IF(I39="Yes","Missing Event Link",IF(H39="Yes","Duplicate WO",IF(M39="Yes","Revenue Variance",IF(K39="Yes","Missing Breakdown",IF(L39="Yes","Pending ACH",IF(E39="Partial","Partial Breakdown",IF(N39="Yes","Missing Client",IF(O39="Yes","Missing Location",IF(P39="Yes","Unknown Breakdown Status",IF(Q39="Yes","Unknown ACH Status","OK")))))))))))</x:f>
        <x:v>OK</x:v>
      </x:c>
      <x:c r="S39" t="str">
        <x:f>IF(OR(J39="Yes",I39="Yes",H39="Yes"),"Critical",IF(OR(M39="Yes",E39="Partial",N39="Yes",O39="Yes",P39="Yes",Q39="Yes"),"Warning",IF(OR(K39="Yes",L39="Yes"),"Informational","OK")))</x:f>
        <x:v>OK</x:v>
      </x:c>
      <x:c r="T39" t="str">
        <x:f>IF(R39="Mapping Hold","Resolve mapping before update",IF(R39="Missing Event Link","Map to one authoritative event",IF(R39="Duplicate WO","Review duplicate identity",IF(R39="Revenue Variance","Reconcile or dispute amount",IF(R39="Missing Breakdown","Await breakdown",IF(R39="Pending ACH","Await ACH",IF(R39="Partial Breakdown","Confirm remaining breakdown",IF(R39="Missing Client","Add canonical client",IF(R39="Missing Location","Complete location fields",IF(R39="OK","No action","Review invalid status"))))))))))</x:f>
        <x:v>No action</x:v>
      </x:c>
      <x:c r="U39" t="str">
        <x:f>IF(R39="OK","No","Yes")</x:f>
        <x:v>No</x:v>
      </x:c>
      <x:c r="V39" s="24" t="n">
        <x:f>ABS(N(G39))</x:f>
        <x:v>0</x:v>
      </x:c>
    </x:row>
    <x:row r="40">
      <x:c r="A40" t="str">
        <x:v>LED-0010</x:v>
      </x:c>
      <x:c r="B40" t="n">
        <x:f>INDEX(tblLedger[Work Order #],MATCH($A40,tblLedger[Ledger Record ID],0))</x:f>
        <x:v>5882097</x:v>
      </x:c>
      <x:c r="C40" t="n">
        <x:f>INDEX(tblLedger[Event #],MATCH($A40,tblLedger[Ledger Record ID],0))</x:f>
        <x:v>10</x:v>
      </x:c>
      <x:c r="D40" t="str">
        <x:f>INDEX(tblLedger[Client],MATCH($A40,tblLedger[Ledger Record ID],0))</x:f>
        <x:v>Giant Food Stores</x:v>
      </x:c>
      <x:c r="E40" t="str">
        <x:f>INDEX(tblLedger[Breakdown Confirmed],MATCH($A40,tblLedger[Ledger Record ID],0))</x:f>
        <x:v>Yes</x:v>
      </x:c>
      <x:c r="F40" t="str">
        <x:f>INDEX(tblLedger[ACH Confirmed],MATCH($A40,tblLedger[Ledger Record ID],0))</x:f>
        <x:v>Yes</x:v>
      </x:c>
      <x:c r="G40" s="24" t="str">
        <x:f>INDEX(tblLedger[Variance],MATCH($A40,tblLedger[Ledger Record ID],0))</x:f>
      </x:c>
      <x:c r="H40" t="str">
        <x:f>IF(COUNTIF(tblLedger[Work Order #],B40)&gt;1,"Yes","No")</x:f>
        <x:v>No</x:v>
      </x:c>
      <x:c r="I40" t="str">
        <x:f>IF(C40="","Yes","No")</x:f>
        <x:v>No</x:v>
      </x:c>
      <x:c r="J40" t="str">
        <x:f>IF(INDEX(tblLedger[Mapping Status],MATCH($A40,tblLedger[Ledger Record ID],0))="MAPPING_HOLD","Yes","No")</x:f>
        <x:v>No</x:v>
      </x:c>
      <x:c r="K40" t="str">
        <x:f>IF(AND(OR(E40="No",E40="Pending"),IFERROR(INDEX(tblServiceEvents[Financial Scope],MATCH(C40,tblServiceEvents[Event #],0)),"Included")="Included"),"Yes","No")</x:f>
        <x:v>No</x:v>
      </x:c>
      <x:c r="L40" t="str">
        <x:f>IF(AND(E40="Yes",OR(F40="No",F40="Pending")),"Yes","No")</x:f>
        <x:v>No</x:v>
      </x:c>
      <x:c r="M40" t="str">
        <x:f>IF(OR(ABS(N(G40))&gt;0,INDEX(tblLedger[Reconciliation Status],MATCH($A40,tblLedger[Ledger Record ID],0))="BREAKDOWN_MISMATCH",INDEX(tblLedger[Reconciliation Status],MATCH($A40,tblLedger[Ledger Record ID],0))="ACH_MISMATCH"),"Yes","No")</x:f>
        <x:v>No</x:v>
      </x:c>
      <x:c r="N40" t="str">
        <x:f>IF(D40="","Yes","No")</x:f>
        <x:v>No</x:v>
      </x:c>
      <x:c r="O40" t="str">
        <x:f>IF(OR(INDEX(tblLedger[City],MATCH($A40,tblLedger[Ledger Record ID],0))="",INDEX(tblLedger[Jurisdiction],MATCH($A40,tblLedger[Ledger Record ID],0))=""),"Yes","No")</x:f>
        <x:v>No</x:v>
      </x:c>
      <x:c r="P40" t="str">
        <x:f>IF(COUNTIF({"Yes","No","Partial","Pending","Mapping Hold"},E40)=0,"Yes","No")</x:f>
        <x:v>No</x:v>
      </x:c>
      <x:c r="Q40" t="str">
        <x:f>IF(COUNTIF({"Yes","No","Partial","Pending","Mapping Review"},F40)=0,"Yes","No")</x:f>
        <x:v>No</x:v>
      </x:c>
      <x:c r="R40" t="str">
        <x:f>IF(J40="Yes","Mapping Hold",IF(I40="Yes","Missing Event Link",IF(H40="Yes","Duplicate WO",IF(M40="Yes","Revenue Variance",IF(K40="Yes","Missing Breakdown",IF(L40="Yes","Pending ACH",IF(E40="Partial","Partial Breakdown",IF(N40="Yes","Missing Client",IF(O40="Yes","Missing Location",IF(P40="Yes","Unknown Breakdown Status",IF(Q40="Yes","Unknown ACH Status","OK")))))))))))</x:f>
        <x:v>OK</x:v>
      </x:c>
      <x:c r="S40" t="str">
        <x:f>IF(OR(J40="Yes",I40="Yes",H40="Yes"),"Critical",IF(OR(M40="Yes",E40="Partial",N40="Yes",O40="Yes",P40="Yes",Q40="Yes"),"Warning",IF(OR(K40="Yes",L40="Yes"),"Informational","OK")))</x:f>
        <x:v>OK</x:v>
      </x:c>
      <x:c r="T40" t="str">
        <x:f>IF(R40="Mapping Hold","Resolve mapping before update",IF(R40="Missing Event Link","Map to one authoritative event",IF(R40="Duplicate WO","Review duplicate identity",IF(R40="Revenue Variance","Reconcile or dispute amount",IF(R40="Missing Breakdown","Await breakdown",IF(R40="Pending ACH","Await ACH",IF(R40="Partial Breakdown","Confirm remaining breakdown",IF(R40="Missing Client","Add canonical client",IF(R40="Missing Location","Complete location fields",IF(R40="OK","No action","Review invalid status"))))))))))</x:f>
        <x:v>No action</x:v>
      </x:c>
      <x:c r="U40" t="str">
        <x:f>IF(R40="OK","No","Yes")</x:f>
        <x:v>No</x:v>
      </x:c>
      <x:c r="V40" s="24" t="n">
        <x:f>ABS(N(G40))</x:f>
        <x:v>0</x:v>
      </x:c>
    </x:row>
    <x:row r="41">
      <x:c r="A41" t="str">
        <x:v>LED-0011</x:v>
      </x:c>
      <x:c r="B41" t="n">
        <x:f>INDEX(tblLedger[Work Order #],MATCH($A41,tblLedger[Ledger Record ID],0))</x:f>
        <x:v>5884987</x:v>
      </x:c>
      <x:c r="C41" t="n">
        <x:f>INDEX(tblLedger[Event #],MATCH($A41,tblLedger[Ledger Record ID],0))</x:f>
        <x:v>11</x:v>
      </x:c>
      <x:c r="D41" t="str">
        <x:f>INDEX(tblLedger[Client],MATCH($A41,tblLedger[Ledger Record ID],0))</x:f>
        <x:v>Food Lion</x:v>
      </x:c>
      <x:c r="E41" t="str">
        <x:f>INDEX(tblLedger[Breakdown Confirmed],MATCH($A41,tblLedger[Ledger Record ID],0))</x:f>
        <x:v>Yes</x:v>
      </x:c>
      <x:c r="F41" t="str">
        <x:f>INDEX(tblLedger[ACH Confirmed],MATCH($A41,tblLedger[Ledger Record ID],0))</x:f>
        <x:v>Yes</x:v>
      </x:c>
      <x:c r="G41" s="24" t="str">
        <x:f>INDEX(tblLedger[Variance],MATCH($A41,tblLedger[Ledger Record ID],0))</x:f>
      </x:c>
      <x:c r="H41" t="str">
        <x:f>IF(COUNTIF(tblLedger[Work Order #],B41)&gt;1,"Yes","No")</x:f>
        <x:v>No</x:v>
      </x:c>
      <x:c r="I41" t="str">
        <x:f>IF(C41="","Yes","No")</x:f>
        <x:v>No</x:v>
      </x:c>
      <x:c r="J41" t="str">
        <x:f>IF(INDEX(tblLedger[Mapping Status],MATCH($A41,tblLedger[Ledger Record ID],0))="MAPPING_HOLD","Yes","No")</x:f>
        <x:v>No</x:v>
      </x:c>
      <x:c r="K41" t="str">
        <x:f>IF(AND(OR(E41="No",E41="Pending"),IFERROR(INDEX(tblServiceEvents[Financial Scope],MATCH(C41,tblServiceEvents[Event #],0)),"Included")="Included"),"Yes","No")</x:f>
        <x:v>No</x:v>
      </x:c>
      <x:c r="L41" t="str">
        <x:f>IF(AND(E41="Yes",OR(F41="No",F41="Pending")),"Yes","No")</x:f>
        <x:v>No</x:v>
      </x:c>
      <x:c r="M41" t="str">
        <x:f>IF(OR(ABS(N(G41))&gt;0,INDEX(tblLedger[Reconciliation Status],MATCH($A41,tblLedger[Ledger Record ID],0))="BREAKDOWN_MISMATCH",INDEX(tblLedger[Reconciliation Status],MATCH($A41,tblLedger[Ledger Record ID],0))="ACH_MISMATCH"),"Yes","No")</x:f>
        <x:v>No</x:v>
      </x:c>
      <x:c r="N41" t="str">
        <x:f>IF(D41="","Yes","No")</x:f>
        <x:v>No</x:v>
      </x:c>
      <x:c r="O41" t="str">
        <x:f>IF(OR(INDEX(tblLedger[City],MATCH($A41,tblLedger[Ledger Record ID],0))="",INDEX(tblLedger[Jurisdiction],MATCH($A41,tblLedger[Ledger Record ID],0))=""),"Yes","No")</x:f>
        <x:v>No</x:v>
      </x:c>
      <x:c r="P41" t="str">
        <x:f>IF(COUNTIF({"Yes","No","Partial","Pending","Mapping Hold"},E41)=0,"Yes","No")</x:f>
        <x:v>No</x:v>
      </x:c>
      <x:c r="Q41" t="str">
        <x:f>IF(COUNTIF({"Yes","No","Partial","Pending","Mapping Review"},F41)=0,"Yes","No")</x:f>
        <x:v>No</x:v>
      </x:c>
      <x:c r="R41" t="str">
        <x:f>IF(J41="Yes","Mapping Hold",IF(I41="Yes","Missing Event Link",IF(H41="Yes","Duplicate WO",IF(M41="Yes","Revenue Variance",IF(K41="Yes","Missing Breakdown",IF(L41="Yes","Pending ACH",IF(E41="Partial","Partial Breakdown",IF(N41="Yes","Missing Client",IF(O41="Yes","Missing Location",IF(P41="Yes","Unknown Breakdown Status",IF(Q41="Yes","Unknown ACH Status","OK")))))))))))</x:f>
        <x:v>OK</x:v>
      </x:c>
      <x:c r="S41" t="str">
        <x:f>IF(OR(J41="Yes",I41="Yes",H41="Yes"),"Critical",IF(OR(M41="Yes",E41="Partial",N41="Yes",O41="Yes",P41="Yes",Q41="Yes"),"Warning",IF(OR(K41="Yes",L41="Yes"),"Informational","OK")))</x:f>
        <x:v>OK</x:v>
      </x:c>
      <x:c r="T41" t="str">
        <x:f>IF(R41="Mapping Hold","Resolve mapping before update",IF(R41="Missing Event Link","Map to one authoritative event",IF(R41="Duplicate WO","Review duplicate identity",IF(R41="Revenue Variance","Reconcile or dispute amount",IF(R41="Missing Breakdown","Await breakdown",IF(R41="Pending ACH","Await ACH",IF(R41="Partial Breakdown","Confirm remaining breakdown",IF(R41="Missing Client","Add canonical client",IF(R41="Missing Location","Complete location fields",IF(R41="OK","No action","Review invalid status"))))))))))</x:f>
        <x:v>No action</x:v>
      </x:c>
      <x:c r="U41" t="str">
        <x:f>IF(R41="OK","No","Yes")</x:f>
        <x:v>No</x:v>
      </x:c>
      <x:c r="V41" s="24" t="n">
        <x:f>ABS(N(G41))</x:f>
        <x:v>0</x:v>
      </x:c>
    </x:row>
    <x:row r="42">
      <x:c r="A42" t="str">
        <x:v>LED-0012</x:v>
      </x:c>
      <x:c r="B42" t="n">
        <x:f>INDEX(tblLedger[Work Order #],MATCH($A42,tblLedger[Ledger Record ID],0))</x:f>
        <x:v>5884369</x:v>
      </x:c>
      <x:c r="C42" t="n">
        <x:f>INDEX(tblLedger[Event #],MATCH($A42,tblLedger[Ledger Record ID],0))</x:f>
        <x:v>12</x:v>
      </x:c>
      <x:c r="D42" t="str">
        <x:f>INDEX(tblLedger[Client],MATCH($A42,tblLedger[Ledger Record ID],0))</x:f>
        <x:v>Weis Markets</x:v>
      </x:c>
      <x:c r="E42" t="str">
        <x:f>INDEX(tblLedger[Breakdown Confirmed],MATCH($A42,tblLedger[Ledger Record ID],0))</x:f>
        <x:v>Yes</x:v>
      </x:c>
      <x:c r="F42" t="str">
        <x:f>INDEX(tblLedger[ACH Confirmed],MATCH($A42,tblLedger[Ledger Record ID],0))</x:f>
        <x:v>Yes</x:v>
      </x:c>
      <x:c r="G42" s="24" t="str">
        <x:f>INDEX(tblLedger[Variance],MATCH($A42,tblLedger[Ledger Record ID],0))</x:f>
      </x:c>
      <x:c r="H42" t="str">
        <x:f>IF(COUNTIF(tblLedger[Work Order #],B42)&gt;1,"Yes","No")</x:f>
        <x:v>No</x:v>
      </x:c>
      <x:c r="I42" t="str">
        <x:f>IF(C42="","Yes","No")</x:f>
        <x:v>No</x:v>
      </x:c>
      <x:c r="J42" t="str">
        <x:f>IF(INDEX(tblLedger[Mapping Status],MATCH($A42,tblLedger[Ledger Record ID],0))="MAPPING_HOLD","Yes","No")</x:f>
        <x:v>No</x:v>
      </x:c>
      <x:c r="K42" t="str">
        <x:f>IF(AND(OR(E42="No",E42="Pending"),IFERROR(INDEX(tblServiceEvents[Financial Scope],MATCH(C42,tblServiceEvents[Event #],0)),"Included")="Included"),"Yes","No")</x:f>
        <x:v>No</x:v>
      </x:c>
      <x:c r="L42" t="str">
        <x:f>IF(AND(E42="Yes",OR(F42="No",F42="Pending")),"Yes","No")</x:f>
        <x:v>No</x:v>
      </x:c>
      <x:c r="M42" t="str">
        <x:f>IF(OR(ABS(N(G42))&gt;0,INDEX(tblLedger[Reconciliation Status],MATCH($A42,tblLedger[Ledger Record ID],0))="BREAKDOWN_MISMATCH",INDEX(tblLedger[Reconciliation Status],MATCH($A42,tblLedger[Ledger Record ID],0))="ACH_MISMATCH"),"Yes","No")</x:f>
        <x:v>No</x:v>
      </x:c>
      <x:c r="N42" t="str">
        <x:f>IF(D42="","Yes","No")</x:f>
        <x:v>No</x:v>
      </x:c>
      <x:c r="O42" t="str">
        <x:f>IF(OR(INDEX(tblLedger[City],MATCH($A42,tblLedger[Ledger Record ID],0))="",INDEX(tblLedger[Jurisdiction],MATCH($A42,tblLedger[Ledger Record ID],0))=""),"Yes","No")</x:f>
        <x:v>No</x:v>
      </x:c>
      <x:c r="P42" t="str">
        <x:f>IF(COUNTIF({"Yes","No","Partial","Pending","Mapping Hold"},E42)=0,"Yes","No")</x:f>
        <x:v>No</x:v>
      </x:c>
      <x:c r="Q42" t="str">
        <x:f>IF(COUNTIF({"Yes","No","Partial","Pending","Mapping Review"},F42)=0,"Yes","No")</x:f>
        <x:v>No</x:v>
      </x:c>
      <x:c r="R42" t="str">
        <x:f>IF(J42="Yes","Mapping Hold",IF(I42="Yes","Missing Event Link",IF(H42="Yes","Duplicate WO",IF(M42="Yes","Revenue Variance",IF(K42="Yes","Missing Breakdown",IF(L42="Yes","Pending ACH",IF(E42="Partial","Partial Breakdown",IF(N42="Yes","Missing Client",IF(O42="Yes","Missing Location",IF(P42="Yes","Unknown Breakdown Status",IF(Q42="Yes","Unknown ACH Status","OK")))))))))))</x:f>
        <x:v>OK</x:v>
      </x:c>
      <x:c r="S42" t="str">
        <x:f>IF(OR(J42="Yes",I42="Yes",H42="Yes"),"Critical",IF(OR(M42="Yes",E42="Partial",N42="Yes",O42="Yes",P42="Yes",Q42="Yes"),"Warning",IF(OR(K42="Yes",L42="Yes"),"Informational","OK")))</x:f>
        <x:v>OK</x:v>
      </x:c>
      <x:c r="T42" t="str">
        <x:f>IF(R42="Mapping Hold","Resolve mapping before update",IF(R42="Missing Event Link","Map to one authoritative event",IF(R42="Duplicate WO","Review duplicate identity",IF(R42="Revenue Variance","Reconcile or dispute amount",IF(R42="Missing Breakdown","Await breakdown",IF(R42="Pending ACH","Await ACH",IF(R42="Partial Breakdown","Confirm remaining breakdown",IF(R42="Missing Client","Add canonical client",IF(R42="Missing Location","Complete location fields",IF(R42="OK","No action","Review invalid status"))))))))))</x:f>
        <x:v>No action</x:v>
      </x:c>
      <x:c r="U42" t="str">
        <x:f>IF(R42="OK","No","Yes")</x:f>
        <x:v>No</x:v>
      </x:c>
      <x:c r="V42" s="24" t="n">
        <x:f>ABS(N(G42))</x:f>
        <x:v>0</x:v>
      </x:c>
    </x:row>
    <x:row r="43">
      <x:c r="A43" t="str">
        <x:v>LED-0013</x:v>
      </x:c>
      <x:c r="B43" t="n">
        <x:f>INDEX(tblLedger[Work Order #],MATCH($A43,tblLedger[Ledger Record ID],0))</x:f>
        <x:v>5885429</x:v>
      </x:c>
      <x:c r="C43" t="n">
        <x:f>INDEX(tblLedger[Event #],MATCH($A43,tblLedger[Ledger Record ID],0))</x:f>
        <x:v>13</x:v>
      </x:c>
      <x:c r="D43" t="str">
        <x:f>INDEX(tblLedger[Client],MATCH($A43,tblLedger[Ledger Record ID],0))</x:f>
        <x:v>Office of MD Senator Chris Van Hollen</x:v>
      </x:c>
      <x:c r="E43" t="str">
        <x:f>INDEX(tblLedger[Breakdown Confirmed],MATCH($A43,tblLedger[Ledger Record ID],0))</x:f>
        <x:v>Yes</x:v>
      </x:c>
      <x:c r="F43" t="str">
        <x:f>INDEX(tblLedger[ACH Confirmed],MATCH($A43,tblLedger[Ledger Record ID],0))</x:f>
        <x:v>Yes</x:v>
      </x:c>
      <x:c r="G43" s="24" t="str">
        <x:f>INDEX(tblLedger[Variance],MATCH($A43,tblLedger[Ledger Record ID],0))</x:f>
      </x:c>
      <x:c r="H43" t="str">
        <x:f>IF(COUNTIF(tblLedger[Work Order #],B43)&gt;1,"Yes","No")</x:f>
        <x:v>No</x:v>
      </x:c>
      <x:c r="I43" t="str">
        <x:f>IF(C43="","Yes","No")</x:f>
        <x:v>No</x:v>
      </x:c>
      <x:c r="J43" t="str">
        <x:f>IF(INDEX(tblLedger[Mapping Status],MATCH($A43,tblLedger[Ledger Record ID],0))="MAPPING_HOLD","Yes","No")</x:f>
        <x:v>No</x:v>
      </x:c>
      <x:c r="K43" t="str">
        <x:f>IF(AND(OR(E43="No",E43="Pending"),IFERROR(INDEX(tblServiceEvents[Financial Scope],MATCH(C43,tblServiceEvents[Event #],0)),"Included")="Included"),"Yes","No")</x:f>
        <x:v>No</x:v>
      </x:c>
      <x:c r="L43" t="str">
        <x:f>IF(AND(E43="Yes",OR(F43="No",F43="Pending")),"Yes","No")</x:f>
        <x:v>No</x:v>
      </x:c>
      <x:c r="M43" t="str">
        <x:f>IF(OR(ABS(N(G43))&gt;0,INDEX(tblLedger[Reconciliation Status],MATCH($A43,tblLedger[Ledger Record ID],0))="BREAKDOWN_MISMATCH",INDEX(tblLedger[Reconciliation Status],MATCH($A43,tblLedger[Ledger Record ID],0))="ACH_MISMATCH"),"Yes","No")</x:f>
        <x:v>No</x:v>
      </x:c>
      <x:c r="N43" t="str">
        <x:f>IF(D43="","Yes","No")</x:f>
        <x:v>No</x:v>
      </x:c>
      <x:c r="O43" t="str">
        <x:f>IF(OR(INDEX(tblLedger[City],MATCH($A43,tblLedger[Ledger Record ID],0))="",INDEX(tblLedger[Jurisdiction],MATCH($A43,tblLedger[Ledger Record ID],0))=""),"Yes","No")</x:f>
        <x:v>No</x:v>
      </x:c>
      <x:c r="P43" t="str">
        <x:f>IF(COUNTIF({"Yes","No","Partial","Pending","Mapping Hold"},E43)=0,"Yes","No")</x:f>
        <x:v>No</x:v>
      </x:c>
      <x:c r="Q43" t="str">
        <x:f>IF(COUNTIF({"Yes","No","Partial","Pending","Mapping Review"},F43)=0,"Yes","No")</x:f>
        <x:v>No</x:v>
      </x:c>
      <x:c r="R43" t="str">
        <x:f>IF(J43="Yes","Mapping Hold",IF(I43="Yes","Missing Event Link",IF(H43="Yes","Duplicate WO",IF(M43="Yes","Revenue Variance",IF(K43="Yes","Missing Breakdown",IF(L43="Yes","Pending ACH",IF(E43="Partial","Partial Breakdown",IF(N43="Yes","Missing Client",IF(O43="Yes","Missing Location",IF(P43="Yes","Unknown Breakdown Status",IF(Q43="Yes","Unknown ACH Status","OK")))))))))))</x:f>
        <x:v>OK</x:v>
      </x:c>
      <x:c r="S43" t="str">
        <x:f>IF(OR(J43="Yes",I43="Yes",H43="Yes"),"Critical",IF(OR(M43="Yes",E43="Partial",N43="Yes",O43="Yes",P43="Yes",Q43="Yes"),"Warning",IF(OR(K43="Yes",L43="Yes"),"Informational","OK")))</x:f>
        <x:v>OK</x:v>
      </x:c>
      <x:c r="T43" t="str">
        <x:f>IF(R43="Mapping Hold","Resolve mapping before update",IF(R43="Missing Event Link","Map to one authoritative event",IF(R43="Duplicate WO","Review duplicate identity",IF(R43="Revenue Variance","Reconcile or dispute amount",IF(R43="Missing Breakdown","Await breakdown",IF(R43="Pending ACH","Await ACH",IF(R43="Partial Breakdown","Confirm remaining breakdown",IF(R43="Missing Client","Add canonical client",IF(R43="Missing Location","Complete location fields",IF(R43="OK","No action","Review invalid status"))))))))))</x:f>
        <x:v>No action</x:v>
      </x:c>
      <x:c r="U43" t="str">
        <x:f>IF(R43="OK","No","Yes")</x:f>
        <x:v>No</x:v>
      </x:c>
      <x:c r="V43" s="24" t="n">
        <x:f>ABS(N(G43))</x:f>
        <x:v>0</x:v>
      </x:c>
    </x:row>
    <x:row r="44">
      <x:c r="A44" t="str">
        <x:v>LED-0014</x:v>
      </x:c>
      <x:c r="B44" t="str">
        <x:f>INDEX(tblLedger[Work Order #],MATCH($A44,tblLedger[Ledger Record ID],0))</x:f>
        <x:v>UNRESOLVED-E014</x:v>
      </x:c>
      <x:c r="C44" t="n">
        <x:f>INDEX(tblLedger[Event #],MATCH($A44,tblLedger[Ledger Record ID],0))</x:f>
        <x:v>14</x:v>
      </x:c>
      <x:c r="D44" t="str">
        <x:f>INDEX(tblLedger[Client],MATCH($A44,tblLedger[Ledger Record ID],0))</x:f>
        <x:v>Residential – Annapolis Neck, MD</x:v>
      </x:c>
      <x:c r="E44" t="str">
        <x:f>INDEX(tblLedger[Breakdown Confirmed],MATCH($A44,tblLedger[Ledger Record ID],0))</x:f>
        <x:v>No</x:v>
      </x:c>
      <x:c r="F44" t="str">
        <x:f>INDEX(tblLedger[ACH Confirmed],MATCH($A44,tblLedger[Ledger Record ID],0))</x:f>
        <x:v>Yes</x:v>
      </x:c>
      <x:c r="G44" s="24" t="str">
        <x:f>INDEX(tblLedger[Variance],MATCH($A44,tblLedger[Ledger Record ID],0))</x:f>
      </x:c>
      <x:c r="H44" t="str">
        <x:f>IF(COUNTIF(tblLedger[Work Order #],B44)&gt;1,"Yes","No")</x:f>
        <x:v>No</x:v>
      </x:c>
      <x:c r="I44" t="str">
        <x:f>IF(C44="","Yes","No")</x:f>
        <x:v>No</x:v>
      </x:c>
      <x:c r="J44" t="str">
        <x:f>IF(INDEX(tblLedger[Mapping Status],MATCH($A44,tblLedger[Ledger Record ID],0))="MAPPING_HOLD","Yes","No")</x:f>
        <x:v>No</x:v>
      </x:c>
      <x:c r="K44" t="str">
        <x:f>IF(AND(OR(E44="No",E44="Pending"),IFERROR(INDEX(tblServiceEvents[Financial Scope],MATCH(C44,tblServiceEvents[Event #],0)),"Included")="Included"),"Yes","No")</x:f>
        <x:v>No</x:v>
      </x:c>
      <x:c r="L44" t="str">
        <x:f>IF(AND(E44="Yes",OR(F44="No",F44="Pending")),"Yes","No")</x:f>
        <x:v>No</x:v>
      </x:c>
      <x:c r="M44" t="str">
        <x:f>IF(OR(ABS(N(G44))&gt;0,INDEX(tblLedger[Reconciliation Status],MATCH($A44,tblLedger[Ledger Record ID],0))="BREAKDOWN_MISMATCH",INDEX(tblLedger[Reconciliation Status],MATCH($A44,tblLedger[Ledger Record ID],0))="ACH_MISMATCH"),"Yes","No")</x:f>
        <x:v>No</x:v>
      </x:c>
      <x:c r="N44" t="str">
        <x:f>IF(D44="","Yes","No")</x:f>
        <x:v>No</x:v>
      </x:c>
      <x:c r="O44" t="str">
        <x:f>IF(OR(INDEX(tblLedger[City],MATCH($A44,tblLedger[Ledger Record ID],0))="",INDEX(tblLedger[Jurisdiction],MATCH($A44,tblLedger[Ledger Record ID],0))=""),"Yes","No")</x:f>
        <x:v>No</x:v>
      </x:c>
      <x:c r="P44" t="str">
        <x:f>IF(COUNTIF({"Yes","No","Partial","Pending","Mapping Hold"},E44)=0,"Yes","No")</x:f>
        <x:v>No</x:v>
      </x:c>
      <x:c r="Q44" t="str">
        <x:f>IF(COUNTIF({"Yes","No","Partial","Pending","Mapping Review"},F44)=0,"Yes","No")</x:f>
        <x:v>No</x:v>
      </x:c>
      <x:c r="R44" t="str">
        <x:f>IF(J44="Yes","Mapping Hold",IF(I44="Yes","Missing Event Link",IF(H44="Yes","Duplicate WO",IF(M44="Yes","Revenue Variance",IF(K44="Yes","Missing Breakdown",IF(L44="Yes","Pending ACH",IF(E44="Partial","Partial Breakdown",IF(N44="Yes","Missing Client",IF(O44="Yes","Missing Location",IF(P44="Yes","Unknown Breakdown Status",IF(Q44="Yes","Unknown ACH Status","OK")))))))))))</x:f>
        <x:v>OK</x:v>
      </x:c>
      <x:c r="S44" t="str">
        <x:f>IF(OR(J44="Yes",I44="Yes",H44="Yes"),"Critical",IF(OR(M44="Yes",E44="Partial",N44="Yes",O44="Yes",P44="Yes",Q44="Yes"),"Warning",IF(OR(K44="Yes",L44="Yes"),"Informational","OK")))</x:f>
        <x:v>OK</x:v>
      </x:c>
      <x:c r="T44" t="str">
        <x:f>IF(R44="Mapping Hold","Resolve mapping before update",IF(R44="Missing Event Link","Map to one authoritative event",IF(R44="Duplicate WO","Review duplicate identity",IF(R44="Revenue Variance","Reconcile or dispute amount",IF(R44="Missing Breakdown","Await breakdown",IF(R44="Pending ACH","Await ACH",IF(R44="Partial Breakdown","Confirm remaining breakdown",IF(R44="Missing Client","Add canonical client",IF(R44="Missing Location","Complete location fields",IF(R44="OK","No action","Review invalid status"))))))))))</x:f>
        <x:v>No action</x:v>
      </x:c>
      <x:c r="U44" t="str">
        <x:f>IF(R44="OK","No","Yes")</x:f>
        <x:v>No</x:v>
      </x:c>
      <x:c r="V44" s="24" t="n">
        <x:f>ABS(N(G44))</x:f>
        <x:v>0</x:v>
      </x:c>
    </x:row>
    <x:row r="45">
      <x:c r="A45" t="str">
        <x:v>LED-0015</x:v>
      </x:c>
      <x:c r="B45" t="n">
        <x:f>INDEX(tblLedger[Work Order #],MATCH($A45,tblLedger[Ledger Record ID],0))</x:f>
        <x:v>5886658</x:v>
      </x:c>
      <x:c r="C45" t="n">
        <x:f>INDEX(tblLedger[Event #],MATCH($A45,tblLedger[Ledger Record ID],0))</x:f>
        <x:v>15</x:v>
      </x:c>
      <x:c r="D45" t="str">
        <x:f>INDEX(tblLedger[Client],MATCH($A45,tblLedger[Ledger Record ID],0))</x:f>
        <x:v>Verizon</x:v>
      </x:c>
      <x:c r="E45" t="str">
        <x:f>INDEX(tblLedger[Breakdown Confirmed],MATCH($A45,tblLedger[Ledger Record ID],0))</x:f>
        <x:v>Yes</x:v>
      </x:c>
      <x:c r="F45" t="str">
        <x:f>INDEX(tblLedger[ACH Confirmed],MATCH($A45,tblLedger[Ledger Record ID],0))</x:f>
        <x:v>Yes</x:v>
      </x:c>
      <x:c r="G45" s="24" t="str">
        <x:f>INDEX(tblLedger[Variance],MATCH($A45,tblLedger[Ledger Record ID],0))</x:f>
      </x:c>
      <x:c r="H45" t="str">
        <x:f>IF(COUNTIF(tblLedger[Work Order #],B45)&gt;1,"Yes","No")</x:f>
        <x:v>No</x:v>
      </x:c>
      <x:c r="I45" t="str">
        <x:f>IF(C45="","Yes","No")</x:f>
        <x:v>No</x:v>
      </x:c>
      <x:c r="J45" t="str">
        <x:f>IF(INDEX(tblLedger[Mapping Status],MATCH($A45,tblLedger[Ledger Record ID],0))="MAPPING_HOLD","Yes","No")</x:f>
        <x:v>No</x:v>
      </x:c>
      <x:c r="K45" t="str">
        <x:f>IF(AND(OR(E45="No",E45="Pending"),IFERROR(INDEX(tblServiceEvents[Financial Scope],MATCH(C45,tblServiceEvents[Event #],0)),"Included")="Included"),"Yes","No")</x:f>
        <x:v>No</x:v>
      </x:c>
      <x:c r="L45" t="str">
        <x:f>IF(AND(E45="Yes",OR(F45="No",F45="Pending")),"Yes","No")</x:f>
        <x:v>No</x:v>
      </x:c>
      <x:c r="M45" t="str">
        <x:f>IF(OR(ABS(N(G45))&gt;0,INDEX(tblLedger[Reconciliation Status],MATCH($A45,tblLedger[Ledger Record ID],0))="BREAKDOWN_MISMATCH",INDEX(tblLedger[Reconciliation Status],MATCH($A45,tblLedger[Ledger Record ID],0))="ACH_MISMATCH"),"Yes","No")</x:f>
        <x:v>No</x:v>
      </x:c>
      <x:c r="N45" t="str">
        <x:f>IF(D45="","Yes","No")</x:f>
        <x:v>No</x:v>
      </x:c>
      <x:c r="O45" t="str">
        <x:f>IF(OR(INDEX(tblLedger[City],MATCH($A45,tblLedger[Ledger Record ID],0))="",INDEX(tblLedger[Jurisdiction],MATCH($A45,tblLedger[Ledger Record ID],0))=""),"Yes","No")</x:f>
        <x:v>No</x:v>
      </x:c>
      <x:c r="P45" t="str">
        <x:f>IF(COUNTIF({"Yes","No","Partial","Pending","Mapping Hold"},E45)=0,"Yes","No")</x:f>
        <x:v>No</x:v>
      </x:c>
      <x:c r="Q45" t="str">
        <x:f>IF(COUNTIF({"Yes","No","Partial","Pending","Mapping Review"},F45)=0,"Yes","No")</x:f>
        <x:v>No</x:v>
      </x:c>
      <x:c r="R45" t="str">
        <x:f>IF(J45="Yes","Mapping Hold",IF(I45="Yes","Missing Event Link",IF(H45="Yes","Duplicate WO",IF(M45="Yes","Revenue Variance",IF(K45="Yes","Missing Breakdown",IF(L45="Yes","Pending ACH",IF(E45="Partial","Partial Breakdown",IF(N45="Yes","Missing Client",IF(O45="Yes","Missing Location",IF(P45="Yes","Unknown Breakdown Status",IF(Q45="Yes","Unknown ACH Status","OK")))))))))))</x:f>
        <x:v>OK</x:v>
      </x:c>
      <x:c r="S45" t="str">
        <x:f>IF(OR(J45="Yes",I45="Yes",H45="Yes"),"Critical",IF(OR(M45="Yes",E45="Partial",N45="Yes",O45="Yes",P45="Yes",Q45="Yes"),"Warning",IF(OR(K45="Yes",L45="Yes"),"Informational","OK")))</x:f>
        <x:v>OK</x:v>
      </x:c>
      <x:c r="T45" t="str">
        <x:f>IF(R45="Mapping Hold","Resolve mapping before update",IF(R45="Missing Event Link","Map to one authoritative event",IF(R45="Duplicate WO","Review duplicate identity",IF(R45="Revenue Variance","Reconcile or dispute amount",IF(R45="Missing Breakdown","Await breakdown",IF(R45="Pending ACH","Await ACH",IF(R45="Partial Breakdown","Confirm remaining breakdown",IF(R45="Missing Client","Add canonical client",IF(R45="Missing Location","Complete location fields",IF(R45="OK","No action","Review invalid status"))))))))))</x:f>
        <x:v>No action</x:v>
      </x:c>
      <x:c r="U45" t="str">
        <x:f>IF(R45="OK","No","Yes")</x:f>
        <x:v>No</x:v>
      </x:c>
      <x:c r="V45" s="24" t="n">
        <x:f>ABS(N(G45))</x:f>
        <x:v>0</x:v>
      </x:c>
    </x:row>
    <x:row r="46">
      <x:c r="A46" t="str">
        <x:v>LED-0016</x:v>
      </x:c>
      <x:c r="B46" t="n">
        <x:f>INDEX(tblLedger[Work Order #],MATCH($A46,tblLedger[Ledger Record ID],0))</x:f>
        <x:v>5887090</x:v>
      </x:c>
      <x:c r="C46" t="n">
        <x:f>INDEX(tblLedger[Event #],MATCH($A46,tblLedger[Ledger Record ID],0))</x:f>
        <x:v>16</x:v>
      </x:c>
      <x:c r="D46" t="str">
        <x:f>INDEX(tblLedger[Client],MATCH($A46,tblLedger[Ledger Record ID],0))</x:f>
        <x:v>Atrium Village</x:v>
      </x:c>
      <x:c r="E46" t="str">
        <x:f>INDEX(tblLedger[Breakdown Confirmed],MATCH($A46,tblLedger[Ledger Record ID],0))</x:f>
        <x:v>Yes</x:v>
      </x:c>
      <x:c r="F46" t="str">
        <x:f>INDEX(tblLedger[ACH Confirmed],MATCH($A46,tblLedger[Ledger Record ID],0))</x:f>
        <x:v>Yes</x:v>
      </x:c>
      <x:c r="G46" s="24" t="str">
        <x:f>INDEX(tblLedger[Variance],MATCH($A46,tblLedger[Ledger Record ID],0))</x:f>
      </x:c>
      <x:c r="H46" t="str">
        <x:f>IF(COUNTIF(tblLedger[Work Order #],B46)&gt;1,"Yes","No")</x:f>
        <x:v>No</x:v>
      </x:c>
      <x:c r="I46" t="str">
        <x:f>IF(C46="","Yes","No")</x:f>
        <x:v>No</x:v>
      </x:c>
      <x:c r="J46" t="str">
        <x:f>IF(INDEX(tblLedger[Mapping Status],MATCH($A46,tblLedger[Ledger Record ID],0))="MAPPING_HOLD","Yes","No")</x:f>
        <x:v>No</x:v>
      </x:c>
      <x:c r="K46" t="str">
        <x:f>IF(AND(OR(E46="No",E46="Pending"),IFERROR(INDEX(tblServiceEvents[Financial Scope],MATCH(C46,tblServiceEvents[Event #],0)),"Included")="Included"),"Yes","No")</x:f>
        <x:v>No</x:v>
      </x:c>
      <x:c r="L46" t="str">
        <x:f>IF(AND(E46="Yes",OR(F46="No",F46="Pending")),"Yes","No")</x:f>
        <x:v>No</x:v>
      </x:c>
      <x:c r="M46" t="str">
        <x:f>IF(OR(ABS(N(G46))&gt;0,INDEX(tblLedger[Reconciliation Status],MATCH($A46,tblLedger[Ledger Record ID],0))="BREAKDOWN_MISMATCH",INDEX(tblLedger[Reconciliation Status],MATCH($A46,tblLedger[Ledger Record ID],0))="ACH_MISMATCH"),"Yes","No")</x:f>
        <x:v>No</x:v>
      </x:c>
      <x:c r="N46" t="str">
        <x:f>IF(D46="","Yes","No")</x:f>
        <x:v>No</x:v>
      </x:c>
      <x:c r="O46" t="str">
        <x:f>IF(OR(INDEX(tblLedger[City],MATCH($A46,tblLedger[Ledger Record ID],0))="",INDEX(tblLedger[Jurisdiction],MATCH($A46,tblLedger[Ledger Record ID],0))=""),"Yes","No")</x:f>
        <x:v>No</x:v>
      </x:c>
      <x:c r="P46" t="str">
        <x:f>IF(COUNTIF({"Yes","No","Partial","Pending","Mapping Hold"},E46)=0,"Yes","No")</x:f>
        <x:v>No</x:v>
      </x:c>
      <x:c r="Q46" t="str">
        <x:f>IF(COUNTIF({"Yes","No","Partial","Pending","Mapping Review"},F46)=0,"Yes","No")</x:f>
        <x:v>No</x:v>
      </x:c>
      <x:c r="R46" t="str">
        <x:f>IF(J46="Yes","Mapping Hold",IF(I46="Yes","Missing Event Link",IF(H46="Yes","Duplicate WO",IF(M46="Yes","Revenue Variance",IF(K46="Yes","Missing Breakdown",IF(L46="Yes","Pending ACH",IF(E46="Partial","Partial Breakdown",IF(N46="Yes","Missing Client",IF(O46="Yes","Missing Location",IF(P46="Yes","Unknown Breakdown Status",IF(Q46="Yes","Unknown ACH Status","OK")))))))))))</x:f>
        <x:v>OK</x:v>
      </x:c>
      <x:c r="S46" t="str">
        <x:f>IF(OR(J46="Yes",I46="Yes",H46="Yes"),"Critical",IF(OR(M46="Yes",E46="Partial",N46="Yes",O46="Yes",P46="Yes",Q46="Yes"),"Warning",IF(OR(K46="Yes",L46="Yes"),"Informational","OK")))</x:f>
        <x:v>OK</x:v>
      </x:c>
      <x:c r="T46" t="str">
        <x:f>IF(R46="Mapping Hold","Resolve mapping before update",IF(R46="Missing Event Link","Map to one authoritative event",IF(R46="Duplicate WO","Review duplicate identity",IF(R46="Revenue Variance","Reconcile or dispute amount",IF(R46="Missing Breakdown","Await breakdown",IF(R46="Pending ACH","Await ACH",IF(R46="Partial Breakdown","Confirm remaining breakdown",IF(R46="Missing Client","Add canonical client",IF(R46="Missing Location","Complete location fields",IF(R46="OK","No action","Review invalid status"))))))))))</x:f>
        <x:v>No action</x:v>
      </x:c>
      <x:c r="U46" t="str">
        <x:f>IF(R46="OK","No","Yes")</x:f>
        <x:v>No</x:v>
      </x:c>
      <x:c r="V46" s="24" t="n">
        <x:f>ABS(N(G46))</x:f>
        <x:v>0</x:v>
      </x:c>
    </x:row>
    <x:row r="47">
      <x:c r="A47" t="str">
        <x:v>LED-0017</x:v>
      </x:c>
      <x:c r="B47" t="n">
        <x:f>INDEX(tblLedger[Work Order #],MATCH($A47,tblLedger[Ledger Record ID],0))</x:f>
        <x:v>5887094</x:v>
      </x:c>
      <x:c r="C47" t="n">
        <x:f>INDEX(tblLedger[Event #],MATCH($A47,tblLedger[Ledger Record ID],0))</x:f>
        <x:v>17</x:v>
      </x:c>
      <x:c r="D47" t="str">
        <x:f>INDEX(tblLedger[Client],MATCH($A47,tblLedger[Ledger Record ID],0))</x:f>
        <x:v>Maryland Baptist Age Home</x:v>
      </x:c>
      <x:c r="E47" t="str">
        <x:f>INDEX(tblLedger[Breakdown Confirmed],MATCH($A47,tblLedger[Ledger Record ID],0))</x:f>
        <x:v>Yes</x:v>
      </x:c>
      <x:c r="F47" t="str">
        <x:f>INDEX(tblLedger[ACH Confirmed],MATCH($A47,tblLedger[Ledger Record ID],0))</x:f>
        <x:v>Yes</x:v>
      </x:c>
      <x:c r="G47" s="24" t="str">
        <x:f>INDEX(tblLedger[Variance],MATCH($A47,tblLedger[Ledger Record ID],0))</x:f>
      </x:c>
      <x:c r="H47" t="str">
        <x:f>IF(COUNTIF(tblLedger[Work Order #],B47)&gt;1,"Yes","No")</x:f>
        <x:v>No</x:v>
      </x:c>
      <x:c r="I47" t="str">
        <x:f>IF(C47="","Yes","No")</x:f>
        <x:v>No</x:v>
      </x:c>
      <x:c r="J47" t="str">
        <x:f>IF(INDEX(tblLedger[Mapping Status],MATCH($A47,tblLedger[Ledger Record ID],0))="MAPPING_HOLD","Yes","No")</x:f>
        <x:v>No</x:v>
      </x:c>
      <x:c r="K47" t="str">
        <x:f>IF(AND(OR(E47="No",E47="Pending"),IFERROR(INDEX(tblServiceEvents[Financial Scope],MATCH(C47,tblServiceEvents[Event #],0)),"Included")="Included"),"Yes","No")</x:f>
        <x:v>No</x:v>
      </x:c>
      <x:c r="L47" t="str">
        <x:f>IF(AND(E47="Yes",OR(F47="No",F47="Pending")),"Yes","No")</x:f>
        <x:v>No</x:v>
      </x:c>
      <x:c r="M47" t="str">
        <x:f>IF(OR(ABS(N(G47))&gt;0,INDEX(tblLedger[Reconciliation Status],MATCH($A47,tblLedger[Ledger Record ID],0))="BREAKDOWN_MISMATCH",INDEX(tblLedger[Reconciliation Status],MATCH($A47,tblLedger[Ledger Record ID],0))="ACH_MISMATCH"),"Yes","No")</x:f>
        <x:v>No</x:v>
      </x:c>
      <x:c r="N47" t="str">
        <x:f>IF(D47="","Yes","No")</x:f>
        <x:v>No</x:v>
      </x:c>
      <x:c r="O47" t="str">
        <x:f>IF(OR(INDEX(tblLedger[City],MATCH($A47,tblLedger[Ledger Record ID],0))="",INDEX(tblLedger[Jurisdiction],MATCH($A47,tblLedger[Ledger Record ID],0))=""),"Yes","No")</x:f>
        <x:v>No</x:v>
      </x:c>
      <x:c r="P47" t="str">
        <x:f>IF(COUNTIF({"Yes","No","Partial","Pending","Mapping Hold"},E47)=0,"Yes","No")</x:f>
        <x:v>No</x:v>
      </x:c>
      <x:c r="Q47" t="str">
        <x:f>IF(COUNTIF({"Yes","No","Partial","Pending","Mapping Review"},F47)=0,"Yes","No")</x:f>
        <x:v>No</x:v>
      </x:c>
      <x:c r="R47" t="str">
        <x:f>IF(J47="Yes","Mapping Hold",IF(I47="Yes","Missing Event Link",IF(H47="Yes","Duplicate WO",IF(M47="Yes","Revenue Variance",IF(K47="Yes","Missing Breakdown",IF(L47="Yes","Pending ACH",IF(E47="Partial","Partial Breakdown",IF(N47="Yes","Missing Client",IF(O47="Yes","Missing Location",IF(P47="Yes","Unknown Breakdown Status",IF(Q47="Yes","Unknown ACH Status","OK")))))))))))</x:f>
        <x:v>OK</x:v>
      </x:c>
      <x:c r="S47" t="str">
        <x:f>IF(OR(J47="Yes",I47="Yes",H47="Yes"),"Critical",IF(OR(M47="Yes",E47="Partial",N47="Yes",O47="Yes",P47="Yes",Q47="Yes"),"Warning",IF(OR(K47="Yes",L47="Yes"),"Informational","OK")))</x:f>
        <x:v>OK</x:v>
      </x:c>
      <x:c r="T47" t="str">
        <x:f>IF(R47="Mapping Hold","Resolve mapping before update",IF(R47="Missing Event Link","Map to one authoritative event",IF(R47="Duplicate WO","Review duplicate identity",IF(R47="Revenue Variance","Reconcile or dispute amount",IF(R47="Missing Breakdown","Await breakdown",IF(R47="Pending ACH","Await ACH",IF(R47="Partial Breakdown","Confirm remaining breakdown",IF(R47="Missing Client","Add canonical client",IF(R47="Missing Location","Complete location fields",IF(R47="OK","No action","Review invalid status"))))))))))</x:f>
        <x:v>No action</x:v>
      </x:c>
      <x:c r="U47" t="str">
        <x:f>IF(R47="OK","No","Yes")</x:f>
        <x:v>No</x:v>
      </x:c>
      <x:c r="V47" s="24" t="n">
        <x:f>ABS(N(G47))</x:f>
        <x:v>0</x:v>
      </x:c>
    </x:row>
    <x:row r="48">
      <x:c r="A48" t="str">
        <x:v>LED-0018</x:v>
      </x:c>
      <x:c r="B48" t="n">
        <x:f>INDEX(tblLedger[Work Order #],MATCH($A48,tblLedger[Ledger Record ID],0))</x:f>
        <x:v>5889356</x:v>
      </x:c>
      <x:c r="C48" t="n">
        <x:f>INDEX(tblLedger[Event #],MATCH($A48,tblLedger[Ledger Record ID],0))</x:f>
        <x:v>18</x:v>
      </x:c>
      <x:c r="D48" t="str">
        <x:f>INDEX(tblLedger[Client],MATCH($A48,tblLedger[Ledger Record ID],0))</x:f>
        <x:v>Under Armour</x:v>
      </x:c>
      <x:c r="E48" t="str">
        <x:f>INDEX(tblLedger[Breakdown Confirmed],MATCH($A48,tblLedger[Ledger Record ID],0))</x:f>
        <x:v>Yes</x:v>
      </x:c>
      <x:c r="F48" t="str">
        <x:f>INDEX(tblLedger[ACH Confirmed],MATCH($A48,tblLedger[Ledger Record ID],0))</x:f>
        <x:v>Yes</x:v>
      </x:c>
      <x:c r="G48" s="24" t="str">
        <x:f>INDEX(tblLedger[Variance],MATCH($A48,tblLedger[Ledger Record ID],0))</x:f>
      </x:c>
      <x:c r="H48" t="str">
        <x:f>IF(COUNTIF(tblLedger[Work Order #],B48)&gt;1,"Yes","No")</x:f>
        <x:v>No</x:v>
      </x:c>
      <x:c r="I48" t="str">
        <x:f>IF(C48="","Yes","No")</x:f>
        <x:v>No</x:v>
      </x:c>
      <x:c r="J48" t="str">
        <x:f>IF(INDEX(tblLedger[Mapping Status],MATCH($A48,tblLedger[Ledger Record ID],0))="MAPPING_HOLD","Yes","No")</x:f>
        <x:v>No</x:v>
      </x:c>
      <x:c r="K48" t="str">
        <x:f>IF(AND(OR(E48="No",E48="Pending"),IFERROR(INDEX(tblServiceEvents[Financial Scope],MATCH(C48,tblServiceEvents[Event #],0)),"Included")="Included"),"Yes","No")</x:f>
        <x:v>No</x:v>
      </x:c>
      <x:c r="L48" t="str">
        <x:f>IF(AND(E48="Yes",OR(F48="No",F48="Pending")),"Yes","No")</x:f>
        <x:v>No</x:v>
      </x:c>
      <x:c r="M48" t="str">
        <x:f>IF(OR(ABS(N(G48))&gt;0,INDEX(tblLedger[Reconciliation Status],MATCH($A48,tblLedger[Ledger Record ID],0))="BREAKDOWN_MISMATCH",INDEX(tblLedger[Reconciliation Status],MATCH($A48,tblLedger[Ledger Record ID],0))="ACH_MISMATCH"),"Yes","No")</x:f>
        <x:v>No</x:v>
      </x:c>
      <x:c r="N48" t="str">
        <x:f>IF(D48="","Yes","No")</x:f>
        <x:v>No</x:v>
      </x:c>
      <x:c r="O48" t="str">
        <x:f>IF(OR(INDEX(tblLedger[City],MATCH($A48,tblLedger[Ledger Record ID],0))="",INDEX(tblLedger[Jurisdiction],MATCH($A48,tblLedger[Ledger Record ID],0))=""),"Yes","No")</x:f>
        <x:v>No</x:v>
      </x:c>
      <x:c r="P48" t="str">
        <x:f>IF(COUNTIF({"Yes","No","Partial","Pending","Mapping Hold"},E48)=0,"Yes","No")</x:f>
        <x:v>No</x:v>
      </x:c>
      <x:c r="Q48" t="str">
        <x:f>IF(COUNTIF({"Yes","No","Partial","Pending","Mapping Review"},F48)=0,"Yes","No")</x:f>
        <x:v>No</x:v>
      </x:c>
      <x:c r="R48" t="str">
        <x:f>IF(J48="Yes","Mapping Hold",IF(I48="Yes","Missing Event Link",IF(H48="Yes","Duplicate WO",IF(M48="Yes","Revenue Variance",IF(K48="Yes","Missing Breakdown",IF(L48="Yes","Pending ACH",IF(E48="Partial","Partial Breakdown",IF(N48="Yes","Missing Client",IF(O48="Yes","Missing Location",IF(P48="Yes","Unknown Breakdown Status",IF(Q48="Yes","Unknown ACH Status","OK")))))))))))</x:f>
        <x:v>OK</x:v>
      </x:c>
      <x:c r="S48" t="str">
        <x:f>IF(OR(J48="Yes",I48="Yes",H48="Yes"),"Critical",IF(OR(M48="Yes",E48="Partial",N48="Yes",O48="Yes",P48="Yes",Q48="Yes"),"Warning",IF(OR(K48="Yes",L48="Yes"),"Informational","OK")))</x:f>
        <x:v>OK</x:v>
      </x:c>
      <x:c r="T48" t="str">
        <x:f>IF(R48="Mapping Hold","Resolve mapping before update",IF(R48="Missing Event Link","Map to one authoritative event",IF(R48="Duplicate WO","Review duplicate identity",IF(R48="Revenue Variance","Reconcile or dispute amount",IF(R48="Missing Breakdown","Await breakdown",IF(R48="Pending ACH","Await ACH",IF(R48="Partial Breakdown","Confirm remaining breakdown",IF(R48="Missing Client","Add canonical client",IF(R48="Missing Location","Complete location fields",IF(R48="OK","No action","Review invalid status"))))))))))</x:f>
        <x:v>No action</x:v>
      </x:c>
      <x:c r="U48" t="str">
        <x:f>IF(R48="OK","No","Yes")</x:f>
        <x:v>No</x:v>
      </x:c>
      <x:c r="V48" s="24" t="n">
        <x:f>ABS(N(G48))</x:f>
        <x:v>0</x:v>
      </x:c>
    </x:row>
    <x:row r="49">
      <x:c r="A49" t="str">
        <x:v>LED-0019</x:v>
      </x:c>
      <x:c r="B49" t="str">
        <x:f>INDEX(tblLedger[Work Order #],MATCH($A49,tblLedger[Ledger Record ID],0))</x:f>
        <x:v>5889356-D2</x:v>
      </x:c>
      <x:c r="C49" t="n">
        <x:f>INDEX(tblLedger[Event #],MATCH($A49,tblLedger[Ledger Record ID],0))</x:f>
        <x:v>19</x:v>
      </x:c>
      <x:c r="D49" t="str">
        <x:f>INDEX(tblLedger[Client],MATCH($A49,tblLedger[Ledger Record ID],0))</x:f>
        <x:v>Under Armour</x:v>
      </x:c>
      <x:c r="E49" t="str">
        <x:f>INDEX(tblLedger[Breakdown Confirmed],MATCH($A49,tblLedger[Ledger Record ID],0))</x:f>
        <x:v>Yes</x:v>
      </x:c>
      <x:c r="F49" t="str">
        <x:f>INDEX(tblLedger[ACH Confirmed],MATCH($A49,tblLedger[Ledger Record ID],0))</x:f>
        <x:v>Yes</x:v>
      </x:c>
      <x:c r="G49" s="24" t="str">
        <x:f>INDEX(tblLedger[Variance],MATCH($A49,tblLedger[Ledger Record ID],0))</x:f>
      </x:c>
      <x:c r="H49" t="str">
        <x:f>IF(COUNTIF(tblLedger[Work Order #],B49)&gt;1,"Yes","No")</x:f>
        <x:v>No</x:v>
      </x:c>
      <x:c r="I49" t="str">
        <x:f>IF(C49="","Yes","No")</x:f>
        <x:v>No</x:v>
      </x:c>
      <x:c r="J49" t="str">
        <x:f>IF(INDEX(tblLedger[Mapping Status],MATCH($A49,tblLedger[Ledger Record ID],0))="MAPPING_HOLD","Yes","No")</x:f>
        <x:v>No</x:v>
      </x:c>
      <x:c r="K49" t="str">
        <x:f>IF(AND(OR(E49="No",E49="Pending"),IFERROR(INDEX(tblServiceEvents[Financial Scope],MATCH(C49,tblServiceEvents[Event #],0)),"Included")="Included"),"Yes","No")</x:f>
        <x:v>No</x:v>
      </x:c>
      <x:c r="L49" t="str">
        <x:f>IF(AND(E49="Yes",OR(F49="No",F49="Pending")),"Yes","No")</x:f>
        <x:v>No</x:v>
      </x:c>
      <x:c r="M49" t="str">
        <x:f>IF(OR(ABS(N(G49))&gt;0,INDEX(tblLedger[Reconciliation Status],MATCH($A49,tblLedger[Ledger Record ID],0))="BREAKDOWN_MISMATCH",INDEX(tblLedger[Reconciliation Status],MATCH($A49,tblLedger[Ledger Record ID],0))="ACH_MISMATCH"),"Yes","No")</x:f>
        <x:v>No</x:v>
      </x:c>
      <x:c r="N49" t="str">
        <x:f>IF(D49="","Yes","No")</x:f>
        <x:v>No</x:v>
      </x:c>
      <x:c r="O49" t="str">
        <x:f>IF(OR(INDEX(tblLedger[City],MATCH($A49,tblLedger[Ledger Record ID],0))="",INDEX(tblLedger[Jurisdiction],MATCH($A49,tblLedger[Ledger Record ID],0))=""),"Yes","No")</x:f>
        <x:v>No</x:v>
      </x:c>
      <x:c r="P49" t="str">
        <x:f>IF(COUNTIF({"Yes","No","Partial","Pending","Mapping Hold"},E49)=0,"Yes","No")</x:f>
        <x:v>No</x:v>
      </x:c>
      <x:c r="Q49" t="str">
        <x:f>IF(COUNTIF({"Yes","No","Partial","Pending","Mapping Review"},F49)=0,"Yes","No")</x:f>
        <x:v>No</x:v>
      </x:c>
      <x:c r="R49" t="str">
        <x:f>IF(J49="Yes","Mapping Hold",IF(I49="Yes","Missing Event Link",IF(H49="Yes","Duplicate WO",IF(M49="Yes","Revenue Variance",IF(K49="Yes","Missing Breakdown",IF(L49="Yes","Pending ACH",IF(E49="Partial","Partial Breakdown",IF(N49="Yes","Missing Client",IF(O49="Yes","Missing Location",IF(P49="Yes","Unknown Breakdown Status",IF(Q49="Yes","Unknown ACH Status","OK")))))))))))</x:f>
        <x:v>OK</x:v>
      </x:c>
      <x:c r="S49" t="str">
        <x:f>IF(OR(J49="Yes",I49="Yes",H49="Yes"),"Critical",IF(OR(M49="Yes",E49="Partial",N49="Yes",O49="Yes",P49="Yes",Q49="Yes"),"Warning",IF(OR(K49="Yes",L49="Yes"),"Informational","OK")))</x:f>
        <x:v>OK</x:v>
      </x:c>
      <x:c r="T49" t="str">
        <x:f>IF(R49="Mapping Hold","Resolve mapping before update",IF(R49="Missing Event Link","Map to one authoritative event",IF(R49="Duplicate WO","Review duplicate identity",IF(R49="Revenue Variance","Reconcile or dispute amount",IF(R49="Missing Breakdown","Await breakdown",IF(R49="Pending ACH","Await ACH",IF(R49="Partial Breakdown","Confirm remaining breakdown",IF(R49="Missing Client","Add canonical client",IF(R49="Missing Location","Complete location fields",IF(R49="OK","No action","Review invalid status"))))))))))</x:f>
        <x:v>No action</x:v>
      </x:c>
      <x:c r="U49" t="str">
        <x:f>IF(R49="OK","No","Yes")</x:f>
        <x:v>No</x:v>
      </x:c>
      <x:c r="V49" s="24" t="n">
        <x:f>ABS(N(G49))</x:f>
        <x:v>0</x:v>
      </x:c>
    </x:row>
    <x:row r="50">
      <x:c r="A50" t="str">
        <x:v>LED-0020</x:v>
      </x:c>
      <x:c r="B50" t="n">
        <x:f>INDEX(tblLedger[Work Order #],MATCH($A50,tblLedger[Ledger Record ID],0))</x:f>
        <x:v>5890220</x:v>
      </x:c>
      <x:c r="C50" t="n">
        <x:f>INDEX(tblLedger[Event #],MATCH($A50,tblLedger[Ledger Record ID],0))</x:f>
        <x:v>20</x:v>
      </x:c>
      <x:c r="D50" t="str">
        <x:f>INDEX(tblLedger[Client],MATCH($A50,tblLedger[Ledger Record ID],0))</x:f>
        <x:v>Giant Food Stores</x:v>
      </x:c>
      <x:c r="E50" t="str">
        <x:f>INDEX(tblLedger[Breakdown Confirmed],MATCH($A50,tblLedger[Ledger Record ID],0))</x:f>
        <x:v>Yes</x:v>
      </x:c>
      <x:c r="F50" t="str">
        <x:f>INDEX(tblLedger[ACH Confirmed],MATCH($A50,tblLedger[Ledger Record ID],0))</x:f>
        <x:v>Yes</x:v>
      </x:c>
      <x:c r="G50" s="24" t="str">
        <x:f>INDEX(tblLedger[Variance],MATCH($A50,tblLedger[Ledger Record ID],0))</x:f>
      </x:c>
      <x:c r="H50" t="str">
        <x:f>IF(COUNTIF(tblLedger[Work Order #],B50)&gt;1,"Yes","No")</x:f>
        <x:v>No</x:v>
      </x:c>
      <x:c r="I50" t="str">
        <x:f>IF(C50="","Yes","No")</x:f>
        <x:v>No</x:v>
      </x:c>
      <x:c r="J50" t="str">
        <x:f>IF(INDEX(tblLedger[Mapping Status],MATCH($A50,tblLedger[Ledger Record ID],0))="MAPPING_HOLD","Yes","No")</x:f>
        <x:v>No</x:v>
      </x:c>
      <x:c r="K50" t="str">
        <x:f>IF(AND(OR(E50="No",E50="Pending"),IFERROR(INDEX(tblServiceEvents[Financial Scope],MATCH(C50,tblServiceEvents[Event #],0)),"Included")="Included"),"Yes","No")</x:f>
        <x:v>No</x:v>
      </x:c>
      <x:c r="L50" t="str">
        <x:f>IF(AND(E50="Yes",OR(F50="No",F50="Pending")),"Yes","No")</x:f>
        <x:v>No</x:v>
      </x:c>
      <x:c r="M50" t="str">
        <x:f>IF(OR(ABS(N(G50))&gt;0,INDEX(tblLedger[Reconciliation Status],MATCH($A50,tblLedger[Ledger Record ID],0))="BREAKDOWN_MISMATCH",INDEX(tblLedger[Reconciliation Status],MATCH($A50,tblLedger[Ledger Record ID],0))="ACH_MISMATCH"),"Yes","No")</x:f>
        <x:v>No</x:v>
      </x:c>
      <x:c r="N50" t="str">
        <x:f>IF(D50="","Yes","No")</x:f>
        <x:v>No</x:v>
      </x:c>
      <x:c r="O50" t="str">
        <x:f>IF(OR(INDEX(tblLedger[City],MATCH($A50,tblLedger[Ledger Record ID],0))="",INDEX(tblLedger[Jurisdiction],MATCH($A50,tblLedger[Ledger Record ID],0))=""),"Yes","No")</x:f>
        <x:v>No</x:v>
      </x:c>
      <x:c r="P50" t="str">
        <x:f>IF(COUNTIF({"Yes","No","Partial","Pending","Mapping Hold"},E50)=0,"Yes","No")</x:f>
        <x:v>No</x:v>
      </x:c>
      <x:c r="Q50" t="str">
        <x:f>IF(COUNTIF({"Yes","No","Partial","Pending","Mapping Review"},F50)=0,"Yes","No")</x:f>
        <x:v>No</x:v>
      </x:c>
      <x:c r="R50" t="str">
        <x:f>IF(J50="Yes","Mapping Hold",IF(I50="Yes","Missing Event Link",IF(H50="Yes","Duplicate WO",IF(M50="Yes","Revenue Variance",IF(K50="Yes","Missing Breakdown",IF(L50="Yes","Pending ACH",IF(E50="Partial","Partial Breakdown",IF(N50="Yes","Missing Client",IF(O50="Yes","Missing Location",IF(P50="Yes","Unknown Breakdown Status",IF(Q50="Yes","Unknown ACH Status","OK")))))))))))</x:f>
        <x:v>OK</x:v>
      </x:c>
      <x:c r="S50" t="str">
        <x:f>IF(OR(J50="Yes",I50="Yes",H50="Yes"),"Critical",IF(OR(M50="Yes",E50="Partial",N50="Yes",O50="Yes",P50="Yes",Q50="Yes"),"Warning",IF(OR(K50="Yes",L50="Yes"),"Informational","OK")))</x:f>
        <x:v>OK</x:v>
      </x:c>
      <x:c r="T50" t="str">
        <x:f>IF(R50="Mapping Hold","Resolve mapping before update",IF(R50="Missing Event Link","Map to one authoritative event",IF(R50="Duplicate WO","Review duplicate identity",IF(R50="Revenue Variance","Reconcile or dispute amount",IF(R50="Missing Breakdown","Await breakdown",IF(R50="Pending ACH","Await ACH",IF(R50="Partial Breakdown","Confirm remaining breakdown",IF(R50="Missing Client","Add canonical client",IF(R50="Missing Location","Complete location fields",IF(R50="OK","No action","Review invalid status"))))))))))</x:f>
        <x:v>No action</x:v>
      </x:c>
      <x:c r="U50" t="str">
        <x:f>IF(R50="OK","No","Yes")</x:f>
        <x:v>No</x:v>
      </x:c>
      <x:c r="V50" s="24" t="n">
        <x:f>ABS(N(G50))</x:f>
        <x:v>0</x:v>
      </x:c>
    </x:row>
    <x:row r="51">
      <x:c r="A51" t="str">
        <x:v>LED-0021</x:v>
      </x:c>
      <x:c r="B51" t="n">
        <x:f>INDEX(tblLedger[Work Order #],MATCH($A51,tblLedger[Ledger Record ID],0))</x:f>
        <x:v>5892123</x:v>
      </x:c>
      <x:c r="C51" t="n">
        <x:f>INDEX(tblLedger[Event #],MATCH($A51,tblLedger[Ledger Record ID],0))</x:f>
        <x:v>21</x:v>
      </x:c>
      <x:c r="D51" t="str">
        <x:f>INDEX(tblLedger[Client],MATCH($A51,tblLedger[Ledger Record ID],0))</x:f>
        <x:v>Food Lion</x:v>
      </x:c>
      <x:c r="E51" t="str">
        <x:f>INDEX(tblLedger[Breakdown Confirmed],MATCH($A51,tblLedger[Ledger Record ID],0))</x:f>
        <x:v>Yes</x:v>
      </x:c>
      <x:c r="F51" t="str">
        <x:f>INDEX(tblLedger[ACH Confirmed],MATCH($A51,tblLedger[Ledger Record ID],0))</x:f>
        <x:v>Yes</x:v>
      </x:c>
      <x:c r="G51" s="24" t="str">
        <x:f>INDEX(tblLedger[Variance],MATCH($A51,tblLedger[Ledger Record ID],0))</x:f>
      </x:c>
      <x:c r="H51" t="str">
        <x:f>IF(COUNTIF(tblLedger[Work Order #],B51)&gt;1,"Yes","No")</x:f>
        <x:v>No</x:v>
      </x:c>
      <x:c r="I51" t="str">
        <x:f>IF(C51="","Yes","No")</x:f>
        <x:v>No</x:v>
      </x:c>
      <x:c r="J51" t="str">
        <x:f>IF(INDEX(tblLedger[Mapping Status],MATCH($A51,tblLedger[Ledger Record ID],0))="MAPPING_HOLD","Yes","No")</x:f>
        <x:v>No</x:v>
      </x:c>
      <x:c r="K51" t="str">
        <x:f>IF(AND(OR(E51="No",E51="Pending"),IFERROR(INDEX(tblServiceEvents[Financial Scope],MATCH(C51,tblServiceEvents[Event #],0)),"Included")="Included"),"Yes","No")</x:f>
        <x:v>No</x:v>
      </x:c>
      <x:c r="L51" t="str">
        <x:f>IF(AND(E51="Yes",OR(F51="No",F51="Pending")),"Yes","No")</x:f>
        <x:v>No</x:v>
      </x:c>
      <x:c r="M51" t="str">
        <x:f>IF(OR(ABS(N(G51))&gt;0,INDEX(tblLedger[Reconciliation Status],MATCH($A51,tblLedger[Ledger Record ID],0))="BREAKDOWN_MISMATCH",INDEX(tblLedger[Reconciliation Status],MATCH($A51,tblLedger[Ledger Record ID],0))="ACH_MISMATCH"),"Yes","No")</x:f>
        <x:v>No</x:v>
      </x:c>
      <x:c r="N51" t="str">
        <x:f>IF(D51="","Yes","No")</x:f>
        <x:v>No</x:v>
      </x:c>
      <x:c r="O51" t="str">
        <x:f>IF(OR(INDEX(tblLedger[City],MATCH($A51,tblLedger[Ledger Record ID],0))="",INDEX(tblLedger[Jurisdiction],MATCH($A51,tblLedger[Ledger Record ID],0))=""),"Yes","No")</x:f>
        <x:v>No</x:v>
      </x:c>
      <x:c r="P51" t="str">
        <x:f>IF(COUNTIF({"Yes","No","Partial","Pending","Mapping Hold"},E51)=0,"Yes","No")</x:f>
        <x:v>No</x:v>
      </x:c>
      <x:c r="Q51" t="str">
        <x:f>IF(COUNTIF({"Yes","No","Partial","Pending","Mapping Review"},F51)=0,"Yes","No")</x:f>
        <x:v>No</x:v>
      </x:c>
      <x:c r="R51" t="str">
        <x:f>IF(J51="Yes","Mapping Hold",IF(I51="Yes","Missing Event Link",IF(H51="Yes","Duplicate WO",IF(M51="Yes","Revenue Variance",IF(K51="Yes","Missing Breakdown",IF(L51="Yes","Pending ACH",IF(E51="Partial","Partial Breakdown",IF(N51="Yes","Missing Client",IF(O51="Yes","Missing Location",IF(P51="Yes","Unknown Breakdown Status",IF(Q51="Yes","Unknown ACH Status","OK")))))))))))</x:f>
        <x:v>OK</x:v>
      </x:c>
      <x:c r="S51" t="str">
        <x:f>IF(OR(J51="Yes",I51="Yes",H51="Yes"),"Critical",IF(OR(M51="Yes",E51="Partial",N51="Yes",O51="Yes",P51="Yes",Q51="Yes"),"Warning",IF(OR(K51="Yes",L51="Yes"),"Informational","OK")))</x:f>
        <x:v>OK</x:v>
      </x:c>
      <x:c r="T51" t="str">
        <x:f>IF(R51="Mapping Hold","Resolve mapping before update",IF(R51="Missing Event Link","Map to one authoritative event",IF(R51="Duplicate WO","Review duplicate identity",IF(R51="Revenue Variance","Reconcile or dispute amount",IF(R51="Missing Breakdown","Await breakdown",IF(R51="Pending ACH","Await ACH",IF(R51="Partial Breakdown","Confirm remaining breakdown",IF(R51="Missing Client","Add canonical client",IF(R51="Missing Location","Complete location fields",IF(R51="OK","No action","Review invalid status"))))))))))</x:f>
        <x:v>No action</x:v>
      </x:c>
      <x:c r="U51" t="str">
        <x:f>IF(R51="OK","No","Yes")</x:f>
        <x:v>No</x:v>
      </x:c>
      <x:c r="V51" s="24" t="n">
        <x:f>ABS(N(G51))</x:f>
        <x:v>0</x:v>
      </x:c>
    </x:row>
    <x:row r="52">
      <x:c r="A52" t="str">
        <x:v>LED-0022</x:v>
      </x:c>
      <x:c r="B52" t="n">
        <x:f>INDEX(tblLedger[Work Order #],MATCH($A52,tblLedger[Ledger Record ID],0))</x:f>
        <x:v>5889718</x:v>
      </x:c>
      <x:c r="C52" t="n">
        <x:f>INDEX(tblLedger[Event #],MATCH($A52,tblLedger[Ledger Record ID],0))</x:f>
        <x:v>22</x:v>
      </x:c>
      <x:c r="D52" t="str">
        <x:f>INDEX(tblLedger[Client],MATCH($A52,tblLedger[Ledger Record ID],0))</x:f>
        <x:v>HomeGoods</x:v>
      </x:c>
      <x:c r="E52" t="str">
        <x:f>INDEX(tblLedger[Breakdown Confirmed],MATCH($A52,tblLedger[Ledger Record ID],0))</x:f>
        <x:v>Yes</x:v>
      </x:c>
      <x:c r="F52" t="str">
        <x:f>INDEX(tblLedger[ACH Confirmed],MATCH($A52,tblLedger[Ledger Record ID],0))</x:f>
        <x:v>Yes</x:v>
      </x:c>
      <x:c r="G52" s="24" t="str">
        <x:f>INDEX(tblLedger[Variance],MATCH($A52,tblLedger[Ledger Record ID],0))</x:f>
      </x:c>
      <x:c r="H52" t="str">
        <x:f>IF(COUNTIF(tblLedger[Work Order #],B52)&gt;1,"Yes","No")</x:f>
        <x:v>No</x:v>
      </x:c>
      <x:c r="I52" t="str">
        <x:f>IF(C52="","Yes","No")</x:f>
        <x:v>No</x:v>
      </x:c>
      <x:c r="J52" t="str">
        <x:f>IF(INDEX(tblLedger[Mapping Status],MATCH($A52,tblLedger[Ledger Record ID],0))="MAPPING_HOLD","Yes","No")</x:f>
        <x:v>No</x:v>
      </x:c>
      <x:c r="K52" t="str">
        <x:f>IF(AND(OR(E52="No",E52="Pending"),IFERROR(INDEX(tblServiceEvents[Financial Scope],MATCH(C52,tblServiceEvents[Event #],0)),"Included")="Included"),"Yes","No")</x:f>
        <x:v>No</x:v>
      </x:c>
      <x:c r="L52" t="str">
        <x:f>IF(AND(E52="Yes",OR(F52="No",F52="Pending")),"Yes","No")</x:f>
        <x:v>No</x:v>
      </x:c>
      <x:c r="M52" t="str">
        <x:f>IF(OR(ABS(N(G52))&gt;0,INDEX(tblLedger[Reconciliation Status],MATCH($A52,tblLedger[Ledger Record ID],0))="BREAKDOWN_MISMATCH",INDEX(tblLedger[Reconciliation Status],MATCH($A52,tblLedger[Ledger Record ID],0))="ACH_MISMATCH"),"Yes","No")</x:f>
        <x:v>No</x:v>
      </x:c>
      <x:c r="N52" t="str">
        <x:f>IF(D52="","Yes","No")</x:f>
        <x:v>No</x:v>
      </x:c>
      <x:c r="O52" t="str">
        <x:f>IF(OR(INDEX(tblLedger[City],MATCH($A52,tblLedger[Ledger Record ID],0))="",INDEX(tblLedger[Jurisdiction],MATCH($A52,tblLedger[Ledger Record ID],0))=""),"Yes","No")</x:f>
        <x:v>No</x:v>
      </x:c>
      <x:c r="P52" t="str">
        <x:f>IF(COUNTIF({"Yes","No","Partial","Pending","Mapping Hold"},E52)=0,"Yes","No")</x:f>
        <x:v>No</x:v>
      </x:c>
      <x:c r="Q52" t="str">
        <x:f>IF(COUNTIF({"Yes","No","Partial","Pending","Mapping Review"},F52)=0,"Yes","No")</x:f>
        <x:v>No</x:v>
      </x:c>
      <x:c r="R52" t="str">
        <x:f>IF(J52="Yes","Mapping Hold",IF(I52="Yes","Missing Event Link",IF(H52="Yes","Duplicate WO",IF(M52="Yes","Revenue Variance",IF(K52="Yes","Missing Breakdown",IF(L52="Yes","Pending ACH",IF(E52="Partial","Partial Breakdown",IF(N52="Yes","Missing Client",IF(O52="Yes","Missing Location",IF(P52="Yes","Unknown Breakdown Status",IF(Q52="Yes","Unknown ACH Status","OK")))))))))))</x:f>
        <x:v>OK</x:v>
      </x:c>
      <x:c r="S52" t="str">
        <x:f>IF(OR(J52="Yes",I52="Yes",H52="Yes"),"Critical",IF(OR(M52="Yes",E52="Partial",N52="Yes",O52="Yes",P52="Yes",Q52="Yes"),"Warning",IF(OR(K52="Yes",L52="Yes"),"Informational","OK")))</x:f>
        <x:v>OK</x:v>
      </x:c>
      <x:c r="T52" t="str">
        <x:f>IF(R52="Mapping Hold","Resolve mapping before update",IF(R52="Missing Event Link","Map to one authoritative event",IF(R52="Duplicate WO","Review duplicate identity",IF(R52="Revenue Variance","Reconcile or dispute amount",IF(R52="Missing Breakdown","Await breakdown",IF(R52="Pending ACH","Await ACH",IF(R52="Partial Breakdown","Confirm remaining breakdown",IF(R52="Missing Client","Add canonical client",IF(R52="Missing Location","Complete location fields",IF(R52="OK","No action","Review invalid status"))))))))))</x:f>
        <x:v>No action</x:v>
      </x:c>
      <x:c r="U52" t="str">
        <x:f>IF(R52="OK","No","Yes")</x:f>
        <x:v>No</x:v>
      </x:c>
      <x:c r="V52" s="24" t="n">
        <x:f>ABS(N(G52))</x:f>
        <x:v>0</x:v>
      </x:c>
    </x:row>
    <x:row r="53">
      <x:c r="A53" t="str">
        <x:v>LED-0023</x:v>
      </x:c>
      <x:c r="B53" t="str">
        <x:f>INDEX(tblLedger[Work Order #],MATCH($A53,tblLedger[Ledger Record ID],0))</x:f>
        <x:v>UNRESOLVED-E023</x:v>
      </x:c>
      <x:c r="C53" t="n">
        <x:f>INDEX(tblLedger[Event #],MATCH($A53,tblLedger[Ledger Record ID],0))</x:f>
        <x:v>23</x:v>
      </x:c>
      <x:c r="D53" t="str">
        <x:f>INDEX(tblLedger[Client],MATCH($A53,tblLedger[Ledger Record ID],0))</x:f>
        <x:v>Joint Base Andrews</x:v>
      </x:c>
      <x:c r="E53" t="str">
        <x:f>INDEX(tblLedger[Breakdown Confirmed],MATCH($A53,tblLedger[Ledger Record ID],0))</x:f>
        <x:v>No</x:v>
      </x:c>
      <x:c r="F53" t="str">
        <x:f>INDEX(tblLedger[ACH Confirmed],MATCH($A53,tblLedger[Ledger Record ID],0))</x:f>
        <x:v>Yes</x:v>
      </x:c>
      <x:c r="G53" s="24" t="str">
        <x:f>INDEX(tblLedger[Variance],MATCH($A53,tblLedger[Ledger Record ID],0))</x:f>
      </x:c>
      <x:c r="H53" t="str">
        <x:f>IF(COUNTIF(tblLedger[Work Order #],B53)&gt;1,"Yes","No")</x:f>
        <x:v>No</x:v>
      </x:c>
      <x:c r="I53" t="str">
        <x:f>IF(C53="","Yes","No")</x:f>
        <x:v>No</x:v>
      </x:c>
      <x:c r="J53" t="str">
        <x:f>IF(INDEX(tblLedger[Mapping Status],MATCH($A53,tblLedger[Ledger Record ID],0))="MAPPING_HOLD","Yes","No")</x:f>
        <x:v>No</x:v>
      </x:c>
      <x:c r="K53" t="str">
        <x:f>IF(AND(OR(E53="No",E53="Pending"),IFERROR(INDEX(tblServiceEvents[Financial Scope],MATCH(C53,tblServiceEvents[Event #],0)),"Included")="Included"),"Yes","No")</x:f>
        <x:v>No</x:v>
      </x:c>
      <x:c r="L53" t="str">
        <x:f>IF(AND(E53="Yes",OR(F53="No",F53="Pending")),"Yes","No")</x:f>
        <x:v>No</x:v>
      </x:c>
      <x:c r="M53" t="str">
        <x:f>IF(OR(ABS(N(G53))&gt;0,INDEX(tblLedger[Reconciliation Status],MATCH($A53,tblLedger[Ledger Record ID],0))="BREAKDOWN_MISMATCH",INDEX(tblLedger[Reconciliation Status],MATCH($A53,tblLedger[Ledger Record ID],0))="ACH_MISMATCH"),"Yes","No")</x:f>
        <x:v>No</x:v>
      </x:c>
      <x:c r="N53" t="str">
        <x:f>IF(D53="","Yes","No")</x:f>
        <x:v>No</x:v>
      </x:c>
      <x:c r="O53" t="str">
        <x:f>IF(OR(INDEX(tblLedger[City],MATCH($A53,tblLedger[Ledger Record ID],0))="",INDEX(tblLedger[Jurisdiction],MATCH($A53,tblLedger[Ledger Record ID],0))=""),"Yes","No")</x:f>
        <x:v>No</x:v>
      </x:c>
      <x:c r="P53" t="str">
        <x:f>IF(COUNTIF({"Yes","No","Partial","Pending","Mapping Hold"},E53)=0,"Yes","No")</x:f>
        <x:v>No</x:v>
      </x:c>
      <x:c r="Q53" t="str">
        <x:f>IF(COUNTIF({"Yes","No","Partial","Pending","Mapping Review"},F53)=0,"Yes","No")</x:f>
        <x:v>No</x:v>
      </x:c>
      <x:c r="R53" t="str">
        <x:f>IF(J53="Yes","Mapping Hold",IF(I53="Yes","Missing Event Link",IF(H53="Yes","Duplicate WO",IF(M53="Yes","Revenue Variance",IF(K53="Yes","Missing Breakdown",IF(L53="Yes","Pending ACH",IF(E53="Partial","Partial Breakdown",IF(N53="Yes","Missing Client",IF(O53="Yes","Missing Location",IF(P53="Yes","Unknown Breakdown Status",IF(Q53="Yes","Unknown ACH Status","OK")))))))))))</x:f>
        <x:v>OK</x:v>
      </x:c>
      <x:c r="S53" t="str">
        <x:f>IF(OR(J53="Yes",I53="Yes",H53="Yes"),"Critical",IF(OR(M53="Yes",E53="Partial",N53="Yes",O53="Yes",P53="Yes",Q53="Yes"),"Warning",IF(OR(K53="Yes",L53="Yes"),"Informational","OK")))</x:f>
        <x:v>OK</x:v>
      </x:c>
      <x:c r="T53" t="str">
        <x:f>IF(R53="Mapping Hold","Resolve mapping before update",IF(R53="Missing Event Link","Map to one authoritative event",IF(R53="Duplicate WO","Review duplicate identity",IF(R53="Revenue Variance","Reconcile or dispute amount",IF(R53="Missing Breakdown","Await breakdown",IF(R53="Pending ACH","Await ACH",IF(R53="Partial Breakdown","Confirm remaining breakdown",IF(R53="Missing Client","Add canonical client",IF(R53="Missing Location","Complete location fields",IF(R53="OK","No action","Review invalid status"))))))))))</x:f>
        <x:v>No action</x:v>
      </x:c>
      <x:c r="U53" t="str">
        <x:f>IF(R53="OK","No","Yes")</x:f>
        <x:v>No</x:v>
      </x:c>
      <x:c r="V53" s="24" t="n">
        <x:f>ABS(N(G53))</x:f>
        <x:v>0</x:v>
      </x:c>
    </x:row>
    <x:row r="54">
      <x:c r="A54" t="str">
        <x:v>LED-0024</x:v>
      </x:c>
      <x:c r="B54" t="str">
        <x:f>INDEX(tblLedger[Work Order #],MATCH($A54,tblLedger[Ledger Record ID],0))</x:f>
        <x:v>USDA-SPECIAL-E024</x:v>
      </x:c>
      <x:c r="C54" t="n">
        <x:f>INDEX(tblLedger[Event #],MATCH($A54,tblLedger[Ledger Record ID],0))</x:f>
        <x:v>24</x:v>
      </x:c>
      <x:c r="D54" t="str">
        <x:f>INDEX(tblLedger[Client],MATCH($A54,tblLedger[Ledger Record ID],0))</x:f>
        <x:v>USDA</x:v>
      </x:c>
      <x:c r="E54" t="str">
        <x:f>INDEX(tblLedger[Breakdown Confirmed],MATCH($A54,tblLedger[Ledger Record ID],0))</x:f>
        <x:v>Yes</x:v>
      </x:c>
      <x:c r="F54" t="str">
        <x:f>INDEX(tblLedger[ACH Confirmed],MATCH($A54,tblLedger[Ledger Record ID],0))</x:f>
        <x:v>Yes</x:v>
      </x:c>
      <x:c r="G54" s="24" t="str">
        <x:f>INDEX(tblLedger[Variance],MATCH($A54,tblLedger[Ledger Record ID],0))</x:f>
      </x:c>
      <x:c r="H54" t="str">
        <x:f>IF(COUNTIF(tblLedger[Work Order #],B54)&gt;1,"Yes","No")</x:f>
        <x:v>No</x:v>
      </x:c>
      <x:c r="I54" t="str">
        <x:f>IF(C54="","Yes","No")</x:f>
        <x:v>No</x:v>
      </x:c>
      <x:c r="J54" t="str">
        <x:f>IF(INDEX(tblLedger[Mapping Status],MATCH($A54,tblLedger[Ledger Record ID],0))="MAPPING_HOLD","Yes","No")</x:f>
        <x:v>No</x:v>
      </x:c>
      <x:c r="K54" t="str">
        <x:f>IF(AND(OR(E54="No",E54="Pending"),IFERROR(INDEX(tblServiceEvents[Financial Scope],MATCH(C54,tblServiceEvents[Event #],0)),"Included")="Included"),"Yes","No")</x:f>
        <x:v>No</x:v>
      </x:c>
      <x:c r="L54" t="str">
        <x:f>IF(AND(E54="Yes",OR(F54="No",F54="Pending")),"Yes","No")</x:f>
        <x:v>No</x:v>
      </x:c>
      <x:c r="M54" t="str">
        <x:f>IF(OR(ABS(N(G54))&gt;0,INDEX(tblLedger[Reconciliation Status],MATCH($A54,tblLedger[Ledger Record ID],0))="BREAKDOWN_MISMATCH",INDEX(tblLedger[Reconciliation Status],MATCH($A54,tblLedger[Ledger Record ID],0))="ACH_MISMATCH"),"Yes","No")</x:f>
        <x:v>No</x:v>
      </x:c>
      <x:c r="N54" t="str">
        <x:f>IF(D54="","Yes","No")</x:f>
        <x:v>No</x:v>
      </x:c>
      <x:c r="O54" t="str">
        <x:f>IF(OR(INDEX(tblLedger[City],MATCH($A54,tblLedger[Ledger Record ID],0))="",INDEX(tblLedger[Jurisdiction],MATCH($A54,tblLedger[Ledger Record ID],0))=""),"Yes","No")</x:f>
        <x:v>No</x:v>
      </x:c>
      <x:c r="P54" t="str">
        <x:f>IF(COUNTIF({"Yes","No","Partial","Pending","Mapping Hold"},E54)=0,"Yes","No")</x:f>
        <x:v>No</x:v>
      </x:c>
      <x:c r="Q54" t="str">
        <x:f>IF(COUNTIF({"Yes","No","Partial","Pending","Mapping Review"},F54)=0,"Yes","No")</x:f>
        <x:v>No</x:v>
      </x:c>
      <x:c r="R54" t="str">
        <x:f>IF(J54="Yes","Mapping Hold",IF(I54="Yes","Missing Event Link",IF(H54="Yes","Duplicate WO",IF(M54="Yes","Revenue Variance",IF(K54="Yes","Missing Breakdown",IF(L54="Yes","Pending ACH",IF(E54="Partial","Partial Breakdown",IF(N54="Yes","Missing Client",IF(O54="Yes","Missing Location",IF(P54="Yes","Unknown Breakdown Status",IF(Q54="Yes","Unknown ACH Status","OK")))))))))))</x:f>
        <x:v>OK</x:v>
      </x:c>
      <x:c r="S54" t="str">
        <x:f>IF(OR(J54="Yes",I54="Yes",H54="Yes"),"Critical",IF(OR(M54="Yes",E54="Partial",N54="Yes",O54="Yes",P54="Yes",Q54="Yes"),"Warning",IF(OR(K54="Yes",L54="Yes"),"Informational","OK")))</x:f>
        <x:v>OK</x:v>
      </x:c>
      <x:c r="T54" t="str">
        <x:f>IF(R54="Mapping Hold","Resolve mapping before update",IF(R54="Missing Event Link","Map to one authoritative event",IF(R54="Duplicate WO","Review duplicate identity",IF(R54="Revenue Variance","Reconcile or dispute amount",IF(R54="Missing Breakdown","Await breakdown",IF(R54="Pending ACH","Await ACH",IF(R54="Partial Breakdown","Confirm remaining breakdown",IF(R54="Missing Client","Add canonical client",IF(R54="Missing Location","Complete location fields",IF(R54="OK","No action","Review invalid status"))))))))))</x:f>
        <x:v>No action</x:v>
      </x:c>
      <x:c r="U54" t="str">
        <x:f>IF(R54="OK","No","Yes")</x:f>
        <x:v>No</x:v>
      </x:c>
      <x:c r="V54" s="24" t="n">
        <x:f>ABS(N(G54))</x:f>
        <x:v>0</x:v>
      </x:c>
    </x:row>
    <x:row r="55">
      <x:c r="A55" t="str">
        <x:v>LED-0025</x:v>
      </x:c>
      <x:c r="B55" t="str">
        <x:f>INDEX(tblLedger[Work Order #],MATCH($A55,tblLedger[Ledger Record ID],0))</x:f>
        <x:v>UNRESOLVED-E025</x:v>
      </x:c>
      <x:c r="C55" t="n">
        <x:f>INDEX(tblLedger[Event #],MATCH($A55,tblLedger[Ledger Record ID],0))</x:f>
        <x:v>25</x:v>
      </x:c>
      <x:c r="D55" t="str">
        <x:f>INDEX(tblLedger[Client],MATCH($A55,tblLedger[Ledger Record ID],0))</x:f>
        <x:v>PepsiCo</x:v>
      </x:c>
      <x:c r="E55" t="str">
        <x:f>INDEX(tblLedger[Breakdown Confirmed],MATCH($A55,tblLedger[Ledger Record ID],0))</x:f>
        <x:v>No</x:v>
      </x:c>
      <x:c r="F55" t="str">
        <x:f>INDEX(tblLedger[ACH Confirmed],MATCH($A55,tblLedger[Ledger Record ID],0))</x:f>
        <x:v>Yes</x:v>
      </x:c>
      <x:c r="G55" s="24" t="str">
        <x:f>INDEX(tblLedger[Variance],MATCH($A55,tblLedger[Ledger Record ID],0))</x:f>
      </x:c>
      <x:c r="H55" t="str">
        <x:f>IF(COUNTIF(tblLedger[Work Order #],B55)&gt;1,"Yes","No")</x:f>
        <x:v>No</x:v>
      </x:c>
      <x:c r="I55" t="str">
        <x:f>IF(C55="","Yes","No")</x:f>
        <x:v>No</x:v>
      </x:c>
      <x:c r="J55" t="str">
        <x:f>IF(INDEX(tblLedger[Mapping Status],MATCH($A55,tblLedger[Ledger Record ID],0))="MAPPING_HOLD","Yes","No")</x:f>
        <x:v>No</x:v>
      </x:c>
      <x:c r="K55" t="str">
        <x:f>IF(AND(OR(E55="No",E55="Pending"),IFERROR(INDEX(tblServiceEvents[Financial Scope],MATCH(C55,tblServiceEvents[Event #],0)),"Included")="Included"),"Yes","No")</x:f>
        <x:v>No</x:v>
      </x:c>
      <x:c r="L55" t="str">
        <x:f>IF(AND(E55="Yes",OR(F55="No",F55="Pending")),"Yes","No")</x:f>
        <x:v>No</x:v>
      </x:c>
      <x:c r="M55" t="str">
        <x:f>IF(OR(ABS(N(G55))&gt;0,INDEX(tblLedger[Reconciliation Status],MATCH($A55,tblLedger[Ledger Record ID],0))="BREAKDOWN_MISMATCH",INDEX(tblLedger[Reconciliation Status],MATCH($A55,tblLedger[Ledger Record ID],0))="ACH_MISMATCH"),"Yes","No")</x:f>
        <x:v>No</x:v>
      </x:c>
      <x:c r="N55" t="str">
        <x:f>IF(D55="","Yes","No")</x:f>
        <x:v>No</x:v>
      </x:c>
      <x:c r="O55" t="str">
        <x:f>IF(OR(INDEX(tblLedger[City],MATCH($A55,tblLedger[Ledger Record ID],0))="",INDEX(tblLedger[Jurisdiction],MATCH($A55,tblLedger[Ledger Record ID],0))=""),"Yes","No")</x:f>
        <x:v>No</x:v>
      </x:c>
      <x:c r="P55" t="str">
        <x:f>IF(COUNTIF({"Yes","No","Partial","Pending","Mapping Hold"},E55)=0,"Yes","No")</x:f>
        <x:v>No</x:v>
      </x:c>
      <x:c r="Q55" t="str">
        <x:f>IF(COUNTIF({"Yes","No","Partial","Pending","Mapping Review"},F55)=0,"Yes","No")</x:f>
        <x:v>No</x:v>
      </x:c>
      <x:c r="R55" t="str">
        <x:f>IF(J55="Yes","Mapping Hold",IF(I55="Yes","Missing Event Link",IF(H55="Yes","Duplicate WO",IF(M55="Yes","Revenue Variance",IF(K55="Yes","Missing Breakdown",IF(L55="Yes","Pending ACH",IF(E55="Partial","Partial Breakdown",IF(N55="Yes","Missing Client",IF(O55="Yes","Missing Location",IF(P55="Yes","Unknown Breakdown Status",IF(Q55="Yes","Unknown ACH Status","OK")))))))))))</x:f>
        <x:v>OK</x:v>
      </x:c>
      <x:c r="S55" t="str">
        <x:f>IF(OR(J55="Yes",I55="Yes",H55="Yes"),"Critical",IF(OR(M55="Yes",E55="Partial",N55="Yes",O55="Yes",P55="Yes",Q55="Yes"),"Warning",IF(OR(K55="Yes",L55="Yes"),"Informational","OK")))</x:f>
        <x:v>OK</x:v>
      </x:c>
      <x:c r="T55" t="str">
        <x:f>IF(R55="Mapping Hold","Resolve mapping before update",IF(R55="Missing Event Link","Map to one authoritative event",IF(R55="Duplicate WO","Review duplicate identity",IF(R55="Revenue Variance","Reconcile or dispute amount",IF(R55="Missing Breakdown","Await breakdown",IF(R55="Pending ACH","Await ACH",IF(R55="Partial Breakdown","Confirm remaining breakdown",IF(R55="Missing Client","Add canonical client",IF(R55="Missing Location","Complete location fields",IF(R55="OK","No action","Review invalid status"))))))))))</x:f>
        <x:v>No action</x:v>
      </x:c>
      <x:c r="U55" t="str">
        <x:f>IF(R55="OK","No","Yes")</x:f>
        <x:v>No</x:v>
      </x:c>
      <x:c r="V55" s="24" t="n">
        <x:f>ABS(N(G55))</x:f>
        <x:v>0</x:v>
      </x:c>
    </x:row>
    <x:row r="56">
      <x:c r="A56" t="str">
        <x:v>LED-0026</x:v>
      </x:c>
      <x:c r="B56" t="str">
        <x:f>INDEX(tblLedger[Work Order #],MATCH($A56,tblLedger[Ledger Record ID],0))</x:f>
        <x:v>USDA-SPECIAL-E026</x:v>
      </x:c>
      <x:c r="C56" t="n">
        <x:f>INDEX(tblLedger[Event #],MATCH($A56,tblLedger[Ledger Record ID],0))</x:f>
        <x:v>26</x:v>
      </x:c>
      <x:c r="D56" t="str">
        <x:f>INDEX(tblLedger[Client],MATCH($A56,tblLedger[Ledger Record ID],0))</x:f>
        <x:v>USDA</x:v>
      </x:c>
      <x:c r="E56" t="str">
        <x:f>INDEX(tblLedger[Breakdown Confirmed],MATCH($A56,tblLedger[Ledger Record ID],0))</x:f>
        <x:v>Yes</x:v>
      </x:c>
      <x:c r="F56" t="str">
        <x:f>INDEX(tblLedger[ACH Confirmed],MATCH($A56,tblLedger[Ledger Record ID],0))</x:f>
        <x:v>Yes</x:v>
      </x:c>
      <x:c r="G56" s="24" t="str">
        <x:f>INDEX(tblLedger[Variance],MATCH($A56,tblLedger[Ledger Record ID],0))</x:f>
      </x:c>
      <x:c r="H56" t="str">
        <x:f>IF(COUNTIF(tblLedger[Work Order #],B56)&gt;1,"Yes","No")</x:f>
        <x:v>No</x:v>
      </x:c>
      <x:c r="I56" t="str">
        <x:f>IF(C56="","Yes","No")</x:f>
        <x:v>No</x:v>
      </x:c>
      <x:c r="J56" t="str">
        <x:f>IF(INDEX(tblLedger[Mapping Status],MATCH($A56,tblLedger[Ledger Record ID],0))="MAPPING_HOLD","Yes","No")</x:f>
        <x:v>No</x:v>
      </x:c>
      <x:c r="K56" t="str">
        <x:f>IF(AND(OR(E56="No",E56="Pending"),IFERROR(INDEX(tblServiceEvents[Financial Scope],MATCH(C56,tblServiceEvents[Event #],0)),"Included")="Included"),"Yes","No")</x:f>
        <x:v>No</x:v>
      </x:c>
      <x:c r="L56" t="str">
        <x:f>IF(AND(E56="Yes",OR(F56="No",F56="Pending")),"Yes","No")</x:f>
        <x:v>No</x:v>
      </x:c>
      <x:c r="M56" t="str">
        <x:f>IF(OR(ABS(N(G56))&gt;0,INDEX(tblLedger[Reconciliation Status],MATCH($A56,tblLedger[Ledger Record ID],0))="BREAKDOWN_MISMATCH",INDEX(tblLedger[Reconciliation Status],MATCH($A56,tblLedger[Ledger Record ID],0))="ACH_MISMATCH"),"Yes","No")</x:f>
        <x:v>No</x:v>
      </x:c>
      <x:c r="N56" t="str">
        <x:f>IF(D56="","Yes","No")</x:f>
        <x:v>No</x:v>
      </x:c>
      <x:c r="O56" t="str">
        <x:f>IF(OR(INDEX(tblLedger[City],MATCH($A56,tblLedger[Ledger Record ID],0))="",INDEX(tblLedger[Jurisdiction],MATCH($A56,tblLedger[Ledger Record ID],0))=""),"Yes","No")</x:f>
        <x:v>No</x:v>
      </x:c>
      <x:c r="P56" t="str">
        <x:f>IF(COUNTIF({"Yes","No","Partial","Pending","Mapping Hold"},E56)=0,"Yes","No")</x:f>
        <x:v>No</x:v>
      </x:c>
      <x:c r="Q56" t="str">
        <x:f>IF(COUNTIF({"Yes","No","Partial","Pending","Mapping Review"},F56)=0,"Yes","No")</x:f>
        <x:v>No</x:v>
      </x:c>
      <x:c r="R56" t="str">
        <x:f>IF(J56="Yes","Mapping Hold",IF(I56="Yes","Missing Event Link",IF(H56="Yes","Duplicate WO",IF(M56="Yes","Revenue Variance",IF(K56="Yes","Missing Breakdown",IF(L56="Yes","Pending ACH",IF(E56="Partial","Partial Breakdown",IF(N56="Yes","Missing Client",IF(O56="Yes","Missing Location",IF(P56="Yes","Unknown Breakdown Status",IF(Q56="Yes","Unknown ACH Status","OK")))))))))))</x:f>
        <x:v>OK</x:v>
      </x:c>
      <x:c r="S56" t="str">
        <x:f>IF(OR(J56="Yes",I56="Yes",H56="Yes"),"Critical",IF(OR(M56="Yes",E56="Partial",N56="Yes",O56="Yes",P56="Yes",Q56="Yes"),"Warning",IF(OR(K56="Yes",L56="Yes"),"Informational","OK")))</x:f>
        <x:v>OK</x:v>
      </x:c>
      <x:c r="T56" t="str">
        <x:f>IF(R56="Mapping Hold","Resolve mapping before update",IF(R56="Missing Event Link","Map to one authoritative event",IF(R56="Duplicate WO","Review duplicate identity",IF(R56="Revenue Variance","Reconcile or dispute amount",IF(R56="Missing Breakdown","Await breakdown",IF(R56="Pending ACH","Await ACH",IF(R56="Partial Breakdown","Confirm remaining breakdown",IF(R56="Missing Client","Add canonical client",IF(R56="Missing Location","Complete location fields",IF(R56="OK","No action","Review invalid status"))))))))))</x:f>
        <x:v>No action</x:v>
      </x:c>
      <x:c r="U56" t="str">
        <x:f>IF(R56="OK","No","Yes")</x:f>
        <x:v>No</x:v>
      </x:c>
      <x:c r="V56" s="24" t="n">
        <x:f>ABS(N(G56))</x:f>
        <x:v>0</x:v>
      </x:c>
    </x:row>
    <x:row r="57">
      <x:c r="A57" t="str">
        <x:v>LED-0027</x:v>
      </x:c>
      <x:c r="B57" t="str">
        <x:f>INDEX(tblLedger[Work Order #],MATCH($A57,tblLedger[Ledger Record ID],0))</x:f>
        <x:v>USDA-SPECIAL-E027</x:v>
      </x:c>
      <x:c r="C57" t="n">
        <x:f>INDEX(tblLedger[Event #],MATCH($A57,tblLedger[Ledger Record ID],0))</x:f>
        <x:v>27</x:v>
      </x:c>
      <x:c r="D57" t="str">
        <x:f>INDEX(tblLedger[Client],MATCH($A57,tblLedger[Ledger Record ID],0))</x:f>
        <x:v>USDA</x:v>
      </x:c>
      <x:c r="E57" t="str">
        <x:f>INDEX(tblLedger[Breakdown Confirmed],MATCH($A57,tblLedger[Ledger Record ID],0))</x:f>
        <x:v>Yes</x:v>
      </x:c>
      <x:c r="F57" t="str">
        <x:f>INDEX(tblLedger[ACH Confirmed],MATCH($A57,tblLedger[Ledger Record ID],0))</x:f>
        <x:v>Yes</x:v>
      </x:c>
      <x:c r="G57" s="24" t="str">
        <x:f>INDEX(tblLedger[Variance],MATCH($A57,tblLedger[Ledger Record ID],0))</x:f>
      </x:c>
      <x:c r="H57" t="str">
        <x:f>IF(COUNTIF(tblLedger[Work Order #],B57)&gt;1,"Yes","No")</x:f>
        <x:v>No</x:v>
      </x:c>
      <x:c r="I57" t="str">
        <x:f>IF(C57="","Yes","No")</x:f>
        <x:v>No</x:v>
      </x:c>
      <x:c r="J57" t="str">
        <x:f>IF(INDEX(tblLedger[Mapping Status],MATCH($A57,tblLedger[Ledger Record ID],0))="MAPPING_HOLD","Yes","No")</x:f>
        <x:v>No</x:v>
      </x:c>
      <x:c r="K57" t="str">
        <x:f>IF(AND(OR(E57="No",E57="Pending"),IFERROR(INDEX(tblServiceEvents[Financial Scope],MATCH(C57,tblServiceEvents[Event #],0)),"Included")="Included"),"Yes","No")</x:f>
        <x:v>No</x:v>
      </x:c>
      <x:c r="L57" t="str">
        <x:f>IF(AND(E57="Yes",OR(F57="No",F57="Pending")),"Yes","No")</x:f>
        <x:v>No</x:v>
      </x:c>
      <x:c r="M57" t="str">
        <x:f>IF(OR(ABS(N(G57))&gt;0,INDEX(tblLedger[Reconciliation Status],MATCH($A57,tblLedger[Ledger Record ID],0))="BREAKDOWN_MISMATCH",INDEX(tblLedger[Reconciliation Status],MATCH($A57,tblLedger[Ledger Record ID],0))="ACH_MISMATCH"),"Yes","No")</x:f>
        <x:v>No</x:v>
      </x:c>
      <x:c r="N57" t="str">
        <x:f>IF(D57="","Yes","No")</x:f>
        <x:v>No</x:v>
      </x:c>
      <x:c r="O57" t="str">
        <x:f>IF(OR(INDEX(tblLedger[City],MATCH($A57,tblLedger[Ledger Record ID],0))="",INDEX(tblLedger[Jurisdiction],MATCH($A57,tblLedger[Ledger Record ID],0))=""),"Yes","No")</x:f>
        <x:v>No</x:v>
      </x:c>
      <x:c r="P57" t="str">
        <x:f>IF(COUNTIF({"Yes","No","Partial","Pending","Mapping Hold"},E57)=0,"Yes","No")</x:f>
        <x:v>No</x:v>
      </x:c>
      <x:c r="Q57" t="str">
        <x:f>IF(COUNTIF({"Yes","No","Partial","Pending","Mapping Review"},F57)=0,"Yes","No")</x:f>
        <x:v>No</x:v>
      </x:c>
      <x:c r="R57" t="str">
        <x:f>IF(J57="Yes","Mapping Hold",IF(I57="Yes","Missing Event Link",IF(H57="Yes","Duplicate WO",IF(M57="Yes","Revenue Variance",IF(K57="Yes","Missing Breakdown",IF(L57="Yes","Pending ACH",IF(E57="Partial","Partial Breakdown",IF(N57="Yes","Missing Client",IF(O57="Yes","Missing Location",IF(P57="Yes","Unknown Breakdown Status",IF(Q57="Yes","Unknown ACH Status","OK")))))))))))</x:f>
        <x:v>OK</x:v>
      </x:c>
      <x:c r="S57" t="str">
        <x:f>IF(OR(J57="Yes",I57="Yes",H57="Yes"),"Critical",IF(OR(M57="Yes",E57="Partial",N57="Yes",O57="Yes",P57="Yes",Q57="Yes"),"Warning",IF(OR(K57="Yes",L57="Yes"),"Informational","OK")))</x:f>
        <x:v>OK</x:v>
      </x:c>
      <x:c r="T57" t="str">
        <x:f>IF(R57="Mapping Hold","Resolve mapping before update",IF(R57="Missing Event Link","Map to one authoritative event",IF(R57="Duplicate WO","Review duplicate identity",IF(R57="Revenue Variance","Reconcile or dispute amount",IF(R57="Missing Breakdown","Await breakdown",IF(R57="Pending ACH","Await ACH",IF(R57="Partial Breakdown","Confirm remaining breakdown",IF(R57="Missing Client","Add canonical client",IF(R57="Missing Location","Complete location fields",IF(R57="OK","No action","Review invalid status"))))))))))</x:f>
        <x:v>No action</x:v>
      </x:c>
      <x:c r="U57" t="str">
        <x:f>IF(R57="OK","No","Yes")</x:f>
        <x:v>No</x:v>
      </x:c>
      <x:c r="V57" s="24" t="n">
        <x:f>ABS(N(G57))</x:f>
        <x:v>0</x:v>
      </x:c>
    </x:row>
    <x:row r="58">
      <x:c r="A58" t="str">
        <x:v>LED-0028</x:v>
      </x:c>
      <x:c r="B58" t="str">
        <x:f>INDEX(tblLedger[Work Order #],MATCH($A58,tblLedger[Ledger Record ID],0))</x:f>
        <x:v>USDA-SPECIAL-E028</x:v>
      </x:c>
      <x:c r="C58" t="n">
        <x:f>INDEX(tblLedger[Event #],MATCH($A58,tblLedger[Ledger Record ID],0))</x:f>
        <x:v>28</x:v>
      </x:c>
      <x:c r="D58" t="str">
        <x:f>INDEX(tblLedger[Client],MATCH($A58,tblLedger[Ledger Record ID],0))</x:f>
        <x:v>USDA</x:v>
      </x:c>
      <x:c r="E58" t="str">
        <x:f>INDEX(tblLedger[Breakdown Confirmed],MATCH($A58,tblLedger[Ledger Record ID],0))</x:f>
        <x:v>Yes</x:v>
      </x:c>
      <x:c r="F58" t="str">
        <x:f>INDEX(tblLedger[ACH Confirmed],MATCH($A58,tblLedger[Ledger Record ID],0))</x:f>
        <x:v>Yes</x:v>
      </x:c>
      <x:c r="G58" s="24" t="str">
        <x:f>INDEX(tblLedger[Variance],MATCH($A58,tblLedger[Ledger Record ID],0))</x:f>
      </x:c>
      <x:c r="H58" t="str">
        <x:f>IF(COUNTIF(tblLedger[Work Order #],B58)&gt;1,"Yes","No")</x:f>
        <x:v>No</x:v>
      </x:c>
      <x:c r="I58" t="str">
        <x:f>IF(C58="","Yes","No")</x:f>
        <x:v>No</x:v>
      </x:c>
      <x:c r="J58" t="str">
        <x:f>IF(INDEX(tblLedger[Mapping Status],MATCH($A58,tblLedger[Ledger Record ID],0))="MAPPING_HOLD","Yes","No")</x:f>
        <x:v>No</x:v>
      </x:c>
      <x:c r="K58" t="str">
        <x:f>IF(AND(OR(E58="No",E58="Pending"),IFERROR(INDEX(tblServiceEvents[Financial Scope],MATCH(C58,tblServiceEvents[Event #],0)),"Included")="Included"),"Yes","No")</x:f>
        <x:v>No</x:v>
      </x:c>
      <x:c r="L58" t="str">
        <x:f>IF(AND(E58="Yes",OR(F58="No",F58="Pending")),"Yes","No")</x:f>
        <x:v>No</x:v>
      </x:c>
      <x:c r="M58" t="str">
        <x:f>IF(OR(ABS(N(G58))&gt;0,INDEX(tblLedger[Reconciliation Status],MATCH($A58,tblLedger[Ledger Record ID],0))="BREAKDOWN_MISMATCH",INDEX(tblLedger[Reconciliation Status],MATCH($A58,tblLedger[Ledger Record ID],0))="ACH_MISMATCH"),"Yes","No")</x:f>
        <x:v>No</x:v>
      </x:c>
      <x:c r="N58" t="str">
        <x:f>IF(D58="","Yes","No")</x:f>
        <x:v>No</x:v>
      </x:c>
      <x:c r="O58" t="str">
        <x:f>IF(OR(INDEX(tblLedger[City],MATCH($A58,tblLedger[Ledger Record ID],0))="",INDEX(tblLedger[Jurisdiction],MATCH($A58,tblLedger[Ledger Record ID],0))=""),"Yes","No")</x:f>
        <x:v>No</x:v>
      </x:c>
      <x:c r="P58" t="str">
        <x:f>IF(COUNTIF({"Yes","No","Partial","Pending","Mapping Hold"},E58)=0,"Yes","No")</x:f>
        <x:v>No</x:v>
      </x:c>
      <x:c r="Q58" t="str">
        <x:f>IF(COUNTIF({"Yes","No","Partial","Pending","Mapping Review"},F58)=0,"Yes","No")</x:f>
        <x:v>No</x:v>
      </x:c>
      <x:c r="R58" t="str">
        <x:f>IF(J58="Yes","Mapping Hold",IF(I58="Yes","Missing Event Link",IF(H58="Yes","Duplicate WO",IF(M58="Yes","Revenue Variance",IF(K58="Yes","Missing Breakdown",IF(L58="Yes","Pending ACH",IF(E58="Partial","Partial Breakdown",IF(N58="Yes","Missing Client",IF(O58="Yes","Missing Location",IF(P58="Yes","Unknown Breakdown Status",IF(Q58="Yes","Unknown ACH Status","OK")))))))))))</x:f>
        <x:v>OK</x:v>
      </x:c>
      <x:c r="S58" t="str">
        <x:f>IF(OR(J58="Yes",I58="Yes",H58="Yes"),"Critical",IF(OR(M58="Yes",E58="Partial",N58="Yes",O58="Yes",P58="Yes",Q58="Yes"),"Warning",IF(OR(K58="Yes",L58="Yes"),"Informational","OK")))</x:f>
        <x:v>OK</x:v>
      </x:c>
      <x:c r="T58" t="str">
        <x:f>IF(R58="Mapping Hold","Resolve mapping before update",IF(R58="Missing Event Link","Map to one authoritative event",IF(R58="Duplicate WO","Review duplicate identity",IF(R58="Revenue Variance","Reconcile or dispute amount",IF(R58="Missing Breakdown","Await breakdown",IF(R58="Pending ACH","Await ACH",IF(R58="Partial Breakdown","Confirm remaining breakdown",IF(R58="Missing Client","Add canonical client",IF(R58="Missing Location","Complete location fields",IF(R58="OK","No action","Review invalid status"))))))))))</x:f>
        <x:v>No action</x:v>
      </x:c>
      <x:c r="U58" t="str">
        <x:f>IF(R58="OK","No","Yes")</x:f>
        <x:v>No</x:v>
      </x:c>
      <x:c r="V58" s="24" t="n">
        <x:f>ABS(N(G58))</x:f>
        <x:v>0</x:v>
      </x:c>
    </x:row>
    <x:row r="59">
      <x:c r="A59" t="str">
        <x:v>LED-0029</x:v>
      </x:c>
      <x:c r="B59" t="str">
        <x:f>INDEX(tblLedger[Work Order #],MATCH($A59,tblLedger[Ledger Record ID],0))</x:f>
        <x:v>USDA-SPECIAL-E029</x:v>
      </x:c>
      <x:c r="C59" t="n">
        <x:f>INDEX(tblLedger[Event #],MATCH($A59,tblLedger[Ledger Record ID],0))</x:f>
        <x:v>29</x:v>
      </x:c>
      <x:c r="D59" t="str">
        <x:f>INDEX(tblLedger[Client],MATCH($A59,tblLedger[Ledger Record ID],0))</x:f>
        <x:v>USDA</x:v>
      </x:c>
      <x:c r="E59" t="str">
        <x:f>INDEX(tblLedger[Breakdown Confirmed],MATCH($A59,tblLedger[Ledger Record ID],0))</x:f>
        <x:v>Yes</x:v>
      </x:c>
      <x:c r="F59" t="str">
        <x:f>INDEX(tblLedger[ACH Confirmed],MATCH($A59,tblLedger[Ledger Record ID],0))</x:f>
        <x:v>Yes</x:v>
      </x:c>
      <x:c r="G59" s="24" t="str">
        <x:f>INDEX(tblLedger[Variance],MATCH($A59,tblLedger[Ledger Record ID],0))</x:f>
      </x:c>
      <x:c r="H59" t="str">
        <x:f>IF(COUNTIF(tblLedger[Work Order #],B59)&gt;1,"Yes","No")</x:f>
        <x:v>No</x:v>
      </x:c>
      <x:c r="I59" t="str">
        <x:f>IF(C59="","Yes","No")</x:f>
        <x:v>No</x:v>
      </x:c>
      <x:c r="J59" t="str">
        <x:f>IF(INDEX(tblLedger[Mapping Status],MATCH($A59,tblLedger[Ledger Record ID],0))="MAPPING_HOLD","Yes","No")</x:f>
        <x:v>No</x:v>
      </x:c>
      <x:c r="K59" t="str">
        <x:f>IF(AND(OR(E59="No",E59="Pending"),IFERROR(INDEX(tblServiceEvents[Financial Scope],MATCH(C59,tblServiceEvents[Event #],0)),"Included")="Included"),"Yes","No")</x:f>
        <x:v>No</x:v>
      </x:c>
      <x:c r="L59" t="str">
        <x:f>IF(AND(E59="Yes",OR(F59="No",F59="Pending")),"Yes","No")</x:f>
        <x:v>No</x:v>
      </x:c>
      <x:c r="M59" t="str">
        <x:f>IF(OR(ABS(N(G59))&gt;0,INDEX(tblLedger[Reconciliation Status],MATCH($A59,tblLedger[Ledger Record ID],0))="BREAKDOWN_MISMATCH",INDEX(tblLedger[Reconciliation Status],MATCH($A59,tblLedger[Ledger Record ID],0))="ACH_MISMATCH"),"Yes","No")</x:f>
        <x:v>No</x:v>
      </x:c>
      <x:c r="N59" t="str">
        <x:f>IF(D59="","Yes","No")</x:f>
        <x:v>No</x:v>
      </x:c>
      <x:c r="O59" t="str">
        <x:f>IF(OR(INDEX(tblLedger[City],MATCH($A59,tblLedger[Ledger Record ID],0))="",INDEX(tblLedger[Jurisdiction],MATCH($A59,tblLedger[Ledger Record ID],0))=""),"Yes","No")</x:f>
        <x:v>No</x:v>
      </x:c>
      <x:c r="P59" t="str">
        <x:f>IF(COUNTIF({"Yes","No","Partial","Pending","Mapping Hold"},E59)=0,"Yes","No")</x:f>
        <x:v>No</x:v>
      </x:c>
      <x:c r="Q59" t="str">
        <x:f>IF(COUNTIF({"Yes","No","Partial","Pending","Mapping Review"},F59)=0,"Yes","No")</x:f>
        <x:v>No</x:v>
      </x:c>
      <x:c r="R59" t="str">
        <x:f>IF(J59="Yes","Mapping Hold",IF(I59="Yes","Missing Event Link",IF(H59="Yes","Duplicate WO",IF(M59="Yes","Revenue Variance",IF(K59="Yes","Missing Breakdown",IF(L59="Yes","Pending ACH",IF(E59="Partial","Partial Breakdown",IF(N59="Yes","Missing Client",IF(O59="Yes","Missing Location",IF(P59="Yes","Unknown Breakdown Status",IF(Q59="Yes","Unknown ACH Status","OK")))))))))))</x:f>
        <x:v>OK</x:v>
      </x:c>
      <x:c r="S59" t="str">
        <x:f>IF(OR(J59="Yes",I59="Yes",H59="Yes"),"Critical",IF(OR(M59="Yes",E59="Partial",N59="Yes",O59="Yes",P59="Yes",Q59="Yes"),"Warning",IF(OR(K59="Yes",L59="Yes"),"Informational","OK")))</x:f>
        <x:v>OK</x:v>
      </x:c>
      <x:c r="T59" t="str">
        <x:f>IF(R59="Mapping Hold","Resolve mapping before update",IF(R59="Missing Event Link","Map to one authoritative event",IF(R59="Duplicate WO","Review duplicate identity",IF(R59="Revenue Variance","Reconcile or dispute amount",IF(R59="Missing Breakdown","Await breakdown",IF(R59="Pending ACH","Await ACH",IF(R59="Partial Breakdown","Confirm remaining breakdown",IF(R59="Missing Client","Add canonical client",IF(R59="Missing Location","Complete location fields",IF(R59="OK","No action","Review invalid status"))))))))))</x:f>
        <x:v>No action</x:v>
      </x:c>
      <x:c r="U59" t="str">
        <x:f>IF(R59="OK","No","Yes")</x:f>
        <x:v>No</x:v>
      </x:c>
      <x:c r="V59" s="24" t="n">
        <x:f>ABS(N(G59))</x:f>
        <x:v>0</x:v>
      </x:c>
    </x:row>
    <x:row r="60">
      <x:c r="A60" t="str">
        <x:v>LED-0030</x:v>
      </x:c>
      <x:c r="B60" t="n">
        <x:f>INDEX(tblLedger[Work Order #],MATCH($A60,tblLedger[Ledger Record ID],0))</x:f>
        <x:v>5896733</x:v>
      </x:c>
      <x:c r="C60" t="n">
        <x:f>INDEX(tblLedger[Event #],MATCH($A60,tblLedger[Ledger Record ID],0))</x:f>
        <x:v>30</x:v>
      </x:c>
      <x:c r="D60" t="str">
        <x:f>INDEX(tblLedger[Client],MATCH($A60,tblLedger[Ledger Record ID],0))</x:f>
        <x:v>TJ Maxx</x:v>
      </x:c>
      <x:c r="E60" t="str">
        <x:f>INDEX(tblLedger[Breakdown Confirmed],MATCH($A60,tblLedger[Ledger Record ID],0))</x:f>
        <x:v>Yes</x:v>
      </x:c>
      <x:c r="F60" t="str">
        <x:f>INDEX(tblLedger[ACH Confirmed],MATCH($A60,tblLedger[Ledger Record ID],0))</x:f>
        <x:v>Yes</x:v>
      </x:c>
      <x:c r="G60" s="24" t="str">
        <x:f>INDEX(tblLedger[Variance],MATCH($A60,tblLedger[Ledger Record ID],0))</x:f>
      </x:c>
      <x:c r="H60" t="str">
        <x:f>IF(COUNTIF(tblLedger[Work Order #],B60)&gt;1,"Yes","No")</x:f>
        <x:v>No</x:v>
      </x:c>
      <x:c r="I60" t="str">
        <x:f>IF(C60="","Yes","No")</x:f>
        <x:v>No</x:v>
      </x:c>
      <x:c r="J60" t="str">
        <x:f>IF(INDEX(tblLedger[Mapping Status],MATCH($A60,tblLedger[Ledger Record ID],0))="MAPPING_HOLD","Yes","No")</x:f>
        <x:v>No</x:v>
      </x:c>
      <x:c r="K60" t="str">
        <x:f>IF(AND(OR(E60="No",E60="Pending"),IFERROR(INDEX(tblServiceEvents[Financial Scope],MATCH(C60,tblServiceEvents[Event #],0)),"Included")="Included"),"Yes","No")</x:f>
        <x:v>No</x:v>
      </x:c>
      <x:c r="L60" t="str">
        <x:f>IF(AND(E60="Yes",OR(F60="No",F60="Pending")),"Yes","No")</x:f>
        <x:v>No</x:v>
      </x:c>
      <x:c r="M60" t="str">
        <x:f>IF(OR(ABS(N(G60))&gt;0,INDEX(tblLedger[Reconciliation Status],MATCH($A60,tblLedger[Ledger Record ID],0))="BREAKDOWN_MISMATCH",INDEX(tblLedger[Reconciliation Status],MATCH($A60,tblLedger[Ledger Record ID],0))="ACH_MISMATCH"),"Yes","No")</x:f>
        <x:v>No</x:v>
      </x:c>
      <x:c r="N60" t="str">
        <x:f>IF(D60="","Yes","No")</x:f>
        <x:v>No</x:v>
      </x:c>
      <x:c r="O60" t="str">
        <x:f>IF(OR(INDEX(tblLedger[City],MATCH($A60,tblLedger[Ledger Record ID],0))="",INDEX(tblLedger[Jurisdiction],MATCH($A60,tblLedger[Ledger Record ID],0))=""),"Yes","No")</x:f>
        <x:v>No</x:v>
      </x:c>
      <x:c r="P60" t="str">
        <x:f>IF(COUNTIF({"Yes","No","Partial","Pending","Mapping Hold"},E60)=0,"Yes","No")</x:f>
        <x:v>No</x:v>
      </x:c>
      <x:c r="Q60" t="str">
        <x:f>IF(COUNTIF({"Yes","No","Partial","Pending","Mapping Review"},F60)=0,"Yes","No")</x:f>
        <x:v>No</x:v>
      </x:c>
      <x:c r="R60" t="str">
        <x:f>IF(J60="Yes","Mapping Hold",IF(I60="Yes","Missing Event Link",IF(H60="Yes","Duplicate WO",IF(M60="Yes","Revenue Variance",IF(K60="Yes","Missing Breakdown",IF(L60="Yes","Pending ACH",IF(E60="Partial","Partial Breakdown",IF(N60="Yes","Missing Client",IF(O60="Yes","Missing Location",IF(P60="Yes","Unknown Breakdown Status",IF(Q60="Yes","Unknown ACH Status","OK")))))))))))</x:f>
        <x:v>OK</x:v>
      </x:c>
      <x:c r="S60" t="str">
        <x:f>IF(OR(J60="Yes",I60="Yes",H60="Yes"),"Critical",IF(OR(M60="Yes",E60="Partial",N60="Yes",O60="Yes",P60="Yes",Q60="Yes"),"Warning",IF(OR(K60="Yes",L60="Yes"),"Informational","OK")))</x:f>
        <x:v>OK</x:v>
      </x:c>
      <x:c r="T60" t="str">
        <x:f>IF(R60="Mapping Hold","Resolve mapping before update",IF(R60="Missing Event Link","Map to one authoritative event",IF(R60="Duplicate WO","Review duplicate identity",IF(R60="Revenue Variance","Reconcile or dispute amount",IF(R60="Missing Breakdown","Await breakdown",IF(R60="Pending ACH","Await ACH",IF(R60="Partial Breakdown","Confirm remaining breakdown",IF(R60="Missing Client","Add canonical client",IF(R60="Missing Location","Complete location fields",IF(R60="OK","No action","Review invalid status"))))))))))</x:f>
        <x:v>No action</x:v>
      </x:c>
      <x:c r="U60" t="str">
        <x:f>IF(R60="OK","No","Yes")</x:f>
        <x:v>No</x:v>
      </x:c>
      <x:c r="V60" s="24" t="n">
        <x:f>ABS(N(G60))</x:f>
        <x:v>0</x:v>
      </x:c>
    </x:row>
    <x:row r="61">
      <x:c r="A61" t="str">
        <x:v>LED-0031</x:v>
      </x:c>
      <x:c r="B61" t="str">
        <x:f>INDEX(tblLedger[Work Order #],MATCH($A61,tblLedger[Ledger Record ID],0))</x:f>
        <x:v>USDA-SPECIAL-E031</x:v>
      </x:c>
      <x:c r="C61" t="n">
        <x:f>INDEX(tblLedger[Event #],MATCH($A61,tblLedger[Ledger Record ID],0))</x:f>
        <x:v>31</x:v>
      </x:c>
      <x:c r="D61" t="str">
        <x:f>INDEX(tblLedger[Client],MATCH($A61,tblLedger[Ledger Record ID],0))</x:f>
        <x:v>USDA</x:v>
      </x:c>
      <x:c r="E61" t="str">
        <x:f>INDEX(tblLedger[Breakdown Confirmed],MATCH($A61,tblLedger[Ledger Record ID],0))</x:f>
        <x:v>Yes</x:v>
      </x:c>
      <x:c r="F61" t="str">
        <x:f>INDEX(tblLedger[ACH Confirmed],MATCH($A61,tblLedger[Ledger Record ID],0))</x:f>
        <x:v>Yes</x:v>
      </x:c>
      <x:c r="G61" s="24" t="str">
        <x:f>INDEX(tblLedger[Variance],MATCH($A61,tblLedger[Ledger Record ID],0))</x:f>
      </x:c>
      <x:c r="H61" t="str">
        <x:f>IF(COUNTIF(tblLedger[Work Order #],B61)&gt;1,"Yes","No")</x:f>
        <x:v>No</x:v>
      </x:c>
      <x:c r="I61" t="str">
        <x:f>IF(C61="","Yes","No")</x:f>
        <x:v>No</x:v>
      </x:c>
      <x:c r="J61" t="str">
        <x:f>IF(INDEX(tblLedger[Mapping Status],MATCH($A61,tblLedger[Ledger Record ID],0))="MAPPING_HOLD","Yes","No")</x:f>
        <x:v>No</x:v>
      </x:c>
      <x:c r="K61" t="str">
        <x:f>IF(AND(OR(E61="No",E61="Pending"),IFERROR(INDEX(tblServiceEvents[Financial Scope],MATCH(C61,tblServiceEvents[Event #],0)),"Included")="Included"),"Yes","No")</x:f>
        <x:v>No</x:v>
      </x:c>
      <x:c r="L61" t="str">
        <x:f>IF(AND(E61="Yes",OR(F61="No",F61="Pending")),"Yes","No")</x:f>
        <x:v>No</x:v>
      </x:c>
      <x:c r="M61" t="str">
        <x:f>IF(OR(ABS(N(G61))&gt;0,INDEX(tblLedger[Reconciliation Status],MATCH($A61,tblLedger[Ledger Record ID],0))="BREAKDOWN_MISMATCH",INDEX(tblLedger[Reconciliation Status],MATCH($A61,tblLedger[Ledger Record ID],0))="ACH_MISMATCH"),"Yes","No")</x:f>
        <x:v>No</x:v>
      </x:c>
      <x:c r="N61" t="str">
        <x:f>IF(D61="","Yes","No")</x:f>
        <x:v>No</x:v>
      </x:c>
      <x:c r="O61" t="str">
        <x:f>IF(OR(INDEX(tblLedger[City],MATCH($A61,tblLedger[Ledger Record ID],0))="",INDEX(tblLedger[Jurisdiction],MATCH($A61,tblLedger[Ledger Record ID],0))=""),"Yes","No")</x:f>
        <x:v>No</x:v>
      </x:c>
      <x:c r="P61" t="str">
        <x:f>IF(COUNTIF({"Yes","No","Partial","Pending","Mapping Hold"},E61)=0,"Yes","No")</x:f>
        <x:v>No</x:v>
      </x:c>
      <x:c r="Q61" t="str">
        <x:f>IF(COUNTIF({"Yes","No","Partial","Pending","Mapping Review"},F61)=0,"Yes","No")</x:f>
        <x:v>No</x:v>
      </x:c>
      <x:c r="R61" t="str">
        <x:f>IF(J61="Yes","Mapping Hold",IF(I61="Yes","Missing Event Link",IF(H61="Yes","Duplicate WO",IF(M61="Yes","Revenue Variance",IF(K61="Yes","Missing Breakdown",IF(L61="Yes","Pending ACH",IF(E61="Partial","Partial Breakdown",IF(N61="Yes","Missing Client",IF(O61="Yes","Missing Location",IF(P61="Yes","Unknown Breakdown Status",IF(Q61="Yes","Unknown ACH Status","OK")))))))))))</x:f>
        <x:v>OK</x:v>
      </x:c>
      <x:c r="S61" t="str">
        <x:f>IF(OR(J61="Yes",I61="Yes",H61="Yes"),"Critical",IF(OR(M61="Yes",E61="Partial",N61="Yes",O61="Yes",P61="Yes",Q61="Yes"),"Warning",IF(OR(K61="Yes",L61="Yes"),"Informational","OK")))</x:f>
        <x:v>OK</x:v>
      </x:c>
      <x:c r="T61" t="str">
        <x:f>IF(R61="Mapping Hold","Resolve mapping before update",IF(R61="Missing Event Link","Map to one authoritative event",IF(R61="Duplicate WO","Review duplicate identity",IF(R61="Revenue Variance","Reconcile or dispute amount",IF(R61="Missing Breakdown","Await breakdown",IF(R61="Pending ACH","Await ACH",IF(R61="Partial Breakdown","Confirm remaining breakdown",IF(R61="Missing Client","Add canonical client",IF(R61="Missing Location","Complete location fields",IF(R61="OK","No action","Review invalid status"))))))))))</x:f>
        <x:v>No action</x:v>
      </x:c>
      <x:c r="U61" t="str">
        <x:f>IF(R61="OK","No","Yes")</x:f>
        <x:v>No</x:v>
      </x:c>
      <x:c r="V61" s="24" t="n">
        <x:f>ABS(N(G61))</x:f>
        <x:v>0</x:v>
      </x:c>
    </x:row>
    <x:row r="62">
      <x:c r="A62" t="str">
        <x:v>LED-0032</x:v>
      </x:c>
      <x:c r="B62" t="n">
        <x:f>INDEX(tblLedger[Work Order #],MATCH($A62,tblLedger[Ledger Record ID],0))</x:f>
        <x:v>5898007</x:v>
      </x:c>
      <x:c r="C62" t="n">
        <x:f>INDEX(tblLedger[Event #],MATCH($A62,tblLedger[Ledger Record ID],0))</x:f>
        <x:v>32</x:v>
      </x:c>
      <x:c r="D62" t="str">
        <x:f>INDEX(tblLedger[Client],MATCH($A62,tblLedger[Ledger Record ID],0))</x:f>
        <x:v>Hilton Garden Inn</x:v>
      </x:c>
      <x:c r="E62" t="str">
        <x:f>INDEX(tblLedger[Breakdown Confirmed],MATCH($A62,tblLedger[Ledger Record ID],0))</x:f>
        <x:v>Yes</x:v>
      </x:c>
      <x:c r="F62" t="str">
        <x:f>INDEX(tblLedger[ACH Confirmed],MATCH($A62,tblLedger[Ledger Record ID],0))</x:f>
        <x:v>Yes</x:v>
      </x:c>
      <x:c r="G62" s="24" t="str">
        <x:f>INDEX(tblLedger[Variance],MATCH($A62,tblLedger[Ledger Record ID],0))</x:f>
      </x:c>
      <x:c r="H62" t="str">
        <x:f>IF(COUNTIF(tblLedger[Work Order #],B62)&gt;1,"Yes","No")</x:f>
        <x:v>No</x:v>
      </x:c>
      <x:c r="I62" t="str">
        <x:f>IF(C62="","Yes","No")</x:f>
        <x:v>No</x:v>
      </x:c>
      <x:c r="J62" t="str">
        <x:f>IF(INDEX(tblLedger[Mapping Status],MATCH($A62,tblLedger[Ledger Record ID],0))="MAPPING_HOLD","Yes","No")</x:f>
        <x:v>No</x:v>
      </x:c>
      <x:c r="K62" t="str">
        <x:f>IF(AND(OR(E62="No",E62="Pending"),IFERROR(INDEX(tblServiceEvents[Financial Scope],MATCH(C62,tblServiceEvents[Event #],0)),"Included")="Included"),"Yes","No")</x:f>
        <x:v>No</x:v>
      </x:c>
      <x:c r="L62" t="str">
        <x:f>IF(AND(E62="Yes",OR(F62="No",F62="Pending")),"Yes","No")</x:f>
        <x:v>No</x:v>
      </x:c>
      <x:c r="M62" t="str">
        <x:f>IF(OR(ABS(N(G62))&gt;0,INDEX(tblLedger[Reconciliation Status],MATCH($A62,tblLedger[Ledger Record ID],0))="BREAKDOWN_MISMATCH",INDEX(tblLedger[Reconciliation Status],MATCH($A62,tblLedger[Ledger Record ID],0))="ACH_MISMATCH"),"Yes","No")</x:f>
        <x:v>No</x:v>
      </x:c>
      <x:c r="N62" t="str">
        <x:f>IF(D62="","Yes","No")</x:f>
        <x:v>No</x:v>
      </x:c>
      <x:c r="O62" t="str">
        <x:f>IF(OR(INDEX(tblLedger[City],MATCH($A62,tblLedger[Ledger Record ID],0))="",INDEX(tblLedger[Jurisdiction],MATCH($A62,tblLedger[Ledger Record ID],0))=""),"Yes","No")</x:f>
        <x:v>No</x:v>
      </x:c>
      <x:c r="P62" t="str">
        <x:f>IF(COUNTIF({"Yes","No","Partial","Pending","Mapping Hold"},E62)=0,"Yes","No")</x:f>
        <x:v>No</x:v>
      </x:c>
      <x:c r="Q62" t="str">
        <x:f>IF(COUNTIF({"Yes","No","Partial","Pending","Mapping Review"},F62)=0,"Yes","No")</x:f>
        <x:v>No</x:v>
      </x:c>
      <x:c r="R62" t="str">
        <x:f>IF(J62="Yes","Mapping Hold",IF(I62="Yes","Missing Event Link",IF(H62="Yes","Duplicate WO",IF(M62="Yes","Revenue Variance",IF(K62="Yes","Missing Breakdown",IF(L62="Yes","Pending ACH",IF(E62="Partial","Partial Breakdown",IF(N62="Yes","Missing Client",IF(O62="Yes","Missing Location",IF(P62="Yes","Unknown Breakdown Status",IF(Q62="Yes","Unknown ACH Status","OK")))))))))))</x:f>
        <x:v>OK</x:v>
      </x:c>
      <x:c r="S62" t="str">
        <x:f>IF(OR(J62="Yes",I62="Yes",H62="Yes"),"Critical",IF(OR(M62="Yes",E62="Partial",N62="Yes",O62="Yes",P62="Yes",Q62="Yes"),"Warning",IF(OR(K62="Yes",L62="Yes"),"Informational","OK")))</x:f>
        <x:v>OK</x:v>
      </x:c>
      <x:c r="T62" t="str">
        <x:f>IF(R62="Mapping Hold","Resolve mapping before update",IF(R62="Missing Event Link","Map to one authoritative event",IF(R62="Duplicate WO","Review duplicate identity",IF(R62="Revenue Variance","Reconcile or dispute amount",IF(R62="Missing Breakdown","Await breakdown",IF(R62="Pending ACH","Await ACH",IF(R62="Partial Breakdown","Confirm remaining breakdown",IF(R62="Missing Client","Add canonical client",IF(R62="Missing Location","Complete location fields",IF(R62="OK","No action","Review invalid status"))))))))))</x:f>
        <x:v>No action</x:v>
      </x:c>
      <x:c r="U62" t="str">
        <x:f>IF(R62="OK","No","Yes")</x:f>
        <x:v>No</x:v>
      </x:c>
      <x:c r="V62" s="24" t="n">
        <x:f>ABS(N(G62))</x:f>
        <x:v>0</x:v>
      </x:c>
    </x:row>
    <x:row r="63">
      <x:c r="A63" t="str">
        <x:v>LED-0033</x:v>
      </x:c>
      <x:c r="B63" t="n">
        <x:f>INDEX(tblLedger[Work Order #],MATCH($A63,tblLedger[Ledger Record ID],0))</x:f>
        <x:v>5896039</x:v>
      </x:c>
      <x:c r="C63" t="n">
        <x:f>INDEX(tblLedger[Event #],MATCH($A63,tblLedger[Ledger Record ID],0))</x:f>
        <x:v>33</x:v>
      </x:c>
      <x:c r="D63" t="str">
        <x:f>INDEX(tblLedger[Client],MATCH($A63,tblLedger[Ledger Record ID],0))</x:f>
        <x:v>Hebrew Home of Greater Washington</x:v>
      </x:c>
      <x:c r="E63" t="str">
        <x:f>INDEX(tblLedger[Breakdown Confirmed],MATCH($A63,tblLedger[Ledger Record ID],0))</x:f>
        <x:v>Yes</x:v>
      </x:c>
      <x:c r="F63" t="str">
        <x:f>INDEX(tblLedger[ACH Confirmed],MATCH($A63,tblLedger[Ledger Record ID],0))</x:f>
        <x:v>Yes</x:v>
      </x:c>
      <x:c r="G63" s="24" t="str">
        <x:f>INDEX(tblLedger[Variance],MATCH($A63,tblLedger[Ledger Record ID],0))</x:f>
      </x:c>
      <x:c r="H63" t="str">
        <x:f>IF(COUNTIF(tblLedger[Work Order #],B63)&gt;1,"Yes","No")</x:f>
        <x:v>No</x:v>
      </x:c>
      <x:c r="I63" t="str">
        <x:f>IF(C63="","Yes","No")</x:f>
        <x:v>No</x:v>
      </x:c>
      <x:c r="J63" t="str">
        <x:f>IF(INDEX(tblLedger[Mapping Status],MATCH($A63,tblLedger[Ledger Record ID],0))="MAPPING_HOLD","Yes","No")</x:f>
        <x:v>No</x:v>
      </x:c>
      <x:c r="K63" t="str">
        <x:f>IF(AND(OR(E63="No",E63="Pending"),IFERROR(INDEX(tblServiceEvents[Financial Scope],MATCH(C63,tblServiceEvents[Event #],0)),"Included")="Included"),"Yes","No")</x:f>
        <x:v>No</x:v>
      </x:c>
      <x:c r="L63" t="str">
        <x:f>IF(AND(E63="Yes",OR(F63="No",F63="Pending")),"Yes","No")</x:f>
        <x:v>No</x:v>
      </x:c>
      <x:c r="M63" t="str">
        <x:f>IF(OR(ABS(N(G63))&gt;0,INDEX(tblLedger[Reconciliation Status],MATCH($A63,tblLedger[Ledger Record ID],0))="BREAKDOWN_MISMATCH",INDEX(tblLedger[Reconciliation Status],MATCH($A63,tblLedger[Ledger Record ID],0))="ACH_MISMATCH"),"Yes","No")</x:f>
        <x:v>No</x:v>
      </x:c>
      <x:c r="N63" t="str">
        <x:f>IF(D63="","Yes","No")</x:f>
        <x:v>No</x:v>
      </x:c>
      <x:c r="O63" t="str">
        <x:f>IF(OR(INDEX(tblLedger[City],MATCH($A63,tblLedger[Ledger Record ID],0))="",INDEX(tblLedger[Jurisdiction],MATCH($A63,tblLedger[Ledger Record ID],0))=""),"Yes","No")</x:f>
        <x:v>No</x:v>
      </x:c>
      <x:c r="P63" t="str">
        <x:f>IF(COUNTIF({"Yes","No","Partial","Pending","Mapping Hold"},E63)=0,"Yes","No")</x:f>
        <x:v>No</x:v>
      </x:c>
      <x:c r="Q63" t="str">
        <x:f>IF(COUNTIF({"Yes","No","Partial","Pending","Mapping Review"},F63)=0,"Yes","No")</x:f>
        <x:v>No</x:v>
      </x:c>
      <x:c r="R63" t="str">
        <x:f>IF(J63="Yes","Mapping Hold",IF(I63="Yes","Missing Event Link",IF(H63="Yes","Duplicate WO",IF(M63="Yes","Revenue Variance",IF(K63="Yes","Missing Breakdown",IF(L63="Yes","Pending ACH",IF(E63="Partial","Partial Breakdown",IF(N63="Yes","Missing Client",IF(O63="Yes","Missing Location",IF(P63="Yes","Unknown Breakdown Status",IF(Q63="Yes","Unknown ACH Status","OK")))))))))))</x:f>
        <x:v>OK</x:v>
      </x:c>
      <x:c r="S63" t="str">
        <x:f>IF(OR(J63="Yes",I63="Yes",H63="Yes"),"Critical",IF(OR(M63="Yes",E63="Partial",N63="Yes",O63="Yes",P63="Yes",Q63="Yes"),"Warning",IF(OR(K63="Yes",L63="Yes"),"Informational","OK")))</x:f>
        <x:v>OK</x:v>
      </x:c>
      <x:c r="T63" t="str">
        <x:f>IF(R63="Mapping Hold","Resolve mapping before update",IF(R63="Missing Event Link","Map to one authoritative event",IF(R63="Duplicate WO","Review duplicate identity",IF(R63="Revenue Variance","Reconcile or dispute amount",IF(R63="Missing Breakdown","Await breakdown",IF(R63="Pending ACH","Await ACH",IF(R63="Partial Breakdown","Confirm remaining breakdown",IF(R63="Missing Client","Add canonical client",IF(R63="Missing Location","Complete location fields",IF(R63="OK","No action","Review invalid status"))))))))))</x:f>
        <x:v>No action</x:v>
      </x:c>
      <x:c r="U63" t="str">
        <x:f>IF(R63="OK","No","Yes")</x:f>
        <x:v>No</x:v>
      </x:c>
      <x:c r="V63" s="24" t="n">
        <x:f>ABS(N(G63))</x:f>
        <x:v>0</x:v>
      </x:c>
    </x:row>
    <x:row r="64">
      <x:c r="A64" t="str">
        <x:v>LED-0034</x:v>
      </x:c>
      <x:c r="B64" t="n">
        <x:f>INDEX(tblLedger[Work Order #],MATCH($A64,tblLedger[Ledger Record ID],0))</x:f>
        <x:v>5898904</x:v>
      </x:c>
      <x:c r="C64" t="n">
        <x:f>INDEX(tblLedger[Event #],MATCH($A64,tblLedger[Ledger Record ID],0))</x:f>
        <x:v>34</x:v>
      </x:c>
      <x:c r="D64" t="str">
        <x:f>INDEX(tblLedger[Client],MATCH($A64,tblLedger[Ledger Record ID],0))</x:f>
        <x:v>TJ Maxx</x:v>
      </x:c>
      <x:c r="E64" t="str">
        <x:f>INDEX(tblLedger[Breakdown Confirmed],MATCH($A64,tblLedger[Ledger Record ID],0))</x:f>
        <x:v>Yes</x:v>
      </x:c>
      <x:c r="F64" t="str">
        <x:f>INDEX(tblLedger[ACH Confirmed],MATCH($A64,tblLedger[Ledger Record ID],0))</x:f>
        <x:v>Yes</x:v>
      </x:c>
      <x:c r="G64" s="24" t="str">
        <x:f>INDEX(tblLedger[Variance],MATCH($A64,tblLedger[Ledger Record ID],0))</x:f>
      </x:c>
      <x:c r="H64" t="str">
        <x:f>IF(COUNTIF(tblLedger[Work Order #],B64)&gt;1,"Yes","No")</x:f>
        <x:v>No</x:v>
      </x:c>
      <x:c r="I64" t="str">
        <x:f>IF(C64="","Yes","No")</x:f>
        <x:v>No</x:v>
      </x:c>
      <x:c r="J64" t="str">
        <x:f>IF(INDEX(tblLedger[Mapping Status],MATCH($A64,tblLedger[Ledger Record ID],0))="MAPPING_HOLD","Yes","No")</x:f>
        <x:v>No</x:v>
      </x:c>
      <x:c r="K64" t="str">
        <x:f>IF(AND(OR(E64="No",E64="Pending"),IFERROR(INDEX(tblServiceEvents[Financial Scope],MATCH(C64,tblServiceEvents[Event #],0)),"Included")="Included"),"Yes","No")</x:f>
        <x:v>No</x:v>
      </x:c>
      <x:c r="L64" t="str">
        <x:f>IF(AND(E64="Yes",OR(F64="No",F64="Pending")),"Yes","No")</x:f>
        <x:v>No</x:v>
      </x:c>
      <x:c r="M64" t="str">
        <x:f>IF(OR(ABS(N(G64))&gt;0,INDEX(tblLedger[Reconciliation Status],MATCH($A64,tblLedger[Ledger Record ID],0))="BREAKDOWN_MISMATCH",INDEX(tblLedger[Reconciliation Status],MATCH($A64,tblLedger[Ledger Record ID],0))="ACH_MISMATCH"),"Yes","No")</x:f>
        <x:v>No</x:v>
      </x:c>
      <x:c r="N64" t="str">
        <x:f>IF(D64="","Yes","No")</x:f>
        <x:v>No</x:v>
      </x:c>
      <x:c r="O64" t="str">
        <x:f>IF(OR(INDEX(tblLedger[City],MATCH($A64,tblLedger[Ledger Record ID],0))="",INDEX(tblLedger[Jurisdiction],MATCH($A64,tblLedger[Ledger Record ID],0))=""),"Yes","No")</x:f>
        <x:v>No</x:v>
      </x:c>
      <x:c r="P64" t="str">
        <x:f>IF(COUNTIF({"Yes","No","Partial","Pending","Mapping Hold"},E64)=0,"Yes","No")</x:f>
        <x:v>No</x:v>
      </x:c>
      <x:c r="Q64" t="str">
        <x:f>IF(COUNTIF({"Yes","No","Partial","Pending","Mapping Review"},F64)=0,"Yes","No")</x:f>
        <x:v>No</x:v>
      </x:c>
      <x:c r="R64" t="str">
        <x:f>IF(J64="Yes","Mapping Hold",IF(I64="Yes","Missing Event Link",IF(H64="Yes","Duplicate WO",IF(M64="Yes","Revenue Variance",IF(K64="Yes","Missing Breakdown",IF(L64="Yes","Pending ACH",IF(E64="Partial","Partial Breakdown",IF(N64="Yes","Missing Client",IF(O64="Yes","Missing Location",IF(P64="Yes","Unknown Breakdown Status",IF(Q64="Yes","Unknown ACH Status","OK")))))))))))</x:f>
        <x:v>OK</x:v>
      </x:c>
      <x:c r="S64" t="str">
        <x:f>IF(OR(J64="Yes",I64="Yes",H64="Yes"),"Critical",IF(OR(M64="Yes",E64="Partial",N64="Yes",O64="Yes",P64="Yes",Q64="Yes"),"Warning",IF(OR(K64="Yes",L64="Yes"),"Informational","OK")))</x:f>
        <x:v>OK</x:v>
      </x:c>
      <x:c r="T64" t="str">
        <x:f>IF(R64="Mapping Hold","Resolve mapping before update",IF(R64="Missing Event Link","Map to one authoritative event",IF(R64="Duplicate WO","Review duplicate identity",IF(R64="Revenue Variance","Reconcile or dispute amount",IF(R64="Missing Breakdown","Await breakdown",IF(R64="Pending ACH","Await ACH",IF(R64="Partial Breakdown","Confirm remaining breakdown",IF(R64="Missing Client","Add canonical client",IF(R64="Missing Location","Complete location fields",IF(R64="OK","No action","Review invalid status"))))))))))</x:f>
        <x:v>No action</x:v>
      </x:c>
      <x:c r="U64" t="str">
        <x:f>IF(R64="OK","No","Yes")</x:f>
        <x:v>No</x:v>
      </x:c>
      <x:c r="V64" s="24" t="n">
        <x:f>ABS(N(G64))</x:f>
        <x:v>0</x:v>
      </x:c>
    </x:row>
    <x:row r="65">
      <x:c r="A65" t="str">
        <x:v>LED-0035</x:v>
      </x:c>
      <x:c r="B65" t="n">
        <x:f>INDEX(tblLedger[Work Order #],MATCH($A65,tblLedger[Ledger Record ID],0))</x:f>
        <x:v>5899056</x:v>
      </x:c>
      <x:c r="C65" t="n">
        <x:f>INDEX(tblLedger[Event #],MATCH($A65,tblLedger[Ledger Record ID],0))</x:f>
        <x:v>35</x:v>
      </x:c>
      <x:c r="D65" t="str">
        <x:f>INDEX(tblLedger[Client],MATCH($A65,tblLedger[Ledger Record ID],0))</x:f>
        <x:v>Marshalls</x:v>
      </x:c>
      <x:c r="E65" t="str">
        <x:f>INDEX(tblLedger[Breakdown Confirmed],MATCH($A65,tblLedger[Ledger Record ID],0))</x:f>
        <x:v>Yes</x:v>
      </x:c>
      <x:c r="F65" t="str">
        <x:f>INDEX(tblLedger[ACH Confirmed],MATCH($A65,tblLedger[Ledger Record ID],0))</x:f>
        <x:v>Yes</x:v>
      </x:c>
      <x:c r="G65" s="24" t="str">
        <x:f>INDEX(tblLedger[Variance],MATCH($A65,tblLedger[Ledger Record ID],0))</x:f>
      </x:c>
      <x:c r="H65" t="str">
        <x:f>IF(COUNTIF(tblLedger[Work Order #],B65)&gt;1,"Yes","No")</x:f>
        <x:v>No</x:v>
      </x:c>
      <x:c r="I65" t="str">
        <x:f>IF(C65="","Yes","No")</x:f>
        <x:v>No</x:v>
      </x:c>
      <x:c r="J65" t="str">
        <x:f>IF(INDEX(tblLedger[Mapping Status],MATCH($A65,tblLedger[Ledger Record ID],0))="MAPPING_HOLD","Yes","No")</x:f>
        <x:v>No</x:v>
      </x:c>
      <x:c r="K65" t="str">
        <x:f>IF(AND(OR(E65="No",E65="Pending"),IFERROR(INDEX(tblServiceEvents[Financial Scope],MATCH(C65,tblServiceEvents[Event #],0)),"Included")="Included"),"Yes","No")</x:f>
        <x:v>No</x:v>
      </x:c>
      <x:c r="L65" t="str">
        <x:f>IF(AND(E65="Yes",OR(F65="No",F65="Pending")),"Yes","No")</x:f>
        <x:v>No</x:v>
      </x:c>
      <x:c r="M65" t="str">
        <x:f>IF(OR(ABS(N(G65))&gt;0,INDEX(tblLedger[Reconciliation Status],MATCH($A65,tblLedger[Ledger Record ID],0))="BREAKDOWN_MISMATCH",INDEX(tblLedger[Reconciliation Status],MATCH($A65,tblLedger[Ledger Record ID],0))="ACH_MISMATCH"),"Yes","No")</x:f>
        <x:v>No</x:v>
      </x:c>
      <x:c r="N65" t="str">
        <x:f>IF(D65="","Yes","No")</x:f>
        <x:v>No</x:v>
      </x:c>
      <x:c r="O65" t="str">
        <x:f>IF(OR(INDEX(tblLedger[City],MATCH($A65,tblLedger[Ledger Record ID],0))="",INDEX(tblLedger[Jurisdiction],MATCH($A65,tblLedger[Ledger Record ID],0))=""),"Yes","No")</x:f>
        <x:v>No</x:v>
      </x:c>
      <x:c r="P65" t="str">
        <x:f>IF(COUNTIF({"Yes","No","Partial","Pending","Mapping Hold"},E65)=0,"Yes","No")</x:f>
        <x:v>No</x:v>
      </x:c>
      <x:c r="Q65" t="str">
        <x:f>IF(COUNTIF({"Yes","No","Partial","Pending","Mapping Review"},F65)=0,"Yes","No")</x:f>
        <x:v>No</x:v>
      </x:c>
      <x:c r="R65" t="str">
        <x:f>IF(J65="Yes","Mapping Hold",IF(I65="Yes","Missing Event Link",IF(H65="Yes","Duplicate WO",IF(M65="Yes","Revenue Variance",IF(K65="Yes","Missing Breakdown",IF(L65="Yes","Pending ACH",IF(E65="Partial","Partial Breakdown",IF(N65="Yes","Missing Client",IF(O65="Yes","Missing Location",IF(P65="Yes","Unknown Breakdown Status",IF(Q65="Yes","Unknown ACH Status","OK")))))))))))</x:f>
        <x:v>OK</x:v>
      </x:c>
      <x:c r="S65" t="str">
        <x:f>IF(OR(J65="Yes",I65="Yes",H65="Yes"),"Critical",IF(OR(M65="Yes",E65="Partial",N65="Yes",O65="Yes",P65="Yes",Q65="Yes"),"Warning",IF(OR(K65="Yes",L65="Yes"),"Informational","OK")))</x:f>
        <x:v>OK</x:v>
      </x:c>
      <x:c r="T65" t="str">
        <x:f>IF(R65="Mapping Hold","Resolve mapping before update",IF(R65="Missing Event Link","Map to one authoritative event",IF(R65="Duplicate WO","Review duplicate identity",IF(R65="Revenue Variance","Reconcile or dispute amount",IF(R65="Missing Breakdown","Await breakdown",IF(R65="Pending ACH","Await ACH",IF(R65="Partial Breakdown","Confirm remaining breakdown",IF(R65="Missing Client","Add canonical client",IF(R65="Missing Location","Complete location fields",IF(R65="OK","No action","Review invalid status"))))))))))</x:f>
        <x:v>No action</x:v>
      </x:c>
      <x:c r="U65" t="str">
        <x:f>IF(R65="OK","No","Yes")</x:f>
        <x:v>No</x:v>
      </x:c>
      <x:c r="V65" s="24" t="n">
        <x:f>ABS(N(G65))</x:f>
        <x:v>0</x:v>
      </x:c>
    </x:row>
    <x:row r="66">
      <x:c r="A66" t="str">
        <x:v>LED-0036</x:v>
      </x:c>
      <x:c r="B66" t="n">
        <x:f>INDEX(tblLedger[Work Order #],MATCH($A66,tblLedger[Ledger Record ID],0))</x:f>
        <x:v>5899295</x:v>
      </x:c>
      <x:c r="C66" t="n">
        <x:f>INDEX(tblLedger[Event #],MATCH($A66,tblLedger[Ledger Record ID],0))</x:f>
        <x:v>36</x:v>
      </x:c>
      <x:c r="D66" t="str">
        <x:f>INDEX(tblLedger[Client],MATCH($A66,tblLedger[Ledger Record ID],0))</x:f>
        <x:v>Hampton Inn &amp; Suites</x:v>
      </x:c>
      <x:c r="E66" t="str">
        <x:f>INDEX(tblLedger[Breakdown Confirmed],MATCH($A66,tblLedger[Ledger Record ID],0))</x:f>
        <x:v>Yes</x:v>
      </x:c>
      <x:c r="F66" t="str">
        <x:f>INDEX(tblLedger[ACH Confirmed],MATCH($A66,tblLedger[Ledger Record ID],0))</x:f>
        <x:v>Yes</x:v>
      </x:c>
      <x:c r="G66" s="24" t="str">
        <x:f>INDEX(tblLedger[Variance],MATCH($A66,tblLedger[Ledger Record ID],0))</x:f>
      </x:c>
      <x:c r="H66" t="str">
        <x:f>IF(COUNTIF(tblLedger[Work Order #],B66)&gt;1,"Yes","No")</x:f>
        <x:v>No</x:v>
      </x:c>
      <x:c r="I66" t="str">
        <x:f>IF(C66="","Yes","No")</x:f>
        <x:v>No</x:v>
      </x:c>
      <x:c r="J66" t="str">
        <x:f>IF(INDEX(tblLedger[Mapping Status],MATCH($A66,tblLedger[Ledger Record ID],0))="MAPPING_HOLD","Yes","No")</x:f>
        <x:v>No</x:v>
      </x:c>
      <x:c r="K66" t="str">
        <x:f>IF(AND(OR(E66="No",E66="Pending"),IFERROR(INDEX(tblServiceEvents[Financial Scope],MATCH(C66,tblServiceEvents[Event #],0)),"Included")="Included"),"Yes","No")</x:f>
        <x:v>No</x:v>
      </x:c>
      <x:c r="L66" t="str">
        <x:f>IF(AND(E66="Yes",OR(F66="No",F66="Pending")),"Yes","No")</x:f>
        <x:v>No</x:v>
      </x:c>
      <x:c r="M66" t="str">
        <x:f>IF(OR(ABS(N(G66))&gt;0,INDEX(tblLedger[Reconciliation Status],MATCH($A66,tblLedger[Ledger Record ID],0))="BREAKDOWN_MISMATCH",INDEX(tblLedger[Reconciliation Status],MATCH($A66,tblLedger[Ledger Record ID],0))="ACH_MISMATCH"),"Yes","No")</x:f>
        <x:v>No</x:v>
      </x:c>
      <x:c r="N66" t="str">
        <x:f>IF(D66="","Yes","No")</x:f>
        <x:v>No</x:v>
      </x:c>
      <x:c r="O66" t="str">
        <x:f>IF(OR(INDEX(tblLedger[City],MATCH($A66,tblLedger[Ledger Record ID],0))="",INDEX(tblLedger[Jurisdiction],MATCH($A66,tblLedger[Ledger Record ID],0))=""),"Yes","No")</x:f>
        <x:v>No</x:v>
      </x:c>
      <x:c r="P66" t="str">
        <x:f>IF(COUNTIF({"Yes","No","Partial","Pending","Mapping Hold"},E66)=0,"Yes","No")</x:f>
        <x:v>No</x:v>
      </x:c>
      <x:c r="Q66" t="str">
        <x:f>IF(COUNTIF({"Yes","No","Partial","Pending","Mapping Review"},F66)=0,"Yes","No")</x:f>
        <x:v>No</x:v>
      </x:c>
      <x:c r="R66" t="str">
        <x:f>IF(J66="Yes","Mapping Hold",IF(I66="Yes","Missing Event Link",IF(H66="Yes","Duplicate WO",IF(M66="Yes","Revenue Variance",IF(K66="Yes","Missing Breakdown",IF(L66="Yes","Pending ACH",IF(E66="Partial","Partial Breakdown",IF(N66="Yes","Missing Client",IF(O66="Yes","Missing Location",IF(P66="Yes","Unknown Breakdown Status",IF(Q66="Yes","Unknown ACH Status","OK")))))))))))</x:f>
        <x:v>OK</x:v>
      </x:c>
      <x:c r="S66" t="str">
        <x:f>IF(OR(J66="Yes",I66="Yes",H66="Yes"),"Critical",IF(OR(M66="Yes",E66="Partial",N66="Yes",O66="Yes",P66="Yes",Q66="Yes"),"Warning",IF(OR(K66="Yes",L66="Yes"),"Informational","OK")))</x:f>
        <x:v>OK</x:v>
      </x:c>
      <x:c r="T66" t="str">
        <x:f>IF(R66="Mapping Hold","Resolve mapping before update",IF(R66="Missing Event Link","Map to one authoritative event",IF(R66="Duplicate WO","Review duplicate identity",IF(R66="Revenue Variance","Reconcile or dispute amount",IF(R66="Missing Breakdown","Await breakdown",IF(R66="Pending ACH","Await ACH",IF(R66="Partial Breakdown","Confirm remaining breakdown",IF(R66="Missing Client","Add canonical client",IF(R66="Missing Location","Complete location fields",IF(R66="OK","No action","Review invalid status"))))))))))</x:f>
        <x:v>No action</x:v>
      </x:c>
      <x:c r="U66" t="str">
        <x:f>IF(R66="OK","No","Yes")</x:f>
        <x:v>No</x:v>
      </x:c>
      <x:c r="V66" s="24" t="n">
        <x:f>ABS(N(G66))</x:f>
        <x:v>0</x:v>
      </x:c>
    </x:row>
    <x:row r="67">
      <x:c r="A67" t="str">
        <x:v>LED-0037</x:v>
      </x:c>
      <x:c r="B67" t="n">
        <x:f>INDEX(tblLedger[Work Order #],MATCH($A67,tblLedger[Ledger Record ID],0))</x:f>
        <x:v>5899715</x:v>
      </x:c>
      <x:c r="C67" t="n">
        <x:f>INDEX(tblLedger[Event #],MATCH($A67,tblLedger[Ledger Record ID],0))</x:f>
        <x:v>37</x:v>
      </x:c>
      <x:c r="D67" t="str">
        <x:f>INDEX(tblLedger[Client],MATCH($A67,tblLedger[Ledger Record ID],0))</x:f>
        <x:v>HomeGoods</x:v>
      </x:c>
      <x:c r="E67" t="str">
        <x:f>INDEX(tblLedger[Breakdown Confirmed],MATCH($A67,tblLedger[Ledger Record ID],0))</x:f>
        <x:v>Yes</x:v>
      </x:c>
      <x:c r="F67" t="str">
        <x:f>INDEX(tblLedger[ACH Confirmed],MATCH($A67,tblLedger[Ledger Record ID],0))</x:f>
        <x:v>Yes</x:v>
      </x:c>
      <x:c r="G67" s="24" t="str">
        <x:f>INDEX(tblLedger[Variance],MATCH($A67,tblLedger[Ledger Record ID],0))</x:f>
      </x:c>
      <x:c r="H67" t="str">
        <x:f>IF(COUNTIF(tblLedger[Work Order #],B67)&gt;1,"Yes","No")</x:f>
        <x:v>No</x:v>
      </x:c>
      <x:c r="I67" t="str">
        <x:f>IF(C67="","Yes","No")</x:f>
        <x:v>No</x:v>
      </x:c>
      <x:c r="J67" t="str">
        <x:f>IF(INDEX(tblLedger[Mapping Status],MATCH($A67,tblLedger[Ledger Record ID],0))="MAPPING_HOLD","Yes","No")</x:f>
        <x:v>No</x:v>
      </x:c>
      <x:c r="K67" t="str">
        <x:f>IF(AND(OR(E67="No",E67="Pending"),IFERROR(INDEX(tblServiceEvents[Financial Scope],MATCH(C67,tblServiceEvents[Event #],0)),"Included")="Included"),"Yes","No")</x:f>
        <x:v>No</x:v>
      </x:c>
      <x:c r="L67" t="str">
        <x:f>IF(AND(E67="Yes",OR(F67="No",F67="Pending")),"Yes","No")</x:f>
        <x:v>No</x:v>
      </x:c>
      <x:c r="M67" t="str">
        <x:f>IF(OR(ABS(N(G67))&gt;0,INDEX(tblLedger[Reconciliation Status],MATCH($A67,tblLedger[Ledger Record ID],0))="BREAKDOWN_MISMATCH",INDEX(tblLedger[Reconciliation Status],MATCH($A67,tblLedger[Ledger Record ID],0))="ACH_MISMATCH"),"Yes","No")</x:f>
        <x:v>No</x:v>
      </x:c>
      <x:c r="N67" t="str">
        <x:f>IF(D67="","Yes","No")</x:f>
        <x:v>No</x:v>
      </x:c>
      <x:c r="O67" t="str">
        <x:f>IF(OR(INDEX(tblLedger[City],MATCH($A67,tblLedger[Ledger Record ID],0))="",INDEX(tblLedger[Jurisdiction],MATCH($A67,tblLedger[Ledger Record ID],0))=""),"Yes","No")</x:f>
        <x:v>No</x:v>
      </x:c>
      <x:c r="P67" t="str">
        <x:f>IF(COUNTIF({"Yes","No","Partial","Pending","Mapping Hold"},E67)=0,"Yes","No")</x:f>
        <x:v>No</x:v>
      </x:c>
      <x:c r="Q67" t="str">
        <x:f>IF(COUNTIF({"Yes","No","Partial","Pending","Mapping Review"},F67)=0,"Yes","No")</x:f>
        <x:v>No</x:v>
      </x:c>
      <x:c r="R67" t="str">
        <x:f>IF(J67="Yes","Mapping Hold",IF(I67="Yes","Missing Event Link",IF(H67="Yes","Duplicate WO",IF(M67="Yes","Revenue Variance",IF(K67="Yes","Missing Breakdown",IF(L67="Yes","Pending ACH",IF(E67="Partial","Partial Breakdown",IF(N67="Yes","Missing Client",IF(O67="Yes","Missing Location",IF(P67="Yes","Unknown Breakdown Status",IF(Q67="Yes","Unknown ACH Status","OK")))))))))))</x:f>
        <x:v>OK</x:v>
      </x:c>
      <x:c r="S67" t="str">
        <x:f>IF(OR(J67="Yes",I67="Yes",H67="Yes"),"Critical",IF(OR(M67="Yes",E67="Partial",N67="Yes",O67="Yes",P67="Yes",Q67="Yes"),"Warning",IF(OR(K67="Yes",L67="Yes"),"Informational","OK")))</x:f>
        <x:v>OK</x:v>
      </x:c>
      <x:c r="T67" t="str">
        <x:f>IF(R67="Mapping Hold","Resolve mapping before update",IF(R67="Missing Event Link","Map to one authoritative event",IF(R67="Duplicate WO","Review duplicate identity",IF(R67="Revenue Variance","Reconcile or dispute amount",IF(R67="Missing Breakdown","Await breakdown",IF(R67="Pending ACH","Await ACH",IF(R67="Partial Breakdown","Confirm remaining breakdown",IF(R67="Missing Client","Add canonical client",IF(R67="Missing Location","Complete location fields",IF(R67="OK","No action","Review invalid status"))))))))))</x:f>
        <x:v>No action</x:v>
      </x:c>
      <x:c r="U67" t="str">
        <x:f>IF(R67="OK","No","Yes")</x:f>
        <x:v>No</x:v>
      </x:c>
      <x:c r="V67" s="24" t="n">
        <x:f>ABS(N(G67))</x:f>
        <x:v>0</x:v>
      </x:c>
    </x:row>
    <x:row r="68">
      <x:c r="A68" t="str">
        <x:v>LED-0038</x:v>
      </x:c>
      <x:c r="B68" t="n">
        <x:f>INDEX(tblLedger[Work Order #],MATCH($A68,tblLedger[Ledger Record ID],0))</x:f>
        <x:v>5900102</x:v>
      </x:c>
      <x:c r="C68" t="n">
        <x:f>INDEX(tblLedger[Event #],MATCH($A68,tblLedger[Ledger Record ID],0))</x:f>
        <x:v>38</x:v>
      </x:c>
      <x:c r="D68" t="str">
        <x:f>INDEX(tblLedger[Client],MATCH($A68,tblLedger[Ledger Record ID],0))</x:f>
        <x:v>7-Eleven</x:v>
      </x:c>
      <x:c r="E68" t="str">
        <x:f>INDEX(tblLedger[Breakdown Confirmed],MATCH($A68,tblLedger[Ledger Record ID],0))</x:f>
        <x:v>Yes</x:v>
      </x:c>
      <x:c r="F68" t="str">
        <x:f>INDEX(tblLedger[ACH Confirmed],MATCH($A68,tblLedger[Ledger Record ID],0))</x:f>
        <x:v>Yes</x:v>
      </x:c>
      <x:c r="G68" s="24" t="str">
        <x:f>INDEX(tblLedger[Variance],MATCH($A68,tblLedger[Ledger Record ID],0))</x:f>
      </x:c>
      <x:c r="H68" t="str">
        <x:f>IF(COUNTIF(tblLedger[Work Order #],B68)&gt;1,"Yes","No")</x:f>
        <x:v>No</x:v>
      </x:c>
      <x:c r="I68" t="str">
        <x:f>IF(C68="","Yes","No")</x:f>
        <x:v>No</x:v>
      </x:c>
      <x:c r="J68" t="str">
        <x:f>IF(INDEX(tblLedger[Mapping Status],MATCH($A68,tblLedger[Ledger Record ID],0))="MAPPING_HOLD","Yes","No")</x:f>
        <x:v>No</x:v>
      </x:c>
      <x:c r="K68" t="str">
        <x:f>IF(AND(OR(E68="No",E68="Pending"),IFERROR(INDEX(tblServiceEvents[Financial Scope],MATCH(C68,tblServiceEvents[Event #],0)),"Included")="Included"),"Yes","No")</x:f>
        <x:v>No</x:v>
      </x:c>
      <x:c r="L68" t="str">
        <x:f>IF(AND(E68="Yes",OR(F68="No",F68="Pending")),"Yes","No")</x:f>
        <x:v>No</x:v>
      </x:c>
      <x:c r="M68" t="str">
        <x:f>IF(OR(ABS(N(G68))&gt;0,INDEX(tblLedger[Reconciliation Status],MATCH($A68,tblLedger[Ledger Record ID],0))="BREAKDOWN_MISMATCH",INDEX(tblLedger[Reconciliation Status],MATCH($A68,tblLedger[Ledger Record ID],0))="ACH_MISMATCH"),"Yes","No")</x:f>
        <x:v>No</x:v>
      </x:c>
      <x:c r="N68" t="str">
        <x:f>IF(D68="","Yes","No")</x:f>
        <x:v>No</x:v>
      </x:c>
      <x:c r="O68" t="str">
        <x:f>IF(OR(INDEX(tblLedger[City],MATCH($A68,tblLedger[Ledger Record ID],0))="",INDEX(tblLedger[Jurisdiction],MATCH($A68,tblLedger[Ledger Record ID],0))=""),"Yes","No")</x:f>
        <x:v>No</x:v>
      </x:c>
      <x:c r="P68" t="str">
        <x:f>IF(COUNTIF({"Yes","No","Partial","Pending","Mapping Hold"},E68)=0,"Yes","No")</x:f>
        <x:v>No</x:v>
      </x:c>
      <x:c r="Q68" t="str">
        <x:f>IF(COUNTIF({"Yes","No","Partial","Pending","Mapping Review"},F68)=0,"Yes","No")</x:f>
        <x:v>No</x:v>
      </x:c>
      <x:c r="R68" t="str">
        <x:f>IF(J68="Yes","Mapping Hold",IF(I68="Yes","Missing Event Link",IF(H68="Yes","Duplicate WO",IF(M68="Yes","Revenue Variance",IF(K68="Yes","Missing Breakdown",IF(L68="Yes","Pending ACH",IF(E68="Partial","Partial Breakdown",IF(N68="Yes","Missing Client",IF(O68="Yes","Missing Location",IF(P68="Yes","Unknown Breakdown Status",IF(Q68="Yes","Unknown ACH Status","OK")))))))))))</x:f>
        <x:v>OK</x:v>
      </x:c>
      <x:c r="S68" t="str">
        <x:f>IF(OR(J68="Yes",I68="Yes",H68="Yes"),"Critical",IF(OR(M68="Yes",E68="Partial",N68="Yes",O68="Yes",P68="Yes",Q68="Yes"),"Warning",IF(OR(K68="Yes",L68="Yes"),"Informational","OK")))</x:f>
        <x:v>OK</x:v>
      </x:c>
      <x:c r="T68" t="str">
        <x:f>IF(R68="Mapping Hold","Resolve mapping before update",IF(R68="Missing Event Link","Map to one authoritative event",IF(R68="Duplicate WO","Review duplicate identity",IF(R68="Revenue Variance","Reconcile or dispute amount",IF(R68="Missing Breakdown","Await breakdown",IF(R68="Pending ACH","Await ACH",IF(R68="Partial Breakdown","Confirm remaining breakdown",IF(R68="Missing Client","Add canonical client",IF(R68="Missing Location","Complete location fields",IF(R68="OK","No action","Review invalid status"))))))))))</x:f>
        <x:v>No action</x:v>
      </x:c>
      <x:c r="U68" t="str">
        <x:f>IF(R68="OK","No","Yes")</x:f>
        <x:v>No</x:v>
      </x:c>
      <x:c r="V68" s="24" t="n">
        <x:f>ABS(N(G68))</x:f>
        <x:v>0</x:v>
      </x:c>
    </x:row>
    <x:row r="69">
      <x:c r="A69" t="str">
        <x:v>LED-0039</x:v>
      </x:c>
      <x:c r="B69" t="n">
        <x:f>INDEX(tblLedger[Work Order #],MATCH($A69,tblLedger[Ledger Record ID],0))</x:f>
        <x:v>5900492</x:v>
      </x:c>
      <x:c r="C69" t="n">
        <x:f>INDEX(tblLedger[Event #],MATCH($A69,tblLedger[Ledger Record ID],0))</x:f>
        <x:v>39</x:v>
      </x:c>
      <x:c r="D69" t="str">
        <x:f>INDEX(tblLedger[Client],MATCH($A69,tblLedger[Ledger Record ID],0))</x:f>
        <x:v>TJ Maxx</x:v>
      </x:c>
      <x:c r="E69" t="str">
        <x:f>INDEX(tblLedger[Breakdown Confirmed],MATCH($A69,tblLedger[Ledger Record ID],0))</x:f>
        <x:v>Yes</x:v>
      </x:c>
      <x:c r="F69" t="str">
        <x:f>INDEX(tblLedger[ACH Confirmed],MATCH($A69,tblLedger[Ledger Record ID],0))</x:f>
        <x:v>Yes</x:v>
      </x:c>
      <x:c r="G69" s="24" t="str">
        <x:f>INDEX(tblLedger[Variance],MATCH($A69,tblLedger[Ledger Record ID],0))</x:f>
      </x:c>
      <x:c r="H69" t="str">
        <x:f>IF(COUNTIF(tblLedger[Work Order #],B69)&gt;1,"Yes","No")</x:f>
        <x:v>No</x:v>
      </x:c>
      <x:c r="I69" t="str">
        <x:f>IF(C69="","Yes","No")</x:f>
        <x:v>No</x:v>
      </x:c>
      <x:c r="J69" t="str">
        <x:f>IF(INDEX(tblLedger[Mapping Status],MATCH($A69,tblLedger[Ledger Record ID],0))="MAPPING_HOLD","Yes","No")</x:f>
        <x:v>No</x:v>
      </x:c>
      <x:c r="K69" t="str">
        <x:f>IF(AND(OR(E69="No",E69="Pending"),IFERROR(INDEX(tblServiceEvents[Financial Scope],MATCH(C69,tblServiceEvents[Event #],0)),"Included")="Included"),"Yes","No")</x:f>
        <x:v>No</x:v>
      </x:c>
      <x:c r="L69" t="str">
        <x:f>IF(AND(E69="Yes",OR(F69="No",F69="Pending")),"Yes","No")</x:f>
        <x:v>No</x:v>
      </x:c>
      <x:c r="M69" t="str">
        <x:f>IF(OR(ABS(N(G69))&gt;0,INDEX(tblLedger[Reconciliation Status],MATCH($A69,tblLedger[Ledger Record ID],0))="BREAKDOWN_MISMATCH",INDEX(tblLedger[Reconciliation Status],MATCH($A69,tblLedger[Ledger Record ID],0))="ACH_MISMATCH"),"Yes","No")</x:f>
        <x:v>No</x:v>
      </x:c>
      <x:c r="N69" t="str">
        <x:f>IF(D69="","Yes","No")</x:f>
        <x:v>No</x:v>
      </x:c>
      <x:c r="O69" t="str">
        <x:f>IF(OR(INDEX(tblLedger[City],MATCH($A69,tblLedger[Ledger Record ID],0))="",INDEX(tblLedger[Jurisdiction],MATCH($A69,tblLedger[Ledger Record ID],0))=""),"Yes","No")</x:f>
        <x:v>No</x:v>
      </x:c>
      <x:c r="P69" t="str">
        <x:f>IF(COUNTIF({"Yes","No","Partial","Pending","Mapping Hold"},E69)=0,"Yes","No")</x:f>
        <x:v>No</x:v>
      </x:c>
      <x:c r="Q69" t="str">
        <x:f>IF(COUNTIF({"Yes","No","Partial","Pending","Mapping Review"},F69)=0,"Yes","No")</x:f>
        <x:v>No</x:v>
      </x:c>
      <x:c r="R69" t="str">
        <x:f>IF(J69="Yes","Mapping Hold",IF(I69="Yes","Missing Event Link",IF(H69="Yes","Duplicate WO",IF(M69="Yes","Revenue Variance",IF(K69="Yes","Missing Breakdown",IF(L69="Yes","Pending ACH",IF(E69="Partial","Partial Breakdown",IF(N69="Yes","Missing Client",IF(O69="Yes","Missing Location",IF(P69="Yes","Unknown Breakdown Status",IF(Q69="Yes","Unknown ACH Status","OK")))))))))))</x:f>
        <x:v>OK</x:v>
      </x:c>
      <x:c r="S69" t="str">
        <x:f>IF(OR(J69="Yes",I69="Yes",H69="Yes"),"Critical",IF(OR(M69="Yes",E69="Partial",N69="Yes",O69="Yes",P69="Yes",Q69="Yes"),"Warning",IF(OR(K69="Yes",L69="Yes"),"Informational","OK")))</x:f>
        <x:v>OK</x:v>
      </x:c>
      <x:c r="T69" t="str">
        <x:f>IF(R69="Mapping Hold","Resolve mapping before update",IF(R69="Missing Event Link","Map to one authoritative event",IF(R69="Duplicate WO","Review duplicate identity",IF(R69="Revenue Variance","Reconcile or dispute amount",IF(R69="Missing Breakdown","Await breakdown",IF(R69="Pending ACH","Await ACH",IF(R69="Partial Breakdown","Confirm remaining breakdown",IF(R69="Missing Client","Add canonical client",IF(R69="Missing Location","Complete location fields",IF(R69="OK","No action","Review invalid status"))))))))))</x:f>
        <x:v>No action</x:v>
      </x:c>
      <x:c r="U69" t="str">
        <x:f>IF(R69="OK","No","Yes")</x:f>
        <x:v>No</x:v>
      </x:c>
      <x:c r="V69" s="24" t="n">
        <x:f>ABS(N(G69))</x:f>
        <x:v>0</x:v>
      </x:c>
    </x:row>
    <x:row r="70">
      <x:c r="A70" t="str">
        <x:v>LED-0040</x:v>
      </x:c>
      <x:c r="B70" t="n">
        <x:f>INDEX(tblLedger[Work Order #],MATCH($A70,tblLedger[Ledger Record ID],0))</x:f>
        <x:v>5877236</x:v>
      </x:c>
      <x:c r="C70" t="n">
        <x:f>INDEX(tblLedger[Event #],MATCH($A70,tblLedger[Ledger Record ID],0))</x:f>
        <x:v>40</x:v>
      </x:c>
      <x:c r="D70" t="str">
        <x:f>INDEX(tblLedger[Client],MATCH($A70,tblLedger[Ledger Record ID],0))</x:f>
        <x:v>Residential – Annapolis Neck, MD</x:v>
      </x:c>
      <x:c r="E70" t="str">
        <x:f>INDEX(tblLedger[Breakdown Confirmed],MATCH($A70,tblLedger[Ledger Record ID],0))</x:f>
        <x:v>Yes</x:v>
      </x:c>
      <x:c r="F70" t="str">
        <x:f>INDEX(tblLedger[ACH Confirmed],MATCH($A70,tblLedger[Ledger Record ID],0))</x:f>
        <x:v>Yes</x:v>
      </x:c>
      <x:c r="G70" s="24" t="str">
        <x:f>INDEX(tblLedger[Variance],MATCH($A70,tblLedger[Ledger Record ID],0))</x:f>
      </x:c>
      <x:c r="H70" t="str">
        <x:f>IF(COUNTIF(tblLedger[Work Order #],B70)&gt;1,"Yes","No")</x:f>
        <x:v>No</x:v>
      </x:c>
      <x:c r="I70" t="str">
        <x:f>IF(C70="","Yes","No")</x:f>
        <x:v>No</x:v>
      </x:c>
      <x:c r="J70" t="str">
        <x:f>IF(INDEX(tblLedger[Mapping Status],MATCH($A70,tblLedger[Ledger Record ID],0))="MAPPING_HOLD","Yes","No")</x:f>
        <x:v>No</x:v>
      </x:c>
      <x:c r="K70" t="str">
        <x:f>IF(AND(OR(E70="No",E70="Pending"),IFERROR(INDEX(tblServiceEvents[Financial Scope],MATCH(C70,tblServiceEvents[Event #],0)),"Included")="Included"),"Yes","No")</x:f>
        <x:v>No</x:v>
      </x:c>
      <x:c r="L70" t="str">
        <x:f>IF(AND(E70="Yes",OR(F70="No",F70="Pending")),"Yes","No")</x:f>
        <x:v>No</x:v>
      </x:c>
      <x:c r="M70" t="str">
        <x:f>IF(OR(ABS(N(G70))&gt;0,INDEX(tblLedger[Reconciliation Status],MATCH($A70,tblLedger[Ledger Record ID],0))="BREAKDOWN_MISMATCH",INDEX(tblLedger[Reconciliation Status],MATCH($A70,tblLedger[Ledger Record ID],0))="ACH_MISMATCH"),"Yes","No")</x:f>
        <x:v>No</x:v>
      </x:c>
      <x:c r="N70" t="str">
        <x:f>IF(D70="","Yes","No")</x:f>
        <x:v>No</x:v>
      </x:c>
      <x:c r="O70" t="str">
        <x:f>IF(OR(INDEX(tblLedger[City],MATCH($A70,tblLedger[Ledger Record ID],0))="",INDEX(tblLedger[Jurisdiction],MATCH($A70,tblLedger[Ledger Record ID],0))=""),"Yes","No")</x:f>
        <x:v>No</x:v>
      </x:c>
      <x:c r="P70" t="str">
        <x:f>IF(COUNTIF({"Yes","No","Partial","Pending","Mapping Hold"},E70)=0,"Yes","No")</x:f>
        <x:v>No</x:v>
      </x:c>
      <x:c r="Q70" t="str">
        <x:f>IF(COUNTIF({"Yes","No","Partial","Pending","Mapping Review"},F70)=0,"Yes","No")</x:f>
        <x:v>No</x:v>
      </x:c>
      <x:c r="R70" t="str">
        <x:f>IF(J70="Yes","Mapping Hold",IF(I70="Yes","Missing Event Link",IF(H70="Yes","Duplicate WO",IF(M70="Yes","Revenue Variance",IF(K70="Yes","Missing Breakdown",IF(L70="Yes","Pending ACH",IF(E70="Partial","Partial Breakdown",IF(N70="Yes","Missing Client",IF(O70="Yes","Missing Location",IF(P70="Yes","Unknown Breakdown Status",IF(Q70="Yes","Unknown ACH Status","OK")))))))))))</x:f>
        <x:v>OK</x:v>
      </x:c>
      <x:c r="S70" t="str">
        <x:f>IF(OR(J70="Yes",I70="Yes",H70="Yes"),"Critical",IF(OR(M70="Yes",E70="Partial",N70="Yes",O70="Yes",P70="Yes",Q70="Yes"),"Warning",IF(OR(K70="Yes",L70="Yes"),"Informational","OK")))</x:f>
        <x:v>OK</x:v>
      </x:c>
      <x:c r="T70" t="str">
        <x:f>IF(R70="Mapping Hold","Resolve mapping before update",IF(R70="Missing Event Link","Map to one authoritative event",IF(R70="Duplicate WO","Review duplicate identity",IF(R70="Revenue Variance","Reconcile or dispute amount",IF(R70="Missing Breakdown","Await breakdown",IF(R70="Pending ACH","Await ACH",IF(R70="Partial Breakdown","Confirm remaining breakdown",IF(R70="Missing Client","Add canonical client",IF(R70="Missing Location","Complete location fields",IF(R70="OK","No action","Review invalid status"))))))))))</x:f>
        <x:v>No action</x:v>
      </x:c>
      <x:c r="U70" t="str">
        <x:f>IF(R70="OK","No","Yes")</x:f>
        <x:v>No</x:v>
      </x:c>
      <x:c r="V70" s="24" t="n">
        <x:f>ABS(N(G70))</x:f>
        <x:v>0</x:v>
      </x:c>
    </x:row>
    <x:row r="71">
      <x:c r="A71" t="str">
        <x:v>LED-0041</x:v>
      </x:c>
      <x:c r="B71" t="n">
        <x:f>INDEX(tblLedger[Work Order #],MATCH($A71,tblLedger[Ledger Record ID],0))</x:f>
        <x:v>5887374</x:v>
      </x:c>
      <x:c r="C71" t="n">
        <x:f>INDEX(tblLedger[Event #],MATCH($A71,tblLedger[Ledger Record ID],0))</x:f>
        <x:v>41</x:v>
      </x:c>
      <x:c r="D71" t="str">
        <x:f>INDEX(tblLedger[Client],MATCH($A71,tblLedger[Ledger Record ID],0))</x:f>
        <x:v>Baskin-Robbins</x:v>
      </x:c>
      <x:c r="E71" t="str">
        <x:f>INDEX(tblLedger[Breakdown Confirmed],MATCH($A71,tblLedger[Ledger Record ID],0))</x:f>
        <x:v>Yes</x:v>
      </x:c>
      <x:c r="F71" t="str">
        <x:f>INDEX(tblLedger[ACH Confirmed],MATCH($A71,tblLedger[Ledger Record ID],0))</x:f>
        <x:v>Yes</x:v>
      </x:c>
      <x:c r="G71" s="24" t="str">
        <x:f>INDEX(tblLedger[Variance],MATCH($A71,tblLedger[Ledger Record ID],0))</x:f>
      </x:c>
      <x:c r="H71" t="str">
        <x:f>IF(COUNTIF(tblLedger[Work Order #],B71)&gt;1,"Yes","No")</x:f>
        <x:v>No</x:v>
      </x:c>
      <x:c r="I71" t="str">
        <x:f>IF(C71="","Yes","No")</x:f>
        <x:v>No</x:v>
      </x:c>
      <x:c r="J71" t="str">
        <x:f>IF(INDEX(tblLedger[Mapping Status],MATCH($A71,tblLedger[Ledger Record ID],0))="MAPPING_HOLD","Yes","No")</x:f>
        <x:v>No</x:v>
      </x:c>
      <x:c r="K71" t="str">
        <x:f>IF(AND(OR(E71="No",E71="Pending"),IFERROR(INDEX(tblServiceEvents[Financial Scope],MATCH(C71,tblServiceEvents[Event #],0)),"Included")="Included"),"Yes","No")</x:f>
        <x:v>No</x:v>
      </x:c>
      <x:c r="L71" t="str">
        <x:f>IF(AND(E71="Yes",OR(F71="No",F71="Pending")),"Yes","No")</x:f>
        <x:v>No</x:v>
      </x:c>
      <x:c r="M71" t="str">
        <x:f>IF(OR(ABS(N(G71))&gt;0,INDEX(tblLedger[Reconciliation Status],MATCH($A71,tblLedger[Ledger Record ID],0))="BREAKDOWN_MISMATCH",INDEX(tblLedger[Reconciliation Status],MATCH($A71,tblLedger[Ledger Record ID],0))="ACH_MISMATCH"),"Yes","No")</x:f>
        <x:v>No</x:v>
      </x:c>
      <x:c r="N71" t="str">
        <x:f>IF(D71="","Yes","No")</x:f>
        <x:v>No</x:v>
      </x:c>
      <x:c r="O71" t="str">
        <x:f>IF(OR(INDEX(tblLedger[City],MATCH($A71,tblLedger[Ledger Record ID],0))="",INDEX(tblLedger[Jurisdiction],MATCH($A71,tblLedger[Ledger Record ID],0))=""),"Yes","No")</x:f>
        <x:v>No</x:v>
      </x:c>
      <x:c r="P71" t="str">
        <x:f>IF(COUNTIF({"Yes","No","Partial","Pending","Mapping Hold"},E71)=0,"Yes","No")</x:f>
        <x:v>No</x:v>
      </x:c>
      <x:c r="Q71" t="str">
        <x:f>IF(COUNTIF({"Yes","No","Partial","Pending","Mapping Review"},F71)=0,"Yes","No")</x:f>
        <x:v>No</x:v>
      </x:c>
      <x:c r="R71" t="str">
        <x:f>IF(J71="Yes","Mapping Hold",IF(I71="Yes","Missing Event Link",IF(H71="Yes","Duplicate WO",IF(M71="Yes","Revenue Variance",IF(K71="Yes","Missing Breakdown",IF(L71="Yes","Pending ACH",IF(E71="Partial","Partial Breakdown",IF(N71="Yes","Missing Client",IF(O71="Yes","Missing Location",IF(P71="Yes","Unknown Breakdown Status",IF(Q71="Yes","Unknown ACH Status","OK")))))))))))</x:f>
        <x:v>OK</x:v>
      </x:c>
      <x:c r="S71" t="str">
        <x:f>IF(OR(J71="Yes",I71="Yes",H71="Yes"),"Critical",IF(OR(M71="Yes",E71="Partial",N71="Yes",O71="Yes",P71="Yes",Q71="Yes"),"Warning",IF(OR(K71="Yes",L71="Yes"),"Informational","OK")))</x:f>
        <x:v>OK</x:v>
      </x:c>
      <x:c r="T71" t="str">
        <x:f>IF(R71="Mapping Hold","Resolve mapping before update",IF(R71="Missing Event Link","Map to one authoritative event",IF(R71="Duplicate WO","Review duplicate identity",IF(R71="Revenue Variance","Reconcile or dispute amount",IF(R71="Missing Breakdown","Await breakdown",IF(R71="Pending ACH","Await ACH",IF(R71="Partial Breakdown","Confirm remaining breakdown",IF(R71="Missing Client","Add canonical client",IF(R71="Missing Location","Complete location fields",IF(R71="OK","No action","Review invalid status"))))))))))</x:f>
        <x:v>No action</x:v>
      </x:c>
      <x:c r="U71" t="str">
        <x:f>IF(R71="OK","No","Yes")</x:f>
        <x:v>No</x:v>
      </x:c>
      <x:c r="V71" s="24" t="n">
        <x:f>ABS(N(G71))</x:f>
        <x:v>0</x:v>
      </x:c>
    </x:row>
    <x:row r="72">
      <x:c r="A72" t="str">
        <x:v>LED-0042</x:v>
      </x:c>
      <x:c r="B72" t="n">
        <x:f>INDEX(tblLedger[Work Order #],MATCH($A72,tblLedger[Ledger Record ID],0))</x:f>
        <x:v>5901061</x:v>
      </x:c>
      <x:c r="C72" t="n">
        <x:f>INDEX(tblLedger[Event #],MATCH($A72,tblLedger[Ledger Record ID],0))</x:f>
        <x:v>42</x:v>
      </x:c>
      <x:c r="D72" t="str">
        <x:f>INDEX(tblLedger[Client],MATCH($A72,tblLedger[Ledger Record ID],0))</x:f>
        <x:v>Verizon</x:v>
      </x:c>
      <x:c r="E72" t="str">
        <x:f>INDEX(tblLedger[Breakdown Confirmed],MATCH($A72,tblLedger[Ledger Record ID],0))</x:f>
        <x:v>Yes</x:v>
      </x:c>
      <x:c r="F72" t="str">
        <x:f>INDEX(tblLedger[ACH Confirmed],MATCH($A72,tblLedger[Ledger Record ID],0))</x:f>
        <x:v>Yes</x:v>
      </x:c>
      <x:c r="G72" s="24" t="str">
        <x:f>INDEX(tblLedger[Variance],MATCH($A72,tblLedger[Ledger Record ID],0))</x:f>
      </x:c>
      <x:c r="H72" t="str">
        <x:f>IF(COUNTIF(tblLedger[Work Order #],B72)&gt;1,"Yes","No")</x:f>
        <x:v>No</x:v>
      </x:c>
      <x:c r="I72" t="str">
        <x:f>IF(C72="","Yes","No")</x:f>
        <x:v>No</x:v>
      </x:c>
      <x:c r="J72" t="str">
        <x:f>IF(INDEX(tblLedger[Mapping Status],MATCH($A72,tblLedger[Ledger Record ID],0))="MAPPING_HOLD","Yes","No")</x:f>
        <x:v>No</x:v>
      </x:c>
      <x:c r="K72" t="str">
        <x:f>IF(AND(OR(E72="No",E72="Pending"),IFERROR(INDEX(tblServiceEvents[Financial Scope],MATCH(C72,tblServiceEvents[Event #],0)),"Included")="Included"),"Yes","No")</x:f>
        <x:v>No</x:v>
      </x:c>
      <x:c r="L72" t="str">
        <x:f>IF(AND(E72="Yes",OR(F72="No",F72="Pending")),"Yes","No")</x:f>
        <x:v>No</x:v>
      </x:c>
      <x:c r="M72" t="str">
        <x:f>IF(OR(ABS(N(G72))&gt;0,INDEX(tblLedger[Reconciliation Status],MATCH($A72,tblLedger[Ledger Record ID],0))="BREAKDOWN_MISMATCH",INDEX(tblLedger[Reconciliation Status],MATCH($A72,tblLedger[Ledger Record ID],0))="ACH_MISMATCH"),"Yes","No")</x:f>
        <x:v>No</x:v>
      </x:c>
      <x:c r="N72" t="str">
        <x:f>IF(D72="","Yes","No")</x:f>
        <x:v>No</x:v>
      </x:c>
      <x:c r="O72" t="str">
        <x:f>IF(OR(INDEX(tblLedger[City],MATCH($A72,tblLedger[Ledger Record ID],0))="",INDEX(tblLedger[Jurisdiction],MATCH($A72,tblLedger[Ledger Record ID],0))=""),"Yes","No")</x:f>
        <x:v>No</x:v>
      </x:c>
      <x:c r="P72" t="str">
        <x:f>IF(COUNTIF({"Yes","No","Partial","Pending","Mapping Hold"},E72)=0,"Yes","No")</x:f>
        <x:v>No</x:v>
      </x:c>
      <x:c r="Q72" t="str">
        <x:f>IF(COUNTIF({"Yes","No","Partial","Pending","Mapping Review"},F72)=0,"Yes","No")</x:f>
        <x:v>No</x:v>
      </x:c>
      <x:c r="R72" t="str">
        <x:f>IF(J72="Yes","Mapping Hold",IF(I72="Yes","Missing Event Link",IF(H72="Yes","Duplicate WO",IF(M72="Yes","Revenue Variance",IF(K72="Yes","Missing Breakdown",IF(L72="Yes","Pending ACH",IF(E72="Partial","Partial Breakdown",IF(N72="Yes","Missing Client",IF(O72="Yes","Missing Location",IF(P72="Yes","Unknown Breakdown Status",IF(Q72="Yes","Unknown ACH Status","OK")))))))))))</x:f>
        <x:v>OK</x:v>
      </x:c>
      <x:c r="S72" t="str">
        <x:f>IF(OR(J72="Yes",I72="Yes",H72="Yes"),"Critical",IF(OR(M72="Yes",E72="Partial",N72="Yes",O72="Yes",P72="Yes",Q72="Yes"),"Warning",IF(OR(K72="Yes",L72="Yes"),"Informational","OK")))</x:f>
        <x:v>OK</x:v>
      </x:c>
      <x:c r="T72" t="str">
        <x:f>IF(R72="Mapping Hold","Resolve mapping before update",IF(R72="Missing Event Link","Map to one authoritative event",IF(R72="Duplicate WO","Review duplicate identity",IF(R72="Revenue Variance","Reconcile or dispute amount",IF(R72="Missing Breakdown","Await breakdown",IF(R72="Pending ACH","Await ACH",IF(R72="Partial Breakdown","Confirm remaining breakdown",IF(R72="Missing Client","Add canonical client",IF(R72="Missing Location","Complete location fields",IF(R72="OK","No action","Review invalid status"))))))))))</x:f>
        <x:v>No action</x:v>
      </x:c>
      <x:c r="U72" t="str">
        <x:f>IF(R72="OK","No","Yes")</x:f>
        <x:v>No</x:v>
      </x:c>
      <x:c r="V72" s="24" t="n">
        <x:f>ABS(N(G72))</x:f>
        <x:v>0</x:v>
      </x:c>
    </x:row>
    <x:row r="73">
      <x:c r="A73" t="str">
        <x:v>LED-0043</x:v>
      </x:c>
      <x:c r="B73" t="n">
        <x:f>INDEX(tblLedger[Work Order #],MATCH($A73,tblLedger[Ledger Record ID],0))</x:f>
        <x:v>5902689</x:v>
      </x:c>
      <x:c r="C73" t="n">
        <x:f>INDEX(tblLedger[Event #],MATCH($A73,tblLedger[Ledger Record ID],0))</x:f>
        <x:v>43</x:v>
      </x:c>
      <x:c r="D73" t="str">
        <x:f>INDEX(tblLedger[Client],MATCH($A73,tblLedger[Ledger Record ID],0))</x:f>
        <x:v>Verizon</x:v>
      </x:c>
      <x:c r="E73" t="str">
        <x:f>INDEX(tblLedger[Breakdown Confirmed],MATCH($A73,tblLedger[Ledger Record ID],0))</x:f>
        <x:v>Yes</x:v>
      </x:c>
      <x:c r="F73" t="str">
        <x:f>INDEX(tblLedger[ACH Confirmed],MATCH($A73,tblLedger[Ledger Record ID],0))</x:f>
        <x:v>Yes</x:v>
      </x:c>
      <x:c r="G73" s="24" t="str">
        <x:f>INDEX(tblLedger[Variance],MATCH($A73,tblLedger[Ledger Record ID],0))</x:f>
      </x:c>
      <x:c r="H73" t="str">
        <x:f>IF(COUNTIF(tblLedger[Work Order #],B73)&gt;1,"Yes","No")</x:f>
        <x:v>No</x:v>
      </x:c>
      <x:c r="I73" t="str">
        <x:f>IF(C73="","Yes","No")</x:f>
        <x:v>No</x:v>
      </x:c>
      <x:c r="J73" t="str">
        <x:f>IF(INDEX(tblLedger[Mapping Status],MATCH($A73,tblLedger[Ledger Record ID],0))="MAPPING_HOLD","Yes","No")</x:f>
        <x:v>No</x:v>
      </x:c>
      <x:c r="K73" t="str">
        <x:f>IF(AND(OR(E73="No",E73="Pending"),IFERROR(INDEX(tblServiceEvents[Financial Scope],MATCH(C73,tblServiceEvents[Event #],0)),"Included")="Included"),"Yes","No")</x:f>
        <x:v>No</x:v>
      </x:c>
      <x:c r="L73" t="str">
        <x:f>IF(AND(E73="Yes",OR(F73="No",F73="Pending")),"Yes","No")</x:f>
        <x:v>No</x:v>
      </x:c>
      <x:c r="M73" t="str">
        <x:f>IF(OR(ABS(N(G73))&gt;0,INDEX(tblLedger[Reconciliation Status],MATCH($A73,tblLedger[Ledger Record ID],0))="BREAKDOWN_MISMATCH",INDEX(tblLedger[Reconciliation Status],MATCH($A73,tblLedger[Ledger Record ID],0))="ACH_MISMATCH"),"Yes","No")</x:f>
        <x:v>No</x:v>
      </x:c>
      <x:c r="N73" t="str">
        <x:f>IF(D73="","Yes","No")</x:f>
        <x:v>No</x:v>
      </x:c>
      <x:c r="O73" t="str">
        <x:f>IF(OR(INDEX(tblLedger[City],MATCH($A73,tblLedger[Ledger Record ID],0))="",INDEX(tblLedger[Jurisdiction],MATCH($A73,tblLedger[Ledger Record ID],0))=""),"Yes","No")</x:f>
        <x:v>No</x:v>
      </x:c>
      <x:c r="P73" t="str">
        <x:f>IF(COUNTIF({"Yes","No","Partial","Pending","Mapping Hold"},E73)=0,"Yes","No")</x:f>
        <x:v>No</x:v>
      </x:c>
      <x:c r="Q73" t="str">
        <x:f>IF(COUNTIF({"Yes","No","Partial","Pending","Mapping Review"},F73)=0,"Yes","No")</x:f>
        <x:v>No</x:v>
      </x:c>
      <x:c r="R73" t="str">
        <x:f>IF(J73="Yes","Mapping Hold",IF(I73="Yes","Missing Event Link",IF(H73="Yes","Duplicate WO",IF(M73="Yes","Revenue Variance",IF(K73="Yes","Missing Breakdown",IF(L73="Yes","Pending ACH",IF(E73="Partial","Partial Breakdown",IF(N73="Yes","Missing Client",IF(O73="Yes","Missing Location",IF(P73="Yes","Unknown Breakdown Status",IF(Q73="Yes","Unknown ACH Status","OK")))))))))))</x:f>
        <x:v>OK</x:v>
      </x:c>
      <x:c r="S73" t="str">
        <x:f>IF(OR(J73="Yes",I73="Yes",H73="Yes"),"Critical",IF(OR(M73="Yes",E73="Partial",N73="Yes",O73="Yes",P73="Yes",Q73="Yes"),"Warning",IF(OR(K73="Yes",L73="Yes"),"Informational","OK")))</x:f>
        <x:v>OK</x:v>
      </x:c>
      <x:c r="T73" t="str">
        <x:f>IF(R73="Mapping Hold","Resolve mapping before update",IF(R73="Missing Event Link","Map to one authoritative event",IF(R73="Duplicate WO","Review duplicate identity",IF(R73="Revenue Variance","Reconcile or dispute amount",IF(R73="Missing Breakdown","Await breakdown",IF(R73="Pending ACH","Await ACH",IF(R73="Partial Breakdown","Confirm remaining breakdown",IF(R73="Missing Client","Add canonical client",IF(R73="Missing Location","Complete location fields",IF(R73="OK","No action","Review invalid status"))))))))))</x:f>
        <x:v>No action</x:v>
      </x:c>
      <x:c r="U73" t="str">
        <x:f>IF(R73="OK","No","Yes")</x:f>
        <x:v>No</x:v>
      </x:c>
      <x:c r="V73" s="24" t="n">
        <x:f>ABS(N(G73))</x:f>
        <x:v>0</x:v>
      </x:c>
    </x:row>
    <x:row r="74">
      <x:c r="A74" t="str">
        <x:v>LED-0044</x:v>
      </x:c>
      <x:c r="B74" t="n">
        <x:f>INDEX(tblLedger[Work Order #],MATCH($A74,tblLedger[Ledger Record ID],0))</x:f>
        <x:v>5902930</x:v>
      </x:c>
      <x:c r="C74" t="n">
        <x:f>INDEX(tblLedger[Event #],MATCH($A74,tblLedger[Ledger Record ID],0))</x:f>
        <x:v>44</x:v>
      </x:c>
      <x:c r="D74" t="str">
        <x:f>INDEX(tblLedger[Client],MATCH($A74,tblLedger[Ledger Record ID],0))</x:f>
        <x:v>Marshalls</x:v>
      </x:c>
      <x:c r="E74" t="str">
        <x:f>INDEX(tblLedger[Breakdown Confirmed],MATCH($A74,tblLedger[Ledger Record ID],0))</x:f>
        <x:v>Yes</x:v>
      </x:c>
      <x:c r="F74" t="str">
        <x:f>INDEX(tblLedger[ACH Confirmed],MATCH($A74,tblLedger[Ledger Record ID],0))</x:f>
        <x:v>Yes</x:v>
      </x:c>
      <x:c r="G74" s="24" t="str">
        <x:f>INDEX(tblLedger[Variance],MATCH($A74,tblLedger[Ledger Record ID],0))</x:f>
      </x:c>
      <x:c r="H74" t="str">
        <x:f>IF(COUNTIF(tblLedger[Work Order #],B74)&gt;1,"Yes","No")</x:f>
        <x:v>No</x:v>
      </x:c>
      <x:c r="I74" t="str">
        <x:f>IF(C74="","Yes","No")</x:f>
        <x:v>No</x:v>
      </x:c>
      <x:c r="J74" t="str">
        <x:f>IF(INDEX(tblLedger[Mapping Status],MATCH($A74,tblLedger[Ledger Record ID],0))="MAPPING_HOLD","Yes","No")</x:f>
        <x:v>No</x:v>
      </x:c>
      <x:c r="K74" t="str">
        <x:f>IF(AND(OR(E74="No",E74="Pending"),IFERROR(INDEX(tblServiceEvents[Financial Scope],MATCH(C74,tblServiceEvents[Event #],0)),"Included")="Included"),"Yes","No")</x:f>
        <x:v>No</x:v>
      </x:c>
      <x:c r="L74" t="str">
        <x:f>IF(AND(E74="Yes",OR(F74="No",F74="Pending")),"Yes","No")</x:f>
        <x:v>No</x:v>
      </x:c>
      <x:c r="M74" t="str">
        <x:f>IF(OR(ABS(N(G74))&gt;0,INDEX(tblLedger[Reconciliation Status],MATCH($A74,tblLedger[Ledger Record ID],0))="BREAKDOWN_MISMATCH",INDEX(tblLedger[Reconciliation Status],MATCH($A74,tblLedger[Ledger Record ID],0))="ACH_MISMATCH"),"Yes","No")</x:f>
        <x:v>No</x:v>
      </x:c>
      <x:c r="N74" t="str">
        <x:f>IF(D74="","Yes","No")</x:f>
        <x:v>No</x:v>
      </x:c>
      <x:c r="O74" t="str">
        <x:f>IF(OR(INDEX(tblLedger[City],MATCH($A74,tblLedger[Ledger Record ID],0))="",INDEX(tblLedger[Jurisdiction],MATCH($A74,tblLedger[Ledger Record ID],0))=""),"Yes","No")</x:f>
        <x:v>No</x:v>
      </x:c>
      <x:c r="P74" t="str">
        <x:f>IF(COUNTIF({"Yes","No","Partial","Pending","Mapping Hold"},E74)=0,"Yes","No")</x:f>
        <x:v>No</x:v>
      </x:c>
      <x:c r="Q74" t="str">
        <x:f>IF(COUNTIF({"Yes","No","Partial","Pending","Mapping Review"},F74)=0,"Yes","No")</x:f>
        <x:v>No</x:v>
      </x:c>
      <x:c r="R74" t="str">
        <x:f>IF(J74="Yes","Mapping Hold",IF(I74="Yes","Missing Event Link",IF(H74="Yes","Duplicate WO",IF(M74="Yes","Revenue Variance",IF(K74="Yes","Missing Breakdown",IF(L74="Yes","Pending ACH",IF(E74="Partial","Partial Breakdown",IF(N74="Yes","Missing Client",IF(O74="Yes","Missing Location",IF(P74="Yes","Unknown Breakdown Status",IF(Q74="Yes","Unknown ACH Status","OK")))))))))))</x:f>
        <x:v>OK</x:v>
      </x:c>
      <x:c r="S74" t="str">
        <x:f>IF(OR(J74="Yes",I74="Yes",H74="Yes"),"Critical",IF(OR(M74="Yes",E74="Partial",N74="Yes",O74="Yes",P74="Yes",Q74="Yes"),"Warning",IF(OR(K74="Yes",L74="Yes"),"Informational","OK")))</x:f>
        <x:v>OK</x:v>
      </x:c>
      <x:c r="T74" t="str">
        <x:f>IF(R74="Mapping Hold","Resolve mapping before update",IF(R74="Missing Event Link","Map to one authoritative event",IF(R74="Duplicate WO","Review duplicate identity",IF(R74="Revenue Variance","Reconcile or dispute amount",IF(R74="Missing Breakdown","Await breakdown",IF(R74="Pending ACH","Await ACH",IF(R74="Partial Breakdown","Confirm remaining breakdown",IF(R74="Missing Client","Add canonical client",IF(R74="Missing Location","Complete location fields",IF(R74="OK","No action","Review invalid status"))))))))))</x:f>
        <x:v>No action</x:v>
      </x:c>
      <x:c r="U74" t="str">
        <x:f>IF(R74="OK","No","Yes")</x:f>
        <x:v>No</x:v>
      </x:c>
      <x:c r="V74" s="24" t="n">
        <x:f>ABS(N(G74))</x:f>
        <x:v>0</x:v>
      </x:c>
    </x:row>
    <x:row r="75">
      <x:c r="A75" t="str">
        <x:v>LED-0045</x:v>
      </x:c>
      <x:c r="B75" t="n">
        <x:f>INDEX(tblLedger[Work Order #],MATCH($A75,tblLedger[Ledger Record ID],0))</x:f>
        <x:v>5900963</x:v>
      </x:c>
      <x:c r="C75" t="n">
        <x:f>INDEX(tblLedger[Event #],MATCH($A75,tblLedger[Ledger Record ID],0))</x:f>
        <x:v>45</x:v>
      </x:c>
      <x:c r="D75" t="str">
        <x:f>INDEX(tblLedger[Client],MATCH($A75,tblLedger[Ledger Record ID],0))</x:f>
        <x:v>Montpelier Liquors</x:v>
      </x:c>
      <x:c r="E75" t="str">
        <x:f>INDEX(tblLedger[Breakdown Confirmed],MATCH($A75,tblLedger[Ledger Record ID],0))</x:f>
        <x:v>Yes</x:v>
      </x:c>
      <x:c r="F75" t="str">
        <x:f>INDEX(tblLedger[ACH Confirmed],MATCH($A75,tblLedger[Ledger Record ID],0))</x:f>
        <x:v>Yes</x:v>
      </x:c>
      <x:c r="G75" s="24" t="str">
        <x:f>INDEX(tblLedger[Variance],MATCH($A75,tblLedger[Ledger Record ID],0))</x:f>
      </x:c>
      <x:c r="H75" t="str">
        <x:f>IF(COUNTIF(tblLedger[Work Order #],B75)&gt;1,"Yes","No")</x:f>
        <x:v>No</x:v>
      </x:c>
      <x:c r="I75" t="str">
        <x:f>IF(C75="","Yes","No")</x:f>
        <x:v>No</x:v>
      </x:c>
      <x:c r="J75" t="str">
        <x:f>IF(INDEX(tblLedger[Mapping Status],MATCH($A75,tblLedger[Ledger Record ID],0))="MAPPING_HOLD","Yes","No")</x:f>
        <x:v>No</x:v>
      </x:c>
      <x:c r="K75" t="str">
        <x:f>IF(AND(OR(E75="No",E75="Pending"),IFERROR(INDEX(tblServiceEvents[Financial Scope],MATCH(C75,tblServiceEvents[Event #],0)),"Included")="Included"),"Yes","No")</x:f>
        <x:v>No</x:v>
      </x:c>
      <x:c r="L75" t="str">
        <x:f>IF(AND(E75="Yes",OR(F75="No",F75="Pending")),"Yes","No")</x:f>
        <x:v>No</x:v>
      </x:c>
      <x:c r="M75" t="str">
        <x:f>IF(OR(ABS(N(G75))&gt;0,INDEX(tblLedger[Reconciliation Status],MATCH($A75,tblLedger[Ledger Record ID],0))="BREAKDOWN_MISMATCH",INDEX(tblLedger[Reconciliation Status],MATCH($A75,tblLedger[Ledger Record ID],0))="ACH_MISMATCH"),"Yes","No")</x:f>
        <x:v>No</x:v>
      </x:c>
      <x:c r="N75" t="str">
        <x:f>IF(D75="","Yes","No")</x:f>
        <x:v>No</x:v>
      </x:c>
      <x:c r="O75" t="str">
        <x:f>IF(OR(INDEX(tblLedger[City],MATCH($A75,tblLedger[Ledger Record ID],0))="",INDEX(tblLedger[Jurisdiction],MATCH($A75,tblLedger[Ledger Record ID],0))=""),"Yes","No")</x:f>
        <x:v>No</x:v>
      </x:c>
      <x:c r="P75" t="str">
        <x:f>IF(COUNTIF({"Yes","No","Partial","Pending","Mapping Hold"},E75)=0,"Yes","No")</x:f>
        <x:v>No</x:v>
      </x:c>
      <x:c r="Q75" t="str">
        <x:f>IF(COUNTIF({"Yes","No","Partial","Pending","Mapping Review"},F75)=0,"Yes","No")</x:f>
        <x:v>No</x:v>
      </x:c>
      <x:c r="R75" t="str">
        <x:f>IF(J75="Yes","Mapping Hold",IF(I75="Yes","Missing Event Link",IF(H75="Yes","Duplicate WO",IF(M75="Yes","Revenue Variance",IF(K75="Yes","Missing Breakdown",IF(L75="Yes","Pending ACH",IF(E75="Partial","Partial Breakdown",IF(N75="Yes","Missing Client",IF(O75="Yes","Missing Location",IF(P75="Yes","Unknown Breakdown Status",IF(Q75="Yes","Unknown ACH Status","OK")))))))))))</x:f>
        <x:v>OK</x:v>
      </x:c>
      <x:c r="S75" t="str">
        <x:f>IF(OR(J75="Yes",I75="Yes",H75="Yes"),"Critical",IF(OR(M75="Yes",E75="Partial",N75="Yes",O75="Yes",P75="Yes",Q75="Yes"),"Warning",IF(OR(K75="Yes",L75="Yes"),"Informational","OK")))</x:f>
        <x:v>OK</x:v>
      </x:c>
      <x:c r="T75" t="str">
        <x:f>IF(R75="Mapping Hold","Resolve mapping before update",IF(R75="Missing Event Link","Map to one authoritative event",IF(R75="Duplicate WO","Review duplicate identity",IF(R75="Revenue Variance","Reconcile or dispute amount",IF(R75="Missing Breakdown","Await breakdown",IF(R75="Pending ACH","Await ACH",IF(R75="Partial Breakdown","Confirm remaining breakdown",IF(R75="Missing Client","Add canonical client",IF(R75="Missing Location","Complete location fields",IF(R75="OK","No action","Review invalid status"))))))))))</x:f>
        <x:v>No action</x:v>
      </x:c>
      <x:c r="U75" t="str">
        <x:f>IF(R75="OK","No","Yes")</x:f>
        <x:v>No</x:v>
      </x:c>
      <x:c r="V75" s="24" t="n">
        <x:f>ABS(N(G75))</x:f>
        <x:v>0</x:v>
      </x:c>
    </x:row>
    <x:row r="76">
      <x:c r="A76" t="str">
        <x:v>LED-0046</x:v>
      </x:c>
      <x:c r="B76" t="n">
        <x:f>INDEX(tblLedger[Work Order #],MATCH($A76,tblLedger[Ledger Record ID],0))</x:f>
        <x:v>5904843</x:v>
      </x:c>
      <x:c r="C76" t="n">
        <x:f>INDEX(tblLedger[Event #],MATCH($A76,tblLedger[Ledger Record ID],0))</x:f>
        <x:v>46</x:v>
      </x:c>
      <x:c r="D76" t="str">
        <x:f>INDEX(tblLedger[Client],MATCH($A76,tblLedger[Ledger Record ID],0))</x:f>
        <x:v>Marshalls</x:v>
      </x:c>
      <x:c r="E76" t="str">
        <x:f>INDEX(tblLedger[Breakdown Confirmed],MATCH($A76,tblLedger[Ledger Record ID],0))</x:f>
        <x:v>Yes</x:v>
      </x:c>
      <x:c r="F76" t="str">
        <x:f>INDEX(tblLedger[ACH Confirmed],MATCH($A76,tblLedger[Ledger Record ID],0))</x:f>
        <x:v>Yes</x:v>
      </x:c>
      <x:c r="G76" s="24" t="str">
        <x:f>INDEX(tblLedger[Variance],MATCH($A76,tblLedger[Ledger Record ID],0))</x:f>
      </x:c>
      <x:c r="H76" t="str">
        <x:f>IF(COUNTIF(tblLedger[Work Order #],B76)&gt;1,"Yes","No")</x:f>
        <x:v>No</x:v>
      </x:c>
      <x:c r="I76" t="str">
        <x:f>IF(C76="","Yes","No")</x:f>
        <x:v>No</x:v>
      </x:c>
      <x:c r="J76" t="str">
        <x:f>IF(INDEX(tblLedger[Mapping Status],MATCH($A76,tblLedger[Ledger Record ID],0))="MAPPING_HOLD","Yes","No")</x:f>
        <x:v>No</x:v>
      </x:c>
      <x:c r="K76" t="str">
        <x:f>IF(AND(OR(E76="No",E76="Pending"),IFERROR(INDEX(tblServiceEvents[Financial Scope],MATCH(C76,tblServiceEvents[Event #],0)),"Included")="Included"),"Yes","No")</x:f>
        <x:v>No</x:v>
      </x:c>
      <x:c r="L76" t="str">
        <x:f>IF(AND(E76="Yes",OR(F76="No",F76="Pending")),"Yes","No")</x:f>
        <x:v>No</x:v>
      </x:c>
      <x:c r="M76" t="str">
        <x:f>IF(OR(ABS(N(G76))&gt;0,INDEX(tblLedger[Reconciliation Status],MATCH($A76,tblLedger[Ledger Record ID],0))="BREAKDOWN_MISMATCH",INDEX(tblLedger[Reconciliation Status],MATCH($A76,tblLedger[Ledger Record ID],0))="ACH_MISMATCH"),"Yes","No")</x:f>
        <x:v>No</x:v>
      </x:c>
      <x:c r="N76" t="str">
        <x:f>IF(D76="","Yes","No")</x:f>
        <x:v>No</x:v>
      </x:c>
      <x:c r="O76" t="str">
        <x:f>IF(OR(INDEX(tblLedger[City],MATCH($A76,tblLedger[Ledger Record ID],0))="",INDEX(tblLedger[Jurisdiction],MATCH($A76,tblLedger[Ledger Record ID],0))=""),"Yes","No")</x:f>
        <x:v>No</x:v>
      </x:c>
      <x:c r="P76" t="str">
        <x:f>IF(COUNTIF({"Yes","No","Partial","Pending","Mapping Hold"},E76)=0,"Yes","No")</x:f>
        <x:v>No</x:v>
      </x:c>
      <x:c r="Q76" t="str">
        <x:f>IF(COUNTIF({"Yes","No","Partial","Pending","Mapping Review"},F76)=0,"Yes","No")</x:f>
        <x:v>No</x:v>
      </x:c>
      <x:c r="R76" t="str">
        <x:f>IF(J76="Yes","Mapping Hold",IF(I76="Yes","Missing Event Link",IF(H76="Yes","Duplicate WO",IF(M76="Yes","Revenue Variance",IF(K76="Yes","Missing Breakdown",IF(L76="Yes","Pending ACH",IF(E76="Partial","Partial Breakdown",IF(N76="Yes","Missing Client",IF(O76="Yes","Missing Location",IF(P76="Yes","Unknown Breakdown Status",IF(Q76="Yes","Unknown ACH Status","OK")))))))))))</x:f>
        <x:v>OK</x:v>
      </x:c>
      <x:c r="S76" t="str">
        <x:f>IF(OR(J76="Yes",I76="Yes",H76="Yes"),"Critical",IF(OR(M76="Yes",E76="Partial",N76="Yes",O76="Yes",P76="Yes",Q76="Yes"),"Warning",IF(OR(K76="Yes",L76="Yes"),"Informational","OK")))</x:f>
        <x:v>OK</x:v>
      </x:c>
      <x:c r="T76" t="str">
        <x:f>IF(R76="Mapping Hold","Resolve mapping before update",IF(R76="Missing Event Link","Map to one authoritative event",IF(R76="Duplicate WO","Review duplicate identity",IF(R76="Revenue Variance","Reconcile or dispute amount",IF(R76="Missing Breakdown","Await breakdown",IF(R76="Pending ACH","Await ACH",IF(R76="Partial Breakdown","Confirm remaining breakdown",IF(R76="Missing Client","Add canonical client",IF(R76="Missing Location","Complete location fields",IF(R76="OK","No action","Review invalid status"))))))))))</x:f>
        <x:v>No action</x:v>
      </x:c>
      <x:c r="U76" t="str">
        <x:f>IF(R76="OK","No","Yes")</x:f>
        <x:v>No</x:v>
      </x:c>
      <x:c r="V76" s="24" t="n">
        <x:f>ABS(N(G76))</x:f>
        <x:v>0</x:v>
      </x:c>
    </x:row>
    <x:row r="77">
      <x:c r="A77" t="str">
        <x:v>LED-0047</x:v>
      </x:c>
      <x:c r="B77" t="n">
        <x:f>INDEX(tblLedger[Work Order #],MATCH($A77,tblLedger[Ledger Record ID],0))</x:f>
        <x:v>5898644</x:v>
      </x:c>
      <x:c r="C77" t="n">
        <x:f>INDEX(tblLedger[Event #],MATCH($A77,tblLedger[Ledger Record ID],0))</x:f>
        <x:v>47</x:v>
      </x:c>
      <x:c r="D77" t="str">
        <x:f>INDEX(tblLedger[Client],MATCH($A77,tblLedger[Ledger Record ID],0))</x:f>
        <x:v>Office of MD Senator Angela Alsobrooks</x:v>
      </x:c>
      <x:c r="E77" t="str">
        <x:f>INDEX(tblLedger[Breakdown Confirmed],MATCH($A77,tblLedger[Ledger Record ID],0))</x:f>
        <x:v>Yes</x:v>
      </x:c>
      <x:c r="F77" t="str">
        <x:f>INDEX(tblLedger[ACH Confirmed],MATCH($A77,tblLedger[Ledger Record ID],0))</x:f>
        <x:v>Yes</x:v>
      </x:c>
      <x:c r="G77" s="24" t="str">
        <x:f>INDEX(tblLedger[Variance],MATCH($A77,tblLedger[Ledger Record ID],0))</x:f>
      </x:c>
      <x:c r="H77" t="str">
        <x:f>IF(COUNTIF(tblLedger[Work Order #],B77)&gt;1,"Yes","No")</x:f>
        <x:v>No</x:v>
      </x:c>
      <x:c r="I77" t="str">
        <x:f>IF(C77="","Yes","No")</x:f>
        <x:v>No</x:v>
      </x:c>
      <x:c r="J77" t="str">
        <x:f>IF(INDEX(tblLedger[Mapping Status],MATCH($A77,tblLedger[Ledger Record ID],0))="MAPPING_HOLD","Yes","No")</x:f>
        <x:v>No</x:v>
      </x:c>
      <x:c r="K77" t="str">
        <x:f>IF(AND(OR(E77="No",E77="Pending"),IFERROR(INDEX(tblServiceEvents[Financial Scope],MATCH(C77,tblServiceEvents[Event #],0)),"Included")="Included"),"Yes","No")</x:f>
        <x:v>No</x:v>
      </x:c>
      <x:c r="L77" t="str">
        <x:f>IF(AND(E77="Yes",OR(F77="No",F77="Pending")),"Yes","No")</x:f>
        <x:v>No</x:v>
      </x:c>
      <x:c r="M77" t="str">
        <x:f>IF(OR(ABS(N(G77))&gt;0,INDEX(tblLedger[Reconciliation Status],MATCH($A77,tblLedger[Ledger Record ID],0))="BREAKDOWN_MISMATCH",INDEX(tblLedger[Reconciliation Status],MATCH($A77,tblLedger[Ledger Record ID],0))="ACH_MISMATCH"),"Yes","No")</x:f>
        <x:v>No</x:v>
      </x:c>
      <x:c r="N77" t="str">
        <x:f>IF(D77="","Yes","No")</x:f>
        <x:v>No</x:v>
      </x:c>
      <x:c r="O77" t="str">
        <x:f>IF(OR(INDEX(tblLedger[City],MATCH($A77,tblLedger[Ledger Record ID],0))="",INDEX(tblLedger[Jurisdiction],MATCH($A77,tblLedger[Ledger Record ID],0))=""),"Yes","No")</x:f>
        <x:v>No</x:v>
      </x:c>
      <x:c r="P77" t="str">
        <x:f>IF(COUNTIF({"Yes","No","Partial","Pending","Mapping Hold"},E77)=0,"Yes","No")</x:f>
        <x:v>No</x:v>
      </x:c>
      <x:c r="Q77" t="str">
        <x:f>IF(COUNTIF({"Yes","No","Partial","Pending","Mapping Review"},F77)=0,"Yes","No")</x:f>
        <x:v>No</x:v>
      </x:c>
      <x:c r="R77" t="str">
        <x:f>IF(J77="Yes","Mapping Hold",IF(I77="Yes","Missing Event Link",IF(H77="Yes","Duplicate WO",IF(M77="Yes","Revenue Variance",IF(K77="Yes","Missing Breakdown",IF(L77="Yes","Pending ACH",IF(E77="Partial","Partial Breakdown",IF(N77="Yes","Missing Client",IF(O77="Yes","Missing Location",IF(P77="Yes","Unknown Breakdown Status",IF(Q77="Yes","Unknown ACH Status","OK")))))))))))</x:f>
        <x:v>OK</x:v>
      </x:c>
      <x:c r="S77" t="str">
        <x:f>IF(OR(J77="Yes",I77="Yes",H77="Yes"),"Critical",IF(OR(M77="Yes",E77="Partial",N77="Yes",O77="Yes",P77="Yes",Q77="Yes"),"Warning",IF(OR(K77="Yes",L77="Yes"),"Informational","OK")))</x:f>
        <x:v>OK</x:v>
      </x:c>
      <x:c r="T77" t="str">
        <x:f>IF(R77="Mapping Hold","Resolve mapping before update",IF(R77="Missing Event Link","Map to one authoritative event",IF(R77="Duplicate WO","Review duplicate identity",IF(R77="Revenue Variance","Reconcile or dispute amount",IF(R77="Missing Breakdown","Await breakdown",IF(R77="Pending ACH","Await ACH",IF(R77="Partial Breakdown","Confirm remaining breakdown",IF(R77="Missing Client","Add canonical client",IF(R77="Missing Location","Complete location fields",IF(R77="OK","No action","Review invalid status"))))))))))</x:f>
        <x:v>No action</x:v>
      </x:c>
      <x:c r="U77" t="str">
        <x:f>IF(R77="OK","No","Yes")</x:f>
        <x:v>No</x:v>
      </x:c>
      <x:c r="V77" s="24" t="n">
        <x:f>ABS(N(G77))</x:f>
        <x:v>0</x:v>
      </x:c>
    </x:row>
    <x:row r="78">
      <x:c r="A78" t="str">
        <x:v>LED-0048</x:v>
      </x:c>
      <x:c r="B78" t="n">
        <x:f>INDEX(tblLedger[Work Order #],MATCH($A78,tblLedger[Ledger Record ID],0))</x:f>
        <x:v>5905576</x:v>
      </x:c>
      <x:c r="C78" t="n">
        <x:f>INDEX(tblLedger[Event #],MATCH($A78,tblLedger[Ledger Record ID],0))</x:f>
        <x:v>48</x:v>
      </x:c>
      <x:c r="D78" t="str">
        <x:f>INDEX(tblLedger[Client],MATCH($A78,tblLedger[Ledger Record ID],0))</x:f>
        <x:v>Hebrew Home of Greater Washington</x:v>
      </x:c>
      <x:c r="E78" t="str">
        <x:f>INDEX(tblLedger[Breakdown Confirmed],MATCH($A78,tblLedger[Ledger Record ID],0))</x:f>
        <x:v>Yes</x:v>
      </x:c>
      <x:c r="F78" t="str">
        <x:f>INDEX(tblLedger[ACH Confirmed],MATCH($A78,tblLedger[Ledger Record ID],0))</x:f>
        <x:v>Mapping Review</x:v>
      </x:c>
      <x:c r="G78" s="24" t="str">
        <x:f>INDEX(tblLedger[Variance],MATCH($A78,tblLedger[Ledger Record ID],0))</x:f>
      </x:c>
      <x:c r="H78" t="str">
        <x:f>IF(COUNTIF(tblLedger[Work Order #],B78)&gt;1,"Yes","No")</x:f>
        <x:v>No</x:v>
      </x:c>
      <x:c r="I78" t="str">
        <x:f>IF(C78="","Yes","No")</x:f>
        <x:v>No</x:v>
      </x:c>
      <x:c r="J78" t="str">
        <x:f>IF(INDEX(tblLedger[Mapping Status],MATCH($A78,tblLedger[Ledger Record ID],0))="MAPPING_HOLD","Yes","No")</x:f>
        <x:v>No</x:v>
      </x:c>
      <x:c r="K78" t="str">
        <x:f>IF(AND(OR(E78="No",E78="Pending"),IFERROR(INDEX(tblServiceEvents[Financial Scope],MATCH(C78,tblServiceEvents[Event #],0)),"Included")="Included"),"Yes","No")</x:f>
        <x:v>No</x:v>
      </x:c>
      <x:c r="L78" t="str">
        <x:f>IF(AND(E78="Yes",OR(F78="No",F78="Pending")),"Yes","No")</x:f>
        <x:v>No</x:v>
      </x:c>
      <x:c r="M78" t="str">
        <x:f>IF(OR(ABS(N(G78))&gt;0,INDEX(tblLedger[Reconciliation Status],MATCH($A78,tblLedger[Ledger Record ID],0))="BREAKDOWN_MISMATCH",INDEX(tblLedger[Reconciliation Status],MATCH($A78,tblLedger[Ledger Record ID],0))="ACH_MISMATCH"),"Yes","No")</x:f>
        <x:v>No</x:v>
      </x:c>
      <x:c r="N78" t="str">
        <x:f>IF(D78="","Yes","No")</x:f>
        <x:v>No</x:v>
      </x:c>
      <x:c r="O78" t="str">
        <x:f>IF(OR(INDEX(tblLedger[City],MATCH($A78,tblLedger[Ledger Record ID],0))="",INDEX(tblLedger[Jurisdiction],MATCH($A78,tblLedger[Ledger Record ID],0))=""),"Yes","No")</x:f>
        <x:v>No</x:v>
      </x:c>
      <x:c r="P78" t="str">
        <x:f>IF(COUNTIF({"Yes","No","Partial","Pending","Mapping Hold"},E78)=0,"Yes","No")</x:f>
        <x:v>No</x:v>
      </x:c>
      <x:c r="Q78" t="str">
        <x:f>IF(COUNTIF({"Yes","No","Partial","Pending","Mapping Review"},F78)=0,"Yes","No")</x:f>
        <x:v>No</x:v>
      </x:c>
      <x:c r="R78" t="str">
        <x:f>IF(J78="Yes","Mapping Hold",IF(I78="Yes","Missing Event Link",IF(H78="Yes","Duplicate WO",IF(M78="Yes","Revenue Variance",IF(K78="Yes","Missing Breakdown",IF(L78="Yes","Pending ACH",IF(E78="Partial","Partial Breakdown",IF(N78="Yes","Missing Client",IF(O78="Yes","Missing Location",IF(P78="Yes","Unknown Breakdown Status",IF(Q78="Yes","Unknown ACH Status","OK")))))))))))</x:f>
        <x:v>OK</x:v>
      </x:c>
      <x:c r="S78" t="str">
        <x:f>IF(OR(J78="Yes",I78="Yes",H78="Yes"),"Critical",IF(OR(M78="Yes",E78="Partial",N78="Yes",O78="Yes",P78="Yes",Q78="Yes"),"Warning",IF(OR(K78="Yes",L78="Yes"),"Informational","OK")))</x:f>
        <x:v>OK</x:v>
      </x:c>
      <x:c r="T78" t="str">
        <x:f>IF(R78="Mapping Hold","Resolve mapping before update",IF(R78="Missing Event Link","Map to one authoritative event",IF(R78="Duplicate WO","Review duplicate identity",IF(R78="Revenue Variance","Reconcile or dispute amount",IF(R78="Missing Breakdown","Await breakdown",IF(R78="Pending ACH","Await ACH",IF(R78="Partial Breakdown","Confirm remaining breakdown",IF(R78="Missing Client","Add canonical client",IF(R78="Missing Location","Complete location fields",IF(R78="OK","No action","Review invalid status"))))))))))</x:f>
        <x:v>No action</x:v>
      </x:c>
      <x:c r="U78" t="str">
        <x:f>IF(R78="OK","No","Yes")</x:f>
        <x:v>No</x:v>
      </x:c>
      <x:c r="V78" s="24" t="n">
        <x:f>ABS(N(G78))</x:f>
        <x:v>0</x:v>
      </x:c>
    </x:row>
    <x:row r="79">
      <x:c r="A79" t="str">
        <x:v>LED-0049</x:v>
      </x:c>
      <x:c r="B79" t="n">
        <x:f>INDEX(tblLedger[Work Order #],MATCH($A79,tblLedger[Ledger Record ID],0))</x:f>
        <x:v>5899546</x:v>
      </x:c>
      <x:c r="C79" t="n">
        <x:f>INDEX(tblLedger[Event #],MATCH($A79,tblLedger[Ledger Record ID],0))</x:f>
        <x:v>49</x:v>
      </x:c>
      <x:c r="D79" t="str">
        <x:f>INDEX(tblLedger[Client],MATCH($A79,tblLedger[Ledger Record ID],0))</x:f>
        <x:v>Weis Markets</x:v>
      </x:c>
      <x:c r="E79" t="str">
        <x:f>INDEX(tblLedger[Breakdown Confirmed],MATCH($A79,tblLedger[Ledger Record ID],0))</x:f>
        <x:v>Yes</x:v>
      </x:c>
      <x:c r="F79" t="str">
        <x:f>INDEX(tblLedger[ACH Confirmed],MATCH($A79,tblLedger[Ledger Record ID],0))</x:f>
        <x:v>Yes</x:v>
      </x:c>
      <x:c r="G79" s="24" t="str">
        <x:f>INDEX(tblLedger[Variance],MATCH($A79,tblLedger[Ledger Record ID],0))</x:f>
      </x:c>
      <x:c r="H79" t="str">
        <x:f>IF(COUNTIF(tblLedger[Work Order #],B79)&gt;1,"Yes","No")</x:f>
        <x:v>No</x:v>
      </x:c>
      <x:c r="I79" t="str">
        <x:f>IF(C79="","Yes","No")</x:f>
        <x:v>No</x:v>
      </x:c>
      <x:c r="J79" t="str">
        <x:f>IF(INDEX(tblLedger[Mapping Status],MATCH($A79,tblLedger[Ledger Record ID],0))="MAPPING_HOLD","Yes","No")</x:f>
        <x:v>No</x:v>
      </x:c>
      <x:c r="K79" t="str">
        <x:f>IF(AND(OR(E79="No",E79="Pending"),IFERROR(INDEX(tblServiceEvents[Financial Scope],MATCH(C79,tblServiceEvents[Event #],0)),"Included")="Included"),"Yes","No")</x:f>
        <x:v>No</x:v>
      </x:c>
      <x:c r="L79" t="str">
        <x:f>IF(AND(E79="Yes",OR(F79="No",F79="Pending")),"Yes","No")</x:f>
        <x:v>No</x:v>
      </x:c>
      <x:c r="M79" t="str">
        <x:f>IF(OR(ABS(N(G79))&gt;0,INDEX(tblLedger[Reconciliation Status],MATCH($A79,tblLedger[Ledger Record ID],0))="BREAKDOWN_MISMATCH",INDEX(tblLedger[Reconciliation Status],MATCH($A79,tblLedger[Ledger Record ID],0))="ACH_MISMATCH"),"Yes","No")</x:f>
        <x:v>No</x:v>
      </x:c>
      <x:c r="N79" t="str">
        <x:f>IF(D79="","Yes","No")</x:f>
        <x:v>No</x:v>
      </x:c>
      <x:c r="O79" t="str">
        <x:f>IF(OR(INDEX(tblLedger[City],MATCH($A79,tblLedger[Ledger Record ID],0))="",INDEX(tblLedger[Jurisdiction],MATCH($A79,tblLedger[Ledger Record ID],0))=""),"Yes","No")</x:f>
        <x:v>No</x:v>
      </x:c>
      <x:c r="P79" t="str">
        <x:f>IF(COUNTIF({"Yes","No","Partial","Pending","Mapping Hold"},E79)=0,"Yes","No")</x:f>
        <x:v>No</x:v>
      </x:c>
      <x:c r="Q79" t="str">
        <x:f>IF(COUNTIF({"Yes","No","Partial","Pending","Mapping Review"},F79)=0,"Yes","No")</x:f>
        <x:v>No</x:v>
      </x:c>
      <x:c r="R79" t="str">
        <x:f>IF(J79="Yes","Mapping Hold",IF(I79="Yes","Missing Event Link",IF(H79="Yes","Duplicate WO",IF(M79="Yes","Revenue Variance",IF(K79="Yes","Missing Breakdown",IF(L79="Yes","Pending ACH",IF(E79="Partial","Partial Breakdown",IF(N79="Yes","Missing Client",IF(O79="Yes","Missing Location",IF(P79="Yes","Unknown Breakdown Status",IF(Q79="Yes","Unknown ACH Status","OK")))))))))))</x:f>
        <x:v>OK</x:v>
      </x:c>
      <x:c r="S79" t="str">
        <x:f>IF(OR(J79="Yes",I79="Yes",H79="Yes"),"Critical",IF(OR(M79="Yes",E79="Partial",N79="Yes",O79="Yes",P79="Yes",Q79="Yes"),"Warning",IF(OR(K79="Yes",L79="Yes"),"Informational","OK")))</x:f>
        <x:v>OK</x:v>
      </x:c>
      <x:c r="T79" t="str">
        <x:f>IF(R79="Mapping Hold","Resolve mapping before update",IF(R79="Missing Event Link","Map to one authoritative event",IF(R79="Duplicate WO","Review duplicate identity",IF(R79="Revenue Variance","Reconcile or dispute amount",IF(R79="Missing Breakdown","Await breakdown",IF(R79="Pending ACH","Await ACH",IF(R79="Partial Breakdown","Confirm remaining breakdown",IF(R79="Missing Client","Add canonical client",IF(R79="Missing Location","Complete location fields",IF(R79="OK","No action","Review invalid status"))))))))))</x:f>
        <x:v>No action</x:v>
      </x:c>
      <x:c r="U79" t="str">
        <x:f>IF(R79="OK","No","Yes")</x:f>
        <x:v>No</x:v>
      </x:c>
      <x:c r="V79" s="24" t="n">
        <x:f>ABS(N(G79))</x:f>
        <x:v>0</x:v>
      </x:c>
    </x:row>
    <x:row r="80">
      <x:c r="A80" t="str">
        <x:v>LED-0050</x:v>
      </x:c>
      <x:c r="B80" t="n">
        <x:f>INDEX(tblLedger[Work Order #],MATCH($A80,tblLedger[Ledger Record ID],0))</x:f>
        <x:v>5903036</x:v>
      </x:c>
      <x:c r="C80" t="n">
        <x:f>INDEX(tblLedger[Event #],MATCH($A80,tblLedger[Ledger Record ID],0))</x:f>
        <x:v>50</x:v>
      </x:c>
      <x:c r="D80" t="str">
        <x:f>INDEX(tblLedger[Client],MATCH($A80,tblLedger[Ledger Record ID],0))</x:f>
        <x:v>Giant Food Stores</x:v>
      </x:c>
      <x:c r="E80" t="str">
        <x:f>INDEX(tblLedger[Breakdown Confirmed],MATCH($A80,tblLedger[Ledger Record ID],0))</x:f>
        <x:v>Yes</x:v>
      </x:c>
      <x:c r="F80" t="str">
        <x:f>INDEX(tblLedger[ACH Confirmed],MATCH($A80,tblLedger[Ledger Record ID],0))</x:f>
        <x:v>Yes</x:v>
      </x:c>
      <x:c r="G80" s="24" t="str">
        <x:f>INDEX(tblLedger[Variance],MATCH($A80,tblLedger[Ledger Record ID],0))</x:f>
      </x:c>
      <x:c r="H80" t="str">
        <x:f>IF(COUNTIF(tblLedger[Work Order #],B80)&gt;1,"Yes","No")</x:f>
        <x:v>No</x:v>
      </x:c>
      <x:c r="I80" t="str">
        <x:f>IF(C80="","Yes","No")</x:f>
        <x:v>No</x:v>
      </x:c>
      <x:c r="J80" t="str">
        <x:f>IF(INDEX(tblLedger[Mapping Status],MATCH($A80,tblLedger[Ledger Record ID],0))="MAPPING_HOLD","Yes","No")</x:f>
        <x:v>No</x:v>
      </x:c>
      <x:c r="K80" t="str">
        <x:f>IF(AND(OR(E80="No",E80="Pending"),IFERROR(INDEX(tblServiceEvents[Financial Scope],MATCH(C80,tblServiceEvents[Event #],0)),"Included")="Included"),"Yes","No")</x:f>
        <x:v>No</x:v>
      </x:c>
      <x:c r="L80" t="str">
        <x:f>IF(AND(E80="Yes",OR(F80="No",F80="Pending")),"Yes","No")</x:f>
        <x:v>No</x:v>
      </x:c>
      <x:c r="M80" t="str">
        <x:f>IF(OR(ABS(N(G80))&gt;0,INDEX(tblLedger[Reconciliation Status],MATCH($A80,tblLedger[Ledger Record ID],0))="BREAKDOWN_MISMATCH",INDEX(tblLedger[Reconciliation Status],MATCH($A80,tblLedger[Ledger Record ID],0))="ACH_MISMATCH"),"Yes","No")</x:f>
        <x:v>No</x:v>
      </x:c>
      <x:c r="N80" t="str">
        <x:f>IF(D80="","Yes","No")</x:f>
        <x:v>No</x:v>
      </x:c>
      <x:c r="O80" t="str">
        <x:f>IF(OR(INDEX(tblLedger[City],MATCH($A80,tblLedger[Ledger Record ID],0))="",INDEX(tblLedger[Jurisdiction],MATCH($A80,tblLedger[Ledger Record ID],0))=""),"Yes","No")</x:f>
        <x:v>No</x:v>
      </x:c>
      <x:c r="P80" t="str">
        <x:f>IF(COUNTIF({"Yes","No","Partial","Pending","Mapping Hold"},E80)=0,"Yes","No")</x:f>
        <x:v>No</x:v>
      </x:c>
      <x:c r="Q80" t="str">
        <x:f>IF(COUNTIF({"Yes","No","Partial","Pending","Mapping Review"},F80)=0,"Yes","No")</x:f>
        <x:v>No</x:v>
      </x:c>
      <x:c r="R80" t="str">
        <x:f>IF(J80="Yes","Mapping Hold",IF(I80="Yes","Missing Event Link",IF(H80="Yes","Duplicate WO",IF(M80="Yes","Revenue Variance",IF(K80="Yes","Missing Breakdown",IF(L80="Yes","Pending ACH",IF(E80="Partial","Partial Breakdown",IF(N80="Yes","Missing Client",IF(O80="Yes","Missing Location",IF(P80="Yes","Unknown Breakdown Status",IF(Q80="Yes","Unknown ACH Status","OK")))))))))))</x:f>
        <x:v>OK</x:v>
      </x:c>
      <x:c r="S80" t="str">
        <x:f>IF(OR(J80="Yes",I80="Yes",H80="Yes"),"Critical",IF(OR(M80="Yes",E80="Partial",N80="Yes",O80="Yes",P80="Yes",Q80="Yes"),"Warning",IF(OR(K80="Yes",L80="Yes"),"Informational","OK")))</x:f>
        <x:v>OK</x:v>
      </x:c>
      <x:c r="T80" t="str">
        <x:f>IF(R80="Mapping Hold","Resolve mapping before update",IF(R80="Missing Event Link","Map to one authoritative event",IF(R80="Duplicate WO","Review duplicate identity",IF(R80="Revenue Variance","Reconcile or dispute amount",IF(R80="Missing Breakdown","Await breakdown",IF(R80="Pending ACH","Await ACH",IF(R80="Partial Breakdown","Confirm remaining breakdown",IF(R80="Missing Client","Add canonical client",IF(R80="Missing Location","Complete location fields",IF(R80="OK","No action","Review invalid status"))))))))))</x:f>
        <x:v>No action</x:v>
      </x:c>
      <x:c r="U80" t="str">
        <x:f>IF(R80="OK","No","Yes")</x:f>
        <x:v>No</x:v>
      </x:c>
      <x:c r="V80" s="24" t="n">
        <x:f>ABS(N(G80))</x:f>
        <x:v>0</x:v>
      </x:c>
    </x:row>
    <x:row r="81">
      <x:c r="A81" t="str">
        <x:v>LED-0051</x:v>
      </x:c>
      <x:c r="B81" t="n">
        <x:f>INDEX(tblLedger[Work Order #],MATCH($A81,tblLedger[Ledger Record ID],0))</x:f>
        <x:v>5906380</x:v>
      </x:c>
      <x:c r="C81" t="n">
        <x:f>INDEX(tblLedger[Event #],MATCH($A81,tblLedger[Ledger Record ID],0))</x:f>
        <x:v>52</x:v>
      </x:c>
      <x:c r="D81" t="str">
        <x:f>INDEX(tblLedger[Client],MATCH($A81,tblLedger[Ledger Record ID],0))</x:f>
        <x:v>Food Lion</x:v>
      </x:c>
      <x:c r="E81" t="str">
        <x:f>INDEX(tblLedger[Breakdown Confirmed],MATCH($A81,tblLedger[Ledger Record ID],0))</x:f>
        <x:v>Yes</x:v>
      </x:c>
      <x:c r="F81" t="str">
        <x:f>INDEX(tblLedger[ACH Confirmed],MATCH($A81,tblLedger[Ledger Record ID],0))</x:f>
        <x:v>No</x:v>
      </x:c>
      <x:c r="G81" s="24" t="str">
        <x:f>INDEX(tblLedger[Variance],MATCH($A81,tblLedger[Ledger Record ID],0))</x:f>
      </x:c>
      <x:c r="H81" t="str">
        <x:f>IF(COUNTIF(tblLedger[Work Order #],B81)&gt;1,"Yes","No")</x:f>
        <x:v>No</x:v>
      </x:c>
      <x:c r="I81" t="str">
        <x:f>IF(C81="","Yes","No")</x:f>
        <x:v>No</x:v>
      </x:c>
      <x:c r="J81" t="str">
        <x:f>IF(INDEX(tblLedger[Mapping Status],MATCH($A81,tblLedger[Ledger Record ID],0))="MAPPING_HOLD","Yes","No")</x:f>
        <x:v>No</x:v>
      </x:c>
      <x:c r="K81" t="str">
        <x:f>IF(AND(OR(E81="No",E81="Pending"),IFERROR(INDEX(tblServiceEvents[Financial Scope],MATCH(C81,tblServiceEvents[Event #],0)),"Included")="Included"),"Yes","No")</x:f>
        <x:v>No</x:v>
      </x:c>
      <x:c r="L81" t="str">
        <x:f>IF(AND(E81="Yes",OR(F81="No",F81="Pending")),"Yes","No")</x:f>
        <x:v>Yes</x:v>
      </x:c>
      <x:c r="M81" t="str">
        <x:f>IF(OR(ABS(N(G81))&gt;0,INDEX(tblLedger[Reconciliation Status],MATCH($A81,tblLedger[Ledger Record ID],0))="BREAKDOWN_MISMATCH",INDEX(tblLedger[Reconciliation Status],MATCH($A81,tblLedger[Ledger Record ID],0))="ACH_MISMATCH"),"Yes","No")</x:f>
        <x:v>No</x:v>
      </x:c>
      <x:c r="N81" t="str">
        <x:f>IF(D81="","Yes","No")</x:f>
        <x:v>No</x:v>
      </x:c>
      <x:c r="O81" t="str">
        <x:f>IF(OR(INDEX(tblLedger[City],MATCH($A81,tblLedger[Ledger Record ID],0))="",INDEX(tblLedger[Jurisdiction],MATCH($A81,tblLedger[Ledger Record ID],0))=""),"Yes","No")</x:f>
        <x:v>No</x:v>
      </x:c>
      <x:c r="P81" t="str">
        <x:f>IF(COUNTIF({"Yes","No","Partial","Pending","Mapping Hold"},E81)=0,"Yes","No")</x:f>
        <x:v>No</x:v>
      </x:c>
      <x:c r="Q81" t="str">
        <x:f>IF(COUNTIF({"Yes","No","Partial","Pending","Mapping Review"},F81)=0,"Yes","No")</x:f>
        <x:v>No</x:v>
      </x:c>
      <x:c r="R81" t="str">
        <x:f>IF(J81="Yes","Mapping Hold",IF(I81="Yes","Missing Event Link",IF(H81="Yes","Duplicate WO",IF(M81="Yes","Revenue Variance",IF(K81="Yes","Missing Breakdown",IF(L81="Yes","Pending ACH",IF(E81="Partial","Partial Breakdown",IF(N81="Yes","Missing Client",IF(O81="Yes","Missing Location",IF(P81="Yes","Unknown Breakdown Status",IF(Q81="Yes","Unknown ACH Status","OK")))))))))))</x:f>
        <x:v>Pending ACH</x:v>
      </x:c>
      <x:c r="S81" t="str">
        <x:f>IF(OR(J81="Yes",I81="Yes",H81="Yes"),"Critical",IF(OR(M81="Yes",E81="Partial",N81="Yes",O81="Yes",P81="Yes",Q81="Yes"),"Warning",IF(OR(K81="Yes",L81="Yes"),"Informational","OK")))</x:f>
        <x:v>Informational</x:v>
      </x:c>
      <x:c r="T81" t="str">
        <x:f>IF(R81="Mapping Hold","Resolve mapping before update",IF(R81="Missing Event Link","Map to one authoritative event",IF(R81="Duplicate WO","Review duplicate identity",IF(R81="Revenue Variance","Reconcile or dispute amount",IF(R81="Missing Breakdown","Await breakdown",IF(R81="Pending ACH","Await ACH",IF(R81="Partial Breakdown","Confirm remaining breakdown",IF(R81="Missing Client","Add canonical client",IF(R81="Missing Location","Complete location fields",IF(R81="OK","No action","Review invalid status"))))))))))</x:f>
        <x:v>Await ACH</x:v>
      </x:c>
      <x:c r="U81" t="str">
        <x:f>IF(R81="OK","No","Yes")</x:f>
        <x:v>Yes</x:v>
      </x:c>
      <x:c r="V81" s="24" t="n">
        <x:f>ABS(N(G81))</x:f>
        <x:v>0</x:v>
      </x:c>
    </x:row>
    <x:row r="82">
      <x:c r="A82" t="str">
        <x:v>LED-0052</x:v>
      </x:c>
      <x:c r="B82" t="n">
        <x:f>INDEX(tblLedger[Work Order #],MATCH($A82,tblLedger[Ledger Record ID],0))</x:f>
        <x:v>5907571</x:v>
      </x:c>
      <x:c r="C82" t="n">
        <x:f>INDEX(tblLedger[Event #],MATCH($A82,tblLedger[Ledger Record ID],0))</x:f>
        <x:v>53</x:v>
      </x:c>
      <x:c r="D82" t="str">
        <x:f>INDEX(tblLedger[Client],MATCH($A82,tblLedger[Ledger Record ID],0))</x:f>
        <x:v>Hilton Garden Inn</x:v>
      </x:c>
      <x:c r="E82" t="str">
        <x:f>INDEX(tblLedger[Breakdown Confirmed],MATCH($A82,tblLedger[Ledger Record ID],0))</x:f>
        <x:v>Yes</x:v>
      </x:c>
      <x:c r="F82" t="str">
        <x:f>INDEX(tblLedger[ACH Confirmed],MATCH($A82,tblLedger[Ledger Record ID],0))</x:f>
        <x:v>Yes</x:v>
      </x:c>
      <x:c r="G82" s="24" t="str">
        <x:f>INDEX(tblLedger[Variance],MATCH($A82,tblLedger[Ledger Record ID],0))</x:f>
      </x:c>
      <x:c r="H82" t="str">
        <x:f>IF(COUNTIF(tblLedger[Work Order #],B82)&gt;1,"Yes","No")</x:f>
        <x:v>No</x:v>
      </x:c>
      <x:c r="I82" t="str">
        <x:f>IF(C82="","Yes","No")</x:f>
        <x:v>No</x:v>
      </x:c>
      <x:c r="J82" t="str">
        <x:f>IF(INDEX(tblLedger[Mapping Status],MATCH($A82,tblLedger[Ledger Record ID],0))="MAPPING_HOLD","Yes","No")</x:f>
        <x:v>No</x:v>
      </x:c>
      <x:c r="K82" t="str">
        <x:f>IF(AND(OR(E82="No",E82="Pending"),IFERROR(INDEX(tblServiceEvents[Financial Scope],MATCH(C82,tblServiceEvents[Event #],0)),"Included")="Included"),"Yes","No")</x:f>
        <x:v>No</x:v>
      </x:c>
      <x:c r="L82" t="str">
        <x:f>IF(AND(E82="Yes",OR(F82="No",F82="Pending")),"Yes","No")</x:f>
        <x:v>No</x:v>
      </x:c>
      <x:c r="M82" t="str">
        <x:f>IF(OR(ABS(N(G82))&gt;0,INDEX(tblLedger[Reconciliation Status],MATCH($A82,tblLedger[Ledger Record ID],0))="BREAKDOWN_MISMATCH",INDEX(tblLedger[Reconciliation Status],MATCH($A82,tblLedger[Ledger Record ID],0))="ACH_MISMATCH"),"Yes","No")</x:f>
        <x:v>No</x:v>
      </x:c>
      <x:c r="N82" t="str">
        <x:f>IF(D82="","Yes","No")</x:f>
        <x:v>No</x:v>
      </x:c>
      <x:c r="O82" t="str">
        <x:f>IF(OR(INDEX(tblLedger[City],MATCH($A82,tblLedger[Ledger Record ID],0))="",INDEX(tblLedger[Jurisdiction],MATCH($A82,tblLedger[Ledger Record ID],0))=""),"Yes","No")</x:f>
        <x:v>No</x:v>
      </x:c>
      <x:c r="P82" t="str">
        <x:f>IF(COUNTIF({"Yes","No","Partial","Pending","Mapping Hold"},E82)=0,"Yes","No")</x:f>
        <x:v>No</x:v>
      </x:c>
      <x:c r="Q82" t="str">
        <x:f>IF(COUNTIF({"Yes","No","Partial","Pending","Mapping Review"},F82)=0,"Yes","No")</x:f>
        <x:v>No</x:v>
      </x:c>
      <x:c r="R82" t="str">
        <x:f>IF(J82="Yes","Mapping Hold",IF(I82="Yes","Missing Event Link",IF(H82="Yes","Duplicate WO",IF(M82="Yes","Revenue Variance",IF(K82="Yes","Missing Breakdown",IF(L82="Yes","Pending ACH",IF(E82="Partial","Partial Breakdown",IF(N82="Yes","Missing Client",IF(O82="Yes","Missing Location",IF(P82="Yes","Unknown Breakdown Status",IF(Q82="Yes","Unknown ACH Status","OK")))))))))))</x:f>
        <x:v>OK</x:v>
      </x:c>
      <x:c r="S82" t="str">
        <x:f>IF(OR(J82="Yes",I82="Yes",H82="Yes"),"Critical",IF(OR(M82="Yes",E82="Partial",N82="Yes",O82="Yes",P82="Yes",Q82="Yes"),"Warning",IF(OR(K82="Yes",L82="Yes"),"Informational","OK")))</x:f>
        <x:v>OK</x:v>
      </x:c>
      <x:c r="T82" t="str">
        <x:f>IF(R82="Mapping Hold","Resolve mapping before update",IF(R82="Missing Event Link","Map to one authoritative event",IF(R82="Duplicate WO","Review duplicate identity",IF(R82="Revenue Variance","Reconcile or dispute amount",IF(R82="Missing Breakdown","Await breakdown",IF(R82="Pending ACH","Await ACH",IF(R82="Partial Breakdown","Confirm remaining breakdown",IF(R82="Missing Client","Add canonical client",IF(R82="Missing Location","Complete location fields",IF(R82="OK","No action","Review invalid status"))))))))))</x:f>
        <x:v>No action</x:v>
      </x:c>
      <x:c r="U82" t="str">
        <x:f>IF(R82="OK","No","Yes")</x:f>
        <x:v>No</x:v>
      </x:c>
      <x:c r="V82" s="24" t="n">
        <x:f>ABS(N(G82))</x:f>
        <x:v>0</x:v>
      </x:c>
    </x:row>
    <x:row r="83">
      <x:c r="A83" t="str">
        <x:v>LED-0053</x:v>
      </x:c>
      <x:c r="B83" t="n">
        <x:f>INDEX(tblLedger[Work Order #],MATCH($A83,tblLedger[Ledger Record ID],0))</x:f>
        <x:v>5910094</x:v>
      </x:c>
      <x:c r="C83" t="n">
        <x:f>INDEX(tblLedger[Event #],MATCH($A83,tblLedger[Ledger Record ID],0))</x:f>
        <x:v>54</x:v>
      </x:c>
      <x:c r="D83" t="str">
        <x:f>INDEX(tblLedger[Client],MATCH($A83,tblLedger[Ledger Record ID],0))</x:f>
        <x:v>7-Eleven</x:v>
      </x:c>
      <x:c r="E83" t="str">
        <x:f>INDEX(tblLedger[Breakdown Confirmed],MATCH($A83,tblLedger[Ledger Record ID],0))</x:f>
        <x:v>Yes</x:v>
      </x:c>
      <x:c r="F83" t="str">
        <x:f>INDEX(tblLedger[ACH Confirmed],MATCH($A83,tblLedger[Ledger Record ID],0))</x:f>
        <x:v>Yes</x:v>
      </x:c>
      <x:c r="G83" s="24" t="str">
        <x:f>INDEX(tblLedger[Variance],MATCH($A83,tblLedger[Ledger Record ID],0))</x:f>
      </x:c>
      <x:c r="H83" t="str">
        <x:f>IF(COUNTIF(tblLedger[Work Order #],B83)&gt;1,"Yes","No")</x:f>
        <x:v>No</x:v>
      </x:c>
      <x:c r="I83" t="str">
        <x:f>IF(C83="","Yes","No")</x:f>
        <x:v>No</x:v>
      </x:c>
      <x:c r="J83" t="str">
        <x:f>IF(INDEX(tblLedger[Mapping Status],MATCH($A83,tblLedger[Ledger Record ID],0))="MAPPING_HOLD","Yes","No")</x:f>
        <x:v>No</x:v>
      </x:c>
      <x:c r="K83" t="str">
        <x:f>IF(AND(OR(E83="No",E83="Pending"),IFERROR(INDEX(tblServiceEvents[Financial Scope],MATCH(C83,tblServiceEvents[Event #],0)),"Included")="Included"),"Yes","No")</x:f>
        <x:v>No</x:v>
      </x:c>
      <x:c r="L83" t="str">
        <x:f>IF(AND(E83="Yes",OR(F83="No",F83="Pending")),"Yes","No")</x:f>
        <x:v>No</x:v>
      </x:c>
      <x:c r="M83" t="str">
        <x:f>IF(OR(ABS(N(G83))&gt;0,INDEX(tblLedger[Reconciliation Status],MATCH($A83,tblLedger[Ledger Record ID],0))="BREAKDOWN_MISMATCH",INDEX(tblLedger[Reconciliation Status],MATCH($A83,tblLedger[Ledger Record ID],0))="ACH_MISMATCH"),"Yes","No")</x:f>
        <x:v>No</x:v>
      </x:c>
      <x:c r="N83" t="str">
        <x:f>IF(D83="","Yes","No")</x:f>
        <x:v>No</x:v>
      </x:c>
      <x:c r="O83" t="str">
        <x:f>IF(OR(INDEX(tblLedger[City],MATCH($A83,tblLedger[Ledger Record ID],0))="",INDEX(tblLedger[Jurisdiction],MATCH($A83,tblLedger[Ledger Record ID],0))=""),"Yes","No")</x:f>
        <x:v>No</x:v>
      </x:c>
      <x:c r="P83" t="str">
        <x:f>IF(COUNTIF({"Yes","No","Partial","Pending","Mapping Hold"},E83)=0,"Yes","No")</x:f>
        <x:v>No</x:v>
      </x:c>
      <x:c r="Q83" t="str">
        <x:f>IF(COUNTIF({"Yes","No","Partial","Pending","Mapping Review"},F83)=0,"Yes","No")</x:f>
        <x:v>No</x:v>
      </x:c>
      <x:c r="R83" t="str">
        <x:f>IF(J83="Yes","Mapping Hold",IF(I83="Yes","Missing Event Link",IF(H83="Yes","Duplicate WO",IF(M83="Yes","Revenue Variance",IF(K83="Yes","Missing Breakdown",IF(L83="Yes","Pending ACH",IF(E83="Partial","Partial Breakdown",IF(N83="Yes","Missing Client",IF(O83="Yes","Missing Location",IF(P83="Yes","Unknown Breakdown Status",IF(Q83="Yes","Unknown ACH Status","OK")))))))))))</x:f>
        <x:v>OK</x:v>
      </x:c>
      <x:c r="S83" t="str">
        <x:f>IF(OR(J83="Yes",I83="Yes",H83="Yes"),"Critical",IF(OR(M83="Yes",E83="Partial",N83="Yes",O83="Yes",P83="Yes",Q83="Yes"),"Warning",IF(OR(K83="Yes",L83="Yes"),"Informational","OK")))</x:f>
        <x:v>OK</x:v>
      </x:c>
      <x:c r="T83" t="str">
        <x:f>IF(R83="Mapping Hold","Resolve mapping before update",IF(R83="Missing Event Link","Map to one authoritative event",IF(R83="Duplicate WO","Review duplicate identity",IF(R83="Revenue Variance","Reconcile or dispute amount",IF(R83="Missing Breakdown","Await breakdown",IF(R83="Pending ACH","Await ACH",IF(R83="Partial Breakdown","Confirm remaining breakdown",IF(R83="Missing Client","Add canonical client",IF(R83="Missing Location","Complete location fields",IF(R83="OK","No action","Review invalid status"))))))))))</x:f>
        <x:v>No action</x:v>
      </x:c>
      <x:c r="U83" t="str">
        <x:f>IF(R83="OK","No","Yes")</x:f>
        <x:v>No</x:v>
      </x:c>
      <x:c r="V83" s="24" t="n">
        <x:f>ABS(N(G83))</x:f>
        <x:v>0</x:v>
      </x:c>
    </x:row>
    <x:row r="84">
      <x:c r="A84" t="str">
        <x:v>LED-0054</x:v>
      </x:c>
      <x:c r="B84" t="n">
        <x:f>INDEX(tblLedger[Work Order #],MATCH($A84,tblLedger[Ledger Record ID],0))</x:f>
        <x:v>5898645</x:v>
      </x:c>
      <x:c r="C84" t="n">
        <x:f>INDEX(tblLedger[Event #],MATCH($A84,tblLedger[Ledger Record ID],0))</x:f>
        <x:v>55</x:v>
      </x:c>
      <x:c r="D84" t="str">
        <x:f>INDEX(tblLedger[Client],MATCH($A84,tblLedger[Ledger Record ID],0))</x:f>
        <x:v>Office of MD Senator Angela Alsobrooks</x:v>
      </x:c>
      <x:c r="E84" t="str">
        <x:f>INDEX(tblLedger[Breakdown Confirmed],MATCH($A84,tblLedger[Ledger Record ID],0))</x:f>
        <x:v>Yes</x:v>
      </x:c>
      <x:c r="F84" t="str">
        <x:f>INDEX(tblLedger[ACH Confirmed],MATCH($A84,tblLedger[Ledger Record ID],0))</x:f>
        <x:v>No</x:v>
      </x:c>
      <x:c r="G84" s="24" t="str">
        <x:f>INDEX(tblLedger[Variance],MATCH($A84,tblLedger[Ledger Record ID],0))</x:f>
      </x:c>
      <x:c r="H84" t="str">
        <x:f>IF(COUNTIF(tblLedger[Work Order #],B84)&gt;1,"Yes","No")</x:f>
        <x:v>No</x:v>
      </x:c>
      <x:c r="I84" t="str">
        <x:f>IF(C84="","Yes","No")</x:f>
        <x:v>No</x:v>
      </x:c>
      <x:c r="J84" t="str">
        <x:f>IF(INDEX(tblLedger[Mapping Status],MATCH($A84,tblLedger[Ledger Record ID],0))="MAPPING_HOLD","Yes","No")</x:f>
        <x:v>No</x:v>
      </x:c>
      <x:c r="K84" t="str">
        <x:f>IF(AND(OR(E84="No",E84="Pending"),IFERROR(INDEX(tblServiceEvents[Financial Scope],MATCH(C84,tblServiceEvents[Event #],0)),"Included")="Included"),"Yes","No")</x:f>
        <x:v>No</x:v>
      </x:c>
      <x:c r="L84" t="str">
        <x:f>IF(AND(E84="Yes",OR(F84="No",F84="Pending")),"Yes","No")</x:f>
        <x:v>Yes</x:v>
      </x:c>
      <x:c r="M84" t="str">
        <x:f>IF(OR(ABS(N(G84))&gt;0,INDEX(tblLedger[Reconciliation Status],MATCH($A84,tblLedger[Ledger Record ID],0))="BREAKDOWN_MISMATCH",INDEX(tblLedger[Reconciliation Status],MATCH($A84,tblLedger[Ledger Record ID],0))="ACH_MISMATCH"),"Yes","No")</x:f>
        <x:v>No</x:v>
      </x:c>
      <x:c r="N84" t="str">
        <x:f>IF(D84="","Yes","No")</x:f>
        <x:v>No</x:v>
      </x:c>
      <x:c r="O84" t="str">
        <x:f>IF(OR(INDEX(tblLedger[City],MATCH($A84,tblLedger[Ledger Record ID],0))="",INDEX(tblLedger[Jurisdiction],MATCH($A84,tblLedger[Ledger Record ID],0))=""),"Yes","No")</x:f>
        <x:v>No</x:v>
      </x:c>
      <x:c r="P84" t="str">
        <x:f>IF(COUNTIF({"Yes","No","Partial","Pending","Mapping Hold"},E84)=0,"Yes","No")</x:f>
        <x:v>No</x:v>
      </x:c>
      <x:c r="Q84" t="str">
        <x:f>IF(COUNTIF({"Yes","No","Partial","Pending","Mapping Review"},F84)=0,"Yes","No")</x:f>
        <x:v>No</x:v>
      </x:c>
      <x:c r="R84" t="str">
        <x:f>IF(J84="Yes","Mapping Hold",IF(I84="Yes","Missing Event Link",IF(H84="Yes","Duplicate WO",IF(M84="Yes","Revenue Variance",IF(K84="Yes","Missing Breakdown",IF(L84="Yes","Pending ACH",IF(E84="Partial","Partial Breakdown",IF(N84="Yes","Missing Client",IF(O84="Yes","Missing Location",IF(P84="Yes","Unknown Breakdown Status",IF(Q84="Yes","Unknown ACH Status","OK")))))))))))</x:f>
        <x:v>Pending ACH</x:v>
      </x:c>
      <x:c r="S84" t="str">
        <x:f>IF(OR(J84="Yes",I84="Yes",H84="Yes"),"Critical",IF(OR(M84="Yes",E84="Partial",N84="Yes",O84="Yes",P84="Yes",Q84="Yes"),"Warning",IF(OR(K84="Yes",L84="Yes"),"Informational","OK")))</x:f>
        <x:v>Informational</x:v>
      </x:c>
      <x:c r="T84" t="str">
        <x:f>IF(R84="Mapping Hold","Resolve mapping before update",IF(R84="Missing Event Link","Map to one authoritative event",IF(R84="Duplicate WO","Review duplicate identity",IF(R84="Revenue Variance","Reconcile or dispute amount",IF(R84="Missing Breakdown","Await breakdown",IF(R84="Pending ACH","Await ACH",IF(R84="Partial Breakdown","Confirm remaining breakdown",IF(R84="Missing Client","Add canonical client",IF(R84="Missing Location","Complete location fields",IF(R84="OK","No action","Review invalid status"))))))))))</x:f>
        <x:v>Await ACH</x:v>
      </x:c>
      <x:c r="U84" t="str">
        <x:f>IF(R84="OK","No","Yes")</x:f>
        <x:v>Yes</x:v>
      </x:c>
      <x:c r="V84" s="24" t="n">
        <x:f>ABS(N(G84))</x:f>
        <x:v>0</x:v>
      </x:c>
    </x:row>
    <x:row r="85">
      <x:c r="A85" t="str">
        <x:v>LED-0055</x:v>
      </x:c>
      <x:c r="B85" t="n">
        <x:f>INDEX(tblLedger[Work Order #],MATCH($A85,tblLedger[Ledger Record ID],0))</x:f>
        <x:v>5900784</x:v>
      </x:c>
      <x:c r="C85" t="n">
        <x:f>INDEX(tblLedger[Event #],MATCH($A85,tblLedger[Ledger Record ID],0))</x:f>
        <x:v>56</x:v>
      </x:c>
      <x:c r="D85" t="str">
        <x:f>INDEX(tblLedger[Client],MATCH($A85,tblLedger[Ledger Record ID],0))</x:f>
        <x:v>Dunkin</x:v>
      </x:c>
      <x:c r="E85" t="str">
        <x:f>INDEX(tblLedger[Breakdown Confirmed],MATCH($A85,tblLedger[Ledger Record ID],0))</x:f>
        <x:v>Yes</x:v>
      </x:c>
      <x:c r="F85" t="str">
        <x:f>INDEX(tblLedger[ACH Confirmed],MATCH($A85,tblLedger[Ledger Record ID],0))</x:f>
        <x:v>Yes</x:v>
      </x:c>
      <x:c r="G85" s="24" t="str">
        <x:f>INDEX(tblLedger[Variance],MATCH($A85,tblLedger[Ledger Record ID],0))</x:f>
      </x:c>
      <x:c r="H85" t="str">
        <x:f>IF(COUNTIF(tblLedger[Work Order #],B85)&gt;1,"Yes","No")</x:f>
        <x:v>No</x:v>
      </x:c>
      <x:c r="I85" t="str">
        <x:f>IF(C85="","Yes","No")</x:f>
        <x:v>No</x:v>
      </x:c>
      <x:c r="J85" t="str">
        <x:f>IF(INDEX(tblLedger[Mapping Status],MATCH($A85,tblLedger[Ledger Record ID],0))="MAPPING_HOLD","Yes","No")</x:f>
        <x:v>No</x:v>
      </x:c>
      <x:c r="K85" t="str">
        <x:f>IF(AND(OR(E85="No",E85="Pending"),IFERROR(INDEX(tblServiceEvents[Financial Scope],MATCH(C85,tblServiceEvents[Event #],0)),"Included")="Included"),"Yes","No")</x:f>
        <x:v>No</x:v>
      </x:c>
      <x:c r="L85" t="str">
        <x:f>IF(AND(E85="Yes",OR(F85="No",F85="Pending")),"Yes","No")</x:f>
        <x:v>No</x:v>
      </x:c>
      <x:c r="M85" t="str">
        <x:f>IF(OR(ABS(N(G85))&gt;0,INDEX(tblLedger[Reconciliation Status],MATCH($A85,tblLedger[Ledger Record ID],0))="BREAKDOWN_MISMATCH",INDEX(tblLedger[Reconciliation Status],MATCH($A85,tblLedger[Ledger Record ID],0))="ACH_MISMATCH"),"Yes","No")</x:f>
        <x:v>No</x:v>
      </x:c>
      <x:c r="N85" t="str">
        <x:f>IF(D85="","Yes","No")</x:f>
        <x:v>No</x:v>
      </x:c>
      <x:c r="O85" t="str">
        <x:f>IF(OR(INDEX(tblLedger[City],MATCH($A85,tblLedger[Ledger Record ID],0))="",INDEX(tblLedger[Jurisdiction],MATCH($A85,tblLedger[Ledger Record ID],0))=""),"Yes","No")</x:f>
        <x:v>No</x:v>
      </x:c>
      <x:c r="P85" t="str">
        <x:f>IF(COUNTIF({"Yes","No","Partial","Pending","Mapping Hold"},E85)=0,"Yes","No")</x:f>
        <x:v>No</x:v>
      </x:c>
      <x:c r="Q85" t="str">
        <x:f>IF(COUNTIF({"Yes","No","Partial","Pending","Mapping Review"},F85)=0,"Yes","No")</x:f>
        <x:v>No</x:v>
      </x:c>
      <x:c r="R85" t="str">
        <x:f>IF(J85="Yes","Mapping Hold",IF(I85="Yes","Missing Event Link",IF(H85="Yes","Duplicate WO",IF(M85="Yes","Revenue Variance",IF(K85="Yes","Missing Breakdown",IF(L85="Yes","Pending ACH",IF(E85="Partial","Partial Breakdown",IF(N85="Yes","Missing Client",IF(O85="Yes","Missing Location",IF(P85="Yes","Unknown Breakdown Status",IF(Q85="Yes","Unknown ACH Status","OK")))))))))))</x:f>
        <x:v>OK</x:v>
      </x:c>
      <x:c r="S85" t="str">
        <x:f>IF(OR(J85="Yes",I85="Yes",H85="Yes"),"Critical",IF(OR(M85="Yes",E85="Partial",N85="Yes",O85="Yes",P85="Yes",Q85="Yes"),"Warning",IF(OR(K85="Yes",L85="Yes"),"Informational","OK")))</x:f>
        <x:v>OK</x:v>
      </x:c>
      <x:c r="T85" t="str">
        <x:f>IF(R85="Mapping Hold","Resolve mapping before update",IF(R85="Missing Event Link","Map to one authoritative event",IF(R85="Duplicate WO","Review duplicate identity",IF(R85="Revenue Variance","Reconcile or dispute amount",IF(R85="Missing Breakdown","Await breakdown",IF(R85="Pending ACH","Await ACH",IF(R85="Partial Breakdown","Confirm remaining breakdown",IF(R85="Missing Client","Add canonical client",IF(R85="Missing Location","Complete location fields",IF(R85="OK","No action","Review invalid status"))))))))))</x:f>
        <x:v>No action</x:v>
      </x:c>
      <x:c r="U85" t="str">
        <x:f>IF(R85="OK","No","Yes")</x:f>
        <x:v>No</x:v>
      </x:c>
      <x:c r="V85" s="24" t="n">
        <x:f>ABS(N(G85))</x:f>
        <x:v>0</x:v>
      </x:c>
    </x:row>
    <x:row r="86">
      <x:c r="A86" t="str">
        <x:v>LED-0056</x:v>
      </x:c>
      <x:c r="B86" t="n">
        <x:f>INDEX(tblLedger[Work Order #],MATCH($A86,tblLedger[Ledger Record ID],0))</x:f>
        <x:v>5911577</x:v>
      </x:c>
      <x:c r="C86" t="n">
        <x:f>INDEX(tblLedger[Event #],MATCH($A86,tblLedger[Ledger Record ID],0))</x:f>
        <x:v>57</x:v>
      </x:c>
      <x:c r="D86" t="str">
        <x:f>INDEX(tblLedger[Client],MATCH($A86,tblLedger[Ledger Record ID],0))</x:f>
        <x:v>Montpelier Liquors</x:v>
      </x:c>
      <x:c r="E86" t="str">
        <x:f>INDEX(tblLedger[Breakdown Confirmed],MATCH($A86,tblLedger[Ledger Record ID],0))</x:f>
        <x:v>Yes</x:v>
      </x:c>
      <x:c r="F86" t="str">
        <x:f>INDEX(tblLedger[ACH Confirmed],MATCH($A86,tblLedger[Ledger Record ID],0))</x:f>
        <x:v>No</x:v>
      </x:c>
      <x:c r="G86" s="24" t="str">
        <x:f>INDEX(tblLedger[Variance],MATCH($A86,tblLedger[Ledger Record ID],0))</x:f>
      </x:c>
      <x:c r="H86" t="str">
        <x:f>IF(COUNTIF(tblLedger[Work Order #],B86)&gt;1,"Yes","No")</x:f>
        <x:v>No</x:v>
      </x:c>
      <x:c r="I86" t="str">
        <x:f>IF(C86="","Yes","No")</x:f>
        <x:v>No</x:v>
      </x:c>
      <x:c r="J86" t="str">
        <x:f>IF(INDEX(tblLedger[Mapping Status],MATCH($A86,tblLedger[Ledger Record ID],0))="MAPPING_HOLD","Yes","No")</x:f>
        <x:v>No</x:v>
      </x:c>
      <x:c r="K86" t="str">
        <x:f>IF(AND(OR(E86="No",E86="Pending"),IFERROR(INDEX(tblServiceEvents[Financial Scope],MATCH(C86,tblServiceEvents[Event #],0)),"Included")="Included"),"Yes","No")</x:f>
        <x:v>No</x:v>
      </x:c>
      <x:c r="L86" t="str">
        <x:f>IF(AND(E86="Yes",OR(F86="No",F86="Pending")),"Yes","No")</x:f>
        <x:v>Yes</x:v>
      </x:c>
      <x:c r="M86" t="str">
        <x:f>IF(OR(ABS(N(G86))&gt;0,INDEX(tblLedger[Reconciliation Status],MATCH($A86,tblLedger[Ledger Record ID],0))="BREAKDOWN_MISMATCH",INDEX(tblLedger[Reconciliation Status],MATCH($A86,tblLedger[Ledger Record ID],0))="ACH_MISMATCH"),"Yes","No")</x:f>
        <x:v>No</x:v>
      </x:c>
      <x:c r="N86" t="str">
        <x:f>IF(D86="","Yes","No")</x:f>
        <x:v>No</x:v>
      </x:c>
      <x:c r="O86" t="str">
        <x:f>IF(OR(INDEX(tblLedger[City],MATCH($A86,tblLedger[Ledger Record ID],0))="",INDEX(tblLedger[Jurisdiction],MATCH($A86,tblLedger[Ledger Record ID],0))=""),"Yes","No")</x:f>
        <x:v>No</x:v>
      </x:c>
      <x:c r="P86" t="str">
        <x:f>IF(COUNTIF({"Yes","No","Partial","Pending","Mapping Hold"},E86)=0,"Yes","No")</x:f>
        <x:v>No</x:v>
      </x:c>
      <x:c r="Q86" t="str">
        <x:f>IF(COUNTIF({"Yes","No","Partial","Pending","Mapping Review"},F86)=0,"Yes","No")</x:f>
        <x:v>No</x:v>
      </x:c>
      <x:c r="R86" t="str">
        <x:f>IF(J86="Yes","Mapping Hold",IF(I86="Yes","Missing Event Link",IF(H86="Yes","Duplicate WO",IF(M86="Yes","Revenue Variance",IF(K86="Yes","Missing Breakdown",IF(L86="Yes","Pending ACH",IF(E86="Partial","Partial Breakdown",IF(N86="Yes","Missing Client",IF(O86="Yes","Missing Location",IF(P86="Yes","Unknown Breakdown Status",IF(Q86="Yes","Unknown ACH Status","OK")))))))))))</x:f>
        <x:v>Pending ACH</x:v>
      </x:c>
      <x:c r="S86" t="str">
        <x:f>IF(OR(J86="Yes",I86="Yes",H86="Yes"),"Critical",IF(OR(M86="Yes",E86="Partial",N86="Yes",O86="Yes",P86="Yes",Q86="Yes"),"Warning",IF(OR(K86="Yes",L86="Yes"),"Informational","OK")))</x:f>
        <x:v>Informational</x:v>
      </x:c>
      <x:c r="T86" t="str">
        <x:f>IF(R86="Mapping Hold","Resolve mapping before update",IF(R86="Missing Event Link","Map to one authoritative event",IF(R86="Duplicate WO","Review duplicate identity",IF(R86="Revenue Variance","Reconcile or dispute amount",IF(R86="Missing Breakdown","Await breakdown",IF(R86="Pending ACH","Await ACH",IF(R86="Partial Breakdown","Confirm remaining breakdown",IF(R86="Missing Client","Add canonical client",IF(R86="Missing Location","Complete location fields",IF(R86="OK","No action","Review invalid status"))))))))))</x:f>
        <x:v>Await ACH</x:v>
      </x:c>
      <x:c r="U86" t="str">
        <x:f>IF(R86="OK","No","Yes")</x:f>
        <x:v>Yes</x:v>
      </x:c>
      <x:c r="V86" s="24" t="n">
        <x:f>ABS(N(G86))</x:f>
        <x:v>0</x:v>
      </x:c>
    </x:row>
    <x:row r="87">
      <x:c r="A87" t="str">
        <x:v>LED-0057</x:v>
      </x:c>
      <x:c r="B87" t="n">
        <x:f>INDEX(tblLedger[Work Order #],MATCH($A87,tblLedger[Ledger Record ID],0))</x:f>
        <x:v>5900780</x:v>
      </x:c>
      <x:c r="C87" t="n">
        <x:f>INDEX(tblLedger[Event #],MATCH($A87,tblLedger[Ledger Record ID],0))</x:f>
        <x:v>58</x:v>
      </x:c>
      <x:c r="D87" t="str">
        <x:f>INDEX(tblLedger[Client],MATCH($A87,tblLedger[Ledger Record ID],0))</x:f>
        <x:v>Dunkin</x:v>
      </x:c>
      <x:c r="E87" t="str">
        <x:f>INDEX(tblLedger[Breakdown Confirmed],MATCH($A87,tblLedger[Ledger Record ID],0))</x:f>
        <x:v>Yes</x:v>
      </x:c>
      <x:c r="F87" t="str">
        <x:f>INDEX(tblLedger[ACH Confirmed],MATCH($A87,tblLedger[Ledger Record ID],0))</x:f>
        <x:v>No</x:v>
      </x:c>
      <x:c r="G87" s="24" t="str">
        <x:f>INDEX(tblLedger[Variance],MATCH($A87,tblLedger[Ledger Record ID],0))</x:f>
      </x:c>
      <x:c r="H87" t="str">
        <x:f>IF(COUNTIF(tblLedger[Work Order #],B87)&gt;1,"Yes","No")</x:f>
        <x:v>No</x:v>
      </x:c>
      <x:c r="I87" t="str">
        <x:f>IF(C87="","Yes","No")</x:f>
        <x:v>No</x:v>
      </x:c>
      <x:c r="J87" t="str">
        <x:f>IF(INDEX(tblLedger[Mapping Status],MATCH($A87,tblLedger[Ledger Record ID],0))="MAPPING_HOLD","Yes","No")</x:f>
        <x:v>No</x:v>
      </x:c>
      <x:c r="K87" t="str">
        <x:f>IF(AND(OR(E87="No",E87="Pending"),IFERROR(INDEX(tblServiceEvents[Financial Scope],MATCH(C87,tblServiceEvents[Event #],0)),"Included")="Included"),"Yes","No")</x:f>
        <x:v>No</x:v>
      </x:c>
      <x:c r="L87" t="str">
        <x:f>IF(AND(E87="Yes",OR(F87="No",F87="Pending")),"Yes","No")</x:f>
        <x:v>Yes</x:v>
      </x:c>
      <x:c r="M87" t="str">
        <x:f>IF(OR(ABS(N(G87))&gt;0,INDEX(tblLedger[Reconciliation Status],MATCH($A87,tblLedger[Ledger Record ID],0))="BREAKDOWN_MISMATCH",INDEX(tblLedger[Reconciliation Status],MATCH($A87,tblLedger[Ledger Record ID],0))="ACH_MISMATCH"),"Yes","No")</x:f>
        <x:v>No</x:v>
      </x:c>
      <x:c r="N87" t="str">
        <x:f>IF(D87="","Yes","No")</x:f>
        <x:v>No</x:v>
      </x:c>
      <x:c r="O87" t="str">
        <x:f>IF(OR(INDEX(tblLedger[City],MATCH($A87,tblLedger[Ledger Record ID],0))="",INDEX(tblLedger[Jurisdiction],MATCH($A87,tblLedger[Ledger Record ID],0))=""),"Yes","No")</x:f>
        <x:v>No</x:v>
      </x:c>
      <x:c r="P87" t="str">
        <x:f>IF(COUNTIF({"Yes","No","Partial","Pending","Mapping Hold"},E87)=0,"Yes","No")</x:f>
        <x:v>No</x:v>
      </x:c>
      <x:c r="Q87" t="str">
        <x:f>IF(COUNTIF({"Yes","No","Partial","Pending","Mapping Review"},F87)=0,"Yes","No")</x:f>
        <x:v>No</x:v>
      </x:c>
      <x:c r="R87" t="str">
        <x:f>IF(J87="Yes","Mapping Hold",IF(I87="Yes","Missing Event Link",IF(H87="Yes","Duplicate WO",IF(M87="Yes","Revenue Variance",IF(K87="Yes","Missing Breakdown",IF(L87="Yes","Pending ACH",IF(E87="Partial","Partial Breakdown",IF(N87="Yes","Missing Client",IF(O87="Yes","Missing Location",IF(P87="Yes","Unknown Breakdown Status",IF(Q87="Yes","Unknown ACH Status","OK")))))))))))</x:f>
        <x:v>Pending ACH</x:v>
      </x:c>
      <x:c r="S87" t="str">
        <x:f>IF(OR(J87="Yes",I87="Yes",H87="Yes"),"Critical",IF(OR(M87="Yes",E87="Partial",N87="Yes",O87="Yes",P87="Yes",Q87="Yes"),"Warning",IF(OR(K87="Yes",L87="Yes"),"Informational","OK")))</x:f>
        <x:v>Informational</x:v>
      </x:c>
      <x:c r="T87" t="str">
        <x:f>IF(R87="Mapping Hold","Resolve mapping before update",IF(R87="Missing Event Link","Map to one authoritative event",IF(R87="Duplicate WO","Review duplicate identity",IF(R87="Revenue Variance","Reconcile or dispute amount",IF(R87="Missing Breakdown","Await breakdown",IF(R87="Pending ACH","Await ACH",IF(R87="Partial Breakdown","Confirm remaining breakdown",IF(R87="Missing Client","Add canonical client",IF(R87="Missing Location","Complete location fields",IF(R87="OK","No action","Review invalid status"))))))))))</x:f>
        <x:v>Await ACH</x:v>
      </x:c>
      <x:c r="U87" t="str">
        <x:f>IF(R87="OK","No","Yes")</x:f>
        <x:v>Yes</x:v>
      </x:c>
      <x:c r="V87" s="24" t="n">
        <x:f>ABS(N(G87))</x:f>
        <x:v>0</x:v>
      </x:c>
    </x:row>
    <x:row r="88">
      <x:c r="A88" t="str">
        <x:v>LED-0058</x:v>
      </x:c>
      <x:c r="B88" t="n">
        <x:f>INDEX(tblLedger[Work Order #],MATCH($A88,tblLedger[Ledger Record ID],0))</x:f>
        <x:v>5900830</x:v>
      </x:c>
      <x:c r="C88" t="n">
        <x:f>INDEX(tblLedger[Event #],MATCH($A88,tblLedger[Ledger Record ID],0))</x:f>
        <x:v>59</x:v>
      </x:c>
      <x:c r="D88" t="str">
        <x:f>INDEX(tblLedger[Client],MATCH($A88,tblLedger[Ledger Record ID],0))</x:f>
        <x:v>Dunkin</x:v>
      </x:c>
      <x:c r="E88" t="str">
        <x:f>INDEX(tblLedger[Breakdown Confirmed],MATCH($A88,tblLedger[Ledger Record ID],0))</x:f>
        <x:v>Yes</x:v>
      </x:c>
      <x:c r="F88" t="str">
        <x:f>INDEX(tblLedger[ACH Confirmed],MATCH($A88,tblLedger[Ledger Record ID],0))</x:f>
        <x:v>No</x:v>
      </x:c>
      <x:c r="G88" s="24" t="str">
        <x:f>INDEX(tblLedger[Variance],MATCH($A88,tblLedger[Ledger Record ID],0))</x:f>
      </x:c>
      <x:c r="H88" t="str">
        <x:f>IF(COUNTIF(tblLedger[Work Order #],B88)&gt;1,"Yes","No")</x:f>
        <x:v>No</x:v>
      </x:c>
      <x:c r="I88" t="str">
        <x:f>IF(C88="","Yes","No")</x:f>
        <x:v>No</x:v>
      </x:c>
      <x:c r="J88" t="str">
        <x:f>IF(INDEX(tblLedger[Mapping Status],MATCH($A88,tblLedger[Ledger Record ID],0))="MAPPING_HOLD","Yes","No")</x:f>
        <x:v>No</x:v>
      </x:c>
      <x:c r="K88" t="str">
        <x:f>IF(AND(OR(E88="No",E88="Pending"),IFERROR(INDEX(tblServiceEvents[Financial Scope],MATCH(C88,tblServiceEvents[Event #],0)),"Included")="Included"),"Yes","No")</x:f>
        <x:v>No</x:v>
      </x:c>
      <x:c r="L88" t="str">
        <x:f>IF(AND(E88="Yes",OR(F88="No",F88="Pending")),"Yes","No")</x:f>
        <x:v>Yes</x:v>
      </x:c>
      <x:c r="M88" t="str">
        <x:f>IF(OR(ABS(N(G88))&gt;0,INDEX(tblLedger[Reconciliation Status],MATCH($A88,tblLedger[Ledger Record ID],0))="BREAKDOWN_MISMATCH",INDEX(tblLedger[Reconciliation Status],MATCH($A88,tblLedger[Ledger Record ID],0))="ACH_MISMATCH"),"Yes","No")</x:f>
        <x:v>No</x:v>
      </x:c>
      <x:c r="N88" t="str">
        <x:f>IF(D88="","Yes","No")</x:f>
        <x:v>No</x:v>
      </x:c>
      <x:c r="O88" t="str">
        <x:f>IF(OR(INDEX(tblLedger[City],MATCH($A88,tblLedger[Ledger Record ID],0))="",INDEX(tblLedger[Jurisdiction],MATCH($A88,tblLedger[Ledger Record ID],0))=""),"Yes","No")</x:f>
        <x:v>No</x:v>
      </x:c>
      <x:c r="P88" t="str">
        <x:f>IF(COUNTIF({"Yes","No","Partial","Pending","Mapping Hold"},E88)=0,"Yes","No")</x:f>
        <x:v>No</x:v>
      </x:c>
      <x:c r="Q88" t="str">
        <x:f>IF(COUNTIF({"Yes","No","Partial","Pending","Mapping Review"},F88)=0,"Yes","No")</x:f>
        <x:v>No</x:v>
      </x:c>
      <x:c r="R88" t="str">
        <x:f>IF(J88="Yes","Mapping Hold",IF(I88="Yes","Missing Event Link",IF(H88="Yes","Duplicate WO",IF(M88="Yes","Revenue Variance",IF(K88="Yes","Missing Breakdown",IF(L88="Yes","Pending ACH",IF(E88="Partial","Partial Breakdown",IF(N88="Yes","Missing Client",IF(O88="Yes","Missing Location",IF(P88="Yes","Unknown Breakdown Status",IF(Q88="Yes","Unknown ACH Status","OK")))))))))))</x:f>
        <x:v>Pending ACH</x:v>
      </x:c>
      <x:c r="S88" t="str">
        <x:f>IF(OR(J88="Yes",I88="Yes",H88="Yes"),"Critical",IF(OR(M88="Yes",E88="Partial",N88="Yes",O88="Yes",P88="Yes",Q88="Yes"),"Warning",IF(OR(K88="Yes",L88="Yes"),"Informational","OK")))</x:f>
        <x:v>Informational</x:v>
      </x:c>
      <x:c r="T88" t="str">
        <x:f>IF(R88="Mapping Hold","Resolve mapping before update",IF(R88="Missing Event Link","Map to one authoritative event",IF(R88="Duplicate WO","Review duplicate identity",IF(R88="Revenue Variance","Reconcile or dispute amount",IF(R88="Missing Breakdown","Await breakdown",IF(R88="Pending ACH","Await ACH",IF(R88="Partial Breakdown","Confirm remaining breakdown",IF(R88="Missing Client","Add canonical client",IF(R88="Missing Location","Complete location fields",IF(R88="OK","No action","Review invalid status"))))))))))</x:f>
        <x:v>Await ACH</x:v>
      </x:c>
      <x:c r="U88" t="str">
        <x:f>IF(R88="OK","No","Yes")</x:f>
        <x:v>Yes</x:v>
      </x:c>
      <x:c r="V88" s="24" t="n">
        <x:f>ABS(N(G88))</x:f>
        <x:v>0</x:v>
      </x:c>
    </x:row>
    <x:row r="89">
      <x:c r="A89" t="str">
        <x:v>LED-0059</x:v>
      </x:c>
      <x:c r="B89" t="n">
        <x:f>INDEX(tblLedger[Work Order #],MATCH($A89,tblLedger[Ledger Record ID],0))</x:f>
        <x:v>5912364</x:v>
      </x:c>
      <x:c r="C89" t="n">
        <x:f>INDEX(tblLedger[Event #],MATCH($A89,tblLedger[Ledger Record ID],0))</x:f>
        <x:v>60</x:v>
      </x:c>
      <x:c r="D89" t="str">
        <x:f>INDEX(tblLedger[Client],MATCH($A89,tblLedger[Ledger Record ID],0))</x:f>
        <x:v>Carvana</x:v>
      </x:c>
      <x:c r="E89" t="str">
        <x:f>INDEX(tblLedger[Breakdown Confirmed],MATCH($A89,tblLedger[Ledger Record ID],0))</x:f>
        <x:v>Pending</x:v>
      </x:c>
      <x:c r="F89" t="str">
        <x:f>INDEX(tblLedger[ACH Confirmed],MATCH($A89,tblLedger[Ledger Record ID],0))</x:f>
        <x:v>No</x:v>
      </x:c>
      <x:c r="G89" s="24" t="str">
        <x:f>INDEX(tblLedger[Variance],MATCH($A89,tblLedger[Ledger Record ID],0))</x:f>
      </x:c>
      <x:c r="H89" t="str">
        <x:f>IF(COUNTIF(tblLedger[Work Order #],B89)&gt;1,"Yes","No")</x:f>
        <x:v>No</x:v>
      </x:c>
      <x:c r="I89" t="str">
        <x:f>IF(C89="","Yes","No")</x:f>
        <x:v>No</x:v>
      </x:c>
      <x:c r="J89" t="str">
        <x:f>IF(INDEX(tblLedger[Mapping Status],MATCH($A89,tblLedger[Ledger Record ID],0))="MAPPING_HOLD","Yes","No")</x:f>
        <x:v>No</x:v>
      </x:c>
      <x:c r="K89" t="str">
        <x:f>IF(AND(OR(E89="No",E89="Pending"),IFERROR(INDEX(tblServiceEvents[Financial Scope],MATCH(C89,tblServiceEvents[Event #],0)),"Included")="Included"),"Yes","No")</x:f>
        <x:v>Yes</x:v>
      </x:c>
      <x:c r="L89" t="str">
        <x:f>IF(AND(E89="Yes",OR(F89="No",F89="Pending")),"Yes","No")</x:f>
        <x:v>No</x:v>
      </x:c>
      <x:c r="M89" t="str">
        <x:f>IF(OR(ABS(N(G89))&gt;0,INDEX(tblLedger[Reconciliation Status],MATCH($A89,tblLedger[Ledger Record ID],0))="BREAKDOWN_MISMATCH",INDEX(tblLedger[Reconciliation Status],MATCH($A89,tblLedger[Ledger Record ID],0))="ACH_MISMATCH"),"Yes","No")</x:f>
        <x:v>No</x:v>
      </x:c>
      <x:c r="N89" t="str">
        <x:f>IF(D89="","Yes","No")</x:f>
        <x:v>No</x:v>
      </x:c>
      <x:c r="O89" t="str">
        <x:f>IF(OR(INDEX(tblLedger[City],MATCH($A89,tblLedger[Ledger Record ID],0))="",INDEX(tblLedger[Jurisdiction],MATCH($A89,tblLedger[Ledger Record ID],0))=""),"Yes","No")</x:f>
        <x:v>No</x:v>
      </x:c>
      <x:c r="P89" t="str">
        <x:f>IF(COUNTIF({"Yes","No","Partial","Pending","Mapping Hold"},E89)=0,"Yes","No")</x:f>
        <x:v>No</x:v>
      </x:c>
      <x:c r="Q89" t="str">
        <x:f>IF(COUNTIF({"Yes","No","Partial","Pending","Mapping Review"},F89)=0,"Yes","No")</x:f>
        <x:v>No</x:v>
      </x:c>
      <x:c r="R89" t="str">
        <x:f>IF(J89="Yes","Mapping Hold",IF(I89="Yes","Missing Event Link",IF(H89="Yes","Duplicate WO",IF(M89="Yes","Revenue Variance",IF(K89="Yes","Missing Breakdown",IF(L89="Yes","Pending ACH",IF(E89="Partial","Partial Breakdown",IF(N89="Yes","Missing Client",IF(O89="Yes","Missing Location",IF(P89="Yes","Unknown Breakdown Status",IF(Q89="Yes","Unknown ACH Status","OK")))))))))))</x:f>
        <x:v>Missing Breakdown</x:v>
      </x:c>
      <x:c r="S89" t="str">
        <x:f>IF(OR(J89="Yes",I89="Yes",H89="Yes"),"Critical",IF(OR(M89="Yes",E89="Partial",N89="Yes",O89="Yes",P89="Yes",Q89="Yes"),"Warning",IF(OR(K89="Yes",L89="Yes"),"Informational","OK")))</x:f>
        <x:v>Informational</x:v>
      </x:c>
      <x:c r="T89" t="str">
        <x:f>IF(R89="Mapping Hold","Resolve mapping before update",IF(R89="Missing Event Link","Map to one authoritative event",IF(R89="Duplicate WO","Review duplicate identity",IF(R89="Revenue Variance","Reconcile or dispute amount",IF(R89="Missing Breakdown","Await breakdown",IF(R89="Pending ACH","Await ACH",IF(R89="Partial Breakdown","Confirm remaining breakdown",IF(R89="Missing Client","Add canonical client",IF(R89="Missing Location","Complete location fields",IF(R89="OK","No action","Review invalid status"))))))))))</x:f>
        <x:v>Await breakdown</x:v>
      </x:c>
      <x:c r="U89" t="str">
        <x:f>IF(R89="OK","No","Yes")</x:f>
        <x:v>Yes</x:v>
      </x:c>
      <x:c r="V89" s="24" t="n">
        <x:f>ABS(N(G89))</x:f>
        <x:v>0</x:v>
      </x:c>
    </x:row>
    <x:row r="90">
      <x:c r="A90" t="str">
        <x:v>LED-0060</x:v>
      </x:c>
      <x:c r="B90" t="n">
        <x:f>INDEX(tblLedger[Work Order #],MATCH($A90,tblLedger[Ledger Record ID],0))</x:f>
        <x:v>5914049</x:v>
      </x:c>
      <x:c r="C90" t="n">
        <x:f>INDEX(tblLedger[Event #],MATCH($A90,tblLedger[Ledger Record ID],0))</x:f>
        <x:v>60</x:v>
      </x:c>
      <x:c r="D90" t="str">
        <x:f>INDEX(tblLedger[Client],MATCH($A90,tblLedger[Ledger Record ID],0))</x:f>
        <x:v>Carvana</x:v>
      </x:c>
      <x:c r="E90" t="str">
        <x:f>INDEX(tblLedger[Breakdown Confirmed],MATCH($A90,tblLedger[Ledger Record ID],0))</x:f>
        <x:v>Partial</x:v>
      </x:c>
      <x:c r="F90" t="str">
        <x:f>INDEX(tblLedger[ACH Confirmed],MATCH($A90,tblLedger[Ledger Record ID],0))</x:f>
        <x:v>No</x:v>
      </x:c>
      <x:c r="G90" s="24" t="str">
        <x:f>INDEX(tblLedger[Variance],MATCH($A90,tblLedger[Ledger Record ID],0))</x:f>
      </x:c>
      <x:c r="H90" t="str">
        <x:f>IF(COUNTIF(tblLedger[Work Order #],B90)&gt;1,"Yes","No")</x:f>
        <x:v>No</x:v>
      </x:c>
      <x:c r="I90" t="str">
        <x:f>IF(C90="","Yes","No")</x:f>
        <x:v>No</x:v>
      </x:c>
      <x:c r="J90" t="str">
        <x:f>IF(INDEX(tblLedger[Mapping Status],MATCH($A90,tblLedger[Ledger Record ID],0))="MAPPING_HOLD","Yes","No")</x:f>
        <x:v>No</x:v>
      </x:c>
      <x:c r="K90" t="str">
        <x:f>IF(AND(OR(E90="No",E90="Pending"),IFERROR(INDEX(tblServiceEvents[Financial Scope],MATCH(C90,tblServiceEvents[Event #],0)),"Included")="Included"),"Yes","No")</x:f>
        <x:v>No</x:v>
      </x:c>
      <x:c r="L90" t="str">
        <x:f>IF(AND(E90="Yes",OR(F90="No",F90="Pending")),"Yes","No")</x:f>
        <x:v>No</x:v>
      </x:c>
      <x:c r="M90" t="str">
        <x:f>IF(OR(ABS(N(G90))&gt;0,INDEX(tblLedger[Reconciliation Status],MATCH($A90,tblLedger[Ledger Record ID],0))="BREAKDOWN_MISMATCH",INDEX(tblLedger[Reconciliation Status],MATCH($A90,tblLedger[Ledger Record ID],0))="ACH_MISMATCH"),"Yes","No")</x:f>
        <x:v>No</x:v>
      </x:c>
      <x:c r="N90" t="str">
        <x:f>IF(D90="","Yes","No")</x:f>
        <x:v>No</x:v>
      </x:c>
      <x:c r="O90" t="str">
        <x:f>IF(OR(INDEX(tblLedger[City],MATCH($A90,tblLedger[Ledger Record ID],0))="",INDEX(tblLedger[Jurisdiction],MATCH($A90,tblLedger[Ledger Record ID],0))=""),"Yes","No")</x:f>
        <x:v>No</x:v>
      </x:c>
      <x:c r="P90" t="str">
        <x:f>IF(COUNTIF({"Yes","No","Partial","Pending","Mapping Hold"},E90)=0,"Yes","No")</x:f>
        <x:v>No</x:v>
      </x:c>
      <x:c r="Q90" t="str">
        <x:f>IF(COUNTIF({"Yes","No","Partial","Pending","Mapping Review"},F90)=0,"Yes","No")</x:f>
        <x:v>No</x:v>
      </x:c>
      <x:c r="R90" t="str">
        <x:f>IF(J90="Yes","Mapping Hold",IF(I90="Yes","Missing Event Link",IF(H90="Yes","Duplicate WO",IF(M90="Yes","Revenue Variance",IF(K90="Yes","Missing Breakdown",IF(L90="Yes","Pending ACH",IF(E90="Partial","Partial Breakdown",IF(N90="Yes","Missing Client",IF(O90="Yes","Missing Location",IF(P90="Yes","Unknown Breakdown Status",IF(Q90="Yes","Unknown ACH Status","OK")))))))))))</x:f>
        <x:v>Partial Breakdown</x:v>
      </x:c>
      <x:c r="S90" t="str">
        <x:f>IF(OR(J90="Yes",I90="Yes",H90="Yes"),"Critical",IF(OR(M90="Yes",E90="Partial",N90="Yes",O90="Yes",P90="Yes",Q90="Yes"),"Warning",IF(OR(K90="Yes",L90="Yes"),"Informational","OK")))</x:f>
        <x:v>Warning</x:v>
      </x:c>
      <x:c r="T90" t="str">
        <x:f>IF(R90="Mapping Hold","Resolve mapping before update",IF(R90="Missing Event Link","Map to one authoritative event",IF(R90="Duplicate WO","Review duplicate identity",IF(R90="Revenue Variance","Reconcile or dispute amount",IF(R90="Missing Breakdown","Await breakdown",IF(R90="Pending ACH","Await ACH",IF(R90="Partial Breakdown","Confirm remaining breakdown",IF(R90="Missing Client","Add canonical client",IF(R90="Missing Location","Complete location fields",IF(R90="OK","No action","Review invalid status"))))))))))</x:f>
        <x:v>Confirm remaining breakdown</x:v>
      </x:c>
      <x:c r="U90" t="str">
        <x:f>IF(R90="OK","No","Yes")</x:f>
        <x:v>Yes</x:v>
      </x:c>
      <x:c r="V90" s="24" t="n">
        <x:f>ABS(N(G90))</x:f>
        <x:v>0</x:v>
      </x:c>
    </x:row>
    <x:row r="91">
      <x:c r="A91" t="str">
        <x:v>LED-0061</x:v>
      </x:c>
      <x:c r="B91" t="n">
        <x:f>INDEX(tblLedger[Work Order #],MATCH($A91,tblLedger[Ledger Record ID],0))</x:f>
        <x:v>5909344</x:v>
      </x:c>
      <x:c r="C91" t="n">
        <x:f>INDEX(tblLedger[Event #],MATCH($A91,tblLedger[Ledger Record ID],0))</x:f>
        <x:v>61</x:v>
      </x:c>
      <x:c r="D91" t="str">
        <x:f>INDEX(tblLedger[Client],MATCH($A91,tblLedger[Ledger Record ID],0))</x:f>
        <x:v>TJ Maxx</x:v>
      </x:c>
      <x:c r="E91" t="str">
        <x:f>INDEX(tblLedger[Breakdown Confirmed],MATCH($A91,tblLedger[Ledger Record ID],0))</x:f>
        <x:v>Yes</x:v>
      </x:c>
      <x:c r="F91" t="str">
        <x:f>INDEX(tblLedger[ACH Confirmed],MATCH($A91,tblLedger[Ledger Record ID],0))</x:f>
        <x:v>No</x:v>
      </x:c>
      <x:c r="G91" s="24" t="str">
        <x:f>INDEX(tblLedger[Variance],MATCH($A91,tblLedger[Ledger Record ID],0))</x:f>
      </x:c>
      <x:c r="H91" t="str">
        <x:f>IF(COUNTIF(tblLedger[Work Order #],B91)&gt;1,"Yes","No")</x:f>
        <x:v>No</x:v>
      </x:c>
      <x:c r="I91" t="str">
        <x:f>IF(C91="","Yes","No")</x:f>
        <x:v>No</x:v>
      </x:c>
      <x:c r="J91" t="str">
        <x:f>IF(INDEX(tblLedger[Mapping Status],MATCH($A91,tblLedger[Ledger Record ID],0))="MAPPING_HOLD","Yes","No")</x:f>
        <x:v>No</x:v>
      </x:c>
      <x:c r="K91" t="str">
        <x:f>IF(AND(OR(E91="No",E91="Pending"),IFERROR(INDEX(tblServiceEvents[Financial Scope],MATCH(C91,tblServiceEvents[Event #],0)),"Included")="Included"),"Yes","No")</x:f>
        <x:v>No</x:v>
      </x:c>
      <x:c r="L91" t="str">
        <x:f>IF(AND(E91="Yes",OR(F91="No",F91="Pending")),"Yes","No")</x:f>
        <x:v>Yes</x:v>
      </x:c>
      <x:c r="M91" t="str">
        <x:f>IF(OR(ABS(N(G91))&gt;0,INDEX(tblLedger[Reconciliation Status],MATCH($A91,tblLedger[Ledger Record ID],0))="BREAKDOWN_MISMATCH",INDEX(tblLedger[Reconciliation Status],MATCH($A91,tblLedger[Ledger Record ID],0))="ACH_MISMATCH"),"Yes","No")</x:f>
        <x:v>No</x:v>
      </x:c>
      <x:c r="N91" t="str">
        <x:f>IF(D91="","Yes","No")</x:f>
        <x:v>No</x:v>
      </x:c>
      <x:c r="O91" t="str">
        <x:f>IF(OR(INDEX(tblLedger[City],MATCH($A91,tblLedger[Ledger Record ID],0))="",INDEX(tblLedger[Jurisdiction],MATCH($A91,tblLedger[Ledger Record ID],0))=""),"Yes","No")</x:f>
        <x:v>No</x:v>
      </x:c>
      <x:c r="P91" t="str">
        <x:f>IF(COUNTIF({"Yes","No","Partial","Pending","Mapping Hold"},E91)=0,"Yes","No")</x:f>
        <x:v>No</x:v>
      </x:c>
      <x:c r="Q91" t="str">
        <x:f>IF(COUNTIF({"Yes","No","Partial","Pending","Mapping Review"},F91)=0,"Yes","No")</x:f>
        <x:v>No</x:v>
      </x:c>
      <x:c r="R91" t="str">
        <x:f>IF(J91="Yes","Mapping Hold",IF(I91="Yes","Missing Event Link",IF(H91="Yes","Duplicate WO",IF(M91="Yes","Revenue Variance",IF(K91="Yes","Missing Breakdown",IF(L91="Yes","Pending ACH",IF(E91="Partial","Partial Breakdown",IF(N91="Yes","Missing Client",IF(O91="Yes","Missing Location",IF(P91="Yes","Unknown Breakdown Status",IF(Q91="Yes","Unknown ACH Status","OK")))))))))))</x:f>
        <x:v>Pending ACH</x:v>
      </x:c>
      <x:c r="S91" t="str">
        <x:f>IF(OR(J91="Yes",I91="Yes",H91="Yes"),"Critical",IF(OR(M91="Yes",E91="Partial",N91="Yes",O91="Yes",P91="Yes",Q91="Yes"),"Warning",IF(OR(K91="Yes",L91="Yes"),"Informational","OK")))</x:f>
        <x:v>Informational</x:v>
      </x:c>
      <x:c r="T91" t="str">
        <x:f>IF(R91="Mapping Hold","Resolve mapping before update",IF(R91="Missing Event Link","Map to one authoritative event",IF(R91="Duplicate WO","Review duplicate identity",IF(R91="Revenue Variance","Reconcile or dispute amount",IF(R91="Missing Breakdown","Await breakdown",IF(R91="Pending ACH","Await ACH",IF(R91="Partial Breakdown","Confirm remaining breakdown",IF(R91="Missing Client","Add canonical client",IF(R91="Missing Location","Complete location fields",IF(R91="OK","No action","Review invalid status"))))))))))</x:f>
        <x:v>Await ACH</x:v>
      </x:c>
      <x:c r="U91" t="str">
        <x:f>IF(R91="OK","No","Yes")</x:f>
        <x:v>Yes</x:v>
      </x:c>
      <x:c r="V91" s="24" t="n">
        <x:f>ABS(N(G91))</x:f>
        <x:v>0</x:v>
      </x:c>
    </x:row>
    <x:row r="92">
      <x:c r="A92" t="str">
        <x:v>LED-0062</x:v>
      </x:c>
      <x:c r="B92" t="n">
        <x:f>INDEX(tblLedger[Work Order #],MATCH($A92,tblLedger[Ledger Record ID],0))</x:f>
        <x:v>5913868</x:v>
      </x:c>
      <x:c r="C92" t="n">
        <x:f>INDEX(tblLedger[Event #],MATCH($A92,tblLedger[Ledger Record ID],0))</x:f>
        <x:v>62</x:v>
      </x:c>
      <x:c r="D92" t="str">
        <x:f>INDEX(tblLedger[Client],MATCH($A92,tblLedger[Ledger Record ID],0))</x:f>
        <x:v>TJ Maxx</x:v>
      </x:c>
      <x:c r="E92" t="str">
        <x:f>INDEX(tblLedger[Breakdown Confirmed],MATCH($A92,tblLedger[Ledger Record ID],0))</x:f>
        <x:v>Yes</x:v>
      </x:c>
      <x:c r="F92" t="str">
        <x:f>INDEX(tblLedger[ACH Confirmed],MATCH($A92,tblLedger[Ledger Record ID],0))</x:f>
        <x:v>No</x:v>
      </x:c>
      <x:c r="G92" s="24" t="n">
        <x:f>INDEX(tblLedger[Variance],MATCH($A92,tblLedger[Ledger Record ID],0))</x:f>
        <x:v>-49.17</x:v>
      </x:c>
      <x:c r="H92" t="str">
        <x:f>IF(COUNTIF(tblLedger[Work Order #],B92)&gt;1,"Yes","No")</x:f>
        <x:v>No</x:v>
      </x:c>
      <x:c r="I92" t="str">
        <x:f>IF(C92="","Yes","No")</x:f>
        <x:v>No</x:v>
      </x:c>
      <x:c r="J92" t="str">
        <x:f>IF(INDEX(tblLedger[Mapping Status],MATCH($A92,tblLedger[Ledger Record ID],0))="MAPPING_HOLD","Yes","No")</x:f>
        <x:v>No</x:v>
      </x:c>
      <x:c r="K92" t="str">
        <x:f>IF(AND(OR(E92="No",E92="Pending"),IFERROR(INDEX(tblServiceEvents[Financial Scope],MATCH(C92,tblServiceEvents[Event #],0)),"Included")="Included"),"Yes","No")</x:f>
        <x:v>No</x:v>
      </x:c>
      <x:c r="L92" t="str">
        <x:f>IF(AND(E92="Yes",OR(F92="No",F92="Pending")),"Yes","No")</x:f>
        <x:v>Yes</x:v>
      </x:c>
      <x:c r="M92" t="str">
        <x:f>IF(OR(ABS(N(G92))&gt;0,INDEX(tblLedger[Reconciliation Status],MATCH($A92,tblLedger[Ledger Record ID],0))="BREAKDOWN_MISMATCH",INDEX(tblLedger[Reconciliation Status],MATCH($A92,tblLedger[Ledger Record ID],0))="ACH_MISMATCH"),"Yes","No")</x:f>
        <x:v>Yes</x:v>
      </x:c>
      <x:c r="N92" t="str">
        <x:f>IF(D92="","Yes","No")</x:f>
        <x:v>No</x:v>
      </x:c>
      <x:c r="O92" t="str">
        <x:f>IF(OR(INDEX(tblLedger[City],MATCH($A92,tblLedger[Ledger Record ID],0))="",INDEX(tblLedger[Jurisdiction],MATCH($A92,tblLedger[Ledger Record ID],0))=""),"Yes","No")</x:f>
        <x:v>No</x:v>
      </x:c>
      <x:c r="P92" t="str">
        <x:f>IF(COUNTIF({"Yes","No","Partial","Pending","Mapping Hold"},E92)=0,"Yes","No")</x:f>
        <x:v>No</x:v>
      </x:c>
      <x:c r="Q92" t="str">
        <x:f>IF(COUNTIF({"Yes","No","Partial","Pending","Mapping Review"},F92)=0,"Yes","No")</x:f>
        <x:v>No</x:v>
      </x:c>
      <x:c r="R92" t="str">
        <x:f>IF(J92="Yes","Mapping Hold",IF(I92="Yes","Missing Event Link",IF(H92="Yes","Duplicate WO",IF(M92="Yes","Revenue Variance",IF(K92="Yes","Missing Breakdown",IF(L92="Yes","Pending ACH",IF(E92="Partial","Partial Breakdown",IF(N92="Yes","Missing Client",IF(O92="Yes","Missing Location",IF(P92="Yes","Unknown Breakdown Status",IF(Q92="Yes","Unknown ACH Status","OK")))))))))))</x:f>
        <x:v>Revenue Variance</x:v>
      </x:c>
      <x:c r="S92" t="str">
        <x:f>IF(OR(J92="Yes",I92="Yes",H92="Yes"),"Critical",IF(OR(M92="Yes",E92="Partial",N92="Yes",O92="Yes",P92="Yes",Q92="Yes"),"Warning",IF(OR(K92="Yes",L92="Yes"),"Informational","OK")))</x:f>
        <x:v>Warning</x:v>
      </x:c>
      <x:c r="T92" t="str">
        <x:f>IF(R92="Mapping Hold","Resolve mapping before update",IF(R92="Missing Event Link","Map to one authoritative event",IF(R92="Duplicate WO","Review duplicate identity",IF(R92="Revenue Variance","Reconcile or dispute amount",IF(R92="Missing Breakdown","Await breakdown",IF(R92="Pending ACH","Await ACH",IF(R92="Partial Breakdown","Confirm remaining breakdown",IF(R92="Missing Client","Add canonical client",IF(R92="Missing Location","Complete location fields",IF(R92="OK","No action","Review invalid status"))))))))))</x:f>
        <x:v>Reconcile or dispute amount</x:v>
      </x:c>
      <x:c r="U92" t="str">
        <x:f>IF(R92="OK","No","Yes")</x:f>
        <x:v>Yes</x:v>
      </x:c>
      <x:c r="V92" s="24" t="n">
        <x:f>ABS(N(G92))</x:f>
        <x:v>49.17</x:v>
      </x:c>
    </x:row>
    <x:row r="93">
      <x:c r="A93" t="str">
        <x:v>LED-0063</x:v>
      </x:c>
      <x:c r="B93" t="n">
        <x:f>INDEX(tblLedger[Work Order #],MATCH($A93,tblLedger[Ledger Record ID],0))</x:f>
        <x:v>5905579</x:v>
      </x:c>
      <x:c r="C93" t="str">
        <x:f>INDEX(tblLedger[Event #],MATCH($A93,tblLedger[Ledger Record ID],0))</x:f>
      </x:c>
      <x:c r="D93" t="str">
        <x:f>INDEX(tblLedger[Client],MATCH($A93,tblLedger[Ledger Record ID],0))</x:f>
        <x:v>Hebrew Home of Greater Washington</x:v>
      </x:c>
      <x:c r="E93" t="str">
        <x:f>INDEX(tblLedger[Breakdown Confirmed],MATCH($A93,tblLedger[Ledger Record ID],0))</x:f>
        <x:v>Mapping Hold</x:v>
      </x:c>
      <x:c r="F93" t="str">
        <x:f>INDEX(tblLedger[ACH Confirmed],MATCH($A93,tblLedger[Ledger Record ID],0))</x:f>
        <x:v>Partial</x:v>
      </x:c>
      <x:c r="G93" s="24" t="str">
        <x:f>INDEX(tblLedger[Variance],MATCH($A93,tblLedger[Ledger Record ID],0))</x:f>
      </x:c>
      <x:c r="H93" t="str">
        <x:f>IF(COUNTIF(tblLedger[Work Order #],B93)&gt;1,"Yes","No")</x:f>
        <x:v>No</x:v>
      </x:c>
      <x:c r="I93" t="str">
        <x:f>IF(C93="","Yes","No")</x:f>
        <x:v>Yes</x:v>
      </x:c>
      <x:c r="J93" t="str">
        <x:f>IF(INDEX(tblLedger[Mapping Status],MATCH($A93,tblLedger[Ledger Record ID],0))="MAPPING_HOLD","Yes","No")</x:f>
        <x:v>Yes</x:v>
      </x:c>
      <x:c r="K93" t="str">
        <x:f>IF(AND(OR(E93="No",E93="Pending"),IFERROR(INDEX(tblServiceEvents[Financial Scope],MATCH(C93,tblServiceEvents[Event #],0)),"Included")="Included"),"Yes","No")</x:f>
        <x:v>No</x:v>
      </x:c>
      <x:c r="L93" t="str">
        <x:f>IF(AND(E93="Yes",OR(F93="No",F93="Pending")),"Yes","No")</x:f>
        <x:v>No</x:v>
      </x:c>
      <x:c r="M93" t="str">
        <x:f>IF(OR(ABS(N(G93))&gt;0,INDEX(tblLedger[Reconciliation Status],MATCH($A93,tblLedger[Ledger Record ID],0))="BREAKDOWN_MISMATCH",INDEX(tblLedger[Reconciliation Status],MATCH($A93,tblLedger[Ledger Record ID],0))="ACH_MISMATCH"),"Yes","No")</x:f>
        <x:v>No</x:v>
      </x:c>
      <x:c r="N93" t="str">
        <x:f>IF(D93="","Yes","No")</x:f>
        <x:v>No</x:v>
      </x:c>
      <x:c r="O93" t="str">
        <x:f>IF(OR(INDEX(tblLedger[City],MATCH($A93,tblLedger[Ledger Record ID],0))="",INDEX(tblLedger[Jurisdiction],MATCH($A93,tblLedger[Ledger Record ID],0))=""),"Yes","No")</x:f>
        <x:v>No</x:v>
      </x:c>
      <x:c r="P93" t="str">
        <x:f>IF(COUNTIF({"Yes","No","Partial","Pending","Mapping Hold"},E93)=0,"Yes","No")</x:f>
        <x:v>No</x:v>
      </x:c>
      <x:c r="Q93" t="str">
        <x:f>IF(COUNTIF({"Yes","No","Partial","Pending","Mapping Review"},F93)=0,"Yes","No")</x:f>
        <x:v>No</x:v>
      </x:c>
      <x:c r="R93" t="str">
        <x:f>IF(J93="Yes","Mapping Hold",IF(I93="Yes","Missing Event Link",IF(H93="Yes","Duplicate WO",IF(M93="Yes","Revenue Variance",IF(K93="Yes","Missing Breakdown",IF(L93="Yes","Pending ACH",IF(E93="Partial","Partial Breakdown",IF(N93="Yes","Missing Client",IF(O93="Yes","Missing Location",IF(P93="Yes","Unknown Breakdown Status",IF(Q93="Yes","Unknown ACH Status","OK")))))))))))</x:f>
        <x:v>Mapping Hold</x:v>
      </x:c>
      <x:c r="S93" t="str">
        <x:f>IF(OR(J93="Yes",I93="Yes",H93="Yes"),"Critical",IF(OR(M93="Yes",E93="Partial",N93="Yes",O93="Yes",P93="Yes",Q93="Yes"),"Warning",IF(OR(K93="Yes",L93="Yes"),"Informational","OK")))</x:f>
        <x:v>Critical</x:v>
      </x:c>
      <x:c r="T93" t="str">
        <x:f>IF(R93="Mapping Hold","Resolve mapping before update",IF(R93="Missing Event Link","Map to one authoritative event",IF(R93="Duplicate WO","Review duplicate identity",IF(R93="Revenue Variance","Reconcile or dispute amount",IF(R93="Missing Breakdown","Await breakdown",IF(R93="Pending ACH","Await ACH",IF(R93="Partial Breakdown","Confirm remaining breakdown",IF(R93="Missing Client","Add canonical client",IF(R93="Missing Location","Complete location fields",IF(R93="OK","No action","Review invalid status"))))))))))</x:f>
        <x:v>Resolve mapping before update</x:v>
      </x:c>
      <x:c r="U93" t="str">
        <x:f>IF(R93="OK","No","Yes")</x:f>
        <x:v>Yes</x:v>
      </x:c>
      <x:c r="V93" s="24" t="n">
        <x:f>ABS(N(G93))</x:f>
        <x:v>0</x:v>
      </x:c>
    </x:row>
    <x:row r="94">
      <x:c r="A94" t="str">
        <x:v>LED-0064</x:v>
      </x:c>
      <x:c r="B94" t="n">
        <x:f>INDEX(tblLedger[Work Order #],MATCH($A94,tblLedger[Ledger Record ID],0))</x:f>
        <x:v>5909368</x:v>
      </x:c>
      <x:c r="C94" t="n">
        <x:f>INDEX(tblLedger[Event #],MATCH($A94,tblLedger[Ledger Record ID],0))</x:f>
        <x:v>63</x:v>
      </x:c>
      <x:c r="D94" t="str">
        <x:f>INDEX(tblLedger[Client],MATCH($A94,tblLedger[Ledger Record ID],0))</x:f>
        <x:v>Marshalls</x:v>
      </x:c>
      <x:c r="E94" t="str">
        <x:f>INDEX(tblLedger[Breakdown Confirmed],MATCH($A94,tblLedger[Ledger Record ID],0))</x:f>
        <x:v>Pending</x:v>
      </x:c>
      <x:c r="F94" t="str">
        <x:f>INDEX(tblLedger[ACH Confirmed],MATCH($A94,tblLedger[Ledger Record ID],0))</x:f>
        <x:v>No</x:v>
      </x:c>
      <x:c r="G94" t="str">
        <x:f>INDEX(tblLedger[Variance],MATCH($A94,tblLedger[Ledger Record ID],0))</x:f>
      </x:c>
      <x:c r="H94" t="str">
        <x:f>IF(COUNTIF(tblLedger[Work Order #],B94)&gt;1,"Yes","No")</x:f>
        <x:v>No</x:v>
      </x:c>
      <x:c r="I94" t="str">
        <x:f>IF(C94="","Yes","No")</x:f>
        <x:v>No</x:v>
      </x:c>
      <x:c r="J94" t="str">
        <x:f>IF(INDEX(tblLedger[Mapping Status],MATCH($A94,tblLedger[Ledger Record ID],0))="MAPPING_HOLD","Yes","No")</x:f>
        <x:v>No</x:v>
      </x:c>
      <x:c r="K94" t="str">
        <x:f>IF(AND(OR(E94="No",E94="Pending"),IFERROR(INDEX(tblServiceEvents[Financial Scope],MATCH(C94,tblServiceEvents[Event #],0)),"Included")="Included"),"Yes","No")</x:f>
        <x:v>Yes</x:v>
      </x:c>
      <x:c r="L94" t="str">
        <x:f>IF(AND(E94="Yes",OR(F94="No",F94="Pending")),"Yes","No")</x:f>
        <x:v>No</x:v>
      </x:c>
      <x:c r="M94" t="str">
        <x:f>IF(OR(ABS(N(G94))&gt;0,INDEX(tblLedger[Reconciliation Status],MATCH($A94,tblLedger[Ledger Record ID],0))="BREAKDOWN_MISMATCH",INDEX(tblLedger[Reconciliation Status],MATCH($A94,tblLedger[Ledger Record ID],0))="ACH_MISMATCH"),"Yes","No")</x:f>
        <x:v>No</x:v>
      </x:c>
      <x:c r="N94" t="str">
        <x:f>IF(D94="","Yes","No")</x:f>
        <x:v>No</x:v>
      </x:c>
      <x:c r="O94" t="str">
        <x:f>IF(OR(INDEX(tblLedger[City],MATCH($A94,tblLedger[Ledger Record ID],0))="",INDEX(tblLedger[Jurisdiction],MATCH($A94,tblLedger[Ledger Record ID],0))=""),"Yes","No")</x:f>
        <x:v>No</x:v>
      </x:c>
      <x:c r="P94" t="str">
        <x:f>IF(COUNTIF({"Yes","No","Partial","Pending","Mapping Hold"},E94)=0,"Yes","No")</x:f>
        <x:v>No</x:v>
      </x:c>
      <x:c r="Q94" t="str">
        <x:f>IF(COUNTIF({"Yes","No","Partial","Pending","Mapping Review"},F94)=0,"Yes","No")</x:f>
        <x:v>No</x:v>
      </x:c>
      <x:c r="R94" t="str">
        <x:f>IF(J94="Yes","Mapping Hold",IF(I94="Yes","Missing Event Link",IF(H94="Yes","Duplicate WO",IF(M94="Yes","Revenue Variance",IF(K94="Yes","Missing Breakdown",IF(L94="Yes","Pending ACH",IF(E94="Partial","Partial Breakdown",IF(N94="Yes","Missing Client",IF(O94="Yes","Missing Location",IF(P94="Yes","Unknown Breakdown Status",IF(Q94="Yes","Unknown ACH Status","OK")))))))))))</x:f>
        <x:v>Missing Breakdown</x:v>
      </x:c>
      <x:c r="S94" t="str">
        <x:f>IF(OR(J94="Yes",I94="Yes",H94="Yes"),"Critical",IF(OR(M94="Yes",E94="Partial",N94="Yes",O94="Yes",P94="Yes",Q94="Yes"),"Warning",IF(OR(K94="Yes",L94="Yes"),"Informational","OK")))</x:f>
        <x:v>Informational</x:v>
      </x:c>
      <x:c r="T94" t="str">
        <x:f>IF(R94="Mapping Hold","Resolve mapping before update",IF(R94="Missing Event Link","Map to one authoritative event",IF(R94="Duplicate WO","Review duplicate identity",IF(R94="Revenue Variance","Reconcile or dispute amount",IF(R94="Missing Breakdown","Await breakdown",IF(R94="Pending ACH","Await ACH",IF(R94="Partial Breakdown","Confirm remaining breakdown",IF(R94="Missing Client","Add canonical client",IF(R94="Missing Location","Complete location fields",IF(R94="OK","No action","Review invalid status"))))))))))</x:f>
        <x:v>Await breakdown</x:v>
      </x:c>
      <x:c r="U94" t="str">
        <x:f>IF(R94="OK","No","Yes")</x:f>
        <x:v>Yes</x:v>
      </x:c>
      <x:c r="V94" t="n">
        <x:f>ABS(N(G94))</x:f>
        <x:v>0</x:v>
      </x:c>
    </x:row>
    <x:row r="95">
      <x:c r="A95" t="str">
        <x:v>LED-0065</x:v>
      </x:c>
      <x:c r="B95" t="n">
        <x:f>INDEX(tblLedger[Work Order #],MATCH($A95,tblLedger[Ledger Record ID],0))</x:f>
        <x:v>5916961</x:v>
      </x:c>
      <x:c r="C95" t="n">
        <x:f>INDEX(tblLedger[Event #],MATCH($A95,tblLedger[Ledger Record ID],0))</x:f>
        <x:v>64</x:v>
      </x:c>
      <x:c r="D95" t="str">
        <x:f>INDEX(tblLedger[Client],MATCH($A95,tblLedger[Ledger Record ID],0))</x:f>
        <x:v>Marshalls</x:v>
      </x:c>
      <x:c r="E95" t="str">
        <x:f>INDEX(tblLedger[Breakdown Confirmed],MATCH($A95,tblLedger[Ledger Record ID],0))</x:f>
        <x:v>Pending</x:v>
      </x:c>
      <x:c r="F95" t="str">
        <x:f>INDEX(tblLedger[ACH Confirmed],MATCH($A95,tblLedger[Ledger Record ID],0))</x:f>
        <x:v>No</x:v>
      </x:c>
      <x:c r="G95" t="str">
        <x:f>INDEX(tblLedger[Variance],MATCH($A95,tblLedger[Ledger Record ID],0))</x:f>
      </x:c>
      <x:c r="H95" t="str">
        <x:f>IF(COUNTIF(tblLedger[Work Order #],B95)&gt;1,"Yes","No")</x:f>
        <x:v>No</x:v>
      </x:c>
      <x:c r="I95" t="str">
        <x:f>IF(C95="","Yes","No")</x:f>
        <x:v>No</x:v>
      </x:c>
      <x:c r="J95" t="str">
        <x:f>IF(INDEX(tblLedger[Mapping Status],MATCH($A95,tblLedger[Ledger Record ID],0))="MAPPING_HOLD","Yes","No")</x:f>
        <x:v>No</x:v>
      </x:c>
      <x:c r="K95" t="str">
        <x:f>IF(AND(OR(E95="No",E95="Pending"),IFERROR(INDEX(tblServiceEvents[Financial Scope],MATCH(C95,tblServiceEvents[Event #],0)),"Included")="Included"),"Yes","No")</x:f>
        <x:v>Yes</x:v>
      </x:c>
      <x:c r="L95" t="str">
        <x:f>IF(AND(E95="Yes",OR(F95="No",F95="Pending")),"Yes","No")</x:f>
        <x:v>No</x:v>
      </x:c>
      <x:c r="M95" t="str">
        <x:f>IF(OR(ABS(N(G95))&gt;0,INDEX(tblLedger[Reconciliation Status],MATCH($A95,tblLedger[Ledger Record ID],0))="BREAKDOWN_MISMATCH",INDEX(tblLedger[Reconciliation Status],MATCH($A95,tblLedger[Ledger Record ID],0))="ACH_MISMATCH"),"Yes","No")</x:f>
        <x:v>No</x:v>
      </x:c>
      <x:c r="N95" t="str">
        <x:f>IF(D95="","Yes","No")</x:f>
        <x:v>No</x:v>
      </x:c>
      <x:c r="O95" t="str">
        <x:f>IF(OR(INDEX(tblLedger[City],MATCH($A95,tblLedger[Ledger Record ID],0))="",INDEX(tblLedger[Jurisdiction],MATCH($A95,tblLedger[Ledger Record ID],0))=""),"Yes","No")</x:f>
        <x:v>No</x:v>
      </x:c>
      <x:c r="P95" t="str">
        <x:f>IF(COUNTIF({"Yes","No","Partial","Pending","Mapping Hold"},E95)=0,"Yes","No")</x:f>
        <x:v>No</x:v>
      </x:c>
      <x:c r="Q95" t="str">
        <x:f>IF(COUNTIF({"Yes","No","Partial","Pending","Mapping Review"},F95)=0,"Yes","No")</x:f>
        <x:v>No</x:v>
      </x:c>
      <x:c r="R95" t="str">
        <x:f>IF(J95="Yes","Mapping Hold",IF(I95="Yes","Missing Event Link",IF(H95="Yes","Duplicate WO",IF(M95="Yes","Revenue Variance",IF(K95="Yes","Missing Breakdown",IF(L95="Yes","Pending ACH",IF(E95="Partial","Partial Breakdown",IF(N95="Yes","Missing Client",IF(O95="Yes","Missing Location",IF(P95="Yes","Unknown Breakdown Status",IF(Q95="Yes","Unknown ACH Status","OK")))))))))))</x:f>
        <x:v>Missing Breakdown</x:v>
      </x:c>
      <x:c r="S95" t="str">
        <x:f>IF(OR(J95="Yes",I95="Yes",H95="Yes"),"Critical",IF(OR(M95="Yes",E95="Partial",N95="Yes",O95="Yes",P95="Yes",Q95="Yes"),"Warning",IF(OR(K95="Yes",L95="Yes"),"Informational","OK")))</x:f>
        <x:v>Informational</x:v>
      </x:c>
      <x:c r="T95" t="str">
        <x:f>IF(R95="Mapping Hold","Resolve mapping before update",IF(R95="Missing Event Link","Map to one authoritative event",IF(R95="Duplicate WO","Review duplicate identity",IF(R95="Revenue Variance","Reconcile or dispute amount",IF(R95="Missing Breakdown","Await breakdown",IF(R95="Pending ACH","Await ACH",IF(R95="Partial Breakdown","Confirm remaining breakdown",IF(R95="Missing Client","Add canonical client",IF(R95="Missing Location","Complete location fields",IF(R95="OK","No action","Review invalid status"))))))))))</x:f>
        <x:v>Await breakdown</x:v>
      </x:c>
      <x:c r="U95" t="str">
        <x:f>IF(R95="OK","No","Yes")</x:f>
        <x:v>Yes</x:v>
      </x:c>
      <x:c r="V95" t="n">
        <x:f>ABS(N(G95))</x:f>
        <x:v>0</x:v>
      </x:c>
    </x:row>
    <x:row r="96">
      <x:c r="A96" s="287" t="str">
        <x:v>LED-0066</x:v>
      </x:c>
      <x:c r="B96" s="287" t="n">
        <x:f>INDEX(tblLedger[Work Order #],MATCH($A96,tblLedger[Ledger Record ID],0))</x:f>
        <x:v>5917407</x:v>
      </x:c>
      <x:c r="C96" s="287" t="n">
        <x:f>INDEX(tblLedger[Event #],MATCH($A96,tblLedger[Ledger Record ID],0))</x:f>
        <x:v>65</x:v>
      </x:c>
      <x:c r="D96" s="287" t="str">
        <x:f>INDEX(tblLedger[Client],MATCH($A96,tblLedger[Ledger Record ID],0))</x:f>
        <x:v>HomeGoods</x:v>
      </x:c>
      <x:c r="E96" s="287" t="str">
        <x:f>INDEX(tblLedger[Breakdown Confirmed],MATCH($A96,tblLedger[Ledger Record ID],0))</x:f>
        <x:v>Pending</x:v>
      </x:c>
      <x:c r="F96" s="287" t="str">
        <x:f>INDEX(tblLedger[ACH Confirmed],MATCH($A96,tblLedger[Ledger Record ID],0))</x:f>
        <x:v>No</x:v>
      </x:c>
      <x:c r="G96" s="287" t="str">
        <x:f>INDEX(tblLedger[Variance],MATCH($A96,tblLedger[Ledger Record ID],0))</x:f>
      </x:c>
      <x:c r="H96" s="287" t="str">
        <x:f>IF(COUNTIF(tblLedger[Work Order #],B96)&gt;1,"Yes","No")</x:f>
        <x:v>No</x:v>
      </x:c>
      <x:c r="I96" s="287" t="str">
        <x:f>IF(C96="","Yes","No")</x:f>
        <x:v>No</x:v>
      </x:c>
      <x:c r="J96" s="287" t="str">
        <x:f>IF(INDEX(tblLedger[Mapping Status],MATCH($A96,tblLedger[Ledger Record ID],0))="MAPPING_HOLD","Yes","No")</x:f>
        <x:v>No</x:v>
      </x:c>
      <x:c r="K96" s="287" t="str">
        <x:f>IF(AND(OR(E96="No",E96="Pending"),IFERROR(INDEX(tblServiceEvents[Financial Scope],MATCH(C96,tblServiceEvents[Event #],0)),"Included")="Included"),"Yes","No")</x:f>
        <x:v>Yes</x:v>
      </x:c>
      <x:c r="L96" s="287" t="str">
        <x:f>IF(AND(E96="Yes",OR(F96="No",F96="Pending")),"Yes","No")</x:f>
        <x:v>No</x:v>
      </x:c>
      <x:c r="M96" s="287" t="str">
        <x:f>IF(OR(ABS(N(G96))&gt;0,INDEX(tblLedger[Reconciliation Status],MATCH($A96,tblLedger[Ledger Record ID],0))="BREAKDOWN_MISMATCH",INDEX(tblLedger[Reconciliation Status],MATCH($A96,tblLedger[Ledger Record ID],0))="ACH_MISMATCH"),"Yes","No")</x:f>
        <x:v>No</x:v>
      </x:c>
      <x:c r="N96" s="287" t="str">
        <x:f>IF(D96="","Yes","No")</x:f>
        <x:v>No</x:v>
      </x:c>
      <x:c r="O96" s="287" t="str">
        <x:f>IF(OR(INDEX(tblLedger[City],MATCH($A96,tblLedger[Ledger Record ID],0))="",INDEX(tblLedger[Jurisdiction],MATCH($A96,tblLedger[Ledger Record ID],0))=""),"Yes","No")</x:f>
        <x:v>No</x:v>
      </x:c>
      <x:c r="P96" s="287" t="str">
        <x:f>IF(COUNTIF({"Yes","No","Partial","Pending","Mapping Hold"},E96)=0,"Yes","No")</x:f>
        <x:v>No</x:v>
      </x:c>
      <x:c r="Q96" s="287" t="str">
        <x:f>IF(COUNTIF({"Yes","No","Partial","Pending","Mapping Review"},F96)=0,"Yes","No")</x:f>
        <x:v>No</x:v>
      </x:c>
      <x:c r="R96" s="287" t="str">
        <x:f>IF(J96="Yes","Mapping Hold",IF(I96="Yes","Missing Event Link",IF(H96="Yes","Duplicate WO",IF(M96="Yes","Revenue Variance",IF(K96="Yes","Missing Breakdown",IF(L96="Yes","Pending ACH",IF(E96="Partial","Partial Breakdown",IF(N96="Yes","Missing Client",IF(O96="Yes","Missing Location",IF(P96="Yes","Unknown Breakdown Status",IF(Q96="Yes","Unknown ACH Status","OK")))))))))))</x:f>
        <x:v>Missing Breakdown</x:v>
      </x:c>
      <x:c r="S96" t="str">
        <x:f>IF(OR(J96="Yes",I96="Yes",H96="Yes"),"Critical",IF(OR(M96="Yes",E96="Partial",N96="Yes",O96="Yes",P96="Yes",Q96="Yes"),"Warning",IF(OR(K96="Yes",L96="Yes"),"Informational","OK")))</x:f>
        <x:v>Informational</x:v>
      </x:c>
      <x:c r="T96" t="str">
        <x:f>IF(R96="Mapping Hold","Resolve mapping before update",IF(R96="Missing Event Link","Map to one authoritative event",IF(R96="Duplicate WO","Review duplicate identity",IF(R96="Revenue Variance","Reconcile or dispute amount",IF(R96="Missing Breakdown","Await breakdown",IF(R96="Pending ACH","Await ACH",IF(R96="Partial Breakdown","Confirm remaining breakdown",IF(R96="Missing Client","Add canonical client",IF(R96="Missing Location","Complete location fields",IF(R96="OK","No action","Review invalid status"))))))))))</x:f>
        <x:v>Await breakdown</x:v>
      </x:c>
      <x:c r="U96" t="str">
        <x:f>IF(R96="OK","No","Yes")</x:f>
        <x:v>Yes</x:v>
      </x:c>
      <x:c r="V96" t="n">
        <x:f>ABS(N(G96))</x:f>
        <x:v>0</x:v>
      </x:c>
    </x:row>
    <x:row r="97">
      <x:c r="A97" s="294" t="str">
        <x:v>LED-0067</x:v>
      </x:c>
      <x:c r="B97" s="294" t="n">
        <x:f>INDEX(tblLedger[Work Order #],MATCH($A97,tblLedger[Ledger Record ID],0))</x:f>
        <x:v>5909385</x:v>
      </x:c>
      <x:c r="C97" s="294" t="n">
        <x:f>INDEX(tblLedger[Event #],MATCH($A97,tblLedger[Ledger Record ID],0))</x:f>
        <x:v>66</x:v>
      </x:c>
      <x:c r="D97" s="294" t="str">
        <x:f>INDEX(tblLedger[Client],MATCH($A97,tblLedger[Ledger Record ID],0))</x:f>
        <x:v>TJ Maxx</x:v>
      </x:c>
      <x:c r="E97" s="294" t="str">
        <x:f>INDEX(tblLedger[Breakdown Confirmed],MATCH($A97,tblLedger[Ledger Record ID],0))</x:f>
        <x:v>Pending</x:v>
      </x:c>
      <x:c r="F97" s="294" t="str">
        <x:f>INDEX(tblLedger[ACH Confirmed],MATCH($A97,tblLedger[Ledger Record ID],0))</x:f>
        <x:v>No</x:v>
      </x:c>
      <x:c r="G97" s="294" t="str">
        <x:f>INDEX(tblLedger[Variance],MATCH($A97,tblLedger[Ledger Record ID],0))</x:f>
      </x:c>
      <x:c r="H97" s="294" t="str">
        <x:f>IF(COUNTIF(tblLedger[Work Order #],B97)&gt;1,"Yes","No")</x:f>
        <x:v>No</x:v>
      </x:c>
      <x:c r="I97" s="294" t="str">
        <x:f>IF(C97="","Yes","No")</x:f>
        <x:v>No</x:v>
      </x:c>
      <x:c r="J97" s="294" t="str">
        <x:f>IF(INDEX(tblLedger[Mapping Status],MATCH($A97,tblLedger[Ledger Record ID],0))="MAPPING_HOLD","Yes","No")</x:f>
        <x:v>No</x:v>
      </x:c>
      <x:c r="K97" s="294" t="str">
        <x:f>IF(AND(OR(E97="No",E97="Pending"),IFERROR(INDEX(tblServiceEvents[Financial Scope],MATCH(C97,tblServiceEvents[Event #],0)),"Included")="Included"),"Yes","No")</x:f>
        <x:v>Yes</x:v>
      </x:c>
      <x:c r="L97" s="294" t="str">
        <x:f>IF(AND(E97="Yes",OR(F97="No",F97="Pending")),"Yes","No")</x:f>
        <x:v>No</x:v>
      </x:c>
      <x:c r="M97" s="294" t="str">
        <x:f>IF(OR(ABS(N(G97))&gt;0,INDEX(tblLedger[Reconciliation Status],MATCH($A97,tblLedger[Ledger Record ID],0))="BREAKDOWN_MISMATCH",INDEX(tblLedger[Reconciliation Status],MATCH($A97,tblLedger[Ledger Record ID],0))="ACH_MISMATCH"),"Yes","No")</x:f>
        <x:v>No</x:v>
      </x:c>
      <x:c r="N97" s="294" t="str">
        <x:f>IF(D97="","Yes","No")</x:f>
        <x:v>No</x:v>
      </x:c>
      <x:c r="O97" s="294" t="str">
        <x:f>IF(OR(INDEX(tblLedger[City],MATCH($A97,tblLedger[Ledger Record ID],0))="",INDEX(tblLedger[Jurisdiction],MATCH($A97,tblLedger[Ledger Record ID],0))=""),"Yes","No")</x:f>
        <x:v>No</x:v>
      </x:c>
      <x:c r="P97" s="294" t="str">
        <x:f>IF(COUNTIF({"Yes","No","Partial","Pending","Mapping Hold"},E97)=0,"Yes","No")</x:f>
        <x:v>No</x:v>
      </x:c>
      <x:c r="Q97" s="294" t="str">
        <x:f>IF(COUNTIF({"Yes","No","Partial","Pending","Mapping Review"},F97)=0,"Yes","No")</x:f>
        <x:v>No</x:v>
      </x:c>
      <x:c r="R97" s="294" t="str">
        <x:f>IF(J97="Yes","Mapping Hold",IF(I97="Yes","Missing Event Link",IF(H97="Yes","Duplicate WO",IF(M97="Yes","Revenue Variance",IF(K97="Yes","Missing Breakdown",IF(L97="Yes","Pending ACH",IF(E97="Partial","Partial Breakdown",IF(N97="Yes","Missing Client",IF(O97="Yes","Missing Location",IF(P97="Yes","Unknown Breakdown Status",IF(Q97="Yes","Unknown ACH Status","OK")))))))))))</x:f>
        <x:v>Missing Breakdown</x:v>
      </x:c>
      <x:c r="S97" t="str">
        <x:f>IF(OR(J97="Yes",I97="Yes",H97="Yes"),"Critical",IF(OR(M97="Yes",E97="Partial",N97="Yes",O97="Yes",P97="Yes",Q97="Yes"),"Warning",IF(OR(K97="Yes",L97="Yes"),"Informational","OK")))</x:f>
        <x:v>Informational</x:v>
      </x:c>
      <x:c r="T97" t="str">
        <x:f>IF(R97="Mapping Hold","Resolve mapping before update",IF(R97="Missing Event Link","Map to one authoritative event",IF(R97="Duplicate WO","Review duplicate identity",IF(R97="Revenue Variance","Reconcile or dispute amount",IF(R97="Missing Breakdown","Await breakdown",IF(R97="Pending ACH","Await ACH",IF(R97="Partial Breakdown","Confirm remaining breakdown",IF(R97="Missing Client","Add canonical client",IF(R97="Missing Location","Complete location fields",IF(R97="OK","No action","Review invalid status"))))))))))</x:f>
        <x:v>Await breakdown</x:v>
      </x:c>
      <x:c r="U97" t="str">
        <x:f>IF(R97="OK","No","Yes")</x:f>
        <x:v>Yes</x:v>
      </x:c>
      <x:c r="V97" t="n">
        <x:f>ABS(N(G97))</x:f>
        <x:v>0</x:v>
      </x:c>
    </x:row>
    <x:row r="98">
      <x:c r="A98" t="str">
        <x:v>LED-0068</x:v>
      </x:c>
      <x:c r="B98" t="n">
        <x:f>INDEX(tblLedger[Work Order #],MATCH($A98,tblLedger[Ledger Record ID],0))</x:f>
        <x:v>5914898</x:v>
      </x:c>
      <x:c r="C98" s="35" t="n">
        <x:f>INDEX(tblLedger[Event #],MATCH($A98,tblLedger[Ledger Record ID],0))</x:f>
        <x:v>67</x:v>
      </x:c>
      <x:c r="D98" t="str">
        <x:f>INDEX(tblLedger[Client],MATCH($A98,tblLedger[Ledger Record ID],0))</x:f>
        <x:v>Dunkin</x:v>
      </x:c>
      <x:c r="E98" t="str">
        <x:f>INDEX(tblLedger[Breakdown Confirmed],MATCH($A98,tblLedger[Ledger Record ID],0))</x:f>
        <x:v>Yes</x:v>
      </x:c>
      <x:c r="F98" t="str">
        <x:f>INDEX(tblLedger[ACH Confirmed],MATCH($A98,tblLedger[Ledger Record ID],0))</x:f>
        <x:v>No</x:v>
      </x:c>
      <x:c r="G98" t="str">
        <x:f>INDEX(tblLedger[Variance],MATCH($A98,tblLedger[Ledger Record ID],0))</x:f>
      </x:c>
      <x:c r="H98" t="str">
        <x:f>IF(COUNTIF(tblLedger[Work Order #],B98)&gt;1,"Yes","No")</x:f>
        <x:v>No</x:v>
      </x:c>
      <x:c r="I98" t="str">
        <x:f>IF(C98="","Yes","No")</x:f>
        <x:v>No</x:v>
      </x:c>
      <x:c r="J98" t="str">
        <x:f>IF(INDEX(tblLedger[Mapping Status],MATCH($A98,tblLedger[Ledger Record ID],0))="MAPPING_HOLD","Yes","No")</x:f>
        <x:v>No</x:v>
      </x:c>
      <x:c r="K98" t="str">
        <x:f>IF(AND(OR(E98="No",E98="Pending"),IFERROR(INDEX(tblServiceEvents[Financial Scope],MATCH(C98,tblServiceEvents[Event #],0)),"Included")="Included"),"Yes","No")</x:f>
        <x:v>No</x:v>
      </x:c>
      <x:c r="L98" t="str">
        <x:f>IF(AND(E98="Yes",OR(F98="No",F98="Pending")),"Yes","No")</x:f>
        <x:v>Yes</x:v>
      </x:c>
      <x:c r="M98" t="str">
        <x:f>IF(OR(ABS(N(G98))&gt;0,INDEX(tblLedger[Reconciliation Status],MATCH($A98,tblLedger[Ledger Record ID],0))="BREAKDOWN_MISMATCH",INDEX(tblLedger[Reconciliation Status],MATCH($A98,tblLedger[Ledger Record ID],0))="ACH_MISMATCH"),"Yes","No")</x:f>
        <x:v>No</x:v>
      </x:c>
      <x:c r="N98" t="str">
        <x:f>IF(D98="","Yes","No")</x:f>
        <x:v>No</x:v>
      </x:c>
      <x:c r="O98" t="str">
        <x:f>IF(OR(INDEX(tblLedger[City],MATCH($A98,tblLedger[Ledger Record ID],0))="",INDEX(tblLedger[Jurisdiction],MATCH($A98,tblLedger[Ledger Record ID],0))=""),"Yes","No")</x:f>
        <x:v>No</x:v>
      </x:c>
      <x:c r="P98" t="str">
        <x:f>IF(COUNTIF({"Yes","No","Partial","Pending","Mapping Hold"},E98)=0,"Yes","No")</x:f>
        <x:v>No</x:v>
      </x:c>
      <x:c r="Q98" t="str">
        <x:f>IF(COUNTIF({"Yes","No","Partial","Pending","Mapping Review"},F98)=0,"Yes","No")</x:f>
        <x:v>No</x:v>
      </x:c>
      <x:c r="R98" t="str">
        <x:f>IF(J98="Yes","Mapping Hold",IF(I98="Yes","Missing Event Link",IF(H98="Yes","Duplicate WO",IF(M98="Yes","Revenue Variance",IF(K98="Yes","Missing Breakdown",IF(L98="Yes","Pending ACH",IF(E98="Partial","Partial Breakdown",IF(N98="Yes","Missing Client",IF(O98="Yes","Missing Location",IF(P98="Yes","Unknown Breakdown Status",IF(Q98="Yes","Unknown ACH Status","OK")))))))))))</x:f>
        <x:v>Pending ACH</x:v>
      </x:c>
      <x:c r="S98" t="str">
        <x:f>IF(OR(J98="Yes",I98="Yes",H98="Yes"),"Critical",IF(OR(M98="Yes",E98="Partial",N98="Yes",O98="Yes",P98="Yes",Q98="Yes"),"Warning",IF(OR(K98="Yes",L98="Yes"),"Informational","OK")))</x:f>
        <x:v>Informational</x:v>
      </x:c>
      <x:c r="T98" t="str">
        <x:f>IF(R98="Mapping Hold","Resolve mapping before update",IF(R98="Missing Event Link","Map to one authoritative event",IF(R98="Duplicate WO","Review duplicate identity",IF(R98="Revenue Variance","Reconcile or dispute amount",IF(R98="Missing Breakdown","Await breakdown",IF(R98="Pending ACH","Await ACH",IF(R98="Partial Breakdown","Confirm remaining breakdown",IF(R98="Missing Client","Add canonical client",IF(R98="Missing Location","Complete location fields",IF(R98="OK","No action","Review invalid status"))))))))))</x:f>
        <x:v>Await ACH</x:v>
      </x:c>
      <x:c r="U98" t="str">
        <x:f>IF(R98="OK","No","Yes")</x:f>
        <x:v>Yes</x:v>
      </x:c>
      <x:c r="V98" t="n">
        <x:f>ABS(N(G98))</x:f>
        <x:v>0</x:v>
      </x:c>
    </x:row>
    <x:row r="99">
      <x:c r="A99" t="str">
        <x:v>Event #</x:v>
      </x:c>
      <x:c r="B99" t="str">
        <x:v>Client</x:v>
      </x:c>
      <x:c r="C99" s="35" t="str">
        <x:v>Service Date</x:v>
      </x:c>
      <x:c r="D99" t="str">
        <x:v>Weekday</x:v>
      </x:c>
      <x:c r="E99" t="str">
        <x:v>MY_MONTH</x:v>
      </x:c>
      <x:c r="F99" t="str">
        <x:v>Status</x:v>
      </x:c>
      <x:c r="G99" t="str">
        <x:v>City</x:v>
      </x:c>
      <x:c r="H99" t="str">
        <x:v>Jurisdiction</x:v>
      </x:c>
      <x:c r="I99" t="str">
        <x:v>Linked WO Count</x:v>
      </x:c>
      <x:c r="J99" t="str">
        <x:v>Duplicate Event #</x:v>
      </x:c>
      <x:c r="K99" t="str">
        <x:v>Missing Date</x:v>
      </x:c>
      <x:c r="L99" t="str">
        <x:v>Missing Client</x:v>
      </x:c>
      <x:c r="M99" t="str">
        <x:v>Missing Location</x:v>
      </x:c>
      <x:c r="N99" t="str">
        <x:v>Unknown Weekday</x:v>
      </x:c>
      <x:c r="O99" t="str">
        <x:v>Unknown MY_MONTH</x:v>
      </x:c>
      <x:c r="P99" t="str">
        <x:v>Primary Issue</x:v>
      </x:c>
      <x:c r="Q99" t="str">
        <x:v>Severity</x:v>
      </x:c>
      <x:c r="R99" t="str">
        <x:v>Open?</x:v>
      </x:c>
    </x:row>
    <x:row r="100">
      <x:c r="A100" t="n">
        <x:v>1</x:v>
      </x:c>
      <x:c r="B100" t="str">
        <x:f>INDEX(tblServiceEvents[Client],MATCH($A100,tblServiceEvents[Event #],0))</x:f>
        <x:v>Macy's</x:v>
      </x:c>
      <x:c r="C100" s="35" t="n">
        <x:f>INDEX(tblServiceEvents[Service Date],MATCH($A100,tblServiceEvents[Event #],0))</x:f>
        <x:v>46132</x:v>
      </x:c>
      <x:c r="D100" t="str">
        <x:f>INDEX(tblServiceEvents[Weekday],MATCH($A100,tblServiceEvents[Event #],0))</x:f>
        <x:v>Monday</x:v>
      </x:c>
      <x:c r="E100" t="str">
        <x:f>INDEX(tblServiceEvents[MY_MONTH],MATCH($A100,tblServiceEvents[Event #],0))</x:f>
        <x:v>MY_MONTH 1</x:v>
      </x:c>
      <x:c r="F100" t="str">
        <x:f>INDEX(tblServiceEvents[Status],MATCH($A100,tblServiceEvents[Event #],0))</x:f>
        <x:v>Completed</x:v>
      </x:c>
      <x:c r="G100" t="str">
        <x:f>INDEX(tblServiceEvents[City],MATCH($A100,tblServiceEvents[Event #],0))</x:f>
        <x:v>Fairfax</x:v>
      </x:c>
      <x:c r="H100" t="str">
        <x:f>INDEX(tblServiceEvents[Jurisdiction],MATCH($A100,tblServiceEvents[Event #],0))</x:f>
        <x:v>VA</x:v>
      </x:c>
      <x:c r="I100" t="n">
        <x:f>COUNTIF(tblLedger[Event #],A100)</x:f>
        <x:v>1</x:v>
      </x:c>
      <x:c r="J100" t="str">
        <x:f>IF(COUNTIF(tblServiceEvents[Event #],A100)&gt;1,"Yes","No")</x:f>
        <x:v>No</x:v>
      </x:c>
      <x:c r="K100" t="str">
        <x:f>IF(C100="","Yes","No")</x:f>
        <x:v>No</x:v>
      </x:c>
      <x:c r="L100" t="str">
        <x:f>IF(B100="","Yes","No")</x:f>
        <x:v>No</x:v>
      </x:c>
      <x:c r="M100" t="str">
        <x:f>IF(OR(G100="",H100=""),"Yes","No")</x:f>
        <x:v>No</x:v>
      </x:c>
      <x:c r="N100" t="str">
        <x:f>IF(COUNTIF({"Monday","Tuesday","Wednesday","Thursday","Friday"},D100)=0,"Yes","No")</x:f>
        <x:v>No</x:v>
      </x:c>
      <x:c r="O100" t="str">
        <x:f>IF(COUNTIF({"MY_MONTH 1","MY_MONTH 2","MY_MONTH 3"},E100)=0,"Yes","No")</x:f>
        <x:v>No</x:v>
      </x:c>
      <x:c r="P100" t="str">
        <x:f>IF(J100="Yes","Duplicate Event #",IF(K100="Yes","Missing Date",IF(L100="Yes","Missing Client",IF(M100="Yes","Missing Location",IF(N100="Yes","Unknown Weekday",IF(O100="Yes","Unknown MY_MONTH",IF(I100=0,"No Linked WO","OK")))))))</x:f>
        <x:v>OK</x:v>
      </x:c>
      <x:c r="Q100" t="str">
        <x:f>IF(J100="Yes","Critical",IF(OR(K100="Yes",L100="Yes",M100="Yes",N100="Yes",O100="Yes"),"Warning",IF(I100=0,"Informational","OK")))</x:f>
        <x:v>OK</x:v>
      </x:c>
      <x:c r="R100" t="str">
        <x:f>IF(P100="OK","No","Yes")</x:f>
        <x:v>No</x:v>
      </x:c>
    </x:row>
    <x:row r="101">
      <x:c r="A101" t="n">
        <x:v>2</x:v>
      </x:c>
      <x:c r="B101" t="str">
        <x:f>INDEX(tblServiceEvents[Client],MATCH($A101,tblServiceEvents[Event #],0))</x:f>
        <x:v>Bloomingdale's</x:v>
      </x:c>
      <x:c r="C101" s="35" t="n">
        <x:f>INDEX(tblServiceEvents[Service Date],MATCH($A101,tblServiceEvents[Event #],0))</x:f>
        <x:v>46133</x:v>
      </x:c>
      <x:c r="D101" t="str">
        <x:f>INDEX(tblServiceEvents[Weekday],MATCH($A101,tblServiceEvents[Event #],0))</x:f>
        <x:v>Tuesday</x:v>
      </x:c>
      <x:c r="E101" t="str">
        <x:f>INDEX(tblServiceEvents[MY_MONTH],MATCH($A101,tblServiceEvents[Event #],0))</x:f>
        <x:v>MY_MONTH 1</x:v>
      </x:c>
      <x:c r="F101" t="str">
        <x:f>INDEX(tblServiceEvents[Status],MATCH($A101,tblServiceEvents[Event #],0))</x:f>
        <x:v>Completed</x:v>
      </x:c>
      <x:c r="G101" t="str">
        <x:f>INDEX(tblServiceEvents[City],MATCH($A101,tblServiceEvents[Event #],0))</x:f>
        <x:v>Tysons</x:v>
      </x:c>
      <x:c r="H101" t="str">
        <x:f>INDEX(tblServiceEvents[Jurisdiction],MATCH($A101,tblServiceEvents[Event #],0))</x:f>
        <x:v>VA</x:v>
      </x:c>
      <x:c r="I101" t="n">
        <x:f>COUNTIF(tblLedger[Event #],A101)</x:f>
        <x:v>1</x:v>
      </x:c>
      <x:c r="J101" t="str">
        <x:f>IF(COUNTIF(tblServiceEvents[Event #],A101)&gt;1,"Yes","No")</x:f>
        <x:v>No</x:v>
      </x:c>
      <x:c r="K101" t="str">
        <x:f>IF(C101="","Yes","No")</x:f>
        <x:v>No</x:v>
      </x:c>
      <x:c r="L101" t="str">
        <x:f>IF(B101="","Yes","No")</x:f>
        <x:v>No</x:v>
      </x:c>
      <x:c r="M101" t="str">
        <x:f>IF(OR(G101="",H101=""),"Yes","No")</x:f>
        <x:v>No</x:v>
      </x:c>
      <x:c r="N101" t="str">
        <x:f>IF(COUNTIF({"Monday","Tuesday","Wednesday","Thursday","Friday"},D101)=0,"Yes","No")</x:f>
        <x:v>No</x:v>
      </x:c>
      <x:c r="O101" t="str">
        <x:f>IF(COUNTIF({"MY_MONTH 1","MY_MONTH 2","MY_MONTH 3"},E101)=0,"Yes","No")</x:f>
        <x:v>No</x:v>
      </x:c>
      <x:c r="P101" t="str">
        <x:f>IF(J101="Yes","Duplicate Event #",IF(K101="Yes","Missing Date",IF(L101="Yes","Missing Client",IF(M101="Yes","Missing Location",IF(N101="Yes","Unknown Weekday",IF(O101="Yes","Unknown MY_MONTH",IF(I101=0,"No Linked WO","OK")))))))</x:f>
        <x:v>OK</x:v>
      </x:c>
      <x:c r="Q101" t="str">
        <x:f>IF(J101="Yes","Critical",IF(OR(K101="Yes",L101="Yes",M101="Yes",N101="Yes",O101="Yes"),"Warning",IF(I101=0,"Informational","OK")))</x:f>
        <x:v>OK</x:v>
      </x:c>
      <x:c r="R101" t="str">
        <x:f>IF(P101="OK","No","Yes")</x:f>
        <x:v>No</x:v>
      </x:c>
    </x:row>
    <x:row r="102">
      <x:c r="A102" t="n">
        <x:v>3</x:v>
      </x:c>
      <x:c r="B102" t="str">
        <x:f>INDEX(tblServiceEvents[Client],MATCH($A102,tblServiceEvents[Event #],0))</x:f>
        <x:v>Bloomingdale's</x:v>
      </x:c>
      <x:c r="C102" s="35" t="n">
        <x:f>INDEX(tblServiceEvents[Service Date],MATCH($A102,tblServiceEvents[Event #],0))</x:f>
        <x:v>46134</x:v>
      </x:c>
      <x:c r="D102" t="str">
        <x:f>INDEX(tblServiceEvents[Weekday],MATCH($A102,tblServiceEvents[Event #],0))</x:f>
        <x:v>Wednesday</x:v>
      </x:c>
      <x:c r="E102" t="str">
        <x:f>INDEX(tblServiceEvents[MY_MONTH],MATCH($A102,tblServiceEvents[Event #],0))</x:f>
        <x:v>MY_MONTH 1</x:v>
      </x:c>
      <x:c r="F102" t="str">
        <x:f>INDEX(tblServiceEvents[Status],MATCH($A102,tblServiceEvents[Event #],0))</x:f>
        <x:v>Completed</x:v>
      </x:c>
      <x:c r="G102" t="str">
        <x:f>INDEX(tblServiceEvents[City],MATCH($A102,tblServiceEvents[Event #],0))</x:f>
        <x:v>Tysons</x:v>
      </x:c>
      <x:c r="H102" t="str">
        <x:f>INDEX(tblServiceEvents[Jurisdiction],MATCH($A102,tblServiceEvents[Event #],0))</x:f>
        <x:v>VA</x:v>
      </x:c>
      <x:c r="I102" t="n">
        <x:f>COUNTIF(tblLedger[Event #],A102)</x:f>
        <x:v>1</x:v>
      </x:c>
      <x:c r="J102" t="str">
        <x:f>IF(COUNTIF(tblServiceEvents[Event #],A102)&gt;1,"Yes","No")</x:f>
        <x:v>No</x:v>
      </x:c>
      <x:c r="K102" t="str">
        <x:f>IF(C102="","Yes","No")</x:f>
        <x:v>No</x:v>
      </x:c>
      <x:c r="L102" t="str">
        <x:f>IF(B102="","Yes","No")</x:f>
        <x:v>No</x:v>
      </x:c>
      <x:c r="M102" t="str">
        <x:f>IF(OR(G102="",H102=""),"Yes","No")</x:f>
        <x:v>No</x:v>
      </x:c>
      <x:c r="N102" t="str">
        <x:f>IF(COUNTIF({"Monday","Tuesday","Wednesday","Thursday","Friday"},D102)=0,"Yes","No")</x:f>
        <x:v>No</x:v>
      </x:c>
      <x:c r="O102" t="str">
        <x:f>IF(COUNTIF({"MY_MONTH 1","MY_MONTH 2","MY_MONTH 3"},E102)=0,"Yes","No")</x:f>
        <x:v>No</x:v>
      </x:c>
      <x:c r="P102" t="str">
        <x:f>IF(J102="Yes","Duplicate Event #",IF(K102="Yes","Missing Date",IF(L102="Yes","Missing Client",IF(M102="Yes","Missing Location",IF(N102="Yes","Unknown Weekday",IF(O102="Yes","Unknown MY_MONTH",IF(I102=0,"No Linked WO","OK")))))))</x:f>
        <x:v>OK</x:v>
      </x:c>
      <x:c r="Q102" t="str">
        <x:f>IF(J102="Yes","Critical",IF(OR(K102="Yes",L102="Yes",M102="Yes",N102="Yes",O102="Yes"),"Warning",IF(I102=0,"Informational","OK")))</x:f>
        <x:v>OK</x:v>
      </x:c>
      <x:c r="R102" t="str">
        <x:f>IF(P102="OK","No","Yes")</x:f>
        <x:v>No</x:v>
      </x:c>
    </x:row>
    <x:row r="103">
      <x:c r="A103" t="n">
        <x:v>4</x:v>
      </x:c>
      <x:c r="B103" t="str">
        <x:f>INDEX(tblServiceEvents[Client],MATCH($A103,tblServiceEvents[Event #],0))</x:f>
        <x:v>Macy's</x:v>
      </x:c>
      <x:c r="C103" s="35" t="n">
        <x:f>INDEX(tblServiceEvents[Service Date],MATCH($A103,tblServiceEvents[Event #],0))</x:f>
        <x:v>46135</x:v>
      </x:c>
      <x:c r="D103" t="str">
        <x:f>INDEX(tblServiceEvents[Weekday],MATCH($A103,tblServiceEvents[Event #],0))</x:f>
        <x:v>Thursday</x:v>
      </x:c>
      <x:c r="E103" t="str">
        <x:f>INDEX(tblServiceEvents[MY_MONTH],MATCH($A103,tblServiceEvents[Event #],0))</x:f>
        <x:v>MY_MONTH 1</x:v>
      </x:c>
      <x:c r="F103" t="str">
        <x:f>INDEX(tblServiceEvents[Status],MATCH($A103,tblServiceEvents[Event #],0))</x:f>
        <x:v>Completed</x:v>
      </x:c>
      <x:c r="G103" t="str">
        <x:f>INDEX(tblServiceEvents[City],MATCH($A103,tblServiceEvents[Event #],0))</x:f>
        <x:v>Frederick</x:v>
      </x:c>
      <x:c r="H103" t="str">
        <x:f>INDEX(tblServiceEvents[Jurisdiction],MATCH($A103,tblServiceEvents[Event #],0))</x:f>
        <x:v>MD</x:v>
      </x:c>
      <x:c r="I103" t="n">
        <x:f>COUNTIF(tblLedger[Event #],A103)</x:f>
        <x:v>1</x:v>
      </x:c>
      <x:c r="J103" t="str">
        <x:f>IF(COUNTIF(tblServiceEvents[Event #],A103)&gt;1,"Yes","No")</x:f>
        <x:v>No</x:v>
      </x:c>
      <x:c r="K103" t="str">
        <x:f>IF(C103="","Yes","No")</x:f>
        <x:v>No</x:v>
      </x:c>
      <x:c r="L103" t="str">
        <x:f>IF(B103="","Yes","No")</x:f>
        <x:v>No</x:v>
      </x:c>
      <x:c r="M103" t="str">
        <x:f>IF(OR(G103="",H103=""),"Yes","No")</x:f>
        <x:v>No</x:v>
      </x:c>
      <x:c r="N103" t="str">
        <x:f>IF(COUNTIF({"Monday","Tuesday","Wednesday","Thursday","Friday"},D103)=0,"Yes","No")</x:f>
        <x:v>No</x:v>
      </x:c>
      <x:c r="O103" t="str">
        <x:f>IF(COUNTIF({"MY_MONTH 1","MY_MONTH 2","MY_MONTH 3"},E103)=0,"Yes","No")</x:f>
        <x:v>No</x:v>
      </x:c>
      <x:c r="P103" t="str">
        <x:f>IF(J103="Yes","Duplicate Event #",IF(K103="Yes","Missing Date",IF(L103="Yes","Missing Client",IF(M103="Yes","Missing Location",IF(N103="Yes","Unknown Weekday",IF(O103="Yes","Unknown MY_MONTH",IF(I103=0,"No Linked WO","OK")))))))</x:f>
        <x:v>OK</x:v>
      </x:c>
      <x:c r="Q103" t="str">
        <x:f>IF(J103="Yes","Critical",IF(OR(K103="Yes",L103="Yes",M103="Yes",N103="Yes",O103="Yes"),"Warning",IF(I103=0,"Informational","OK")))</x:f>
        <x:v>OK</x:v>
      </x:c>
      <x:c r="R103" t="str">
        <x:f>IF(P103="OK","No","Yes")</x:f>
        <x:v>No</x:v>
      </x:c>
    </x:row>
    <x:row r="104">
      <x:c r="A104" t="n">
        <x:v>5</x:v>
      </x:c>
      <x:c r="B104" t="str">
        <x:f>INDEX(tblServiceEvents[Client],MATCH($A104,tblServiceEvents[Event #],0))</x:f>
        <x:v>Hampton Inn &amp; Suites</x:v>
      </x:c>
      <x:c r="C104" s="35" t="n">
        <x:f>INDEX(tblServiceEvents[Service Date],MATCH($A104,tblServiceEvents[Event #],0))</x:f>
        <x:v>46136</x:v>
      </x:c>
      <x:c r="D104" t="str">
        <x:f>INDEX(tblServiceEvents[Weekday],MATCH($A104,tblServiceEvents[Event #],0))</x:f>
        <x:v>Friday</x:v>
      </x:c>
      <x:c r="E104" t="str">
        <x:f>INDEX(tblServiceEvents[MY_MONTH],MATCH($A104,tblServiceEvents[Event #],0))</x:f>
        <x:v>MY_MONTH 1</x:v>
      </x:c>
      <x:c r="F104" t="str">
        <x:f>INDEX(tblServiceEvents[Status],MATCH($A104,tblServiceEvents[Event #],0))</x:f>
        <x:v>Completed</x:v>
      </x:c>
      <x:c r="G104" t="str">
        <x:f>INDEX(tblServiceEvents[City],MATCH($A104,tblServiceEvents[Event #],0))</x:f>
        <x:v>Washington</x:v>
      </x:c>
      <x:c r="H104" t="str">
        <x:f>INDEX(tblServiceEvents[Jurisdiction],MATCH($A104,tblServiceEvents[Event #],0))</x:f>
        <x:v>DC</x:v>
      </x:c>
      <x:c r="I104" t="n">
        <x:f>COUNTIF(tblLedger[Event #],A104)</x:f>
        <x:v>1</x:v>
      </x:c>
      <x:c r="J104" t="str">
        <x:f>IF(COUNTIF(tblServiceEvents[Event #],A104)&gt;1,"Yes","No")</x:f>
        <x:v>No</x:v>
      </x:c>
      <x:c r="K104" t="str">
        <x:f>IF(C104="","Yes","No")</x:f>
        <x:v>No</x:v>
      </x:c>
      <x:c r="L104" t="str">
        <x:f>IF(B104="","Yes","No")</x:f>
        <x:v>No</x:v>
      </x:c>
      <x:c r="M104" t="str">
        <x:f>IF(OR(G104="",H104=""),"Yes","No")</x:f>
        <x:v>No</x:v>
      </x:c>
      <x:c r="N104" t="str">
        <x:f>IF(COUNTIF({"Monday","Tuesday","Wednesday","Thursday","Friday"},D104)=0,"Yes","No")</x:f>
        <x:v>No</x:v>
      </x:c>
      <x:c r="O104" t="str">
        <x:f>IF(COUNTIF({"MY_MONTH 1","MY_MONTH 2","MY_MONTH 3"},E104)=0,"Yes","No")</x:f>
        <x:v>No</x:v>
      </x:c>
      <x:c r="P104" t="str">
        <x:f>IF(J104="Yes","Duplicate Event #",IF(K104="Yes","Missing Date",IF(L104="Yes","Missing Client",IF(M104="Yes","Missing Location",IF(N104="Yes","Unknown Weekday",IF(O104="Yes","Unknown MY_MONTH",IF(I104=0,"No Linked WO","OK")))))))</x:f>
        <x:v>OK</x:v>
      </x:c>
      <x:c r="Q104" t="str">
        <x:f>IF(J104="Yes","Critical",IF(OR(K104="Yes",L104="Yes",M104="Yes",N104="Yes",O104="Yes"),"Warning",IF(I104=0,"Informational","OK")))</x:f>
        <x:v>OK</x:v>
      </x:c>
      <x:c r="R104" t="str">
        <x:f>IF(P104="OK","No","Yes")</x:f>
        <x:v>No</x:v>
      </x:c>
    </x:row>
    <x:row r="105">
      <x:c r="A105" t="n">
        <x:v>6</x:v>
      </x:c>
      <x:c r="B105" t="str">
        <x:f>INDEX(tblServiceEvents[Client],MATCH($A105,tblServiceEvents[Event #],0))</x:f>
        <x:v>Macy's</x:v>
      </x:c>
      <x:c r="C105" s="35" t="n">
        <x:f>INDEX(tblServiceEvents[Service Date],MATCH($A105,tblServiceEvents[Event #],0))</x:f>
        <x:v>46139</x:v>
      </x:c>
      <x:c r="D105" t="str">
        <x:f>INDEX(tblServiceEvents[Weekday],MATCH($A105,tblServiceEvents[Event #],0))</x:f>
        <x:v>Monday</x:v>
      </x:c>
      <x:c r="E105" t="str">
        <x:f>INDEX(tblServiceEvents[MY_MONTH],MATCH($A105,tblServiceEvents[Event #],0))</x:f>
        <x:v>MY_MONTH 1</x:v>
      </x:c>
      <x:c r="F105" t="str">
        <x:f>INDEX(tblServiceEvents[Status],MATCH($A105,tblServiceEvents[Event #],0))</x:f>
        <x:v>Completed</x:v>
      </x:c>
      <x:c r="G105" t="str">
        <x:f>INDEX(tblServiceEvents[City],MATCH($A105,tblServiceEvents[Event #],0))</x:f>
        <x:v>Frederick</x:v>
      </x:c>
      <x:c r="H105" t="str">
        <x:f>INDEX(tblServiceEvents[Jurisdiction],MATCH($A105,tblServiceEvents[Event #],0))</x:f>
        <x:v>MD</x:v>
      </x:c>
      <x:c r="I105" t="n">
        <x:f>COUNTIF(tblLedger[Event #],A105)</x:f>
        <x:v>1</x:v>
      </x:c>
      <x:c r="J105" t="str">
        <x:f>IF(COUNTIF(tblServiceEvents[Event #],A105)&gt;1,"Yes","No")</x:f>
        <x:v>No</x:v>
      </x:c>
      <x:c r="K105" t="str">
        <x:f>IF(C105="","Yes","No")</x:f>
        <x:v>No</x:v>
      </x:c>
      <x:c r="L105" t="str">
        <x:f>IF(B105="","Yes","No")</x:f>
        <x:v>No</x:v>
      </x:c>
      <x:c r="M105" t="str">
        <x:f>IF(OR(G105="",H105=""),"Yes","No")</x:f>
        <x:v>No</x:v>
      </x:c>
      <x:c r="N105" t="str">
        <x:f>IF(COUNTIF({"Monday","Tuesday","Wednesday","Thursday","Friday"},D105)=0,"Yes","No")</x:f>
        <x:v>No</x:v>
      </x:c>
      <x:c r="O105" t="str">
        <x:f>IF(COUNTIF({"MY_MONTH 1","MY_MONTH 2","MY_MONTH 3"},E105)=0,"Yes","No")</x:f>
        <x:v>No</x:v>
      </x:c>
      <x:c r="P105" t="str">
        <x:f>IF(J105="Yes","Duplicate Event #",IF(K105="Yes","Missing Date",IF(L105="Yes","Missing Client",IF(M105="Yes","Missing Location",IF(N105="Yes","Unknown Weekday",IF(O105="Yes","Unknown MY_MONTH",IF(I105=0,"No Linked WO","OK")))))))</x:f>
        <x:v>OK</x:v>
      </x:c>
      <x:c r="Q105" t="str">
        <x:f>IF(J105="Yes","Critical",IF(OR(K105="Yes",L105="Yes",M105="Yes",N105="Yes",O105="Yes"),"Warning",IF(I105=0,"Informational","OK")))</x:f>
        <x:v>OK</x:v>
      </x:c>
      <x:c r="R105" t="str">
        <x:f>IF(P105="OK","No","Yes")</x:f>
        <x:v>No</x:v>
      </x:c>
    </x:row>
    <x:row r="106">
      <x:c r="A106" t="n">
        <x:v>7</x:v>
      </x:c>
      <x:c r="B106" t="str">
        <x:f>INDEX(tblServiceEvents[Client],MATCH($A106,tblServiceEvents[Event #],0))</x:f>
        <x:v>Davis Polk &amp; Wardwell</x:v>
      </x:c>
      <x:c r="C106" s="35" t="n">
        <x:f>INDEX(tblServiceEvents[Service Date],MATCH($A106,tblServiceEvents[Event #],0))</x:f>
        <x:v>46141</x:v>
      </x:c>
      <x:c r="D106" t="str">
        <x:f>INDEX(tblServiceEvents[Weekday],MATCH($A106,tblServiceEvents[Event #],0))</x:f>
        <x:v>Wednesday</x:v>
      </x:c>
      <x:c r="E106" t="str">
        <x:f>INDEX(tblServiceEvents[MY_MONTH],MATCH($A106,tblServiceEvents[Event #],0))</x:f>
        <x:v>MY_MONTH 1</x:v>
      </x:c>
      <x:c r="F106" t="str">
        <x:f>INDEX(tblServiceEvents[Status],MATCH($A106,tblServiceEvents[Event #],0))</x:f>
        <x:v>Completed</x:v>
      </x:c>
      <x:c r="G106" t="str">
        <x:f>INDEX(tblServiceEvents[City],MATCH($A106,tblServiceEvents[Event #],0))</x:f>
        <x:v>Washington</x:v>
      </x:c>
      <x:c r="H106" t="str">
        <x:f>INDEX(tblServiceEvents[Jurisdiction],MATCH($A106,tblServiceEvents[Event #],0))</x:f>
        <x:v>DC</x:v>
      </x:c>
      <x:c r="I106" t="n">
        <x:f>COUNTIF(tblLedger[Event #],A106)</x:f>
        <x:v>1</x:v>
      </x:c>
      <x:c r="J106" t="str">
        <x:f>IF(COUNTIF(tblServiceEvents[Event #],A106)&gt;1,"Yes","No")</x:f>
        <x:v>No</x:v>
      </x:c>
      <x:c r="K106" t="str">
        <x:f>IF(C106="","Yes","No")</x:f>
        <x:v>No</x:v>
      </x:c>
      <x:c r="L106" t="str">
        <x:f>IF(B106="","Yes","No")</x:f>
        <x:v>No</x:v>
      </x:c>
      <x:c r="M106" t="str">
        <x:f>IF(OR(G106="",H106=""),"Yes","No")</x:f>
        <x:v>No</x:v>
      </x:c>
      <x:c r="N106" t="str">
        <x:f>IF(COUNTIF({"Monday","Tuesday","Wednesday","Thursday","Friday"},D106)=0,"Yes","No")</x:f>
        <x:v>No</x:v>
      </x:c>
      <x:c r="O106" t="str">
        <x:f>IF(COUNTIF({"MY_MONTH 1","MY_MONTH 2","MY_MONTH 3"},E106)=0,"Yes","No")</x:f>
        <x:v>No</x:v>
      </x:c>
      <x:c r="P106" t="str">
        <x:f>IF(J106="Yes","Duplicate Event #",IF(K106="Yes","Missing Date",IF(L106="Yes","Missing Client",IF(M106="Yes","Missing Location",IF(N106="Yes","Unknown Weekday",IF(O106="Yes","Unknown MY_MONTH",IF(I106=0,"No Linked WO","OK")))))))</x:f>
        <x:v>OK</x:v>
      </x:c>
      <x:c r="Q106" t="str">
        <x:f>IF(J106="Yes","Critical",IF(OR(K106="Yes",L106="Yes",M106="Yes",N106="Yes",O106="Yes"),"Warning",IF(I106=0,"Informational","OK")))</x:f>
        <x:v>OK</x:v>
      </x:c>
      <x:c r="R106" t="str">
        <x:f>IF(P106="OK","No","Yes")</x:f>
        <x:v>No</x:v>
      </x:c>
    </x:row>
    <x:row r="107">
      <x:c r="A107" t="n">
        <x:v>8</x:v>
      </x:c>
      <x:c r="B107" t="str">
        <x:f>INDEX(tblServiceEvents[Client],MATCH($A107,tblServiceEvents[Event #],0))</x:f>
        <x:v>Hebrew Home of Greater Washington</x:v>
      </x:c>
      <x:c r="C107" s="35" t="n">
        <x:f>INDEX(tblServiceEvents[Service Date],MATCH($A107,tblServiceEvents[Event #],0))</x:f>
        <x:v>46141</x:v>
      </x:c>
      <x:c r="D107" t="str">
        <x:f>INDEX(tblServiceEvents[Weekday],MATCH($A107,tblServiceEvents[Event #],0))</x:f>
        <x:v>Wednesday</x:v>
      </x:c>
      <x:c r="E107" t="str">
        <x:f>INDEX(tblServiceEvents[MY_MONTH],MATCH($A107,tblServiceEvents[Event #],0))</x:f>
        <x:v>MY_MONTH 1</x:v>
      </x:c>
      <x:c r="F107" t="str">
        <x:f>INDEX(tblServiceEvents[Status],MATCH($A107,tblServiceEvents[Event #],0))</x:f>
        <x:v>Completed</x:v>
      </x:c>
      <x:c r="G107" t="str">
        <x:f>INDEX(tblServiceEvents[City],MATCH($A107,tblServiceEvents[Event #],0))</x:f>
        <x:v>North Bethesda</x:v>
      </x:c>
      <x:c r="H107" t="str">
        <x:f>INDEX(tblServiceEvents[Jurisdiction],MATCH($A107,tblServiceEvents[Event #],0))</x:f>
        <x:v>MD</x:v>
      </x:c>
      <x:c r="I107" t="n">
        <x:f>COUNTIF(tblLedger[Event #],A107)</x:f>
        <x:v>1</x:v>
      </x:c>
      <x:c r="J107" t="str">
        <x:f>IF(COUNTIF(tblServiceEvents[Event #],A107)&gt;1,"Yes","No")</x:f>
        <x:v>No</x:v>
      </x:c>
      <x:c r="K107" t="str">
        <x:f>IF(C107="","Yes","No")</x:f>
        <x:v>No</x:v>
      </x:c>
      <x:c r="L107" t="str">
        <x:f>IF(B107="","Yes","No")</x:f>
        <x:v>No</x:v>
      </x:c>
      <x:c r="M107" t="str">
        <x:f>IF(OR(G107="",H107=""),"Yes","No")</x:f>
        <x:v>No</x:v>
      </x:c>
      <x:c r="N107" t="str">
        <x:f>IF(COUNTIF({"Monday","Tuesday","Wednesday","Thursday","Friday"},D107)=0,"Yes","No")</x:f>
        <x:v>No</x:v>
      </x:c>
      <x:c r="O107" t="str">
        <x:f>IF(COUNTIF({"MY_MONTH 1","MY_MONTH 2","MY_MONTH 3"},E107)=0,"Yes","No")</x:f>
        <x:v>No</x:v>
      </x:c>
      <x:c r="P107" t="str">
        <x:f>IF(J107="Yes","Duplicate Event #",IF(K107="Yes","Missing Date",IF(L107="Yes","Missing Client",IF(M107="Yes","Missing Location",IF(N107="Yes","Unknown Weekday",IF(O107="Yes","Unknown MY_MONTH",IF(I107=0,"No Linked WO","OK")))))))</x:f>
        <x:v>OK</x:v>
      </x:c>
      <x:c r="Q107" t="str">
        <x:f>IF(J107="Yes","Critical",IF(OR(K107="Yes",L107="Yes",M107="Yes",N107="Yes",O107="Yes"),"Warning",IF(I107=0,"Informational","OK")))</x:f>
        <x:v>OK</x:v>
      </x:c>
      <x:c r="R107" t="str">
        <x:f>IF(P107="OK","No","Yes")</x:f>
        <x:v>No</x:v>
      </x:c>
    </x:row>
    <x:row r="108">
      <x:c r="A108" t="n">
        <x:v>9</x:v>
      </x:c>
      <x:c r="B108" t="str">
        <x:f>INDEX(tblServiceEvents[Client],MATCH($A108,tblServiceEvents[Event #],0))</x:f>
        <x:v>7-Eleven</x:v>
      </x:c>
      <x:c r="C108" s="35" t="n">
        <x:f>INDEX(tblServiceEvents[Service Date],MATCH($A108,tblServiceEvents[Event #],0))</x:f>
        <x:v>46142</x:v>
      </x:c>
      <x:c r="D108" t="str">
        <x:f>INDEX(tblServiceEvents[Weekday],MATCH($A108,tblServiceEvents[Event #],0))</x:f>
        <x:v>Thursday</x:v>
      </x:c>
      <x:c r="E108" t="str">
        <x:f>INDEX(tblServiceEvents[MY_MONTH],MATCH($A108,tblServiceEvents[Event #],0))</x:f>
        <x:v>MY_MONTH 1</x:v>
      </x:c>
      <x:c r="F108" t="str">
        <x:f>INDEX(tblServiceEvents[Status],MATCH($A108,tblServiceEvents[Event #],0))</x:f>
        <x:v>Completed</x:v>
      </x:c>
      <x:c r="G108" t="str">
        <x:f>INDEX(tblServiceEvents[City],MATCH($A108,tblServiceEvents[Event #],0))</x:f>
        <x:v>Baltimore</x:v>
      </x:c>
      <x:c r="H108" t="str">
        <x:f>INDEX(tblServiceEvents[Jurisdiction],MATCH($A108,tblServiceEvents[Event #],0))</x:f>
        <x:v>MD</x:v>
      </x:c>
      <x:c r="I108" t="n">
        <x:f>COUNTIF(tblLedger[Event #],A108)</x:f>
        <x:v>1</x:v>
      </x:c>
      <x:c r="J108" t="str">
        <x:f>IF(COUNTIF(tblServiceEvents[Event #],A108)&gt;1,"Yes","No")</x:f>
        <x:v>No</x:v>
      </x:c>
      <x:c r="K108" t="str">
        <x:f>IF(C108="","Yes","No")</x:f>
        <x:v>No</x:v>
      </x:c>
      <x:c r="L108" t="str">
        <x:f>IF(B108="","Yes","No")</x:f>
        <x:v>No</x:v>
      </x:c>
      <x:c r="M108" t="str">
        <x:f>IF(OR(G108="",H108=""),"Yes","No")</x:f>
        <x:v>No</x:v>
      </x:c>
      <x:c r="N108" t="str">
        <x:f>IF(COUNTIF({"Monday","Tuesday","Wednesday","Thursday","Friday"},D108)=0,"Yes","No")</x:f>
        <x:v>No</x:v>
      </x:c>
      <x:c r="O108" t="str">
        <x:f>IF(COUNTIF({"MY_MONTH 1","MY_MONTH 2","MY_MONTH 3"},E108)=0,"Yes","No")</x:f>
        <x:v>No</x:v>
      </x:c>
      <x:c r="P108" t="str">
        <x:f>IF(J108="Yes","Duplicate Event #",IF(K108="Yes","Missing Date",IF(L108="Yes","Missing Client",IF(M108="Yes","Missing Location",IF(N108="Yes","Unknown Weekday",IF(O108="Yes","Unknown MY_MONTH",IF(I108=0,"No Linked WO","OK")))))))</x:f>
        <x:v>OK</x:v>
      </x:c>
      <x:c r="Q108" t="str">
        <x:f>IF(J108="Yes","Critical",IF(OR(K108="Yes",L108="Yes",M108="Yes",N108="Yes",O108="Yes"),"Warning",IF(I108=0,"Informational","OK")))</x:f>
        <x:v>OK</x:v>
      </x:c>
      <x:c r="R108" t="str">
        <x:f>IF(P108="OK","No","Yes")</x:f>
        <x:v>No</x:v>
      </x:c>
    </x:row>
    <x:row r="109">
      <x:c r="A109" t="n">
        <x:v>10</x:v>
      </x:c>
      <x:c r="B109" t="str">
        <x:f>INDEX(tblServiceEvents[Client],MATCH($A109,tblServiceEvents[Event #],0))</x:f>
        <x:v>Giant Food Stores</x:v>
      </x:c>
      <x:c r="C109" s="35" t="n">
        <x:f>INDEX(tblServiceEvents[Service Date],MATCH($A109,tblServiceEvents[Event #],0))</x:f>
        <x:v>46147</x:v>
      </x:c>
      <x:c r="D109" t="str">
        <x:f>INDEX(tblServiceEvents[Weekday],MATCH($A109,tblServiceEvents[Event #],0))</x:f>
        <x:v>Tuesday</x:v>
      </x:c>
      <x:c r="E109" t="str">
        <x:f>INDEX(tblServiceEvents[MY_MONTH],MATCH($A109,tblServiceEvents[Event #],0))</x:f>
        <x:v>MY_MONTH 1</x:v>
      </x:c>
      <x:c r="F109" t="str">
        <x:f>INDEX(tblServiceEvents[Status],MATCH($A109,tblServiceEvents[Event #],0))</x:f>
        <x:v>Completed</x:v>
      </x:c>
      <x:c r="G109" t="str">
        <x:f>INDEX(tblServiceEvents[City],MATCH($A109,tblServiceEvents[Event #],0))</x:f>
        <x:v>Hanover</x:v>
      </x:c>
      <x:c r="H109" t="str">
        <x:f>INDEX(tblServiceEvents[Jurisdiction],MATCH($A109,tblServiceEvents[Event #],0))</x:f>
        <x:v>PA</x:v>
      </x:c>
      <x:c r="I109" t="n">
        <x:f>COUNTIF(tblLedger[Event #],A109)</x:f>
        <x:v>1</x:v>
      </x:c>
      <x:c r="J109" t="str">
        <x:f>IF(COUNTIF(tblServiceEvents[Event #],A109)&gt;1,"Yes","No")</x:f>
        <x:v>No</x:v>
      </x:c>
      <x:c r="K109" t="str">
        <x:f>IF(C109="","Yes","No")</x:f>
        <x:v>No</x:v>
      </x:c>
      <x:c r="L109" t="str">
        <x:f>IF(B109="","Yes","No")</x:f>
        <x:v>No</x:v>
      </x:c>
      <x:c r="M109" t="str">
        <x:f>IF(OR(G109="",H109=""),"Yes","No")</x:f>
        <x:v>No</x:v>
      </x:c>
      <x:c r="N109" t="str">
        <x:f>IF(COUNTIF({"Monday","Tuesday","Wednesday","Thursday","Friday"},D109)=0,"Yes","No")</x:f>
        <x:v>No</x:v>
      </x:c>
      <x:c r="O109" t="str">
        <x:f>IF(COUNTIF({"MY_MONTH 1","MY_MONTH 2","MY_MONTH 3"},E109)=0,"Yes","No")</x:f>
        <x:v>No</x:v>
      </x:c>
      <x:c r="P109" t="str">
        <x:f>IF(J109="Yes","Duplicate Event #",IF(K109="Yes","Missing Date",IF(L109="Yes","Missing Client",IF(M109="Yes","Missing Location",IF(N109="Yes","Unknown Weekday",IF(O109="Yes","Unknown MY_MONTH",IF(I109=0,"No Linked WO","OK")))))))</x:f>
        <x:v>OK</x:v>
      </x:c>
      <x:c r="Q109" t="str">
        <x:f>IF(J109="Yes","Critical",IF(OR(K109="Yes",L109="Yes",M109="Yes",N109="Yes",O109="Yes"),"Warning",IF(I109=0,"Informational","OK")))</x:f>
        <x:v>OK</x:v>
      </x:c>
      <x:c r="R109" t="str">
        <x:f>IF(P109="OK","No","Yes")</x:f>
        <x:v>No</x:v>
      </x:c>
    </x:row>
    <x:row r="110">
      <x:c r="A110" t="n">
        <x:v>11</x:v>
      </x:c>
      <x:c r="B110" t="str">
        <x:f>INDEX(tblServiceEvents[Client],MATCH($A110,tblServiceEvents[Event #],0))</x:f>
        <x:v>Food Lion</x:v>
      </x:c>
      <x:c r="C110" s="35" t="n">
        <x:f>INDEX(tblServiceEvents[Service Date],MATCH($A110,tblServiceEvents[Event #],0))</x:f>
        <x:v>46153</x:v>
      </x:c>
      <x:c r="D110" t="str">
        <x:f>INDEX(tblServiceEvents[Weekday],MATCH($A110,tblServiceEvents[Event #],0))</x:f>
        <x:v>Monday</x:v>
      </x:c>
      <x:c r="E110" t="str">
        <x:f>INDEX(tblServiceEvents[MY_MONTH],MATCH($A110,tblServiceEvents[Event #],0))</x:f>
        <x:v>MY_MONTH 1</x:v>
      </x:c>
      <x:c r="F110" t="str">
        <x:f>INDEX(tblServiceEvents[Status],MATCH($A110,tblServiceEvents[Event #],0))</x:f>
        <x:v>Completed</x:v>
      </x:c>
      <x:c r="G110" t="str">
        <x:f>INDEX(tblServiceEvents[City],MATCH($A110,tblServiceEvents[Event #],0))</x:f>
        <x:v>Leesburg</x:v>
      </x:c>
      <x:c r="H110" t="str">
        <x:f>INDEX(tblServiceEvents[Jurisdiction],MATCH($A110,tblServiceEvents[Event #],0))</x:f>
        <x:v>VA</x:v>
      </x:c>
      <x:c r="I110" t="n">
        <x:f>COUNTIF(tblLedger[Event #],A110)</x:f>
        <x:v>1</x:v>
      </x:c>
      <x:c r="J110" t="str">
        <x:f>IF(COUNTIF(tblServiceEvents[Event #],A110)&gt;1,"Yes","No")</x:f>
        <x:v>No</x:v>
      </x:c>
      <x:c r="K110" t="str">
        <x:f>IF(C110="","Yes","No")</x:f>
        <x:v>No</x:v>
      </x:c>
      <x:c r="L110" t="str">
        <x:f>IF(B110="","Yes","No")</x:f>
        <x:v>No</x:v>
      </x:c>
      <x:c r="M110" t="str">
        <x:f>IF(OR(G110="",H110=""),"Yes","No")</x:f>
        <x:v>No</x:v>
      </x:c>
      <x:c r="N110" t="str">
        <x:f>IF(COUNTIF({"Monday","Tuesday","Wednesday","Thursday","Friday"},D110)=0,"Yes","No")</x:f>
        <x:v>No</x:v>
      </x:c>
      <x:c r="O110" t="str">
        <x:f>IF(COUNTIF({"MY_MONTH 1","MY_MONTH 2","MY_MONTH 3"},E110)=0,"Yes","No")</x:f>
        <x:v>No</x:v>
      </x:c>
      <x:c r="P110" t="str">
        <x:f>IF(J110="Yes","Duplicate Event #",IF(K110="Yes","Missing Date",IF(L110="Yes","Missing Client",IF(M110="Yes","Missing Location",IF(N110="Yes","Unknown Weekday",IF(O110="Yes","Unknown MY_MONTH",IF(I110=0,"No Linked WO","OK")))))))</x:f>
        <x:v>OK</x:v>
      </x:c>
      <x:c r="Q110" t="str">
        <x:f>IF(J110="Yes","Critical",IF(OR(K110="Yes",L110="Yes",M110="Yes",N110="Yes",O110="Yes"),"Warning",IF(I110=0,"Informational","OK")))</x:f>
        <x:v>OK</x:v>
      </x:c>
      <x:c r="R110" t="str">
        <x:f>IF(P110="OK","No","Yes")</x:f>
        <x:v>No</x:v>
      </x:c>
    </x:row>
    <x:row r="111">
      <x:c r="A111" t="n">
        <x:v>12</x:v>
      </x:c>
      <x:c r="B111" t="str">
        <x:f>INDEX(tblServiceEvents[Client],MATCH($A111,tblServiceEvents[Event #],0))</x:f>
        <x:v>Weis Markets</x:v>
      </x:c>
      <x:c r="C111" s="35" t="n">
        <x:f>INDEX(tblServiceEvents[Service Date],MATCH($A111,tblServiceEvents[Event #],0))</x:f>
        <x:v>46154</x:v>
      </x:c>
      <x:c r="D111" t="str">
        <x:f>INDEX(tblServiceEvents[Weekday],MATCH($A111,tblServiceEvents[Event #],0))</x:f>
        <x:v>Tuesday</x:v>
      </x:c>
      <x:c r="E111" t="str">
        <x:f>INDEX(tblServiceEvents[MY_MONTH],MATCH($A111,tblServiceEvents[Event #],0))</x:f>
        <x:v>MY_MONTH 1</x:v>
      </x:c>
      <x:c r="F111" t="str">
        <x:f>INDEX(tblServiceEvents[Status],MATCH($A111,tblServiceEvents[Event #],0))</x:f>
        <x:v>Completed</x:v>
      </x:c>
      <x:c r="G111" t="str">
        <x:f>INDEX(tblServiceEvents[City],MATCH($A111,tblServiceEvents[Event #],0))</x:f>
        <x:v>Chambersburg</x:v>
      </x:c>
      <x:c r="H111" t="str">
        <x:f>INDEX(tblServiceEvents[Jurisdiction],MATCH($A111,tblServiceEvents[Event #],0))</x:f>
        <x:v>PA</x:v>
      </x:c>
      <x:c r="I111" t="n">
        <x:f>COUNTIF(tblLedger[Event #],A111)</x:f>
        <x:v>1</x:v>
      </x:c>
      <x:c r="J111" t="str">
        <x:f>IF(COUNTIF(tblServiceEvents[Event #],A111)&gt;1,"Yes","No")</x:f>
        <x:v>No</x:v>
      </x:c>
      <x:c r="K111" t="str">
        <x:f>IF(C111="","Yes","No")</x:f>
        <x:v>No</x:v>
      </x:c>
      <x:c r="L111" t="str">
        <x:f>IF(B111="","Yes","No")</x:f>
        <x:v>No</x:v>
      </x:c>
      <x:c r="M111" t="str">
        <x:f>IF(OR(G111="",H111=""),"Yes","No")</x:f>
        <x:v>No</x:v>
      </x:c>
      <x:c r="N111" t="str">
        <x:f>IF(COUNTIF({"Monday","Tuesday","Wednesday","Thursday","Friday"},D111)=0,"Yes","No")</x:f>
        <x:v>No</x:v>
      </x:c>
      <x:c r="O111" t="str">
        <x:f>IF(COUNTIF({"MY_MONTH 1","MY_MONTH 2","MY_MONTH 3"},E111)=0,"Yes","No")</x:f>
        <x:v>No</x:v>
      </x:c>
      <x:c r="P111" t="str">
        <x:f>IF(J111="Yes","Duplicate Event #",IF(K111="Yes","Missing Date",IF(L111="Yes","Missing Client",IF(M111="Yes","Missing Location",IF(N111="Yes","Unknown Weekday",IF(O111="Yes","Unknown MY_MONTH",IF(I111=0,"No Linked WO","OK")))))))</x:f>
        <x:v>OK</x:v>
      </x:c>
      <x:c r="Q111" t="str">
        <x:f>IF(J111="Yes","Critical",IF(OR(K111="Yes",L111="Yes",M111="Yes",N111="Yes",O111="Yes"),"Warning",IF(I111=0,"Informational","OK")))</x:f>
        <x:v>OK</x:v>
      </x:c>
      <x:c r="R111" t="str">
        <x:f>IF(P111="OK","No","Yes")</x:f>
        <x:v>No</x:v>
      </x:c>
    </x:row>
    <x:row r="112">
      <x:c r="A112" t="n">
        <x:v>13</x:v>
      </x:c>
      <x:c r="B112" t="str">
        <x:f>INDEX(tblServiceEvents[Client],MATCH($A112,tblServiceEvents[Event #],0))</x:f>
        <x:v>Office of MD Senator Chris Van Hollen</x:v>
      </x:c>
      <x:c r="C112" s="35" t="n">
        <x:f>INDEX(tblServiceEvents[Service Date],MATCH($A112,tblServiceEvents[Event #],0))</x:f>
        <x:v>46155</x:v>
      </x:c>
      <x:c r="D112" t="str">
        <x:f>INDEX(tblServiceEvents[Weekday],MATCH($A112,tblServiceEvents[Event #],0))</x:f>
        <x:v>Wednesday</x:v>
      </x:c>
      <x:c r="E112" t="str">
        <x:f>INDEX(tblServiceEvents[MY_MONTH],MATCH($A112,tblServiceEvents[Event #],0))</x:f>
        <x:v>MY_MONTH 1</x:v>
      </x:c>
      <x:c r="F112" t="str">
        <x:f>INDEX(tblServiceEvents[Status],MATCH($A112,tblServiceEvents[Event #],0))</x:f>
        <x:v>Completed</x:v>
      </x:c>
      <x:c r="G112" t="str">
        <x:f>INDEX(tblServiceEvents[City],MATCH($A112,tblServiceEvents[Event #],0))</x:f>
        <x:v>Rockville</x:v>
      </x:c>
      <x:c r="H112" t="str">
        <x:f>INDEX(tblServiceEvents[Jurisdiction],MATCH($A112,tblServiceEvents[Event #],0))</x:f>
        <x:v>MD</x:v>
      </x:c>
      <x:c r="I112" t="n">
        <x:f>COUNTIF(tblLedger[Event #],A112)</x:f>
        <x:v>1</x:v>
      </x:c>
      <x:c r="J112" t="str">
        <x:f>IF(COUNTIF(tblServiceEvents[Event #],A112)&gt;1,"Yes","No")</x:f>
        <x:v>No</x:v>
      </x:c>
      <x:c r="K112" t="str">
        <x:f>IF(C112="","Yes","No")</x:f>
        <x:v>No</x:v>
      </x:c>
      <x:c r="L112" t="str">
        <x:f>IF(B112="","Yes","No")</x:f>
        <x:v>No</x:v>
      </x:c>
      <x:c r="M112" t="str">
        <x:f>IF(OR(G112="",H112=""),"Yes","No")</x:f>
        <x:v>No</x:v>
      </x:c>
      <x:c r="N112" t="str">
        <x:f>IF(COUNTIF({"Monday","Tuesday","Wednesday","Thursday","Friday"},D112)=0,"Yes","No")</x:f>
        <x:v>No</x:v>
      </x:c>
      <x:c r="O112" t="str">
        <x:f>IF(COUNTIF({"MY_MONTH 1","MY_MONTH 2","MY_MONTH 3"},E112)=0,"Yes","No")</x:f>
        <x:v>No</x:v>
      </x:c>
      <x:c r="P112" t="str">
        <x:f>IF(J112="Yes","Duplicate Event #",IF(K112="Yes","Missing Date",IF(L112="Yes","Missing Client",IF(M112="Yes","Missing Location",IF(N112="Yes","Unknown Weekday",IF(O112="Yes","Unknown MY_MONTH",IF(I112=0,"No Linked WO","OK")))))))</x:f>
        <x:v>OK</x:v>
      </x:c>
      <x:c r="Q112" t="str">
        <x:f>IF(J112="Yes","Critical",IF(OR(K112="Yes",L112="Yes",M112="Yes",N112="Yes",O112="Yes"),"Warning",IF(I112=0,"Informational","OK")))</x:f>
        <x:v>OK</x:v>
      </x:c>
      <x:c r="R112" t="str">
        <x:f>IF(P112="OK","No","Yes")</x:f>
        <x:v>No</x:v>
      </x:c>
    </x:row>
    <x:row r="113">
      <x:c r="A113" t="n">
        <x:v>14</x:v>
      </x:c>
      <x:c r="B113" t="str">
        <x:f>INDEX(tblServiceEvents[Client],MATCH($A113,tblServiceEvents[Event #],0))</x:f>
        <x:v>Residential – Annapolis Neck, MD</x:v>
      </x:c>
      <x:c r="C113" s="35" t="n">
        <x:f>INDEX(tblServiceEvents[Service Date],MATCH($A113,tblServiceEvents[Event #],0))</x:f>
        <x:v>46155</x:v>
      </x:c>
      <x:c r="D113" t="str">
        <x:f>INDEX(tblServiceEvents[Weekday],MATCH($A113,tblServiceEvents[Event #],0))</x:f>
        <x:v>Wednesday</x:v>
      </x:c>
      <x:c r="E113" t="str">
        <x:f>INDEX(tblServiceEvents[MY_MONTH],MATCH($A113,tblServiceEvents[Event #],0))</x:f>
        <x:v>MY_MONTH 1</x:v>
      </x:c>
      <x:c r="F113" t="str">
        <x:f>INDEX(tblServiceEvents[Status],MATCH($A113,tblServiceEvents[Event #],0))</x:f>
        <x:v>Completed</x:v>
      </x:c>
      <x:c r="G113" t="str">
        <x:f>INDEX(tblServiceEvents[City],MATCH($A113,tblServiceEvents[Event #],0))</x:f>
        <x:v>Annapolis Neck</x:v>
      </x:c>
      <x:c r="H113" t="str">
        <x:f>INDEX(tblServiceEvents[Jurisdiction],MATCH($A113,tblServiceEvents[Event #],0))</x:f>
        <x:v>MD</x:v>
      </x:c>
      <x:c r="I113" t="n">
        <x:f>COUNTIF(tblLedger[Event #],A113)</x:f>
        <x:v>1</x:v>
      </x:c>
      <x:c r="J113" t="str">
        <x:f>IF(COUNTIF(tblServiceEvents[Event #],A113)&gt;1,"Yes","No")</x:f>
        <x:v>No</x:v>
      </x:c>
      <x:c r="K113" t="str">
        <x:f>IF(C113="","Yes","No")</x:f>
        <x:v>No</x:v>
      </x:c>
      <x:c r="L113" t="str">
        <x:f>IF(B113="","Yes","No")</x:f>
        <x:v>No</x:v>
      </x:c>
      <x:c r="M113" t="str">
        <x:f>IF(OR(G113="",H113=""),"Yes","No")</x:f>
        <x:v>No</x:v>
      </x:c>
      <x:c r="N113" t="str">
        <x:f>IF(COUNTIF({"Monday","Tuesday","Wednesday","Thursday","Friday"},D113)=0,"Yes","No")</x:f>
        <x:v>No</x:v>
      </x:c>
      <x:c r="O113" t="str">
        <x:f>IF(COUNTIF({"MY_MONTH 1","MY_MONTH 2","MY_MONTH 3"},E113)=0,"Yes","No")</x:f>
        <x:v>No</x:v>
      </x:c>
      <x:c r="P113" t="str">
        <x:f>IF(J113="Yes","Duplicate Event #",IF(K113="Yes","Missing Date",IF(L113="Yes","Missing Client",IF(M113="Yes","Missing Location",IF(N113="Yes","Unknown Weekday",IF(O113="Yes","Unknown MY_MONTH",IF(I113=0,"No Linked WO","OK")))))))</x:f>
        <x:v>OK</x:v>
      </x:c>
      <x:c r="Q113" t="str">
        <x:f>IF(J113="Yes","Critical",IF(OR(K113="Yes",L113="Yes",M113="Yes",N113="Yes",O113="Yes"),"Warning",IF(I113=0,"Informational","OK")))</x:f>
        <x:v>OK</x:v>
      </x:c>
      <x:c r="R113" t="str">
        <x:f>IF(P113="OK","No","Yes")</x:f>
        <x:v>No</x:v>
      </x:c>
    </x:row>
    <x:row r="114">
      <x:c r="A114" t="n">
        <x:v>15</x:v>
      </x:c>
      <x:c r="B114" t="str">
        <x:f>INDEX(tblServiceEvents[Client],MATCH($A114,tblServiceEvents[Event #],0))</x:f>
        <x:v>Verizon</x:v>
      </x:c>
      <x:c r="C114" s="35" t="n">
        <x:f>INDEX(tblServiceEvents[Service Date],MATCH($A114,tblServiceEvents[Event #],0))</x:f>
        <x:v>46156</x:v>
      </x:c>
      <x:c r="D114" t="str">
        <x:f>INDEX(tblServiceEvents[Weekday],MATCH($A114,tblServiceEvents[Event #],0))</x:f>
        <x:v>Thursday</x:v>
      </x:c>
      <x:c r="E114" t="str">
        <x:f>INDEX(tblServiceEvents[MY_MONTH],MATCH($A114,tblServiceEvents[Event #],0))</x:f>
        <x:v>MY_MONTH 1</x:v>
      </x:c>
      <x:c r="F114" t="str">
        <x:f>INDEX(tblServiceEvents[Status],MATCH($A114,tblServiceEvents[Event #],0))</x:f>
        <x:v>Completed</x:v>
      </x:c>
      <x:c r="G114" t="str">
        <x:f>INDEX(tblServiceEvents[City],MATCH($A114,tblServiceEvents[Event #],0))</x:f>
        <x:v>College Park</x:v>
      </x:c>
      <x:c r="H114" t="str">
        <x:f>INDEX(tblServiceEvents[Jurisdiction],MATCH($A114,tblServiceEvents[Event #],0))</x:f>
        <x:v>MD</x:v>
      </x:c>
      <x:c r="I114" t="n">
        <x:f>COUNTIF(tblLedger[Event #],A114)</x:f>
        <x:v>1</x:v>
      </x:c>
      <x:c r="J114" t="str">
        <x:f>IF(COUNTIF(tblServiceEvents[Event #],A114)&gt;1,"Yes","No")</x:f>
        <x:v>No</x:v>
      </x:c>
      <x:c r="K114" t="str">
        <x:f>IF(C114="","Yes","No")</x:f>
        <x:v>No</x:v>
      </x:c>
      <x:c r="L114" t="str">
        <x:f>IF(B114="","Yes","No")</x:f>
        <x:v>No</x:v>
      </x:c>
      <x:c r="M114" t="str">
        <x:f>IF(OR(G114="",H114=""),"Yes","No")</x:f>
        <x:v>No</x:v>
      </x:c>
      <x:c r="N114" t="str">
        <x:f>IF(COUNTIF({"Monday","Tuesday","Wednesday","Thursday","Friday"},D114)=0,"Yes","No")</x:f>
        <x:v>No</x:v>
      </x:c>
      <x:c r="O114" t="str">
        <x:f>IF(COUNTIF({"MY_MONTH 1","MY_MONTH 2","MY_MONTH 3"},E114)=0,"Yes","No")</x:f>
        <x:v>No</x:v>
      </x:c>
      <x:c r="P114" t="str">
        <x:f>IF(J114="Yes","Duplicate Event #",IF(K114="Yes","Missing Date",IF(L114="Yes","Missing Client",IF(M114="Yes","Missing Location",IF(N114="Yes","Unknown Weekday",IF(O114="Yes","Unknown MY_MONTH",IF(I114=0,"No Linked WO","OK")))))))</x:f>
        <x:v>OK</x:v>
      </x:c>
      <x:c r="Q114" t="str">
        <x:f>IF(J114="Yes","Critical",IF(OR(K114="Yes",L114="Yes",M114="Yes",N114="Yes",O114="Yes"),"Warning",IF(I114=0,"Informational","OK")))</x:f>
        <x:v>OK</x:v>
      </x:c>
      <x:c r="R114" t="str">
        <x:f>IF(P114="OK","No","Yes")</x:f>
        <x:v>No</x:v>
      </x:c>
    </x:row>
    <x:row r="115">
      <x:c r="A115" t="n">
        <x:v>16</x:v>
      </x:c>
      <x:c r="B115" t="str">
        <x:f>INDEX(tblServiceEvents[Client],MATCH($A115,tblServiceEvents[Event #],0))</x:f>
        <x:v>Atrium Village</x:v>
      </x:c>
      <x:c r="C115" s="35" t="n">
        <x:f>INDEX(tblServiceEvents[Service Date],MATCH($A115,tblServiceEvents[Event #],0))</x:f>
        <x:v>46157</x:v>
      </x:c>
      <x:c r="D115" t="str">
        <x:f>INDEX(tblServiceEvents[Weekday],MATCH($A115,tblServiceEvents[Event #],0))</x:f>
        <x:v>Friday</x:v>
      </x:c>
      <x:c r="E115" t="str">
        <x:f>INDEX(tblServiceEvents[MY_MONTH],MATCH($A115,tblServiceEvents[Event #],0))</x:f>
        <x:v>MY_MONTH 1</x:v>
      </x:c>
      <x:c r="F115" t="str">
        <x:f>INDEX(tblServiceEvents[Status],MATCH($A115,tblServiceEvents[Event #],0))</x:f>
        <x:v>Completed</x:v>
      </x:c>
      <x:c r="G115" t="str">
        <x:f>INDEX(tblServiceEvents[City],MATCH($A115,tblServiceEvents[Event #],0))</x:f>
        <x:v>Owings Mills</x:v>
      </x:c>
      <x:c r="H115" t="str">
        <x:f>INDEX(tblServiceEvents[Jurisdiction],MATCH($A115,tblServiceEvents[Event #],0))</x:f>
        <x:v>MD</x:v>
      </x:c>
      <x:c r="I115" t="n">
        <x:f>COUNTIF(tblLedger[Event #],A115)</x:f>
        <x:v>1</x:v>
      </x:c>
      <x:c r="J115" t="str">
        <x:f>IF(COUNTIF(tblServiceEvents[Event #],A115)&gt;1,"Yes","No")</x:f>
        <x:v>No</x:v>
      </x:c>
      <x:c r="K115" t="str">
        <x:f>IF(C115="","Yes","No")</x:f>
        <x:v>No</x:v>
      </x:c>
      <x:c r="L115" t="str">
        <x:f>IF(B115="","Yes","No")</x:f>
        <x:v>No</x:v>
      </x:c>
      <x:c r="M115" t="str">
        <x:f>IF(OR(G115="",H115=""),"Yes","No")</x:f>
        <x:v>No</x:v>
      </x:c>
      <x:c r="N115" t="str">
        <x:f>IF(COUNTIF({"Monday","Tuesday","Wednesday","Thursday","Friday"},D115)=0,"Yes","No")</x:f>
        <x:v>No</x:v>
      </x:c>
      <x:c r="O115" t="str">
        <x:f>IF(COUNTIF({"MY_MONTH 1","MY_MONTH 2","MY_MONTH 3"},E115)=0,"Yes","No")</x:f>
        <x:v>No</x:v>
      </x:c>
      <x:c r="P115" t="str">
        <x:f>IF(J115="Yes","Duplicate Event #",IF(K115="Yes","Missing Date",IF(L115="Yes","Missing Client",IF(M115="Yes","Missing Location",IF(N115="Yes","Unknown Weekday",IF(O115="Yes","Unknown MY_MONTH",IF(I115=0,"No Linked WO","OK")))))))</x:f>
        <x:v>OK</x:v>
      </x:c>
      <x:c r="Q115" t="str">
        <x:f>IF(J115="Yes","Critical",IF(OR(K115="Yes",L115="Yes",M115="Yes",N115="Yes",O115="Yes"),"Warning",IF(I115=0,"Informational","OK")))</x:f>
        <x:v>OK</x:v>
      </x:c>
      <x:c r="R115" t="str">
        <x:f>IF(P115="OK","No","Yes")</x:f>
        <x:v>No</x:v>
      </x:c>
    </x:row>
    <x:row r="116">
      <x:c r="A116" t="n">
        <x:v>17</x:v>
      </x:c>
      <x:c r="B116" t="str">
        <x:f>INDEX(tblServiceEvents[Client],MATCH($A116,tblServiceEvents[Event #],0))</x:f>
        <x:v>Maryland Baptist Age Home</x:v>
      </x:c>
      <x:c r="C116" s="35" t="n">
        <x:f>INDEX(tblServiceEvents[Service Date],MATCH($A116,tblServiceEvents[Event #],0))</x:f>
        <x:v>46161</x:v>
      </x:c>
      <x:c r="D116" t="str">
        <x:f>INDEX(tblServiceEvents[Weekday],MATCH($A116,tblServiceEvents[Event #],0))</x:f>
        <x:v>Tuesday</x:v>
      </x:c>
      <x:c r="E116" t="str">
        <x:f>INDEX(tblServiceEvents[MY_MONTH],MATCH($A116,tblServiceEvents[Event #],0))</x:f>
        <x:v>MY_MONTH 1</x:v>
      </x:c>
      <x:c r="F116" t="str">
        <x:f>INDEX(tblServiceEvents[Status],MATCH($A116,tblServiceEvents[Event #],0))</x:f>
        <x:v>Completed</x:v>
      </x:c>
      <x:c r="G116" t="str">
        <x:f>INDEX(tblServiceEvents[City],MATCH($A116,tblServiceEvents[Event #],0))</x:f>
        <x:v>Baltimore</x:v>
      </x:c>
      <x:c r="H116" t="str">
        <x:f>INDEX(tblServiceEvents[Jurisdiction],MATCH($A116,tblServiceEvents[Event #],0))</x:f>
        <x:v>MD</x:v>
      </x:c>
      <x:c r="I116" t="n">
        <x:f>COUNTIF(tblLedger[Event #],A116)</x:f>
        <x:v>1</x:v>
      </x:c>
      <x:c r="J116" t="str">
        <x:f>IF(COUNTIF(tblServiceEvents[Event #],A116)&gt;1,"Yes","No")</x:f>
        <x:v>No</x:v>
      </x:c>
      <x:c r="K116" t="str">
        <x:f>IF(C116="","Yes","No")</x:f>
        <x:v>No</x:v>
      </x:c>
      <x:c r="L116" t="str">
        <x:f>IF(B116="","Yes","No")</x:f>
        <x:v>No</x:v>
      </x:c>
      <x:c r="M116" t="str">
        <x:f>IF(OR(G116="",H116=""),"Yes","No")</x:f>
        <x:v>No</x:v>
      </x:c>
      <x:c r="N116" t="str">
        <x:f>IF(COUNTIF({"Monday","Tuesday","Wednesday","Thursday","Friday"},D116)=0,"Yes","No")</x:f>
        <x:v>No</x:v>
      </x:c>
      <x:c r="O116" t="str">
        <x:f>IF(COUNTIF({"MY_MONTH 1","MY_MONTH 2","MY_MONTH 3"},E116)=0,"Yes","No")</x:f>
        <x:v>No</x:v>
      </x:c>
      <x:c r="P116" t="str">
        <x:f>IF(J116="Yes","Duplicate Event #",IF(K116="Yes","Missing Date",IF(L116="Yes","Missing Client",IF(M116="Yes","Missing Location",IF(N116="Yes","Unknown Weekday",IF(O116="Yes","Unknown MY_MONTH",IF(I116=0,"No Linked WO","OK")))))))</x:f>
        <x:v>OK</x:v>
      </x:c>
      <x:c r="Q116" t="str">
        <x:f>IF(J116="Yes","Critical",IF(OR(K116="Yes",L116="Yes",M116="Yes",N116="Yes",O116="Yes"),"Warning",IF(I116=0,"Informational","OK")))</x:f>
        <x:v>OK</x:v>
      </x:c>
      <x:c r="R116" t="str">
        <x:f>IF(P116="OK","No","Yes")</x:f>
        <x:v>No</x:v>
      </x:c>
    </x:row>
    <x:row r="117">
      <x:c r="A117" t="n">
        <x:v>18</x:v>
      </x:c>
      <x:c r="B117" t="str">
        <x:f>INDEX(tblServiceEvents[Client],MATCH($A117,tblServiceEvents[Event #],0))</x:f>
        <x:v>Under Armour</x:v>
      </x:c>
      <x:c r="C117" s="35" t="n">
        <x:f>INDEX(tblServiceEvents[Service Date],MATCH($A117,tblServiceEvents[Event #],0))</x:f>
        <x:v>46162</x:v>
      </x:c>
      <x:c r="D117" t="str">
        <x:f>INDEX(tblServiceEvents[Weekday],MATCH($A117,tblServiceEvents[Event #],0))</x:f>
        <x:v>Wednesday</x:v>
      </x:c>
      <x:c r="E117" t="str">
        <x:f>INDEX(tblServiceEvents[MY_MONTH],MATCH($A117,tblServiceEvents[Event #],0))</x:f>
        <x:v>MY_MONTH 1</x:v>
      </x:c>
      <x:c r="F117" t="str">
        <x:f>INDEX(tblServiceEvents[Status],MATCH($A117,tblServiceEvents[Event #],0))</x:f>
        <x:v>Completed</x:v>
      </x:c>
      <x:c r="G117" t="str">
        <x:f>INDEX(tblServiceEvents[City],MATCH($A117,tblServiceEvents[Event #],0))</x:f>
        <x:v>Hanover</x:v>
      </x:c>
      <x:c r="H117" t="str">
        <x:f>INDEX(tblServiceEvents[Jurisdiction],MATCH($A117,tblServiceEvents[Event #],0))</x:f>
        <x:v>MD</x:v>
      </x:c>
      <x:c r="I117" t="n">
        <x:f>COUNTIF(tblLedger[Event #],A117)</x:f>
        <x:v>1</x:v>
      </x:c>
      <x:c r="J117" t="str">
        <x:f>IF(COUNTIF(tblServiceEvents[Event #],A117)&gt;1,"Yes","No")</x:f>
        <x:v>No</x:v>
      </x:c>
      <x:c r="K117" t="str">
        <x:f>IF(C117="","Yes","No")</x:f>
        <x:v>No</x:v>
      </x:c>
      <x:c r="L117" t="str">
        <x:f>IF(B117="","Yes","No")</x:f>
        <x:v>No</x:v>
      </x:c>
      <x:c r="M117" t="str">
        <x:f>IF(OR(G117="",H117=""),"Yes","No")</x:f>
        <x:v>No</x:v>
      </x:c>
      <x:c r="N117" t="str">
        <x:f>IF(COUNTIF({"Monday","Tuesday","Wednesday","Thursday","Friday"},D117)=0,"Yes","No")</x:f>
        <x:v>No</x:v>
      </x:c>
      <x:c r="O117" t="str">
        <x:f>IF(COUNTIF({"MY_MONTH 1","MY_MONTH 2","MY_MONTH 3"},E117)=0,"Yes","No")</x:f>
        <x:v>No</x:v>
      </x:c>
      <x:c r="P117" t="str">
        <x:f>IF(J117="Yes","Duplicate Event #",IF(K117="Yes","Missing Date",IF(L117="Yes","Missing Client",IF(M117="Yes","Missing Location",IF(N117="Yes","Unknown Weekday",IF(O117="Yes","Unknown MY_MONTH",IF(I117=0,"No Linked WO","OK")))))))</x:f>
        <x:v>OK</x:v>
      </x:c>
      <x:c r="Q117" t="str">
        <x:f>IF(J117="Yes","Critical",IF(OR(K117="Yes",L117="Yes",M117="Yes",N117="Yes",O117="Yes"),"Warning",IF(I117=0,"Informational","OK")))</x:f>
        <x:v>OK</x:v>
      </x:c>
      <x:c r="R117" t="str">
        <x:f>IF(P117="OK","No","Yes")</x:f>
        <x:v>No</x:v>
      </x:c>
    </x:row>
    <x:row r="118">
      <x:c r="A118" t="n">
        <x:v>19</x:v>
      </x:c>
      <x:c r="B118" t="str">
        <x:f>INDEX(tblServiceEvents[Client],MATCH($A118,tblServiceEvents[Event #],0))</x:f>
        <x:v>Under Armour</x:v>
      </x:c>
      <x:c r="C118" s="35" t="n">
        <x:f>INDEX(tblServiceEvents[Service Date],MATCH($A118,tblServiceEvents[Event #],0))</x:f>
        <x:v>46163</x:v>
      </x:c>
      <x:c r="D118" t="str">
        <x:f>INDEX(tblServiceEvents[Weekday],MATCH($A118,tblServiceEvents[Event #],0))</x:f>
        <x:v>Thursday</x:v>
      </x:c>
      <x:c r="E118" t="str">
        <x:f>INDEX(tblServiceEvents[MY_MONTH],MATCH($A118,tblServiceEvents[Event #],0))</x:f>
        <x:v>MY_MONTH 1</x:v>
      </x:c>
      <x:c r="F118" t="str">
        <x:f>INDEX(tblServiceEvents[Status],MATCH($A118,tblServiceEvents[Event #],0))</x:f>
        <x:v>Completed</x:v>
      </x:c>
      <x:c r="G118" t="str">
        <x:f>INDEX(tblServiceEvents[City],MATCH($A118,tblServiceEvents[Event #],0))</x:f>
        <x:v>Hanover</x:v>
      </x:c>
      <x:c r="H118" t="str">
        <x:f>INDEX(tblServiceEvents[Jurisdiction],MATCH($A118,tblServiceEvents[Event #],0))</x:f>
        <x:v>MD</x:v>
      </x:c>
      <x:c r="I118" t="n">
        <x:f>COUNTIF(tblLedger[Event #],A118)</x:f>
        <x:v>1</x:v>
      </x:c>
      <x:c r="J118" t="str">
        <x:f>IF(COUNTIF(tblServiceEvents[Event #],A118)&gt;1,"Yes","No")</x:f>
        <x:v>No</x:v>
      </x:c>
      <x:c r="K118" t="str">
        <x:f>IF(C118="","Yes","No")</x:f>
        <x:v>No</x:v>
      </x:c>
      <x:c r="L118" t="str">
        <x:f>IF(B118="","Yes","No")</x:f>
        <x:v>No</x:v>
      </x:c>
      <x:c r="M118" t="str">
        <x:f>IF(OR(G118="",H118=""),"Yes","No")</x:f>
        <x:v>No</x:v>
      </x:c>
      <x:c r="N118" t="str">
        <x:f>IF(COUNTIF({"Monday","Tuesday","Wednesday","Thursday","Friday"},D118)=0,"Yes","No")</x:f>
        <x:v>No</x:v>
      </x:c>
      <x:c r="O118" t="str">
        <x:f>IF(COUNTIF({"MY_MONTH 1","MY_MONTH 2","MY_MONTH 3"},E118)=0,"Yes","No")</x:f>
        <x:v>No</x:v>
      </x:c>
      <x:c r="P118" t="str">
        <x:f>IF(J118="Yes","Duplicate Event #",IF(K118="Yes","Missing Date",IF(L118="Yes","Missing Client",IF(M118="Yes","Missing Location",IF(N118="Yes","Unknown Weekday",IF(O118="Yes","Unknown MY_MONTH",IF(I118=0,"No Linked WO","OK")))))))</x:f>
        <x:v>OK</x:v>
      </x:c>
      <x:c r="Q118" t="str">
        <x:f>IF(J118="Yes","Critical",IF(OR(K118="Yes",L118="Yes",M118="Yes",N118="Yes",O118="Yes"),"Warning",IF(I118=0,"Informational","OK")))</x:f>
        <x:v>OK</x:v>
      </x:c>
      <x:c r="R118" t="str">
        <x:f>IF(P118="OK","No","Yes")</x:f>
        <x:v>No</x:v>
      </x:c>
    </x:row>
    <x:row r="119">
      <x:c r="A119" t="n">
        <x:v>20</x:v>
      </x:c>
      <x:c r="B119" t="str">
        <x:f>INDEX(tblServiceEvents[Client],MATCH($A119,tblServiceEvents[Event #],0))</x:f>
        <x:v>Giant Food Stores</x:v>
      </x:c>
      <x:c r="C119" s="35" t="n">
        <x:f>INDEX(tblServiceEvents[Service Date],MATCH($A119,tblServiceEvents[Event #],0))</x:f>
        <x:v>46163</x:v>
      </x:c>
      <x:c r="D119" t="str">
        <x:f>INDEX(tblServiceEvents[Weekday],MATCH($A119,tblServiceEvents[Event #],0))</x:f>
        <x:v>Thursday</x:v>
      </x:c>
      <x:c r="E119" t="str">
        <x:f>INDEX(tblServiceEvents[MY_MONTH],MATCH($A119,tblServiceEvents[Event #],0))</x:f>
        <x:v>MY_MONTH 1</x:v>
      </x:c>
      <x:c r="F119" t="str">
        <x:f>INDEX(tblServiceEvents[Status],MATCH($A119,tblServiceEvents[Event #],0))</x:f>
        <x:v>Completed</x:v>
      </x:c>
      <x:c r="G119" t="str">
        <x:f>INDEX(tblServiceEvents[City],MATCH($A119,tblServiceEvents[Event #],0))</x:f>
        <x:v>Red Lion</x:v>
      </x:c>
      <x:c r="H119" t="str">
        <x:f>INDEX(tblServiceEvents[Jurisdiction],MATCH($A119,tblServiceEvents[Event #],0))</x:f>
        <x:v>PA</x:v>
      </x:c>
      <x:c r="I119" t="n">
        <x:f>COUNTIF(tblLedger[Event #],A119)</x:f>
        <x:v>1</x:v>
      </x:c>
      <x:c r="J119" t="str">
        <x:f>IF(COUNTIF(tblServiceEvents[Event #],A119)&gt;1,"Yes","No")</x:f>
        <x:v>No</x:v>
      </x:c>
      <x:c r="K119" t="str">
        <x:f>IF(C119="","Yes","No")</x:f>
        <x:v>No</x:v>
      </x:c>
      <x:c r="L119" t="str">
        <x:f>IF(B119="","Yes","No")</x:f>
        <x:v>No</x:v>
      </x:c>
      <x:c r="M119" t="str">
        <x:f>IF(OR(G119="",H119=""),"Yes","No")</x:f>
        <x:v>No</x:v>
      </x:c>
      <x:c r="N119" t="str">
        <x:f>IF(COUNTIF({"Monday","Tuesday","Wednesday","Thursday","Friday"},D119)=0,"Yes","No")</x:f>
        <x:v>No</x:v>
      </x:c>
      <x:c r="O119" t="str">
        <x:f>IF(COUNTIF({"MY_MONTH 1","MY_MONTH 2","MY_MONTH 3"},E119)=0,"Yes","No")</x:f>
        <x:v>No</x:v>
      </x:c>
      <x:c r="P119" t="str">
        <x:f>IF(J119="Yes","Duplicate Event #",IF(K119="Yes","Missing Date",IF(L119="Yes","Missing Client",IF(M119="Yes","Missing Location",IF(N119="Yes","Unknown Weekday",IF(O119="Yes","Unknown MY_MONTH",IF(I119=0,"No Linked WO","OK")))))))</x:f>
        <x:v>OK</x:v>
      </x:c>
      <x:c r="Q119" t="str">
        <x:f>IF(J119="Yes","Critical",IF(OR(K119="Yes",L119="Yes",M119="Yes",N119="Yes",O119="Yes"),"Warning",IF(I119=0,"Informational","OK")))</x:f>
        <x:v>OK</x:v>
      </x:c>
      <x:c r="R119" t="str">
        <x:f>IF(P119="OK","No","Yes")</x:f>
        <x:v>No</x:v>
      </x:c>
    </x:row>
    <x:row r="120">
      <x:c r="A120" t="n">
        <x:v>21</x:v>
      </x:c>
      <x:c r="B120" t="str">
        <x:f>INDEX(tblServiceEvents[Client],MATCH($A120,tblServiceEvents[Event #],0))</x:f>
        <x:v>Food Lion</x:v>
      </x:c>
      <x:c r="C120" s="35" t="n">
        <x:f>INDEX(tblServiceEvents[Service Date],MATCH($A120,tblServiceEvents[Event #],0))</x:f>
        <x:v>46168</x:v>
      </x:c>
      <x:c r="D120" t="str">
        <x:f>INDEX(tblServiceEvents[Weekday],MATCH($A120,tblServiceEvents[Event #],0))</x:f>
        <x:v>Tuesday</x:v>
      </x:c>
      <x:c r="E120" t="str">
        <x:f>INDEX(tblServiceEvents[MY_MONTH],MATCH($A120,tblServiceEvents[Event #],0))</x:f>
        <x:v>MY_MONTH 2</x:v>
      </x:c>
      <x:c r="F120" t="str">
        <x:f>INDEX(tblServiceEvents[Status],MATCH($A120,tblServiceEvents[Event #],0))</x:f>
        <x:v>Completed</x:v>
      </x:c>
      <x:c r="G120" t="str">
        <x:f>INDEX(tblServiceEvents[City],MATCH($A120,tblServiceEvents[Event #],0))</x:f>
        <x:v>Middle River</x:v>
      </x:c>
      <x:c r="H120" t="str">
        <x:f>INDEX(tblServiceEvents[Jurisdiction],MATCH($A120,tblServiceEvents[Event #],0))</x:f>
        <x:v>MD</x:v>
      </x:c>
      <x:c r="I120" t="n">
        <x:f>COUNTIF(tblLedger[Event #],A120)</x:f>
        <x:v>1</x:v>
      </x:c>
      <x:c r="J120" t="str">
        <x:f>IF(COUNTIF(tblServiceEvents[Event #],A120)&gt;1,"Yes","No")</x:f>
        <x:v>No</x:v>
      </x:c>
      <x:c r="K120" t="str">
        <x:f>IF(C120="","Yes","No")</x:f>
        <x:v>No</x:v>
      </x:c>
      <x:c r="L120" t="str">
        <x:f>IF(B120="","Yes","No")</x:f>
        <x:v>No</x:v>
      </x:c>
      <x:c r="M120" t="str">
        <x:f>IF(OR(G120="",H120=""),"Yes","No")</x:f>
        <x:v>No</x:v>
      </x:c>
      <x:c r="N120" t="str">
        <x:f>IF(COUNTIF({"Monday","Tuesday","Wednesday","Thursday","Friday"},D120)=0,"Yes","No")</x:f>
        <x:v>No</x:v>
      </x:c>
      <x:c r="O120" t="str">
        <x:f>IF(COUNTIF({"MY_MONTH 1","MY_MONTH 2","MY_MONTH 3"},E120)=0,"Yes","No")</x:f>
        <x:v>No</x:v>
      </x:c>
      <x:c r="P120" t="str">
        <x:f>IF(J120="Yes","Duplicate Event #",IF(K120="Yes","Missing Date",IF(L120="Yes","Missing Client",IF(M120="Yes","Missing Location",IF(N120="Yes","Unknown Weekday",IF(O120="Yes","Unknown MY_MONTH",IF(I120=0,"No Linked WO","OK")))))))</x:f>
        <x:v>OK</x:v>
      </x:c>
      <x:c r="Q120" t="str">
        <x:f>IF(J120="Yes","Critical",IF(OR(K120="Yes",L120="Yes",M120="Yes",N120="Yes",O120="Yes"),"Warning",IF(I120=0,"Informational","OK")))</x:f>
        <x:v>OK</x:v>
      </x:c>
      <x:c r="R120" t="str">
        <x:f>IF(P120="OK","No","Yes")</x:f>
        <x:v>No</x:v>
      </x:c>
    </x:row>
    <x:row r="121">
      <x:c r="A121" t="n">
        <x:v>22</x:v>
      </x:c>
      <x:c r="B121" t="str">
        <x:f>INDEX(tblServiceEvents[Client],MATCH($A121,tblServiceEvents[Event #],0))</x:f>
        <x:v>HomeGoods</x:v>
      </x:c>
      <x:c r="C121" s="35" t="n">
        <x:f>INDEX(tblServiceEvents[Service Date],MATCH($A121,tblServiceEvents[Event #],0))</x:f>
        <x:v>46168</x:v>
      </x:c>
      <x:c r="D121" t="str">
        <x:f>INDEX(tblServiceEvents[Weekday],MATCH($A121,tblServiceEvents[Event #],0))</x:f>
        <x:v>Tuesday</x:v>
      </x:c>
      <x:c r="E121" t="str">
        <x:f>INDEX(tblServiceEvents[MY_MONTH],MATCH($A121,tblServiceEvents[Event #],0))</x:f>
        <x:v>MY_MONTH 2</x:v>
      </x:c>
      <x:c r="F121" t="str">
        <x:f>INDEX(tblServiceEvents[Status],MATCH($A121,tblServiceEvents[Event #],0))</x:f>
        <x:v>Completed</x:v>
      </x:c>
      <x:c r="G121" t="str">
        <x:f>INDEX(tblServiceEvents[City],MATCH($A121,tblServiceEvents[Event #],0))</x:f>
        <x:v>Gaithersburg</x:v>
      </x:c>
      <x:c r="H121" t="str">
        <x:f>INDEX(tblServiceEvents[Jurisdiction],MATCH($A121,tblServiceEvents[Event #],0))</x:f>
        <x:v>MD</x:v>
      </x:c>
      <x:c r="I121" t="n">
        <x:f>COUNTIF(tblLedger[Event #],A121)</x:f>
        <x:v>1</x:v>
      </x:c>
      <x:c r="J121" t="str">
        <x:f>IF(COUNTIF(tblServiceEvents[Event #],A121)&gt;1,"Yes","No")</x:f>
        <x:v>No</x:v>
      </x:c>
      <x:c r="K121" t="str">
        <x:f>IF(C121="","Yes","No")</x:f>
        <x:v>No</x:v>
      </x:c>
      <x:c r="L121" t="str">
        <x:f>IF(B121="","Yes","No")</x:f>
        <x:v>No</x:v>
      </x:c>
      <x:c r="M121" t="str">
        <x:f>IF(OR(G121="",H121=""),"Yes","No")</x:f>
        <x:v>No</x:v>
      </x:c>
      <x:c r="N121" t="str">
        <x:f>IF(COUNTIF({"Monday","Tuesday","Wednesday","Thursday","Friday"},D121)=0,"Yes","No")</x:f>
        <x:v>No</x:v>
      </x:c>
      <x:c r="O121" t="str">
        <x:f>IF(COUNTIF({"MY_MONTH 1","MY_MONTH 2","MY_MONTH 3"},E121)=0,"Yes","No")</x:f>
        <x:v>No</x:v>
      </x:c>
      <x:c r="P121" t="str">
        <x:f>IF(J121="Yes","Duplicate Event #",IF(K121="Yes","Missing Date",IF(L121="Yes","Missing Client",IF(M121="Yes","Missing Location",IF(N121="Yes","Unknown Weekday",IF(O121="Yes","Unknown MY_MONTH",IF(I121=0,"No Linked WO","OK")))))))</x:f>
        <x:v>OK</x:v>
      </x:c>
      <x:c r="Q121" t="str">
        <x:f>IF(J121="Yes","Critical",IF(OR(K121="Yes",L121="Yes",M121="Yes",N121="Yes",O121="Yes"),"Warning",IF(I121=0,"Informational","OK")))</x:f>
        <x:v>OK</x:v>
      </x:c>
      <x:c r="R121" t="str">
        <x:f>IF(P121="OK","No","Yes")</x:f>
        <x:v>No</x:v>
      </x:c>
    </x:row>
    <x:row r="122">
      <x:c r="A122" t="n">
        <x:v>23</x:v>
      </x:c>
      <x:c r="B122" t="str">
        <x:f>INDEX(tblServiceEvents[Client],MATCH($A122,tblServiceEvents[Event #],0))</x:f>
        <x:v>Joint Base Andrews</x:v>
      </x:c>
      <x:c r="C122" s="35" t="n">
        <x:f>INDEX(tblServiceEvents[Service Date],MATCH($A122,tblServiceEvents[Event #],0))</x:f>
        <x:v>46169</x:v>
      </x:c>
      <x:c r="D122" t="str">
        <x:f>INDEX(tblServiceEvents[Weekday],MATCH($A122,tblServiceEvents[Event #],0))</x:f>
        <x:v>Wednesday</x:v>
      </x:c>
      <x:c r="E122" t="str">
        <x:f>INDEX(tblServiceEvents[MY_MONTH],MATCH($A122,tblServiceEvents[Event #],0))</x:f>
        <x:v>MY_MONTH 2</x:v>
      </x:c>
      <x:c r="F122" t="str">
        <x:f>INDEX(tblServiceEvents[Status],MATCH($A122,tblServiceEvents[Event #],0))</x:f>
        <x:v>Completed</x:v>
      </x:c>
      <x:c r="G122" t="str">
        <x:f>INDEX(tblServiceEvents[City],MATCH($A122,tblServiceEvents[Event #],0))</x:f>
        <x:v>Andrews AFB</x:v>
      </x:c>
      <x:c r="H122" t="str">
        <x:f>INDEX(tblServiceEvents[Jurisdiction],MATCH($A122,tblServiceEvents[Event #],0))</x:f>
        <x:v>MD</x:v>
      </x:c>
      <x:c r="I122" t="n">
        <x:f>COUNTIF(tblLedger[Event #],A122)</x:f>
        <x:v>1</x:v>
      </x:c>
      <x:c r="J122" t="str">
        <x:f>IF(COUNTIF(tblServiceEvents[Event #],A122)&gt;1,"Yes","No")</x:f>
        <x:v>No</x:v>
      </x:c>
      <x:c r="K122" t="str">
        <x:f>IF(C122="","Yes","No")</x:f>
        <x:v>No</x:v>
      </x:c>
      <x:c r="L122" t="str">
        <x:f>IF(B122="","Yes","No")</x:f>
        <x:v>No</x:v>
      </x:c>
      <x:c r="M122" t="str">
        <x:f>IF(OR(G122="",H122=""),"Yes","No")</x:f>
        <x:v>No</x:v>
      </x:c>
      <x:c r="N122" t="str">
        <x:f>IF(COUNTIF({"Monday","Tuesday","Wednesday","Thursday","Friday"},D122)=0,"Yes","No")</x:f>
        <x:v>No</x:v>
      </x:c>
      <x:c r="O122" t="str">
        <x:f>IF(COUNTIF({"MY_MONTH 1","MY_MONTH 2","MY_MONTH 3"},E122)=0,"Yes","No")</x:f>
        <x:v>No</x:v>
      </x:c>
      <x:c r="P122" t="str">
        <x:f>IF(J122="Yes","Duplicate Event #",IF(K122="Yes","Missing Date",IF(L122="Yes","Missing Client",IF(M122="Yes","Missing Location",IF(N122="Yes","Unknown Weekday",IF(O122="Yes","Unknown MY_MONTH",IF(I122=0,"No Linked WO","OK")))))))</x:f>
        <x:v>OK</x:v>
      </x:c>
      <x:c r="Q122" t="str">
        <x:f>IF(J122="Yes","Critical",IF(OR(K122="Yes",L122="Yes",M122="Yes",N122="Yes",O122="Yes"),"Warning",IF(I122=0,"Informational","OK")))</x:f>
        <x:v>OK</x:v>
      </x:c>
      <x:c r="R122" t="str">
        <x:f>IF(P122="OK","No","Yes")</x:f>
        <x:v>No</x:v>
      </x:c>
    </x:row>
    <x:row r="123">
      <x:c r="A123" t="n">
        <x:v>24</x:v>
      </x:c>
      <x:c r="B123" t="str">
        <x:f>INDEX(tblServiceEvents[Client],MATCH($A123,tblServiceEvents[Event #],0))</x:f>
        <x:v>USDA</x:v>
      </x:c>
      <x:c r="C123" s="35" t="n">
        <x:f>INDEX(tblServiceEvents[Service Date],MATCH($A123,tblServiceEvents[Event #],0))</x:f>
        <x:v>46169</x:v>
      </x:c>
      <x:c r="D123" t="str">
        <x:f>INDEX(tblServiceEvents[Weekday],MATCH($A123,tblServiceEvents[Event #],0))</x:f>
        <x:v>Wednesday</x:v>
      </x:c>
      <x:c r="E123" t="str">
        <x:f>INDEX(tblServiceEvents[MY_MONTH],MATCH($A123,tblServiceEvents[Event #],0))</x:f>
        <x:v>MY_MONTH 2</x:v>
      </x:c>
      <x:c r="F123" t="str">
        <x:f>INDEX(tblServiceEvents[Status],MATCH($A123,tblServiceEvents[Event #],0))</x:f>
        <x:v>Completed</x:v>
      </x:c>
      <x:c r="G123" t="str">
        <x:f>INDEX(tblServiceEvents[City],MATCH($A123,tblServiceEvents[Event #],0))</x:f>
        <x:v>Washington</x:v>
      </x:c>
      <x:c r="H123" t="str">
        <x:f>INDEX(tblServiceEvents[Jurisdiction],MATCH($A123,tblServiceEvents[Event #],0))</x:f>
        <x:v>DC</x:v>
      </x:c>
      <x:c r="I123" t="n">
        <x:f>COUNTIF(tblLedger[Event #],A123)</x:f>
        <x:v>1</x:v>
      </x:c>
      <x:c r="J123" t="str">
        <x:f>IF(COUNTIF(tblServiceEvents[Event #],A123)&gt;1,"Yes","No")</x:f>
        <x:v>No</x:v>
      </x:c>
      <x:c r="K123" t="str">
        <x:f>IF(C123="","Yes","No")</x:f>
        <x:v>No</x:v>
      </x:c>
      <x:c r="L123" t="str">
        <x:f>IF(B123="","Yes","No")</x:f>
        <x:v>No</x:v>
      </x:c>
      <x:c r="M123" t="str">
        <x:f>IF(OR(G123="",H123=""),"Yes","No")</x:f>
        <x:v>No</x:v>
      </x:c>
      <x:c r="N123" t="str">
        <x:f>IF(COUNTIF({"Monday","Tuesday","Wednesday","Thursday","Friday"},D123)=0,"Yes","No")</x:f>
        <x:v>No</x:v>
      </x:c>
      <x:c r="O123" t="str">
        <x:f>IF(COUNTIF({"MY_MONTH 1","MY_MONTH 2","MY_MONTH 3"},E123)=0,"Yes","No")</x:f>
        <x:v>No</x:v>
      </x:c>
      <x:c r="P123" t="str">
        <x:f>IF(J123="Yes","Duplicate Event #",IF(K123="Yes","Missing Date",IF(L123="Yes","Missing Client",IF(M123="Yes","Missing Location",IF(N123="Yes","Unknown Weekday",IF(O123="Yes","Unknown MY_MONTH",IF(I123=0,"No Linked WO","OK")))))))</x:f>
        <x:v>OK</x:v>
      </x:c>
      <x:c r="Q123" t="str">
        <x:f>IF(J123="Yes","Critical",IF(OR(K123="Yes",L123="Yes",M123="Yes",N123="Yes",O123="Yes"),"Warning",IF(I123=0,"Informational","OK")))</x:f>
        <x:v>OK</x:v>
      </x:c>
      <x:c r="R123" t="str">
        <x:f>IF(P123="OK","No","Yes")</x:f>
        <x:v>No</x:v>
      </x:c>
    </x:row>
    <x:row r="124">
      <x:c r="A124" t="n">
        <x:v>25</x:v>
      </x:c>
      <x:c r="B124" t="str">
        <x:f>INDEX(tblServiceEvents[Client],MATCH($A124,tblServiceEvents[Event #],0))</x:f>
        <x:v>PepsiCo</x:v>
      </x:c>
      <x:c r="C124" s="35" t="n">
        <x:f>INDEX(tblServiceEvents[Service Date],MATCH($A124,tblServiceEvents[Event #],0))</x:f>
        <x:v>46170</x:v>
      </x:c>
      <x:c r="D124" t="str">
        <x:f>INDEX(tblServiceEvents[Weekday],MATCH($A124,tblServiceEvents[Event #],0))</x:f>
        <x:v>Thursday</x:v>
      </x:c>
      <x:c r="E124" t="str">
        <x:f>INDEX(tblServiceEvents[MY_MONTH],MATCH($A124,tblServiceEvents[Event #],0))</x:f>
        <x:v>MY_MONTH 2</x:v>
      </x:c>
      <x:c r="F124" t="str">
        <x:f>INDEX(tblServiceEvents[Status],MATCH($A124,tblServiceEvents[Event #],0))</x:f>
        <x:v>Completed</x:v>
      </x:c>
      <x:c r="G124" t="str">
        <x:f>INDEX(tblServiceEvents[City],MATCH($A124,tblServiceEvents[Event #],0))</x:f>
        <x:v>Cheverly</x:v>
      </x:c>
      <x:c r="H124" t="str">
        <x:f>INDEX(tblServiceEvents[Jurisdiction],MATCH($A124,tblServiceEvents[Event #],0))</x:f>
        <x:v>MD</x:v>
      </x:c>
      <x:c r="I124" t="n">
        <x:f>COUNTIF(tblLedger[Event #],A124)</x:f>
        <x:v>1</x:v>
      </x:c>
      <x:c r="J124" t="str">
        <x:f>IF(COUNTIF(tblServiceEvents[Event #],A124)&gt;1,"Yes","No")</x:f>
        <x:v>No</x:v>
      </x:c>
      <x:c r="K124" t="str">
        <x:f>IF(C124="","Yes","No")</x:f>
        <x:v>No</x:v>
      </x:c>
      <x:c r="L124" t="str">
        <x:f>IF(B124="","Yes","No")</x:f>
        <x:v>No</x:v>
      </x:c>
      <x:c r="M124" t="str">
        <x:f>IF(OR(G124="",H124=""),"Yes","No")</x:f>
        <x:v>No</x:v>
      </x:c>
      <x:c r="N124" t="str">
        <x:f>IF(COUNTIF({"Monday","Tuesday","Wednesday","Thursday","Friday"},D124)=0,"Yes","No")</x:f>
        <x:v>No</x:v>
      </x:c>
      <x:c r="O124" t="str">
        <x:f>IF(COUNTIF({"MY_MONTH 1","MY_MONTH 2","MY_MONTH 3"},E124)=0,"Yes","No")</x:f>
        <x:v>No</x:v>
      </x:c>
      <x:c r="P124" t="str">
        <x:f>IF(J124="Yes","Duplicate Event #",IF(K124="Yes","Missing Date",IF(L124="Yes","Missing Client",IF(M124="Yes","Missing Location",IF(N124="Yes","Unknown Weekday",IF(O124="Yes","Unknown MY_MONTH",IF(I124=0,"No Linked WO","OK")))))))</x:f>
        <x:v>OK</x:v>
      </x:c>
      <x:c r="Q124" t="str">
        <x:f>IF(J124="Yes","Critical",IF(OR(K124="Yes",L124="Yes",M124="Yes",N124="Yes",O124="Yes"),"Warning",IF(I124=0,"Informational","OK")))</x:f>
        <x:v>OK</x:v>
      </x:c>
      <x:c r="R124" t="str">
        <x:f>IF(P124="OK","No","Yes")</x:f>
        <x:v>No</x:v>
      </x:c>
    </x:row>
    <x:row r="125">
      <x:c r="A125" t="n">
        <x:v>26</x:v>
      </x:c>
      <x:c r="B125" t="str">
        <x:f>INDEX(tblServiceEvents[Client],MATCH($A125,tblServiceEvents[Event #],0))</x:f>
        <x:v>USDA</x:v>
      </x:c>
      <x:c r="C125" s="35" t="n">
        <x:f>INDEX(tblServiceEvents[Service Date],MATCH($A125,tblServiceEvents[Event #],0))</x:f>
        <x:v>46170</x:v>
      </x:c>
      <x:c r="D125" t="str">
        <x:f>INDEX(tblServiceEvents[Weekday],MATCH($A125,tblServiceEvents[Event #],0))</x:f>
        <x:v>Thursday</x:v>
      </x:c>
      <x:c r="E125" t="str">
        <x:f>INDEX(tblServiceEvents[MY_MONTH],MATCH($A125,tblServiceEvents[Event #],0))</x:f>
        <x:v>MY_MONTH 2</x:v>
      </x:c>
      <x:c r="F125" t="str">
        <x:f>INDEX(tblServiceEvents[Status],MATCH($A125,tblServiceEvents[Event #],0))</x:f>
        <x:v>Completed</x:v>
      </x:c>
      <x:c r="G125" t="str">
        <x:f>INDEX(tblServiceEvents[City],MATCH($A125,tblServiceEvents[Event #],0))</x:f>
        <x:v>Washington</x:v>
      </x:c>
      <x:c r="H125" t="str">
        <x:f>INDEX(tblServiceEvents[Jurisdiction],MATCH($A125,tblServiceEvents[Event #],0))</x:f>
        <x:v>DC</x:v>
      </x:c>
      <x:c r="I125" t="n">
        <x:f>COUNTIF(tblLedger[Event #],A125)</x:f>
        <x:v>1</x:v>
      </x:c>
      <x:c r="J125" t="str">
        <x:f>IF(COUNTIF(tblServiceEvents[Event #],A125)&gt;1,"Yes","No")</x:f>
        <x:v>No</x:v>
      </x:c>
      <x:c r="K125" t="str">
        <x:f>IF(C125="","Yes","No")</x:f>
        <x:v>No</x:v>
      </x:c>
      <x:c r="L125" t="str">
        <x:f>IF(B125="","Yes","No")</x:f>
        <x:v>No</x:v>
      </x:c>
      <x:c r="M125" t="str">
        <x:f>IF(OR(G125="",H125=""),"Yes","No")</x:f>
        <x:v>No</x:v>
      </x:c>
      <x:c r="N125" t="str">
        <x:f>IF(COUNTIF({"Monday","Tuesday","Wednesday","Thursday","Friday"},D125)=0,"Yes","No")</x:f>
        <x:v>No</x:v>
      </x:c>
      <x:c r="O125" t="str">
        <x:f>IF(COUNTIF({"MY_MONTH 1","MY_MONTH 2","MY_MONTH 3"},E125)=0,"Yes","No")</x:f>
        <x:v>No</x:v>
      </x:c>
      <x:c r="P125" t="str">
        <x:f>IF(J125="Yes","Duplicate Event #",IF(K125="Yes","Missing Date",IF(L125="Yes","Missing Client",IF(M125="Yes","Missing Location",IF(N125="Yes","Unknown Weekday",IF(O125="Yes","Unknown MY_MONTH",IF(I125=0,"No Linked WO","OK")))))))</x:f>
        <x:v>OK</x:v>
      </x:c>
      <x:c r="Q125" t="str">
        <x:f>IF(J125="Yes","Critical",IF(OR(K125="Yes",L125="Yes",M125="Yes",N125="Yes",O125="Yes"),"Warning",IF(I125=0,"Informational","OK")))</x:f>
        <x:v>OK</x:v>
      </x:c>
      <x:c r="R125" t="str">
        <x:f>IF(P125="OK","No","Yes")</x:f>
        <x:v>No</x:v>
      </x:c>
    </x:row>
    <x:row r="126">
      <x:c r="A126" t="n">
        <x:v>27</x:v>
      </x:c>
      <x:c r="B126" t="str">
        <x:f>INDEX(tblServiceEvents[Client],MATCH($A126,tblServiceEvents[Event #],0))</x:f>
        <x:v>USDA</x:v>
      </x:c>
      <x:c r="C126" s="35" t="n">
        <x:f>INDEX(tblServiceEvents[Service Date],MATCH($A126,tblServiceEvents[Event #],0))</x:f>
        <x:v>46174</x:v>
      </x:c>
      <x:c r="D126" t="str">
        <x:f>INDEX(tblServiceEvents[Weekday],MATCH($A126,tblServiceEvents[Event #],0))</x:f>
        <x:v>Monday</x:v>
      </x:c>
      <x:c r="E126" t="str">
        <x:f>INDEX(tblServiceEvents[MY_MONTH],MATCH($A126,tblServiceEvents[Event #],0))</x:f>
        <x:v>MY_MONTH 2</x:v>
      </x:c>
      <x:c r="F126" t="str">
        <x:f>INDEX(tblServiceEvents[Status],MATCH($A126,tblServiceEvents[Event #],0))</x:f>
        <x:v>Completed</x:v>
      </x:c>
      <x:c r="G126" t="str">
        <x:f>INDEX(tblServiceEvents[City],MATCH($A126,tblServiceEvents[Event #],0))</x:f>
        <x:v>Washington</x:v>
      </x:c>
      <x:c r="H126" t="str">
        <x:f>INDEX(tblServiceEvents[Jurisdiction],MATCH($A126,tblServiceEvents[Event #],0))</x:f>
        <x:v>DC</x:v>
      </x:c>
      <x:c r="I126" t="n">
        <x:f>COUNTIF(tblLedger[Event #],A126)</x:f>
        <x:v>1</x:v>
      </x:c>
      <x:c r="J126" t="str">
        <x:f>IF(COUNTIF(tblServiceEvents[Event #],A126)&gt;1,"Yes","No")</x:f>
        <x:v>No</x:v>
      </x:c>
      <x:c r="K126" t="str">
        <x:f>IF(C126="","Yes","No")</x:f>
        <x:v>No</x:v>
      </x:c>
      <x:c r="L126" t="str">
        <x:f>IF(B126="","Yes","No")</x:f>
        <x:v>No</x:v>
      </x:c>
      <x:c r="M126" t="str">
        <x:f>IF(OR(G126="",H126=""),"Yes","No")</x:f>
        <x:v>No</x:v>
      </x:c>
      <x:c r="N126" t="str">
        <x:f>IF(COUNTIF({"Monday","Tuesday","Wednesday","Thursday","Friday"},D126)=0,"Yes","No")</x:f>
        <x:v>No</x:v>
      </x:c>
      <x:c r="O126" t="str">
        <x:f>IF(COUNTIF({"MY_MONTH 1","MY_MONTH 2","MY_MONTH 3"},E126)=0,"Yes","No")</x:f>
        <x:v>No</x:v>
      </x:c>
      <x:c r="P126" t="str">
        <x:f>IF(J126="Yes","Duplicate Event #",IF(K126="Yes","Missing Date",IF(L126="Yes","Missing Client",IF(M126="Yes","Missing Location",IF(N126="Yes","Unknown Weekday",IF(O126="Yes","Unknown MY_MONTH",IF(I126=0,"No Linked WO","OK")))))))</x:f>
        <x:v>OK</x:v>
      </x:c>
      <x:c r="Q126" t="str">
        <x:f>IF(J126="Yes","Critical",IF(OR(K126="Yes",L126="Yes",M126="Yes",N126="Yes",O126="Yes"),"Warning",IF(I126=0,"Informational","OK")))</x:f>
        <x:v>OK</x:v>
      </x:c>
      <x:c r="R126" t="str">
        <x:f>IF(P126="OK","No","Yes")</x:f>
        <x:v>No</x:v>
      </x:c>
    </x:row>
    <x:row r="127">
      <x:c r="A127" t="n">
        <x:v>28</x:v>
      </x:c>
      <x:c r="B127" t="str">
        <x:f>INDEX(tblServiceEvents[Client],MATCH($A127,tblServiceEvents[Event #],0))</x:f>
        <x:v>USDA</x:v>
      </x:c>
      <x:c r="C127" s="35" t="n">
        <x:f>INDEX(tblServiceEvents[Service Date],MATCH($A127,tblServiceEvents[Event #],0))</x:f>
        <x:v>46175</x:v>
      </x:c>
      <x:c r="D127" t="str">
        <x:f>INDEX(tblServiceEvents[Weekday],MATCH($A127,tblServiceEvents[Event #],0))</x:f>
        <x:v>Tuesday</x:v>
      </x:c>
      <x:c r="E127" t="str">
        <x:f>INDEX(tblServiceEvents[MY_MONTH],MATCH($A127,tblServiceEvents[Event #],0))</x:f>
        <x:v>MY_MONTH 2</x:v>
      </x:c>
      <x:c r="F127" t="str">
        <x:f>INDEX(tblServiceEvents[Status],MATCH($A127,tblServiceEvents[Event #],0))</x:f>
        <x:v>Completed</x:v>
      </x:c>
      <x:c r="G127" t="str">
        <x:f>INDEX(tblServiceEvents[City],MATCH($A127,tblServiceEvents[Event #],0))</x:f>
        <x:v>Washington</x:v>
      </x:c>
      <x:c r="H127" t="str">
        <x:f>INDEX(tblServiceEvents[Jurisdiction],MATCH($A127,tblServiceEvents[Event #],0))</x:f>
        <x:v>DC</x:v>
      </x:c>
      <x:c r="I127" t="n">
        <x:f>COUNTIF(tblLedger[Event #],A127)</x:f>
        <x:v>1</x:v>
      </x:c>
      <x:c r="J127" t="str">
        <x:f>IF(COUNTIF(tblServiceEvents[Event #],A127)&gt;1,"Yes","No")</x:f>
        <x:v>No</x:v>
      </x:c>
      <x:c r="K127" t="str">
        <x:f>IF(C127="","Yes","No")</x:f>
        <x:v>No</x:v>
      </x:c>
      <x:c r="L127" t="str">
        <x:f>IF(B127="","Yes","No")</x:f>
        <x:v>No</x:v>
      </x:c>
      <x:c r="M127" t="str">
        <x:f>IF(OR(G127="",H127=""),"Yes","No")</x:f>
        <x:v>No</x:v>
      </x:c>
      <x:c r="N127" t="str">
        <x:f>IF(COUNTIF({"Monday","Tuesday","Wednesday","Thursday","Friday"},D127)=0,"Yes","No")</x:f>
        <x:v>No</x:v>
      </x:c>
      <x:c r="O127" t="str">
        <x:f>IF(COUNTIF({"MY_MONTH 1","MY_MONTH 2","MY_MONTH 3"},E127)=0,"Yes","No")</x:f>
        <x:v>No</x:v>
      </x:c>
      <x:c r="P127" t="str">
        <x:f>IF(J127="Yes","Duplicate Event #",IF(K127="Yes","Missing Date",IF(L127="Yes","Missing Client",IF(M127="Yes","Missing Location",IF(N127="Yes","Unknown Weekday",IF(O127="Yes","Unknown MY_MONTH",IF(I127=0,"No Linked WO","OK")))))))</x:f>
        <x:v>OK</x:v>
      </x:c>
      <x:c r="Q127" t="str">
        <x:f>IF(J127="Yes","Critical",IF(OR(K127="Yes",L127="Yes",M127="Yes",N127="Yes",O127="Yes"),"Warning",IF(I127=0,"Informational","OK")))</x:f>
        <x:v>OK</x:v>
      </x:c>
      <x:c r="R127" t="str">
        <x:f>IF(P127="OK","No","Yes")</x:f>
        <x:v>No</x:v>
      </x:c>
    </x:row>
    <x:row r="128">
      <x:c r="A128" t="n">
        <x:v>29</x:v>
      </x:c>
      <x:c r="B128" t="str">
        <x:f>INDEX(tblServiceEvents[Client],MATCH($A128,tblServiceEvents[Event #],0))</x:f>
        <x:v>USDA</x:v>
      </x:c>
      <x:c r="C128" s="35" t="n">
        <x:f>INDEX(tblServiceEvents[Service Date],MATCH($A128,tblServiceEvents[Event #],0))</x:f>
        <x:v>46176</x:v>
      </x:c>
      <x:c r="D128" t="str">
        <x:f>INDEX(tblServiceEvents[Weekday],MATCH($A128,tblServiceEvents[Event #],0))</x:f>
        <x:v>Wednesday</x:v>
      </x:c>
      <x:c r="E128" t="str">
        <x:f>INDEX(tblServiceEvents[MY_MONTH],MATCH($A128,tblServiceEvents[Event #],0))</x:f>
        <x:v>MY_MONTH 2</x:v>
      </x:c>
      <x:c r="F128" t="str">
        <x:f>INDEX(tblServiceEvents[Status],MATCH($A128,tblServiceEvents[Event #],0))</x:f>
        <x:v>Completed</x:v>
      </x:c>
      <x:c r="G128" t="str">
        <x:f>INDEX(tblServiceEvents[City],MATCH($A128,tblServiceEvents[Event #],0))</x:f>
        <x:v>Washington</x:v>
      </x:c>
      <x:c r="H128" t="str">
        <x:f>INDEX(tblServiceEvents[Jurisdiction],MATCH($A128,tblServiceEvents[Event #],0))</x:f>
        <x:v>DC</x:v>
      </x:c>
      <x:c r="I128" t="n">
        <x:f>COUNTIF(tblLedger[Event #],A128)</x:f>
        <x:v>1</x:v>
      </x:c>
      <x:c r="J128" t="str">
        <x:f>IF(COUNTIF(tblServiceEvents[Event #],A128)&gt;1,"Yes","No")</x:f>
        <x:v>No</x:v>
      </x:c>
      <x:c r="K128" t="str">
        <x:f>IF(C128="","Yes","No")</x:f>
        <x:v>No</x:v>
      </x:c>
      <x:c r="L128" t="str">
        <x:f>IF(B128="","Yes","No")</x:f>
        <x:v>No</x:v>
      </x:c>
      <x:c r="M128" t="str">
        <x:f>IF(OR(G128="",H128=""),"Yes","No")</x:f>
        <x:v>No</x:v>
      </x:c>
      <x:c r="N128" t="str">
        <x:f>IF(COUNTIF({"Monday","Tuesday","Wednesday","Thursday","Friday"},D128)=0,"Yes","No")</x:f>
        <x:v>No</x:v>
      </x:c>
      <x:c r="O128" t="str">
        <x:f>IF(COUNTIF({"MY_MONTH 1","MY_MONTH 2","MY_MONTH 3"},E128)=0,"Yes","No")</x:f>
        <x:v>No</x:v>
      </x:c>
      <x:c r="P128" t="str">
        <x:f>IF(J128="Yes","Duplicate Event #",IF(K128="Yes","Missing Date",IF(L128="Yes","Missing Client",IF(M128="Yes","Missing Location",IF(N128="Yes","Unknown Weekday",IF(O128="Yes","Unknown MY_MONTH",IF(I128=0,"No Linked WO","OK")))))))</x:f>
        <x:v>OK</x:v>
      </x:c>
      <x:c r="Q128" t="str">
        <x:f>IF(J128="Yes","Critical",IF(OR(K128="Yes",L128="Yes",M128="Yes",N128="Yes",O128="Yes"),"Warning",IF(I128=0,"Informational","OK")))</x:f>
        <x:v>OK</x:v>
      </x:c>
      <x:c r="R128" t="str">
        <x:f>IF(P128="OK","No","Yes")</x:f>
        <x:v>No</x:v>
      </x:c>
    </x:row>
    <x:row r="129">
      <x:c r="A129" t="n">
        <x:v>30</x:v>
      </x:c>
      <x:c r="B129" t="str">
        <x:f>INDEX(tblServiceEvents[Client],MATCH($A129,tblServiceEvents[Event #],0))</x:f>
        <x:v>TJ Maxx</x:v>
      </x:c>
      <x:c r="C129" s="35" t="n">
        <x:f>INDEX(tblServiceEvents[Service Date],MATCH($A129,tblServiceEvents[Event #],0))</x:f>
        <x:v>46176</x:v>
      </x:c>
      <x:c r="D129" t="str">
        <x:f>INDEX(tblServiceEvents[Weekday],MATCH($A129,tblServiceEvents[Event #],0))</x:f>
        <x:v>Wednesday</x:v>
      </x:c>
      <x:c r="E129" t="str">
        <x:f>INDEX(tblServiceEvents[MY_MONTH],MATCH($A129,tblServiceEvents[Event #],0))</x:f>
        <x:v>MY_MONTH 2</x:v>
      </x:c>
      <x:c r="F129" t="str">
        <x:f>INDEX(tblServiceEvents[Status],MATCH($A129,tblServiceEvents[Event #],0))</x:f>
        <x:v>Completed</x:v>
      </x:c>
      <x:c r="G129" t="str">
        <x:f>INDEX(tblServiceEvents[City],MATCH($A129,tblServiceEvents[Event #],0))</x:f>
        <x:v>Rockville</x:v>
      </x:c>
      <x:c r="H129" t="str">
        <x:f>INDEX(tblServiceEvents[Jurisdiction],MATCH($A129,tblServiceEvents[Event #],0))</x:f>
        <x:v>MD</x:v>
      </x:c>
      <x:c r="I129" t="n">
        <x:f>COUNTIF(tblLedger[Event #],A129)</x:f>
        <x:v>1</x:v>
      </x:c>
      <x:c r="J129" t="str">
        <x:f>IF(COUNTIF(tblServiceEvents[Event #],A129)&gt;1,"Yes","No")</x:f>
        <x:v>No</x:v>
      </x:c>
      <x:c r="K129" t="str">
        <x:f>IF(C129="","Yes","No")</x:f>
        <x:v>No</x:v>
      </x:c>
      <x:c r="L129" t="str">
        <x:f>IF(B129="","Yes","No")</x:f>
        <x:v>No</x:v>
      </x:c>
      <x:c r="M129" t="str">
        <x:f>IF(OR(G129="",H129=""),"Yes","No")</x:f>
        <x:v>No</x:v>
      </x:c>
      <x:c r="N129" t="str">
        <x:f>IF(COUNTIF({"Monday","Tuesday","Wednesday","Thursday","Friday"},D129)=0,"Yes","No")</x:f>
        <x:v>No</x:v>
      </x:c>
      <x:c r="O129" t="str">
        <x:f>IF(COUNTIF({"MY_MONTH 1","MY_MONTH 2","MY_MONTH 3"},E129)=0,"Yes","No")</x:f>
        <x:v>No</x:v>
      </x:c>
      <x:c r="P129" t="str">
        <x:f>IF(J129="Yes","Duplicate Event #",IF(K129="Yes","Missing Date",IF(L129="Yes","Missing Client",IF(M129="Yes","Missing Location",IF(N129="Yes","Unknown Weekday",IF(O129="Yes","Unknown MY_MONTH",IF(I129=0,"No Linked WO","OK")))))))</x:f>
        <x:v>OK</x:v>
      </x:c>
      <x:c r="Q129" t="str">
        <x:f>IF(J129="Yes","Critical",IF(OR(K129="Yes",L129="Yes",M129="Yes",N129="Yes",O129="Yes"),"Warning",IF(I129=0,"Informational","OK")))</x:f>
        <x:v>OK</x:v>
      </x:c>
      <x:c r="R129" t="str">
        <x:f>IF(P129="OK","No","Yes")</x:f>
        <x:v>No</x:v>
      </x:c>
    </x:row>
    <x:row r="130">
      <x:c r="A130" t="n">
        <x:v>31</x:v>
      </x:c>
      <x:c r="B130" t="str">
        <x:f>INDEX(tblServiceEvents[Client],MATCH($A130,tblServiceEvents[Event #],0))</x:f>
        <x:v>USDA</x:v>
      </x:c>
      <x:c r="C130" s="35" t="n">
        <x:f>INDEX(tblServiceEvents[Service Date],MATCH($A130,tblServiceEvents[Event #],0))</x:f>
        <x:v>46177</x:v>
      </x:c>
      <x:c r="D130" t="str">
        <x:f>INDEX(tblServiceEvents[Weekday],MATCH($A130,tblServiceEvents[Event #],0))</x:f>
        <x:v>Thursday</x:v>
      </x:c>
      <x:c r="E130" t="str">
        <x:f>INDEX(tblServiceEvents[MY_MONTH],MATCH($A130,tblServiceEvents[Event #],0))</x:f>
        <x:v>MY_MONTH 2</x:v>
      </x:c>
      <x:c r="F130" t="str">
        <x:f>INDEX(tblServiceEvents[Status],MATCH($A130,tblServiceEvents[Event #],0))</x:f>
        <x:v>Completed</x:v>
      </x:c>
      <x:c r="G130" t="str">
        <x:f>INDEX(tblServiceEvents[City],MATCH($A130,tblServiceEvents[Event #],0))</x:f>
        <x:v>Washington</x:v>
      </x:c>
      <x:c r="H130" t="str">
        <x:f>INDEX(tblServiceEvents[Jurisdiction],MATCH($A130,tblServiceEvents[Event #],0))</x:f>
        <x:v>DC</x:v>
      </x:c>
      <x:c r="I130" t="n">
        <x:f>COUNTIF(tblLedger[Event #],A130)</x:f>
        <x:v>1</x:v>
      </x:c>
      <x:c r="J130" t="str">
        <x:f>IF(COUNTIF(tblServiceEvents[Event #],A130)&gt;1,"Yes","No")</x:f>
        <x:v>No</x:v>
      </x:c>
      <x:c r="K130" t="str">
        <x:f>IF(C130="","Yes","No")</x:f>
        <x:v>No</x:v>
      </x:c>
      <x:c r="L130" t="str">
        <x:f>IF(B130="","Yes","No")</x:f>
        <x:v>No</x:v>
      </x:c>
      <x:c r="M130" t="str">
        <x:f>IF(OR(G130="",H130=""),"Yes","No")</x:f>
        <x:v>No</x:v>
      </x:c>
      <x:c r="N130" t="str">
        <x:f>IF(COUNTIF({"Monday","Tuesday","Wednesday","Thursday","Friday"},D130)=0,"Yes","No")</x:f>
        <x:v>No</x:v>
      </x:c>
      <x:c r="O130" t="str">
        <x:f>IF(COUNTIF({"MY_MONTH 1","MY_MONTH 2","MY_MONTH 3"},E130)=0,"Yes","No")</x:f>
        <x:v>No</x:v>
      </x:c>
      <x:c r="P130" t="str">
        <x:f>IF(J130="Yes","Duplicate Event #",IF(K130="Yes","Missing Date",IF(L130="Yes","Missing Client",IF(M130="Yes","Missing Location",IF(N130="Yes","Unknown Weekday",IF(O130="Yes","Unknown MY_MONTH",IF(I130=0,"No Linked WO","OK")))))))</x:f>
        <x:v>OK</x:v>
      </x:c>
      <x:c r="Q130" t="str">
        <x:f>IF(J130="Yes","Critical",IF(OR(K130="Yes",L130="Yes",M130="Yes",N130="Yes",O130="Yes"),"Warning",IF(I130=0,"Informational","OK")))</x:f>
        <x:v>OK</x:v>
      </x:c>
      <x:c r="R130" t="str">
        <x:f>IF(P130="OK","No","Yes")</x:f>
        <x:v>No</x:v>
      </x:c>
    </x:row>
    <x:row r="131">
      <x:c r="A131" t="n">
        <x:v>32</x:v>
      </x:c>
      <x:c r="B131" t="str">
        <x:f>INDEX(tblServiceEvents[Client],MATCH($A131,tblServiceEvents[Event #],0))</x:f>
        <x:v>Hilton Garden Inn</x:v>
      </x:c>
      <x:c r="C131" s="35" t="n">
        <x:f>INDEX(tblServiceEvents[Service Date],MATCH($A131,tblServiceEvents[Event #],0))</x:f>
        <x:v>46178</x:v>
      </x:c>
      <x:c r="D131" t="str">
        <x:f>INDEX(tblServiceEvents[Weekday],MATCH($A131,tblServiceEvents[Event #],0))</x:f>
        <x:v>Friday</x:v>
      </x:c>
      <x:c r="E131" t="str">
        <x:f>INDEX(tblServiceEvents[MY_MONTH],MATCH($A131,tblServiceEvents[Event #],0))</x:f>
        <x:v>MY_MONTH 2</x:v>
      </x:c>
      <x:c r="F131" t="str">
        <x:f>INDEX(tblServiceEvents[Status],MATCH($A131,tblServiceEvents[Event #],0))</x:f>
        <x:v>Completed</x:v>
      </x:c>
      <x:c r="G131" t="str">
        <x:f>INDEX(tblServiceEvents[City],MATCH($A131,tblServiceEvents[Event #],0))</x:f>
        <x:v>Fairfax</x:v>
      </x:c>
      <x:c r="H131" t="str">
        <x:f>INDEX(tblServiceEvents[Jurisdiction],MATCH($A131,tblServiceEvents[Event #],0))</x:f>
        <x:v>VA</x:v>
      </x:c>
      <x:c r="I131" t="n">
        <x:f>COUNTIF(tblLedger[Event #],A131)</x:f>
        <x:v>1</x:v>
      </x:c>
      <x:c r="J131" t="str">
        <x:f>IF(COUNTIF(tblServiceEvents[Event #],A131)&gt;1,"Yes","No")</x:f>
        <x:v>No</x:v>
      </x:c>
      <x:c r="K131" t="str">
        <x:f>IF(C131="","Yes","No")</x:f>
        <x:v>No</x:v>
      </x:c>
      <x:c r="L131" t="str">
        <x:f>IF(B131="","Yes","No")</x:f>
        <x:v>No</x:v>
      </x:c>
      <x:c r="M131" t="str">
        <x:f>IF(OR(G131="",H131=""),"Yes","No")</x:f>
        <x:v>No</x:v>
      </x:c>
      <x:c r="N131" t="str">
        <x:f>IF(COUNTIF({"Monday","Tuesday","Wednesday","Thursday","Friday"},D131)=0,"Yes","No")</x:f>
        <x:v>No</x:v>
      </x:c>
      <x:c r="O131" t="str">
        <x:f>IF(COUNTIF({"MY_MONTH 1","MY_MONTH 2","MY_MONTH 3"},E131)=0,"Yes","No")</x:f>
        <x:v>No</x:v>
      </x:c>
      <x:c r="P131" t="str">
        <x:f>IF(J131="Yes","Duplicate Event #",IF(K131="Yes","Missing Date",IF(L131="Yes","Missing Client",IF(M131="Yes","Missing Location",IF(N131="Yes","Unknown Weekday",IF(O131="Yes","Unknown MY_MONTH",IF(I131=0,"No Linked WO","OK")))))))</x:f>
        <x:v>OK</x:v>
      </x:c>
      <x:c r="Q131" t="str">
        <x:f>IF(J131="Yes","Critical",IF(OR(K131="Yes",L131="Yes",M131="Yes",N131="Yes",O131="Yes"),"Warning",IF(I131=0,"Informational","OK")))</x:f>
        <x:v>OK</x:v>
      </x:c>
      <x:c r="R131" t="str">
        <x:f>IF(P131="OK","No","Yes")</x:f>
        <x:v>No</x:v>
      </x:c>
    </x:row>
    <x:row r="132">
      <x:c r="A132" t="n">
        <x:v>33</x:v>
      </x:c>
      <x:c r="B132" t="str">
        <x:f>INDEX(tblServiceEvents[Client],MATCH($A132,tblServiceEvents[Event #],0))</x:f>
        <x:v>Hebrew Home of Greater Washington</x:v>
      </x:c>
      <x:c r="C132" s="35" t="n">
        <x:f>INDEX(tblServiceEvents[Service Date],MATCH($A132,tblServiceEvents[Event #],0))</x:f>
        <x:v>46178</x:v>
      </x:c>
      <x:c r="D132" t="str">
        <x:f>INDEX(tblServiceEvents[Weekday],MATCH($A132,tblServiceEvents[Event #],0))</x:f>
        <x:v>Friday</x:v>
      </x:c>
      <x:c r="E132" t="str">
        <x:f>INDEX(tblServiceEvents[MY_MONTH],MATCH($A132,tblServiceEvents[Event #],0))</x:f>
        <x:v>MY_MONTH 2</x:v>
      </x:c>
      <x:c r="F132" t="str">
        <x:f>INDEX(tblServiceEvents[Status],MATCH($A132,tblServiceEvents[Event #],0))</x:f>
        <x:v>Completed</x:v>
      </x:c>
      <x:c r="G132" t="str">
        <x:f>INDEX(tblServiceEvents[City],MATCH($A132,tblServiceEvents[Event #],0))</x:f>
        <x:v>North Bethesda</x:v>
      </x:c>
      <x:c r="H132" t="str">
        <x:f>INDEX(tblServiceEvents[Jurisdiction],MATCH($A132,tblServiceEvents[Event #],0))</x:f>
        <x:v>MD</x:v>
      </x:c>
      <x:c r="I132" t="n">
        <x:f>COUNTIF(tblLedger[Event #],A132)</x:f>
        <x:v>1</x:v>
      </x:c>
      <x:c r="J132" t="str">
        <x:f>IF(COUNTIF(tblServiceEvents[Event #],A132)&gt;1,"Yes","No")</x:f>
        <x:v>No</x:v>
      </x:c>
      <x:c r="K132" t="str">
        <x:f>IF(C132="","Yes","No")</x:f>
        <x:v>No</x:v>
      </x:c>
      <x:c r="L132" t="str">
        <x:f>IF(B132="","Yes","No")</x:f>
        <x:v>No</x:v>
      </x:c>
      <x:c r="M132" t="str">
        <x:f>IF(OR(G132="",H132=""),"Yes","No")</x:f>
        <x:v>No</x:v>
      </x:c>
      <x:c r="N132" t="str">
        <x:f>IF(COUNTIF({"Monday","Tuesday","Wednesday","Thursday","Friday"},D132)=0,"Yes","No")</x:f>
        <x:v>No</x:v>
      </x:c>
      <x:c r="O132" t="str">
        <x:f>IF(COUNTIF({"MY_MONTH 1","MY_MONTH 2","MY_MONTH 3"},E132)=0,"Yes","No")</x:f>
        <x:v>No</x:v>
      </x:c>
      <x:c r="P132" t="str">
        <x:f>IF(J132="Yes","Duplicate Event #",IF(K132="Yes","Missing Date",IF(L132="Yes","Missing Client",IF(M132="Yes","Missing Location",IF(N132="Yes","Unknown Weekday",IF(O132="Yes","Unknown MY_MONTH",IF(I132=0,"No Linked WO","OK")))))))</x:f>
        <x:v>OK</x:v>
      </x:c>
      <x:c r="Q132" t="str">
        <x:f>IF(J132="Yes","Critical",IF(OR(K132="Yes",L132="Yes",M132="Yes",N132="Yes",O132="Yes"),"Warning",IF(I132=0,"Informational","OK")))</x:f>
        <x:v>OK</x:v>
      </x:c>
      <x:c r="R132" t="str">
        <x:f>IF(P132="OK","No","Yes")</x:f>
        <x:v>No</x:v>
      </x:c>
    </x:row>
    <x:row r="133">
      <x:c r="A133" t="n">
        <x:v>34</x:v>
      </x:c>
      <x:c r="B133" t="str">
        <x:f>INDEX(tblServiceEvents[Client],MATCH($A133,tblServiceEvents[Event #],0))</x:f>
        <x:v>TJ Maxx</x:v>
      </x:c>
      <x:c r="C133" s="35" t="n">
        <x:f>INDEX(tblServiceEvents[Service Date],MATCH($A133,tblServiceEvents[Event #],0))</x:f>
        <x:v>46178</x:v>
      </x:c>
      <x:c r="D133" t="str">
        <x:f>INDEX(tblServiceEvents[Weekday],MATCH($A133,tblServiceEvents[Event #],0))</x:f>
        <x:v>Friday</x:v>
      </x:c>
      <x:c r="E133" t="str">
        <x:f>INDEX(tblServiceEvents[MY_MONTH],MATCH($A133,tblServiceEvents[Event #],0))</x:f>
        <x:v>MY_MONTH 2</x:v>
      </x:c>
      <x:c r="F133" t="str">
        <x:f>INDEX(tblServiceEvents[Status],MATCH($A133,tblServiceEvents[Event #],0))</x:f>
        <x:v>Completed</x:v>
      </x:c>
      <x:c r="G133" t="str">
        <x:f>INDEX(tblServiceEvents[City],MATCH($A133,tblServiceEvents[Event #],0))</x:f>
        <x:v>Annapolis</x:v>
      </x:c>
      <x:c r="H133" t="str">
        <x:f>INDEX(tblServiceEvents[Jurisdiction],MATCH($A133,tblServiceEvents[Event #],0))</x:f>
        <x:v>MD</x:v>
      </x:c>
      <x:c r="I133" t="n">
        <x:f>COUNTIF(tblLedger[Event #],A133)</x:f>
        <x:v>1</x:v>
      </x:c>
      <x:c r="J133" t="str">
        <x:f>IF(COUNTIF(tblServiceEvents[Event #],A133)&gt;1,"Yes","No")</x:f>
        <x:v>No</x:v>
      </x:c>
      <x:c r="K133" t="str">
        <x:f>IF(C133="","Yes","No")</x:f>
        <x:v>No</x:v>
      </x:c>
      <x:c r="L133" t="str">
        <x:f>IF(B133="","Yes","No")</x:f>
        <x:v>No</x:v>
      </x:c>
      <x:c r="M133" t="str">
        <x:f>IF(OR(G133="",H133=""),"Yes","No")</x:f>
        <x:v>No</x:v>
      </x:c>
      <x:c r="N133" t="str">
        <x:f>IF(COUNTIF({"Monday","Tuesday","Wednesday","Thursday","Friday"},D133)=0,"Yes","No")</x:f>
        <x:v>No</x:v>
      </x:c>
      <x:c r="O133" t="str">
        <x:f>IF(COUNTIF({"MY_MONTH 1","MY_MONTH 2","MY_MONTH 3"},E133)=0,"Yes","No")</x:f>
        <x:v>No</x:v>
      </x:c>
      <x:c r="P133" t="str">
        <x:f>IF(J133="Yes","Duplicate Event #",IF(K133="Yes","Missing Date",IF(L133="Yes","Missing Client",IF(M133="Yes","Missing Location",IF(N133="Yes","Unknown Weekday",IF(O133="Yes","Unknown MY_MONTH",IF(I133=0,"No Linked WO","OK")))))))</x:f>
        <x:v>OK</x:v>
      </x:c>
      <x:c r="Q133" t="str">
        <x:f>IF(J133="Yes","Critical",IF(OR(K133="Yes",L133="Yes",M133="Yes",N133="Yes",O133="Yes"),"Warning",IF(I133=0,"Informational","OK")))</x:f>
        <x:v>OK</x:v>
      </x:c>
      <x:c r="R133" t="str">
        <x:f>IF(P133="OK","No","Yes")</x:f>
        <x:v>No</x:v>
      </x:c>
    </x:row>
    <x:row r="134">
      <x:c r="A134" t="n">
        <x:v>35</x:v>
      </x:c>
      <x:c r="B134" t="str">
        <x:f>INDEX(tblServiceEvents[Client],MATCH($A134,tblServiceEvents[Event #],0))</x:f>
        <x:v>Marshalls</x:v>
      </x:c>
      <x:c r="C134" s="35" t="n">
        <x:f>INDEX(tblServiceEvents[Service Date],MATCH($A134,tblServiceEvents[Event #],0))</x:f>
        <x:v>46181</x:v>
      </x:c>
      <x:c r="D134" t="str">
        <x:f>INDEX(tblServiceEvents[Weekday],MATCH($A134,tblServiceEvents[Event #],0))</x:f>
        <x:v>Monday</x:v>
      </x:c>
      <x:c r="E134" t="str">
        <x:f>INDEX(tblServiceEvents[MY_MONTH],MATCH($A134,tblServiceEvents[Event #],0))</x:f>
        <x:v>MY_MONTH 2</x:v>
      </x:c>
      <x:c r="F134" t="str">
        <x:f>INDEX(tblServiceEvents[Status],MATCH($A134,tblServiceEvents[Event #],0))</x:f>
        <x:v>Completed</x:v>
      </x:c>
      <x:c r="G134" t="str">
        <x:f>INDEX(tblServiceEvents[City],MATCH($A134,tblServiceEvents[Event #],0))</x:f>
        <x:v>Dunkirk</x:v>
      </x:c>
      <x:c r="H134" t="str">
        <x:f>INDEX(tblServiceEvents[Jurisdiction],MATCH($A134,tblServiceEvents[Event #],0))</x:f>
        <x:v>MD</x:v>
      </x:c>
      <x:c r="I134" t="n">
        <x:f>COUNTIF(tblLedger[Event #],A134)</x:f>
        <x:v>1</x:v>
      </x:c>
      <x:c r="J134" t="str">
        <x:f>IF(COUNTIF(tblServiceEvents[Event #],A134)&gt;1,"Yes","No")</x:f>
        <x:v>No</x:v>
      </x:c>
      <x:c r="K134" t="str">
        <x:f>IF(C134="","Yes","No")</x:f>
        <x:v>No</x:v>
      </x:c>
      <x:c r="L134" t="str">
        <x:f>IF(B134="","Yes","No")</x:f>
        <x:v>No</x:v>
      </x:c>
      <x:c r="M134" t="str">
        <x:f>IF(OR(G134="",H134=""),"Yes","No")</x:f>
        <x:v>No</x:v>
      </x:c>
      <x:c r="N134" t="str">
        <x:f>IF(COUNTIF({"Monday","Tuesday","Wednesday","Thursday","Friday"},D134)=0,"Yes","No")</x:f>
        <x:v>No</x:v>
      </x:c>
      <x:c r="O134" t="str">
        <x:f>IF(COUNTIF({"MY_MONTH 1","MY_MONTH 2","MY_MONTH 3"},E134)=0,"Yes","No")</x:f>
        <x:v>No</x:v>
      </x:c>
      <x:c r="P134" t="str">
        <x:f>IF(J134="Yes","Duplicate Event #",IF(K134="Yes","Missing Date",IF(L134="Yes","Missing Client",IF(M134="Yes","Missing Location",IF(N134="Yes","Unknown Weekday",IF(O134="Yes","Unknown MY_MONTH",IF(I134=0,"No Linked WO","OK")))))))</x:f>
        <x:v>OK</x:v>
      </x:c>
      <x:c r="Q134" t="str">
        <x:f>IF(J134="Yes","Critical",IF(OR(K134="Yes",L134="Yes",M134="Yes",N134="Yes",O134="Yes"),"Warning",IF(I134=0,"Informational","OK")))</x:f>
        <x:v>OK</x:v>
      </x:c>
      <x:c r="R134" t="str">
        <x:f>IF(P134="OK","No","Yes")</x:f>
        <x:v>No</x:v>
      </x:c>
    </x:row>
    <x:row r="135">
      <x:c r="A135" t="n">
        <x:v>36</x:v>
      </x:c>
      <x:c r="B135" t="str">
        <x:f>INDEX(tblServiceEvents[Client],MATCH($A135,tblServiceEvents[Event #],0))</x:f>
        <x:v>Hampton Inn &amp; Suites</x:v>
      </x:c>
      <x:c r="C135" s="35" t="n">
        <x:f>INDEX(tblServiceEvents[Service Date],MATCH($A135,tblServiceEvents[Event #],0))</x:f>
        <x:v>46182</x:v>
      </x:c>
      <x:c r="D135" t="str">
        <x:f>INDEX(tblServiceEvents[Weekday],MATCH($A135,tblServiceEvents[Event #],0))</x:f>
        <x:v>Tuesday</x:v>
      </x:c>
      <x:c r="E135" t="str">
        <x:f>INDEX(tblServiceEvents[MY_MONTH],MATCH($A135,tblServiceEvents[Event #],0))</x:f>
        <x:v>MY_MONTH 2</x:v>
      </x:c>
      <x:c r="F135" t="str">
        <x:f>INDEX(tblServiceEvents[Status],MATCH($A135,tblServiceEvents[Event #],0))</x:f>
        <x:v>Completed</x:v>
      </x:c>
      <x:c r="G135" t="str">
        <x:f>INDEX(tblServiceEvents[City],MATCH($A135,tblServiceEvents[Event #],0))</x:f>
        <x:v>Edgewood</x:v>
      </x:c>
      <x:c r="H135" t="str">
        <x:f>INDEX(tblServiceEvents[Jurisdiction],MATCH($A135,tblServiceEvents[Event #],0))</x:f>
        <x:v>MD</x:v>
      </x:c>
      <x:c r="I135" t="n">
        <x:f>COUNTIF(tblLedger[Event #],A135)</x:f>
        <x:v>1</x:v>
      </x:c>
      <x:c r="J135" t="str">
        <x:f>IF(COUNTIF(tblServiceEvents[Event #],A135)&gt;1,"Yes","No")</x:f>
        <x:v>No</x:v>
      </x:c>
      <x:c r="K135" t="str">
        <x:f>IF(C135="","Yes","No")</x:f>
        <x:v>No</x:v>
      </x:c>
      <x:c r="L135" t="str">
        <x:f>IF(B135="","Yes","No")</x:f>
        <x:v>No</x:v>
      </x:c>
      <x:c r="M135" t="str">
        <x:f>IF(OR(G135="",H135=""),"Yes","No")</x:f>
        <x:v>No</x:v>
      </x:c>
      <x:c r="N135" t="str">
        <x:f>IF(COUNTIF({"Monday","Tuesday","Wednesday","Thursday","Friday"},D135)=0,"Yes","No")</x:f>
        <x:v>No</x:v>
      </x:c>
      <x:c r="O135" t="str">
        <x:f>IF(COUNTIF({"MY_MONTH 1","MY_MONTH 2","MY_MONTH 3"},E135)=0,"Yes","No")</x:f>
        <x:v>No</x:v>
      </x:c>
      <x:c r="P135" t="str">
        <x:f>IF(J135="Yes","Duplicate Event #",IF(K135="Yes","Missing Date",IF(L135="Yes","Missing Client",IF(M135="Yes","Missing Location",IF(N135="Yes","Unknown Weekday",IF(O135="Yes","Unknown MY_MONTH",IF(I135=0,"No Linked WO","OK")))))))</x:f>
        <x:v>OK</x:v>
      </x:c>
      <x:c r="Q135" t="str">
        <x:f>IF(J135="Yes","Critical",IF(OR(K135="Yes",L135="Yes",M135="Yes",N135="Yes",O135="Yes"),"Warning",IF(I135=0,"Informational","OK")))</x:f>
        <x:v>OK</x:v>
      </x:c>
      <x:c r="R135" t="str">
        <x:f>IF(P135="OK","No","Yes")</x:f>
        <x:v>No</x:v>
      </x:c>
    </x:row>
    <x:row r="136">
      <x:c r="A136" t="n">
        <x:v>37</x:v>
      </x:c>
      <x:c r="B136" t="str">
        <x:f>INDEX(tblServiceEvents[Client],MATCH($A136,tblServiceEvents[Event #],0))</x:f>
        <x:v>HomeGoods</x:v>
      </x:c>
      <x:c r="C136" s="35" t="n">
        <x:f>INDEX(tblServiceEvents[Service Date],MATCH($A136,tblServiceEvents[Event #],0))</x:f>
        <x:v>46182</x:v>
      </x:c>
      <x:c r="D136" t="str">
        <x:f>INDEX(tblServiceEvents[Weekday],MATCH($A136,tblServiceEvents[Event #],0))</x:f>
        <x:v>Tuesday</x:v>
      </x:c>
      <x:c r="E136" t="str">
        <x:f>INDEX(tblServiceEvents[MY_MONTH],MATCH($A136,tblServiceEvents[Event #],0))</x:f>
        <x:v>MY_MONTH 2</x:v>
      </x:c>
      <x:c r="F136" t="str">
        <x:f>INDEX(tblServiceEvents[Status],MATCH($A136,tblServiceEvents[Event #],0))</x:f>
        <x:v>Completed</x:v>
      </x:c>
      <x:c r="G136" t="str">
        <x:f>INDEX(tblServiceEvents[City],MATCH($A136,tblServiceEvents[Event #],0))</x:f>
        <x:v>Sterling</x:v>
      </x:c>
      <x:c r="H136" t="str">
        <x:f>INDEX(tblServiceEvents[Jurisdiction],MATCH($A136,tblServiceEvents[Event #],0))</x:f>
        <x:v>VA</x:v>
      </x:c>
      <x:c r="I136" t="n">
        <x:f>COUNTIF(tblLedger[Event #],A136)</x:f>
        <x:v>1</x:v>
      </x:c>
      <x:c r="J136" t="str">
        <x:f>IF(COUNTIF(tblServiceEvents[Event #],A136)&gt;1,"Yes","No")</x:f>
        <x:v>No</x:v>
      </x:c>
      <x:c r="K136" t="str">
        <x:f>IF(C136="","Yes","No")</x:f>
        <x:v>No</x:v>
      </x:c>
      <x:c r="L136" t="str">
        <x:f>IF(B136="","Yes","No")</x:f>
        <x:v>No</x:v>
      </x:c>
      <x:c r="M136" t="str">
        <x:f>IF(OR(G136="",H136=""),"Yes","No")</x:f>
        <x:v>No</x:v>
      </x:c>
      <x:c r="N136" t="str">
        <x:f>IF(COUNTIF({"Monday","Tuesday","Wednesday","Thursday","Friday"},D136)=0,"Yes","No")</x:f>
        <x:v>No</x:v>
      </x:c>
      <x:c r="O136" t="str">
        <x:f>IF(COUNTIF({"MY_MONTH 1","MY_MONTH 2","MY_MONTH 3"},E136)=0,"Yes","No")</x:f>
        <x:v>No</x:v>
      </x:c>
      <x:c r="P136" t="str">
        <x:f>IF(J136="Yes","Duplicate Event #",IF(K136="Yes","Missing Date",IF(L136="Yes","Missing Client",IF(M136="Yes","Missing Location",IF(N136="Yes","Unknown Weekday",IF(O136="Yes","Unknown MY_MONTH",IF(I136=0,"No Linked WO","OK")))))))</x:f>
        <x:v>OK</x:v>
      </x:c>
      <x:c r="Q136" t="str">
        <x:f>IF(J136="Yes","Critical",IF(OR(K136="Yes",L136="Yes",M136="Yes",N136="Yes",O136="Yes"),"Warning",IF(I136=0,"Informational","OK")))</x:f>
        <x:v>OK</x:v>
      </x:c>
      <x:c r="R136" t="str">
        <x:f>IF(P136="OK","No","Yes")</x:f>
        <x:v>No</x:v>
      </x:c>
    </x:row>
    <x:row r="137">
      <x:c r="A137" t="n">
        <x:v>38</x:v>
      </x:c>
      <x:c r="B137" t="str">
        <x:f>INDEX(tblServiceEvents[Client],MATCH($A137,tblServiceEvents[Event #],0))</x:f>
        <x:v>7-Eleven</x:v>
      </x:c>
      <x:c r="C137" s="35" t="n">
        <x:f>INDEX(tblServiceEvents[Service Date],MATCH($A137,tblServiceEvents[Event #],0))</x:f>
        <x:v>46183</x:v>
      </x:c>
      <x:c r="D137" t="str">
        <x:f>INDEX(tblServiceEvents[Weekday],MATCH($A137,tblServiceEvents[Event #],0))</x:f>
        <x:v>Wednesday</x:v>
      </x:c>
      <x:c r="E137" t="str">
        <x:f>INDEX(tblServiceEvents[MY_MONTH],MATCH($A137,tblServiceEvents[Event #],0))</x:f>
        <x:v>MY_MONTH 2</x:v>
      </x:c>
      <x:c r="F137" t="str">
        <x:f>INDEX(tblServiceEvents[Status],MATCH($A137,tblServiceEvents[Event #],0))</x:f>
        <x:v>Completed</x:v>
      </x:c>
      <x:c r="G137" t="str">
        <x:f>INDEX(tblServiceEvents[City],MATCH($A137,tblServiceEvents[Event #],0))</x:f>
        <x:v>Lanham</x:v>
      </x:c>
      <x:c r="H137" t="str">
        <x:f>INDEX(tblServiceEvents[Jurisdiction],MATCH($A137,tblServiceEvents[Event #],0))</x:f>
        <x:v>MD</x:v>
      </x:c>
      <x:c r="I137" t="n">
        <x:f>COUNTIF(tblLedger[Event #],A137)</x:f>
        <x:v>1</x:v>
      </x:c>
      <x:c r="J137" t="str">
        <x:f>IF(COUNTIF(tblServiceEvents[Event #],A137)&gt;1,"Yes","No")</x:f>
        <x:v>No</x:v>
      </x:c>
      <x:c r="K137" t="str">
        <x:f>IF(C137="","Yes","No")</x:f>
        <x:v>No</x:v>
      </x:c>
      <x:c r="L137" t="str">
        <x:f>IF(B137="","Yes","No")</x:f>
        <x:v>No</x:v>
      </x:c>
      <x:c r="M137" t="str">
        <x:f>IF(OR(G137="",H137=""),"Yes","No")</x:f>
        <x:v>No</x:v>
      </x:c>
      <x:c r="N137" t="str">
        <x:f>IF(COUNTIF({"Monday","Tuesday","Wednesday","Thursday","Friday"},D137)=0,"Yes","No")</x:f>
        <x:v>No</x:v>
      </x:c>
      <x:c r="O137" t="str">
        <x:f>IF(COUNTIF({"MY_MONTH 1","MY_MONTH 2","MY_MONTH 3"},E137)=0,"Yes","No")</x:f>
        <x:v>No</x:v>
      </x:c>
      <x:c r="P137" t="str">
        <x:f>IF(J137="Yes","Duplicate Event #",IF(K137="Yes","Missing Date",IF(L137="Yes","Missing Client",IF(M137="Yes","Missing Location",IF(N137="Yes","Unknown Weekday",IF(O137="Yes","Unknown MY_MONTH",IF(I137=0,"No Linked WO","OK")))))))</x:f>
        <x:v>OK</x:v>
      </x:c>
      <x:c r="Q137" t="str">
        <x:f>IF(J137="Yes","Critical",IF(OR(K137="Yes",L137="Yes",M137="Yes",N137="Yes",O137="Yes"),"Warning",IF(I137=0,"Informational","OK")))</x:f>
        <x:v>OK</x:v>
      </x:c>
      <x:c r="R137" t="str">
        <x:f>IF(P137="OK","No","Yes")</x:f>
        <x:v>No</x:v>
      </x:c>
    </x:row>
    <x:row r="138">
      <x:c r="A138" t="n">
        <x:v>39</x:v>
      </x:c>
      <x:c r="B138" t="str">
        <x:f>INDEX(tblServiceEvents[Client],MATCH($A138,tblServiceEvents[Event #],0))</x:f>
        <x:v>TJ Maxx</x:v>
      </x:c>
      <x:c r="C138" s="35" t="n">
        <x:f>INDEX(tblServiceEvents[Service Date],MATCH($A138,tblServiceEvents[Event #],0))</x:f>
        <x:v>46183</x:v>
      </x:c>
      <x:c r="D138" t="str">
        <x:f>INDEX(tblServiceEvents[Weekday],MATCH($A138,tblServiceEvents[Event #],0))</x:f>
        <x:v>Wednesday</x:v>
      </x:c>
      <x:c r="E138" t="str">
        <x:f>INDEX(tblServiceEvents[MY_MONTH],MATCH($A138,tblServiceEvents[Event #],0))</x:f>
        <x:v>MY_MONTH 2</x:v>
      </x:c>
      <x:c r="F138" t="str">
        <x:f>INDEX(tblServiceEvents[Status],MATCH($A138,tblServiceEvents[Event #],0))</x:f>
        <x:v>Completed</x:v>
      </x:c>
      <x:c r="G138" t="str">
        <x:f>INDEX(tblServiceEvents[City],MATCH($A138,tblServiceEvents[Event #],0))</x:f>
        <x:v>Annapolis</x:v>
      </x:c>
      <x:c r="H138" t="str">
        <x:f>INDEX(tblServiceEvents[Jurisdiction],MATCH($A138,tblServiceEvents[Event #],0))</x:f>
        <x:v>MD</x:v>
      </x:c>
      <x:c r="I138" t="n">
        <x:f>COUNTIF(tblLedger[Event #],A138)</x:f>
        <x:v>1</x:v>
      </x:c>
      <x:c r="J138" t="str">
        <x:f>IF(COUNTIF(tblServiceEvents[Event #],A138)&gt;1,"Yes","No")</x:f>
        <x:v>No</x:v>
      </x:c>
      <x:c r="K138" t="str">
        <x:f>IF(C138="","Yes","No")</x:f>
        <x:v>No</x:v>
      </x:c>
      <x:c r="L138" t="str">
        <x:f>IF(B138="","Yes","No")</x:f>
        <x:v>No</x:v>
      </x:c>
      <x:c r="M138" t="str">
        <x:f>IF(OR(G138="",H138=""),"Yes","No")</x:f>
        <x:v>No</x:v>
      </x:c>
      <x:c r="N138" t="str">
        <x:f>IF(COUNTIF({"Monday","Tuesday","Wednesday","Thursday","Friday"},D138)=0,"Yes","No")</x:f>
        <x:v>No</x:v>
      </x:c>
      <x:c r="O138" t="str">
        <x:f>IF(COUNTIF({"MY_MONTH 1","MY_MONTH 2","MY_MONTH 3"},E138)=0,"Yes","No")</x:f>
        <x:v>No</x:v>
      </x:c>
      <x:c r="P138" t="str">
        <x:f>IF(J138="Yes","Duplicate Event #",IF(K138="Yes","Missing Date",IF(L138="Yes","Missing Client",IF(M138="Yes","Missing Location",IF(N138="Yes","Unknown Weekday",IF(O138="Yes","Unknown MY_MONTH",IF(I138=0,"No Linked WO","OK")))))))</x:f>
        <x:v>OK</x:v>
      </x:c>
      <x:c r="Q138" t="str">
        <x:f>IF(J138="Yes","Critical",IF(OR(K138="Yes",L138="Yes",M138="Yes",N138="Yes",O138="Yes"),"Warning",IF(I138=0,"Informational","OK")))</x:f>
        <x:v>OK</x:v>
      </x:c>
      <x:c r="R138" t="str">
        <x:f>IF(P138="OK","No","Yes")</x:f>
        <x:v>No</x:v>
      </x:c>
    </x:row>
    <x:row r="139">
      <x:c r="A139" t="n">
        <x:v>40</x:v>
      </x:c>
      <x:c r="B139" t="str">
        <x:f>INDEX(tblServiceEvents[Client],MATCH($A139,tblServiceEvents[Event #],0))</x:f>
        <x:v>Residential – Annapolis Neck, MD</x:v>
      </x:c>
      <x:c r="C139" s="35" t="n">
        <x:f>INDEX(tblServiceEvents[Service Date],MATCH($A139,tblServiceEvents[Event #],0))</x:f>
        <x:v>46183</x:v>
      </x:c>
      <x:c r="D139" t="str">
        <x:f>INDEX(tblServiceEvents[Weekday],MATCH($A139,tblServiceEvents[Event #],0))</x:f>
        <x:v>Wednesday</x:v>
      </x:c>
      <x:c r="E139" t="str">
        <x:f>INDEX(tblServiceEvents[MY_MONTH],MATCH($A139,tblServiceEvents[Event #],0))</x:f>
        <x:v>MY_MONTH 2</x:v>
      </x:c>
      <x:c r="F139" t="str">
        <x:f>INDEX(tblServiceEvents[Status],MATCH($A139,tblServiceEvents[Event #],0))</x:f>
        <x:v>Completed</x:v>
      </x:c>
      <x:c r="G139" t="str">
        <x:f>INDEX(tblServiceEvents[City],MATCH($A139,tblServiceEvents[Event #],0))</x:f>
        <x:v>Annapolis Neck</x:v>
      </x:c>
      <x:c r="H139" t="str">
        <x:f>INDEX(tblServiceEvents[Jurisdiction],MATCH($A139,tblServiceEvents[Event #],0))</x:f>
        <x:v>MD</x:v>
      </x:c>
      <x:c r="I139" t="n">
        <x:f>COUNTIF(tblLedger[Event #],A139)</x:f>
        <x:v>1</x:v>
      </x:c>
      <x:c r="J139" t="str">
        <x:f>IF(COUNTIF(tblServiceEvents[Event #],A139)&gt;1,"Yes","No")</x:f>
        <x:v>No</x:v>
      </x:c>
      <x:c r="K139" t="str">
        <x:f>IF(C139="","Yes","No")</x:f>
        <x:v>No</x:v>
      </x:c>
      <x:c r="L139" t="str">
        <x:f>IF(B139="","Yes","No")</x:f>
        <x:v>No</x:v>
      </x:c>
      <x:c r="M139" t="str">
        <x:f>IF(OR(G139="",H139=""),"Yes","No")</x:f>
        <x:v>No</x:v>
      </x:c>
      <x:c r="N139" t="str">
        <x:f>IF(COUNTIF({"Monday","Tuesday","Wednesday","Thursday","Friday"},D139)=0,"Yes","No")</x:f>
        <x:v>No</x:v>
      </x:c>
      <x:c r="O139" t="str">
        <x:f>IF(COUNTIF({"MY_MONTH 1","MY_MONTH 2","MY_MONTH 3"},E139)=0,"Yes","No")</x:f>
        <x:v>No</x:v>
      </x:c>
      <x:c r="P139" t="str">
        <x:f>IF(J139="Yes","Duplicate Event #",IF(K139="Yes","Missing Date",IF(L139="Yes","Missing Client",IF(M139="Yes","Missing Location",IF(N139="Yes","Unknown Weekday",IF(O139="Yes","Unknown MY_MONTH",IF(I139=0,"No Linked WO","OK")))))))</x:f>
        <x:v>OK</x:v>
      </x:c>
      <x:c r="Q139" t="str">
        <x:f>IF(J139="Yes","Critical",IF(OR(K139="Yes",L139="Yes",M139="Yes",N139="Yes",O139="Yes"),"Warning",IF(I139=0,"Informational","OK")))</x:f>
        <x:v>OK</x:v>
      </x:c>
      <x:c r="R139" t="str">
        <x:f>IF(P139="OK","No","Yes")</x:f>
        <x:v>No</x:v>
      </x:c>
    </x:row>
    <x:row r="140">
      <x:c r="A140" t="n">
        <x:v>41</x:v>
      </x:c>
      <x:c r="B140" t="str">
        <x:f>INDEX(tblServiceEvents[Client],MATCH($A140,tblServiceEvents[Event #],0))</x:f>
        <x:v>Baskin-Robbins</x:v>
      </x:c>
      <x:c r="C140" s="35" t="n">
        <x:f>INDEX(tblServiceEvents[Service Date],MATCH($A140,tblServiceEvents[Event #],0))</x:f>
        <x:v>46184</x:v>
      </x:c>
      <x:c r="D140" t="str">
        <x:f>INDEX(tblServiceEvents[Weekday],MATCH($A140,tblServiceEvents[Event #],0))</x:f>
        <x:v>Thursday</x:v>
      </x:c>
      <x:c r="E140" t="str">
        <x:f>INDEX(tblServiceEvents[MY_MONTH],MATCH($A140,tblServiceEvents[Event #],0))</x:f>
        <x:v>MY_MONTH 2</x:v>
      </x:c>
      <x:c r="F140" t="str">
        <x:f>INDEX(tblServiceEvents[Status],MATCH($A140,tblServiceEvents[Event #],0))</x:f>
        <x:v>Completed</x:v>
      </x:c>
      <x:c r="G140" t="str">
        <x:f>INDEX(tblServiceEvents[City],MATCH($A140,tblServiceEvents[Event #],0))</x:f>
        <x:v>Falls Church</x:v>
      </x:c>
      <x:c r="H140" t="str">
        <x:f>INDEX(tblServiceEvents[Jurisdiction],MATCH($A140,tblServiceEvents[Event #],0))</x:f>
        <x:v>VA</x:v>
      </x:c>
      <x:c r="I140" t="n">
        <x:f>COUNTIF(tblLedger[Event #],A140)</x:f>
        <x:v>1</x:v>
      </x:c>
      <x:c r="J140" t="str">
        <x:f>IF(COUNTIF(tblServiceEvents[Event #],A140)&gt;1,"Yes","No")</x:f>
        <x:v>No</x:v>
      </x:c>
      <x:c r="K140" t="str">
        <x:f>IF(C140="","Yes","No")</x:f>
        <x:v>No</x:v>
      </x:c>
      <x:c r="L140" t="str">
        <x:f>IF(B140="","Yes","No")</x:f>
        <x:v>No</x:v>
      </x:c>
      <x:c r="M140" t="str">
        <x:f>IF(OR(G140="",H140=""),"Yes","No")</x:f>
        <x:v>No</x:v>
      </x:c>
      <x:c r="N140" t="str">
        <x:f>IF(COUNTIF({"Monday","Tuesday","Wednesday","Thursday","Friday"},D140)=0,"Yes","No")</x:f>
        <x:v>No</x:v>
      </x:c>
      <x:c r="O140" t="str">
        <x:f>IF(COUNTIF({"MY_MONTH 1","MY_MONTH 2","MY_MONTH 3"},E140)=0,"Yes","No")</x:f>
        <x:v>No</x:v>
      </x:c>
      <x:c r="P140" t="str">
        <x:f>IF(J140="Yes","Duplicate Event #",IF(K140="Yes","Missing Date",IF(L140="Yes","Missing Client",IF(M140="Yes","Missing Location",IF(N140="Yes","Unknown Weekday",IF(O140="Yes","Unknown MY_MONTH",IF(I140=0,"No Linked WO","OK")))))))</x:f>
        <x:v>OK</x:v>
      </x:c>
      <x:c r="Q140" t="str">
        <x:f>IF(J140="Yes","Critical",IF(OR(K140="Yes",L140="Yes",M140="Yes",N140="Yes",O140="Yes"),"Warning",IF(I140=0,"Informational","OK")))</x:f>
        <x:v>OK</x:v>
      </x:c>
      <x:c r="R140" t="str">
        <x:f>IF(P140="OK","No","Yes")</x:f>
        <x:v>No</x:v>
      </x:c>
    </x:row>
    <x:row r="141">
      <x:c r="A141" t="n">
        <x:v>42</x:v>
      </x:c>
      <x:c r="B141" t="str">
        <x:f>INDEX(tblServiceEvents[Client],MATCH($A141,tblServiceEvents[Event #],0))</x:f>
        <x:v>Verizon</x:v>
      </x:c>
      <x:c r="C141" s="35" t="n">
        <x:f>INDEX(tblServiceEvents[Service Date],MATCH($A141,tblServiceEvents[Event #],0))</x:f>
        <x:v>46184</x:v>
      </x:c>
      <x:c r="D141" t="str">
        <x:f>INDEX(tblServiceEvents[Weekday],MATCH($A141,tblServiceEvents[Event #],0))</x:f>
        <x:v>Thursday</x:v>
      </x:c>
      <x:c r="E141" t="str">
        <x:f>INDEX(tblServiceEvents[MY_MONTH],MATCH($A141,tblServiceEvents[Event #],0))</x:f>
        <x:v>MY_MONTH 2</x:v>
      </x:c>
      <x:c r="F141" t="str">
        <x:f>INDEX(tblServiceEvents[Status],MATCH($A141,tblServiceEvents[Event #],0))</x:f>
        <x:v>Completed</x:v>
      </x:c>
      <x:c r="G141" t="str">
        <x:f>INDEX(tblServiceEvents[City],MATCH($A141,tblServiceEvents[Event #],0))</x:f>
        <x:v>Ellicott City</x:v>
      </x:c>
      <x:c r="H141" t="str">
        <x:f>INDEX(tblServiceEvents[Jurisdiction],MATCH($A141,tblServiceEvents[Event #],0))</x:f>
        <x:v>MD</x:v>
      </x:c>
      <x:c r="I141" t="n">
        <x:f>COUNTIF(tblLedger[Event #],A141)</x:f>
        <x:v>1</x:v>
      </x:c>
      <x:c r="J141" t="str">
        <x:f>IF(COUNTIF(tblServiceEvents[Event #],A141)&gt;1,"Yes","No")</x:f>
        <x:v>No</x:v>
      </x:c>
      <x:c r="K141" t="str">
        <x:f>IF(C141="","Yes","No")</x:f>
        <x:v>No</x:v>
      </x:c>
      <x:c r="L141" t="str">
        <x:f>IF(B141="","Yes","No")</x:f>
        <x:v>No</x:v>
      </x:c>
      <x:c r="M141" t="str">
        <x:f>IF(OR(G141="",H141=""),"Yes","No")</x:f>
        <x:v>No</x:v>
      </x:c>
      <x:c r="N141" t="str">
        <x:f>IF(COUNTIF({"Monday","Tuesday","Wednesday","Thursday","Friday"},D141)=0,"Yes","No")</x:f>
        <x:v>No</x:v>
      </x:c>
      <x:c r="O141" t="str">
        <x:f>IF(COUNTIF({"MY_MONTH 1","MY_MONTH 2","MY_MONTH 3"},E141)=0,"Yes","No")</x:f>
        <x:v>No</x:v>
      </x:c>
      <x:c r="P141" t="str">
        <x:f>IF(J141="Yes","Duplicate Event #",IF(K141="Yes","Missing Date",IF(L141="Yes","Missing Client",IF(M141="Yes","Missing Location",IF(N141="Yes","Unknown Weekday",IF(O141="Yes","Unknown MY_MONTH",IF(I141=0,"No Linked WO","OK")))))))</x:f>
        <x:v>OK</x:v>
      </x:c>
      <x:c r="Q141" t="str">
        <x:f>IF(J141="Yes","Critical",IF(OR(K141="Yes",L141="Yes",M141="Yes",N141="Yes",O141="Yes"),"Warning",IF(I141=0,"Informational","OK")))</x:f>
        <x:v>OK</x:v>
      </x:c>
      <x:c r="R141" t="str">
        <x:f>IF(P141="OK","No","Yes")</x:f>
        <x:v>No</x:v>
      </x:c>
    </x:row>
    <x:row r="142">
      <x:c r="A142" t="n">
        <x:v>43</x:v>
      </x:c>
      <x:c r="B142" t="str">
        <x:f>INDEX(tblServiceEvents[Client],MATCH($A142,tblServiceEvents[Event #],0))</x:f>
        <x:v>Verizon</x:v>
      </x:c>
      <x:c r="C142" s="35" t="n">
        <x:f>INDEX(tblServiceEvents[Service Date],MATCH($A142,tblServiceEvents[Event #],0))</x:f>
        <x:v>46185</x:v>
      </x:c>
      <x:c r="D142" t="str">
        <x:f>INDEX(tblServiceEvents[Weekday],MATCH($A142,tblServiceEvents[Event #],0))</x:f>
        <x:v>Friday</x:v>
      </x:c>
      <x:c r="E142" t="str">
        <x:f>INDEX(tblServiceEvents[MY_MONTH],MATCH($A142,tblServiceEvents[Event #],0))</x:f>
        <x:v>MY_MONTH 2</x:v>
      </x:c>
      <x:c r="F142" t="str">
        <x:f>INDEX(tblServiceEvents[Status],MATCH($A142,tblServiceEvents[Event #],0))</x:f>
        <x:v>Completed</x:v>
      </x:c>
      <x:c r="G142" t="str">
        <x:f>INDEX(tblServiceEvents[City],MATCH($A142,tblServiceEvents[Event #],0))</x:f>
        <x:v>Lanham</x:v>
      </x:c>
      <x:c r="H142" t="str">
        <x:f>INDEX(tblServiceEvents[Jurisdiction],MATCH($A142,tblServiceEvents[Event #],0))</x:f>
        <x:v>MD</x:v>
      </x:c>
      <x:c r="I142" t="n">
        <x:f>COUNTIF(tblLedger[Event #],A142)</x:f>
        <x:v>1</x:v>
      </x:c>
      <x:c r="J142" t="str">
        <x:f>IF(COUNTIF(tblServiceEvents[Event #],A142)&gt;1,"Yes","No")</x:f>
        <x:v>No</x:v>
      </x:c>
      <x:c r="K142" t="str">
        <x:f>IF(C142="","Yes","No")</x:f>
        <x:v>No</x:v>
      </x:c>
      <x:c r="L142" t="str">
        <x:f>IF(B142="","Yes","No")</x:f>
        <x:v>No</x:v>
      </x:c>
      <x:c r="M142" t="str">
        <x:f>IF(OR(G142="",H142=""),"Yes","No")</x:f>
        <x:v>No</x:v>
      </x:c>
      <x:c r="N142" t="str">
        <x:f>IF(COUNTIF({"Monday","Tuesday","Wednesday","Thursday","Friday"},D142)=0,"Yes","No")</x:f>
        <x:v>No</x:v>
      </x:c>
      <x:c r="O142" t="str">
        <x:f>IF(COUNTIF({"MY_MONTH 1","MY_MONTH 2","MY_MONTH 3"},E142)=0,"Yes","No")</x:f>
        <x:v>No</x:v>
      </x:c>
      <x:c r="P142" t="str">
        <x:f>IF(J142="Yes","Duplicate Event #",IF(K142="Yes","Missing Date",IF(L142="Yes","Missing Client",IF(M142="Yes","Missing Location",IF(N142="Yes","Unknown Weekday",IF(O142="Yes","Unknown MY_MONTH",IF(I142=0,"No Linked WO","OK")))))))</x:f>
        <x:v>OK</x:v>
      </x:c>
      <x:c r="Q142" t="str">
        <x:f>IF(J142="Yes","Critical",IF(OR(K142="Yes",L142="Yes",M142="Yes",N142="Yes",O142="Yes"),"Warning",IF(I142=0,"Informational","OK")))</x:f>
        <x:v>OK</x:v>
      </x:c>
      <x:c r="R142" t="str">
        <x:f>IF(P142="OK","No","Yes")</x:f>
        <x:v>No</x:v>
      </x:c>
    </x:row>
    <x:row r="143">
      <x:c r="A143" t="n">
        <x:v>44</x:v>
      </x:c>
      <x:c r="B143" t="str">
        <x:f>INDEX(tblServiceEvents[Client],MATCH($A143,tblServiceEvents[Event #],0))</x:f>
        <x:v>Marshalls</x:v>
      </x:c>
      <x:c r="C143" s="35" t="n">
        <x:f>INDEX(tblServiceEvents[Service Date],MATCH($A143,tblServiceEvents[Event #],0))</x:f>
        <x:v>46188</x:v>
      </x:c>
      <x:c r="D143" t="str">
        <x:f>INDEX(tblServiceEvents[Weekday],MATCH($A143,tblServiceEvents[Event #],0))</x:f>
        <x:v>Monday</x:v>
      </x:c>
      <x:c r="E143" t="str">
        <x:f>INDEX(tblServiceEvents[MY_MONTH],MATCH($A143,tblServiceEvents[Event #],0))</x:f>
        <x:v>MY_MONTH 2</x:v>
      </x:c>
      <x:c r="F143" t="str">
        <x:f>INDEX(tblServiceEvents[Status],MATCH($A143,tblServiceEvents[Event #],0))</x:f>
        <x:v>Completed</x:v>
      </x:c>
      <x:c r="G143" t="str">
        <x:f>INDEX(tblServiceEvents[City],MATCH($A143,tblServiceEvents[Event #],0))</x:f>
        <x:v>Frederick</x:v>
      </x:c>
      <x:c r="H143" t="str">
        <x:f>INDEX(tblServiceEvents[Jurisdiction],MATCH($A143,tblServiceEvents[Event #],0))</x:f>
        <x:v>MD</x:v>
      </x:c>
      <x:c r="I143" t="n">
        <x:f>COUNTIF(tblLedger[Event #],A143)</x:f>
        <x:v>1</x:v>
      </x:c>
      <x:c r="J143" t="str">
        <x:f>IF(COUNTIF(tblServiceEvents[Event #],A143)&gt;1,"Yes","No")</x:f>
        <x:v>No</x:v>
      </x:c>
      <x:c r="K143" t="str">
        <x:f>IF(C143="","Yes","No")</x:f>
        <x:v>No</x:v>
      </x:c>
      <x:c r="L143" t="str">
        <x:f>IF(B143="","Yes","No")</x:f>
        <x:v>No</x:v>
      </x:c>
      <x:c r="M143" t="str">
        <x:f>IF(OR(G143="",H143=""),"Yes","No")</x:f>
        <x:v>No</x:v>
      </x:c>
      <x:c r="N143" t="str">
        <x:f>IF(COUNTIF({"Monday","Tuesday","Wednesday","Thursday","Friday"},D143)=0,"Yes","No")</x:f>
        <x:v>No</x:v>
      </x:c>
      <x:c r="O143" t="str">
        <x:f>IF(COUNTIF({"MY_MONTH 1","MY_MONTH 2","MY_MONTH 3"},E143)=0,"Yes","No")</x:f>
        <x:v>No</x:v>
      </x:c>
      <x:c r="P143" t="str">
        <x:f>IF(J143="Yes","Duplicate Event #",IF(K143="Yes","Missing Date",IF(L143="Yes","Missing Client",IF(M143="Yes","Missing Location",IF(N143="Yes","Unknown Weekday",IF(O143="Yes","Unknown MY_MONTH",IF(I143=0,"No Linked WO","OK")))))))</x:f>
        <x:v>OK</x:v>
      </x:c>
      <x:c r="Q143" t="str">
        <x:f>IF(J143="Yes","Critical",IF(OR(K143="Yes",L143="Yes",M143="Yes",N143="Yes",O143="Yes"),"Warning",IF(I143=0,"Informational","OK")))</x:f>
        <x:v>OK</x:v>
      </x:c>
      <x:c r="R143" t="str">
        <x:f>IF(P143="OK","No","Yes")</x:f>
        <x:v>No</x:v>
      </x:c>
    </x:row>
    <x:row r="144">
      <x:c r="A144" t="n">
        <x:v>45</x:v>
      </x:c>
      <x:c r="B144" t="str">
        <x:f>INDEX(tblServiceEvents[Client],MATCH($A144,tblServiceEvents[Event #],0))</x:f>
        <x:v>Montpelier Liquors</x:v>
      </x:c>
      <x:c r="C144" s="35" t="n">
        <x:f>INDEX(tblServiceEvents[Service Date],MATCH($A144,tblServiceEvents[Event #],0))</x:f>
        <x:v>46190</x:v>
      </x:c>
      <x:c r="D144" t="str">
        <x:f>INDEX(tblServiceEvents[Weekday],MATCH($A144,tblServiceEvents[Event #],0))</x:f>
        <x:v>Wednesday</x:v>
      </x:c>
      <x:c r="E144" t="str">
        <x:f>INDEX(tblServiceEvents[MY_MONTH],MATCH($A144,tblServiceEvents[Event #],0))</x:f>
        <x:v>MY_MONTH 2</x:v>
      </x:c>
      <x:c r="F144" t="str">
        <x:f>INDEX(tblServiceEvents[Status],MATCH($A144,tblServiceEvents[Event #],0))</x:f>
        <x:v>Completed</x:v>
      </x:c>
      <x:c r="G144" t="str">
        <x:f>INDEX(tblServiceEvents[City],MATCH($A144,tblServiceEvents[Event #],0))</x:f>
        <x:v>Laurel</x:v>
      </x:c>
      <x:c r="H144" t="str">
        <x:f>INDEX(tblServiceEvents[Jurisdiction],MATCH($A144,tblServiceEvents[Event #],0))</x:f>
        <x:v>MD</x:v>
      </x:c>
      <x:c r="I144" t="n">
        <x:f>COUNTIF(tblLedger[Event #],A144)</x:f>
        <x:v>1</x:v>
      </x:c>
      <x:c r="J144" t="str">
        <x:f>IF(COUNTIF(tblServiceEvents[Event #],A144)&gt;1,"Yes","No")</x:f>
        <x:v>No</x:v>
      </x:c>
      <x:c r="K144" t="str">
        <x:f>IF(C144="","Yes","No")</x:f>
        <x:v>No</x:v>
      </x:c>
      <x:c r="L144" t="str">
        <x:f>IF(B144="","Yes","No")</x:f>
        <x:v>No</x:v>
      </x:c>
      <x:c r="M144" t="str">
        <x:f>IF(OR(G144="",H144=""),"Yes","No")</x:f>
        <x:v>No</x:v>
      </x:c>
      <x:c r="N144" t="str">
        <x:f>IF(COUNTIF({"Monday","Tuesday","Wednesday","Thursday","Friday"},D144)=0,"Yes","No")</x:f>
        <x:v>No</x:v>
      </x:c>
      <x:c r="O144" t="str">
        <x:f>IF(COUNTIF({"MY_MONTH 1","MY_MONTH 2","MY_MONTH 3"},E144)=0,"Yes","No")</x:f>
        <x:v>No</x:v>
      </x:c>
      <x:c r="P144" t="str">
        <x:f>IF(J144="Yes","Duplicate Event #",IF(K144="Yes","Missing Date",IF(L144="Yes","Missing Client",IF(M144="Yes","Missing Location",IF(N144="Yes","Unknown Weekday",IF(O144="Yes","Unknown MY_MONTH",IF(I144=0,"No Linked WO","OK")))))))</x:f>
        <x:v>OK</x:v>
      </x:c>
      <x:c r="Q144" t="str">
        <x:f>IF(J144="Yes","Critical",IF(OR(K144="Yes",L144="Yes",M144="Yes",N144="Yes",O144="Yes"),"Warning",IF(I144=0,"Informational","OK")))</x:f>
        <x:v>OK</x:v>
      </x:c>
      <x:c r="R144" t="str">
        <x:f>IF(P144="OK","No","Yes")</x:f>
        <x:v>No</x:v>
      </x:c>
    </x:row>
    <x:row r="145">
      <x:c r="A145" t="n">
        <x:v>46</x:v>
      </x:c>
      <x:c r="B145" t="str">
        <x:f>INDEX(tblServiceEvents[Client],MATCH($A145,tblServiceEvents[Event #],0))</x:f>
        <x:v>Marshalls</x:v>
      </x:c>
      <x:c r="C145" s="35" t="n">
        <x:f>INDEX(tblServiceEvents[Service Date],MATCH($A145,tblServiceEvents[Event #],0))</x:f>
        <x:v>46190</x:v>
      </x:c>
      <x:c r="D145" t="str">
        <x:f>INDEX(tblServiceEvents[Weekday],MATCH($A145,tblServiceEvents[Event #],0))</x:f>
        <x:v>Wednesday</x:v>
      </x:c>
      <x:c r="E145" t="str">
        <x:f>INDEX(tblServiceEvents[MY_MONTH],MATCH($A145,tblServiceEvents[Event #],0))</x:f>
        <x:v>MY_MONTH 2</x:v>
      </x:c>
      <x:c r="F145" t="str">
        <x:f>INDEX(tblServiceEvents[Status],MATCH($A145,tblServiceEvents[Event #],0))</x:f>
        <x:v>Completed</x:v>
      </x:c>
      <x:c r="G145" t="str">
        <x:f>INDEX(tblServiceEvents[City],MATCH($A145,tblServiceEvents[Event #],0))</x:f>
        <x:v>Laurel</x:v>
      </x:c>
      <x:c r="H145" t="str">
        <x:f>INDEX(tblServiceEvents[Jurisdiction],MATCH($A145,tblServiceEvents[Event #],0))</x:f>
        <x:v>MD</x:v>
      </x:c>
      <x:c r="I145" t="n">
        <x:f>COUNTIF(tblLedger[Event #],A145)</x:f>
        <x:v>1</x:v>
      </x:c>
      <x:c r="J145" t="str">
        <x:f>IF(COUNTIF(tblServiceEvents[Event #],A145)&gt;1,"Yes","No")</x:f>
        <x:v>No</x:v>
      </x:c>
      <x:c r="K145" t="str">
        <x:f>IF(C145="","Yes","No")</x:f>
        <x:v>No</x:v>
      </x:c>
      <x:c r="L145" t="str">
        <x:f>IF(B145="","Yes","No")</x:f>
        <x:v>No</x:v>
      </x:c>
      <x:c r="M145" t="str">
        <x:f>IF(OR(G145="",H145=""),"Yes","No")</x:f>
        <x:v>No</x:v>
      </x:c>
      <x:c r="N145" t="str">
        <x:f>IF(COUNTIF({"Monday","Tuesday","Wednesday","Thursday","Friday"},D145)=0,"Yes","No")</x:f>
        <x:v>No</x:v>
      </x:c>
      <x:c r="O145" t="str">
        <x:f>IF(COUNTIF({"MY_MONTH 1","MY_MONTH 2","MY_MONTH 3"},E145)=0,"Yes","No")</x:f>
        <x:v>No</x:v>
      </x:c>
      <x:c r="P145" t="str">
        <x:f>IF(J145="Yes","Duplicate Event #",IF(K145="Yes","Missing Date",IF(L145="Yes","Missing Client",IF(M145="Yes","Missing Location",IF(N145="Yes","Unknown Weekday",IF(O145="Yes","Unknown MY_MONTH",IF(I145=0,"No Linked WO","OK")))))))</x:f>
        <x:v>OK</x:v>
      </x:c>
      <x:c r="Q145" t="str">
        <x:f>IF(J145="Yes","Critical",IF(OR(K145="Yes",L145="Yes",M145="Yes",N145="Yes",O145="Yes"),"Warning",IF(I145=0,"Informational","OK")))</x:f>
        <x:v>OK</x:v>
      </x:c>
      <x:c r="R145" t="str">
        <x:f>IF(P145="OK","No","Yes")</x:f>
        <x:v>No</x:v>
      </x:c>
    </x:row>
    <x:row r="146">
      <x:c r="A146" t="n">
        <x:v>47</x:v>
      </x:c>
      <x:c r="B146" t="str">
        <x:f>INDEX(tblServiceEvents[Client],MATCH($A146,tblServiceEvents[Event #],0))</x:f>
        <x:v>Office of MD Senator Angela Alsobrooks</x:v>
      </x:c>
      <x:c r="C146" s="35" t="n">
        <x:f>INDEX(tblServiceEvents[Service Date],MATCH($A146,tblServiceEvents[Event #],0))</x:f>
        <x:v>46191</x:v>
      </x:c>
      <x:c r="D146" t="str">
        <x:f>INDEX(tblServiceEvents[Weekday],MATCH($A146,tblServiceEvents[Event #],0))</x:f>
        <x:v>Thursday</x:v>
      </x:c>
      <x:c r="E146" t="str">
        <x:f>INDEX(tblServiceEvents[MY_MONTH],MATCH($A146,tblServiceEvents[Event #],0))</x:f>
        <x:v>MY_MONTH 2</x:v>
      </x:c>
      <x:c r="F146" t="str">
        <x:f>INDEX(tblServiceEvents[Status],MATCH($A146,tblServiceEvents[Event #],0))</x:f>
        <x:v>Completed</x:v>
      </x:c>
      <x:c r="G146" t="str">
        <x:f>INDEX(tblServiceEvents[City],MATCH($A146,tblServiceEvents[Event #],0))</x:f>
        <x:v>Bowie</x:v>
      </x:c>
      <x:c r="H146" t="str">
        <x:f>INDEX(tblServiceEvents[Jurisdiction],MATCH($A146,tblServiceEvents[Event #],0))</x:f>
        <x:v>MD</x:v>
      </x:c>
      <x:c r="I146" t="n">
        <x:f>COUNTIF(tblLedger[Event #],A146)</x:f>
        <x:v>1</x:v>
      </x:c>
      <x:c r="J146" t="str">
        <x:f>IF(COUNTIF(tblServiceEvents[Event #],A146)&gt;1,"Yes","No")</x:f>
        <x:v>No</x:v>
      </x:c>
      <x:c r="K146" t="str">
        <x:f>IF(C146="","Yes","No")</x:f>
        <x:v>No</x:v>
      </x:c>
      <x:c r="L146" t="str">
        <x:f>IF(B146="","Yes","No")</x:f>
        <x:v>No</x:v>
      </x:c>
      <x:c r="M146" t="str">
        <x:f>IF(OR(G146="",H146=""),"Yes","No")</x:f>
        <x:v>No</x:v>
      </x:c>
      <x:c r="N146" t="str">
        <x:f>IF(COUNTIF({"Monday","Tuesday","Wednesday","Thursday","Friday"},D146)=0,"Yes","No")</x:f>
        <x:v>No</x:v>
      </x:c>
      <x:c r="O146" t="str">
        <x:f>IF(COUNTIF({"MY_MONTH 1","MY_MONTH 2","MY_MONTH 3"},E146)=0,"Yes","No")</x:f>
        <x:v>No</x:v>
      </x:c>
      <x:c r="P146" t="str">
        <x:f>IF(J146="Yes","Duplicate Event #",IF(K146="Yes","Missing Date",IF(L146="Yes","Missing Client",IF(M146="Yes","Missing Location",IF(N146="Yes","Unknown Weekday",IF(O146="Yes","Unknown MY_MONTH",IF(I146=0,"No Linked WO","OK")))))))</x:f>
        <x:v>OK</x:v>
      </x:c>
      <x:c r="Q146" t="str">
        <x:f>IF(J146="Yes","Critical",IF(OR(K146="Yes",L146="Yes",M146="Yes",N146="Yes",O146="Yes"),"Warning",IF(I146=0,"Informational","OK")))</x:f>
        <x:v>OK</x:v>
      </x:c>
      <x:c r="R146" t="str">
        <x:f>IF(P146="OK","No","Yes")</x:f>
        <x:v>No</x:v>
      </x:c>
    </x:row>
    <x:row r="147">
      <x:c r="A147" t="n">
        <x:v>48</x:v>
      </x:c>
      <x:c r="B147" t="str">
        <x:f>INDEX(tblServiceEvents[Client],MATCH($A147,tblServiceEvents[Event #],0))</x:f>
        <x:v>Hebrew Home of Greater Washington</x:v>
      </x:c>
      <x:c r="C147" s="35" t="n">
        <x:f>INDEX(tblServiceEvents[Service Date],MATCH($A147,tblServiceEvents[Event #],0))</x:f>
        <x:v>46191</x:v>
      </x:c>
      <x:c r="D147" t="str">
        <x:f>INDEX(tblServiceEvents[Weekday],MATCH($A147,tblServiceEvents[Event #],0))</x:f>
        <x:v>Thursday</x:v>
      </x:c>
      <x:c r="E147" t="str">
        <x:f>INDEX(tblServiceEvents[MY_MONTH],MATCH($A147,tblServiceEvents[Event #],0))</x:f>
        <x:v>MY_MONTH 2</x:v>
      </x:c>
      <x:c r="F147" t="str">
        <x:f>INDEX(tblServiceEvents[Status],MATCH($A147,tblServiceEvents[Event #],0))</x:f>
        <x:v>Completed</x:v>
      </x:c>
      <x:c r="G147" t="str">
        <x:f>INDEX(tblServiceEvents[City],MATCH($A147,tblServiceEvents[Event #],0))</x:f>
        <x:v>North Bethesda</x:v>
      </x:c>
      <x:c r="H147" t="str">
        <x:f>INDEX(tblServiceEvents[Jurisdiction],MATCH($A147,tblServiceEvents[Event #],0))</x:f>
        <x:v>MD</x:v>
      </x:c>
      <x:c r="I147" t="n">
        <x:f>COUNTIF(tblLedger[Event #],A147)</x:f>
        <x:v>1</x:v>
      </x:c>
      <x:c r="J147" t="str">
        <x:f>IF(COUNTIF(tblServiceEvents[Event #],A147)&gt;1,"Yes","No")</x:f>
        <x:v>No</x:v>
      </x:c>
      <x:c r="K147" t="str">
        <x:f>IF(C147="","Yes","No")</x:f>
        <x:v>No</x:v>
      </x:c>
      <x:c r="L147" t="str">
        <x:f>IF(B147="","Yes","No")</x:f>
        <x:v>No</x:v>
      </x:c>
      <x:c r="M147" t="str">
        <x:f>IF(OR(G147="",H147=""),"Yes","No")</x:f>
        <x:v>No</x:v>
      </x:c>
      <x:c r="N147" t="str">
        <x:f>IF(COUNTIF({"Monday","Tuesday","Wednesday","Thursday","Friday"},D147)=0,"Yes","No")</x:f>
        <x:v>No</x:v>
      </x:c>
      <x:c r="O147" t="str">
        <x:f>IF(COUNTIF({"MY_MONTH 1","MY_MONTH 2","MY_MONTH 3"},E147)=0,"Yes","No")</x:f>
        <x:v>No</x:v>
      </x:c>
      <x:c r="P147" t="str">
        <x:f>IF(J147="Yes","Duplicate Event #",IF(K147="Yes","Missing Date",IF(L147="Yes","Missing Client",IF(M147="Yes","Missing Location",IF(N147="Yes","Unknown Weekday",IF(O147="Yes","Unknown MY_MONTH",IF(I147=0,"No Linked WO","OK")))))))</x:f>
        <x:v>OK</x:v>
      </x:c>
      <x:c r="Q147" t="str">
        <x:f>IF(J147="Yes","Critical",IF(OR(K147="Yes",L147="Yes",M147="Yes",N147="Yes",O147="Yes"),"Warning",IF(I147=0,"Informational","OK")))</x:f>
        <x:v>OK</x:v>
      </x:c>
      <x:c r="R147" t="str">
        <x:f>IF(P147="OK","No","Yes")</x:f>
        <x:v>No</x:v>
      </x:c>
    </x:row>
    <x:row r="148">
      <x:c r="A148" t="n">
        <x:v>49</x:v>
      </x:c>
      <x:c r="B148" t="str">
        <x:f>INDEX(tblServiceEvents[Client],MATCH($A148,tblServiceEvents[Event #],0))</x:f>
        <x:v>Weis Markets</x:v>
      </x:c>
      <x:c r="C148" s="35" t="n">
        <x:f>INDEX(tblServiceEvents[Service Date],MATCH($A148,tblServiceEvents[Event #],0))</x:f>
        <x:v>46192</x:v>
      </x:c>
      <x:c r="D148" t="str">
        <x:f>INDEX(tblServiceEvents[Weekday],MATCH($A148,tblServiceEvents[Event #],0))</x:f>
        <x:v>Friday</x:v>
      </x:c>
      <x:c r="E148" t="str">
        <x:f>INDEX(tblServiceEvents[MY_MONTH],MATCH($A148,tblServiceEvents[Event #],0))</x:f>
        <x:v>MY_MONTH 2</x:v>
      </x:c>
      <x:c r="F148" t="str">
        <x:f>INDEX(tblServiceEvents[Status],MATCH($A148,tblServiceEvents[Event #],0))</x:f>
        <x:v>Completed</x:v>
      </x:c>
      <x:c r="G148" t="str">
        <x:f>INDEX(tblServiceEvents[City],MATCH($A148,tblServiceEvents[Event #],0))</x:f>
        <x:v>Callaway</x:v>
      </x:c>
      <x:c r="H148" t="str">
        <x:f>INDEX(tblServiceEvents[Jurisdiction],MATCH($A148,tblServiceEvents[Event #],0))</x:f>
        <x:v>MD</x:v>
      </x:c>
      <x:c r="I148" t="n">
        <x:f>COUNTIF(tblLedger[Event #],A148)</x:f>
        <x:v>1</x:v>
      </x:c>
      <x:c r="J148" t="str">
        <x:f>IF(COUNTIF(tblServiceEvents[Event #],A148)&gt;1,"Yes","No")</x:f>
        <x:v>No</x:v>
      </x:c>
      <x:c r="K148" t="str">
        <x:f>IF(C148="","Yes","No")</x:f>
        <x:v>No</x:v>
      </x:c>
      <x:c r="L148" t="str">
        <x:f>IF(B148="","Yes","No")</x:f>
        <x:v>No</x:v>
      </x:c>
      <x:c r="M148" t="str">
        <x:f>IF(OR(G148="",H148=""),"Yes","No")</x:f>
        <x:v>No</x:v>
      </x:c>
      <x:c r="N148" t="str">
        <x:f>IF(COUNTIF({"Monday","Tuesday","Wednesday","Thursday","Friday"},D148)=0,"Yes","No")</x:f>
        <x:v>No</x:v>
      </x:c>
      <x:c r="O148" t="str">
        <x:f>IF(COUNTIF({"MY_MONTH 1","MY_MONTH 2","MY_MONTH 3"},E148)=0,"Yes","No")</x:f>
        <x:v>No</x:v>
      </x:c>
      <x:c r="P148" t="str">
        <x:f>IF(J148="Yes","Duplicate Event #",IF(K148="Yes","Missing Date",IF(L148="Yes","Missing Client",IF(M148="Yes","Missing Location",IF(N148="Yes","Unknown Weekday",IF(O148="Yes","Unknown MY_MONTH",IF(I148=0,"No Linked WO","OK")))))))</x:f>
        <x:v>OK</x:v>
      </x:c>
      <x:c r="Q148" t="str">
        <x:f>IF(J148="Yes","Critical",IF(OR(K148="Yes",L148="Yes",M148="Yes",N148="Yes",O148="Yes"),"Warning",IF(I148=0,"Informational","OK")))</x:f>
        <x:v>OK</x:v>
      </x:c>
      <x:c r="R148" t="str">
        <x:f>IF(P148="OK","No","Yes")</x:f>
        <x:v>No</x:v>
      </x:c>
    </x:row>
    <x:row r="149">
      <x:c r="A149" t="n">
        <x:v>50</x:v>
      </x:c>
      <x:c r="B149" t="str">
        <x:f>INDEX(tblServiceEvents[Client],MATCH($A149,tblServiceEvents[Event #],0))</x:f>
        <x:v>Giant Food Stores</x:v>
      </x:c>
      <x:c r="C149" s="35" t="n">
        <x:f>INDEX(tblServiceEvents[Service Date],MATCH($A149,tblServiceEvents[Event #],0))</x:f>
        <x:v>46192</x:v>
      </x:c>
      <x:c r="D149" t="str">
        <x:f>INDEX(tblServiceEvents[Weekday],MATCH($A149,tblServiceEvents[Event #],0))</x:f>
        <x:v>Friday</x:v>
      </x:c>
      <x:c r="E149" t="str">
        <x:f>INDEX(tblServiceEvents[MY_MONTH],MATCH($A149,tblServiceEvents[Event #],0))</x:f>
        <x:v>MY_MONTH 2</x:v>
      </x:c>
      <x:c r="F149" t="str">
        <x:f>INDEX(tblServiceEvents[Status],MATCH($A149,tblServiceEvents[Event #],0))</x:f>
        <x:v>Completed</x:v>
      </x:c>
      <x:c r="G149" t="str">
        <x:f>INDEX(tblServiceEvents[City],MATCH($A149,tblServiceEvents[Event #],0))</x:f>
        <x:v>Washington</x:v>
      </x:c>
      <x:c r="H149" t="str">
        <x:f>INDEX(tblServiceEvents[Jurisdiction],MATCH($A149,tblServiceEvents[Event #],0))</x:f>
        <x:v>DC</x:v>
      </x:c>
      <x:c r="I149" t="n">
        <x:f>COUNTIF(tblLedger[Event #],A149)</x:f>
        <x:v>1</x:v>
      </x:c>
      <x:c r="J149" t="str">
        <x:f>IF(COUNTIF(tblServiceEvents[Event #],A149)&gt;1,"Yes","No")</x:f>
        <x:v>No</x:v>
      </x:c>
      <x:c r="K149" t="str">
        <x:f>IF(C149="","Yes","No")</x:f>
        <x:v>No</x:v>
      </x:c>
      <x:c r="L149" t="str">
        <x:f>IF(B149="","Yes","No")</x:f>
        <x:v>No</x:v>
      </x:c>
      <x:c r="M149" t="str">
        <x:f>IF(OR(G149="",H149=""),"Yes","No")</x:f>
        <x:v>No</x:v>
      </x:c>
      <x:c r="N149" t="str">
        <x:f>IF(COUNTIF({"Monday","Tuesday","Wednesday","Thursday","Friday"},D149)=0,"Yes","No")</x:f>
        <x:v>No</x:v>
      </x:c>
      <x:c r="O149" t="str">
        <x:f>IF(COUNTIF({"MY_MONTH 1","MY_MONTH 2","MY_MONTH 3"},E149)=0,"Yes","No")</x:f>
        <x:v>No</x:v>
      </x:c>
      <x:c r="P149" t="str">
        <x:f>IF(J149="Yes","Duplicate Event #",IF(K149="Yes","Missing Date",IF(L149="Yes","Missing Client",IF(M149="Yes","Missing Location",IF(N149="Yes","Unknown Weekday",IF(O149="Yes","Unknown MY_MONTH",IF(I149=0,"No Linked WO","OK")))))))</x:f>
        <x:v>OK</x:v>
      </x:c>
      <x:c r="Q149" t="str">
        <x:f>IF(J149="Yes","Critical",IF(OR(K149="Yes",L149="Yes",M149="Yes",N149="Yes",O149="Yes"),"Warning",IF(I149=0,"Informational","OK")))</x:f>
        <x:v>OK</x:v>
      </x:c>
      <x:c r="R149" t="str">
        <x:f>IF(P149="OK","No","Yes")</x:f>
        <x:v>No</x:v>
      </x:c>
    </x:row>
    <x:row r="150">
      <x:c r="A150" t="n">
        <x:v>51</x:v>
      </x:c>
      <x:c r="B150" t="str">
        <x:f>INDEX(tblServiceEvents[Client],MATCH($A150,tblServiceEvents[Event #],0))</x:f>
        <x:v>Hebrew Home of Greater Washington</x:v>
      </x:c>
      <x:c r="C150" s="35" t="n">
        <x:f>INDEX(tblServiceEvents[Service Date],MATCH($A150,tblServiceEvents[Event #],0))</x:f>
        <x:v>46195</x:v>
      </x:c>
      <x:c r="D150" t="str">
        <x:f>INDEX(tblServiceEvents[Weekday],MATCH($A150,tblServiceEvents[Event #],0))</x:f>
        <x:v>Monday</x:v>
      </x:c>
      <x:c r="E150" t="str">
        <x:f>INDEX(tblServiceEvents[MY_MONTH],MATCH($A150,tblServiceEvents[Event #],0))</x:f>
        <x:v>MY_MONTH 3</x:v>
      </x:c>
      <x:c r="F150" t="str">
        <x:f>INDEX(tblServiceEvents[Status],MATCH($A150,tblServiceEvents[Event #],0))</x:f>
        <x:v>Completed</x:v>
      </x:c>
      <x:c r="G150" t="str">
        <x:f>INDEX(tblServiceEvents[City],MATCH($A150,tblServiceEvents[Event #],0))</x:f>
        <x:v>North Bethesda</x:v>
      </x:c>
      <x:c r="H150" t="str">
        <x:f>INDEX(tblServiceEvents[Jurisdiction],MATCH($A150,tblServiceEvents[Event #],0))</x:f>
        <x:v>MD</x:v>
      </x:c>
      <x:c r="I150" t="n">
        <x:f>COUNTIF(tblLedger[Event #],A150)</x:f>
        <x:v>0</x:v>
      </x:c>
      <x:c r="J150" t="str">
        <x:f>IF(COUNTIF(tblServiceEvents[Event #],A150)&gt;1,"Yes","No")</x:f>
        <x:v>No</x:v>
      </x:c>
      <x:c r="K150" t="str">
        <x:f>IF(C150="","Yes","No")</x:f>
        <x:v>No</x:v>
      </x:c>
      <x:c r="L150" t="str">
        <x:f>IF(B150="","Yes","No")</x:f>
        <x:v>No</x:v>
      </x:c>
      <x:c r="M150" t="str">
        <x:f>IF(OR(G150="",H150=""),"Yes","No")</x:f>
        <x:v>No</x:v>
      </x:c>
      <x:c r="N150" t="str">
        <x:f>IF(COUNTIF({"Monday","Tuesday","Wednesday","Thursday","Friday"},D150)=0,"Yes","No")</x:f>
        <x:v>No</x:v>
      </x:c>
      <x:c r="O150" t="str">
        <x:f>IF(COUNTIF({"MY_MONTH 1","MY_MONTH 2","MY_MONTH 3"},E150)=0,"Yes","No")</x:f>
        <x:v>No</x:v>
      </x:c>
      <x:c r="P150" t="str">
        <x:f>IF(J150="Yes","Duplicate Event #",IF(K150="Yes","Missing Date",IF(L150="Yes","Missing Client",IF(M150="Yes","Missing Location",IF(N150="Yes","Unknown Weekday",IF(O150="Yes","Unknown MY_MONTH",IF(I150=0,"No Linked WO","OK")))))))</x:f>
        <x:v>No Linked WO</x:v>
      </x:c>
      <x:c r="Q150" t="str">
        <x:f>IF(J150="Yes","Critical",IF(OR(K150="Yes",L150="Yes",M150="Yes",N150="Yes",O150="Yes"),"Warning",IF(I150=0,"Informational","OK")))</x:f>
        <x:v>Informational</x:v>
      </x:c>
      <x:c r="R150" t="str">
        <x:f>IF(P150="OK","No","Yes")</x:f>
        <x:v>Yes</x:v>
      </x:c>
    </x:row>
    <x:row r="151">
      <x:c r="A151" t="n">
        <x:v>52</x:v>
      </x:c>
      <x:c r="B151" t="str">
        <x:f>INDEX(tblServiceEvents[Client],MATCH($A151,tblServiceEvents[Event #],0))</x:f>
        <x:v>Food Lion</x:v>
      </x:c>
      <x:c r="C151" s="35" t="n">
        <x:f>INDEX(tblServiceEvents[Service Date],MATCH($A151,tblServiceEvents[Event #],0))</x:f>
        <x:v>46196</x:v>
      </x:c>
      <x:c r="D151" t="str">
        <x:f>INDEX(tblServiceEvents[Weekday],MATCH($A151,tblServiceEvents[Event #],0))</x:f>
        <x:v>Tuesday</x:v>
      </x:c>
      <x:c r="E151" t="str">
        <x:f>INDEX(tblServiceEvents[MY_MONTH],MATCH($A151,tblServiceEvents[Event #],0))</x:f>
        <x:v>MY_MONTH 3</x:v>
      </x:c>
      <x:c r="F151" t="str">
        <x:f>INDEX(tblServiceEvents[Status],MATCH($A151,tblServiceEvents[Event #],0))</x:f>
        <x:v>Completed</x:v>
      </x:c>
      <x:c r="G151" t="str">
        <x:f>INDEX(tblServiceEvents[City],MATCH($A151,tblServiceEvents[Event #],0))</x:f>
        <x:v>Upper Marlboro</x:v>
      </x:c>
      <x:c r="H151" t="str">
        <x:f>INDEX(tblServiceEvents[Jurisdiction],MATCH($A151,tblServiceEvents[Event #],0))</x:f>
        <x:v>MD</x:v>
      </x:c>
      <x:c r="I151" t="n">
        <x:f>COUNTIF(tblLedger[Event #],A151)</x:f>
        <x:v>1</x:v>
      </x:c>
      <x:c r="J151" t="str">
        <x:f>IF(COUNTIF(tblServiceEvents[Event #],A151)&gt;1,"Yes","No")</x:f>
        <x:v>No</x:v>
      </x:c>
      <x:c r="K151" t="str">
        <x:f>IF(C151="","Yes","No")</x:f>
        <x:v>No</x:v>
      </x:c>
      <x:c r="L151" t="str">
        <x:f>IF(B151="","Yes","No")</x:f>
        <x:v>No</x:v>
      </x:c>
      <x:c r="M151" t="str">
        <x:f>IF(OR(G151="",H151=""),"Yes","No")</x:f>
        <x:v>No</x:v>
      </x:c>
      <x:c r="N151" t="str">
        <x:f>IF(COUNTIF({"Monday","Tuesday","Wednesday","Thursday","Friday"},D151)=0,"Yes","No")</x:f>
        <x:v>No</x:v>
      </x:c>
      <x:c r="O151" t="str">
        <x:f>IF(COUNTIF({"MY_MONTH 1","MY_MONTH 2","MY_MONTH 3"},E151)=0,"Yes","No")</x:f>
        <x:v>No</x:v>
      </x:c>
      <x:c r="P151" t="str">
        <x:f>IF(J151="Yes","Duplicate Event #",IF(K151="Yes","Missing Date",IF(L151="Yes","Missing Client",IF(M151="Yes","Missing Location",IF(N151="Yes","Unknown Weekday",IF(O151="Yes","Unknown MY_MONTH",IF(I151=0,"No Linked WO","OK")))))))</x:f>
        <x:v>OK</x:v>
      </x:c>
      <x:c r="Q151" t="str">
        <x:f>IF(J151="Yes","Critical",IF(OR(K151="Yes",L151="Yes",M151="Yes",N151="Yes",O151="Yes"),"Warning",IF(I151=0,"Informational","OK")))</x:f>
        <x:v>OK</x:v>
      </x:c>
      <x:c r="R151" t="str">
        <x:f>IF(P151="OK","No","Yes")</x:f>
        <x:v>No</x:v>
      </x:c>
    </x:row>
    <x:row r="152">
      <x:c r="A152" t="n">
        <x:v>53</x:v>
      </x:c>
      <x:c r="B152" t="str">
        <x:f>INDEX(tblServiceEvents[Client],MATCH($A152,tblServiceEvents[Event #],0))</x:f>
        <x:v>Hilton Garden Inn</x:v>
      </x:c>
      <x:c r="C152" s="35" t="n">
        <x:f>INDEX(tblServiceEvents[Service Date],MATCH($A152,tblServiceEvents[Event #],0))</x:f>
        <x:v>46197</x:v>
      </x:c>
      <x:c r="D152" t="str">
        <x:f>INDEX(tblServiceEvents[Weekday],MATCH($A152,tblServiceEvents[Event #],0))</x:f>
        <x:v>Wednesday</x:v>
      </x:c>
      <x:c r="E152" t="str">
        <x:f>INDEX(tblServiceEvents[MY_MONTH],MATCH($A152,tblServiceEvents[Event #],0))</x:f>
        <x:v>MY_MONTH 3</x:v>
      </x:c>
      <x:c r="F152" t="str">
        <x:f>INDEX(tblServiceEvents[Status],MATCH($A152,tblServiceEvents[Event #],0))</x:f>
        <x:v>Completed</x:v>
      </x:c>
      <x:c r="G152" t="str">
        <x:f>INDEX(tblServiceEvents[City],MATCH($A152,tblServiceEvents[Event #],0))</x:f>
        <x:v>Washington</x:v>
      </x:c>
      <x:c r="H152" t="str">
        <x:f>INDEX(tblServiceEvents[Jurisdiction],MATCH($A152,tblServiceEvents[Event #],0))</x:f>
        <x:v>DC</x:v>
      </x:c>
      <x:c r="I152" t="n">
        <x:f>COUNTIF(tblLedger[Event #],A152)</x:f>
        <x:v>1</x:v>
      </x:c>
      <x:c r="J152" t="str">
        <x:f>IF(COUNTIF(tblServiceEvents[Event #],A152)&gt;1,"Yes","No")</x:f>
        <x:v>No</x:v>
      </x:c>
      <x:c r="K152" t="str">
        <x:f>IF(C152="","Yes","No")</x:f>
        <x:v>No</x:v>
      </x:c>
      <x:c r="L152" t="str">
        <x:f>IF(B152="","Yes","No")</x:f>
        <x:v>No</x:v>
      </x:c>
      <x:c r="M152" t="str">
        <x:f>IF(OR(G152="",H152=""),"Yes","No")</x:f>
        <x:v>No</x:v>
      </x:c>
      <x:c r="N152" t="str">
        <x:f>IF(COUNTIF({"Monday","Tuesday","Wednesday","Thursday","Friday"},D152)=0,"Yes","No")</x:f>
        <x:v>No</x:v>
      </x:c>
      <x:c r="O152" t="str">
        <x:f>IF(COUNTIF({"MY_MONTH 1","MY_MONTH 2","MY_MONTH 3"},E152)=0,"Yes","No")</x:f>
        <x:v>No</x:v>
      </x:c>
      <x:c r="P152" t="str">
        <x:f>IF(J152="Yes","Duplicate Event #",IF(K152="Yes","Missing Date",IF(L152="Yes","Missing Client",IF(M152="Yes","Missing Location",IF(N152="Yes","Unknown Weekday",IF(O152="Yes","Unknown MY_MONTH",IF(I152=0,"No Linked WO","OK")))))))</x:f>
        <x:v>OK</x:v>
      </x:c>
      <x:c r="Q152" t="str">
        <x:f>IF(J152="Yes","Critical",IF(OR(K152="Yes",L152="Yes",M152="Yes",N152="Yes",O152="Yes"),"Warning",IF(I152=0,"Informational","OK")))</x:f>
        <x:v>OK</x:v>
      </x:c>
      <x:c r="R152" t="str">
        <x:f>IF(P152="OK","No","Yes")</x:f>
        <x:v>No</x:v>
      </x:c>
    </x:row>
    <x:row r="153">
      <x:c r="A153" t="n">
        <x:v>54</x:v>
      </x:c>
      <x:c r="B153" t="str">
        <x:f>INDEX(tblServiceEvents[Client],MATCH($A153,tblServiceEvents[Event #],0))</x:f>
        <x:v>7-Eleven</x:v>
      </x:c>
      <x:c r="C153" s="35" t="n">
        <x:f>INDEX(tblServiceEvents[Service Date],MATCH($A153,tblServiceEvents[Event #],0))</x:f>
        <x:v>46203</x:v>
      </x:c>
      <x:c r="D153" t="str">
        <x:f>INDEX(tblServiceEvents[Weekday],MATCH($A153,tblServiceEvents[Event #],0))</x:f>
        <x:v>Tuesday</x:v>
      </x:c>
      <x:c r="E153" t="str">
        <x:f>INDEX(tblServiceEvents[MY_MONTH],MATCH($A153,tblServiceEvents[Event #],0))</x:f>
        <x:v>MY_MONTH 3</x:v>
      </x:c>
      <x:c r="F153" t="str">
        <x:f>INDEX(tblServiceEvents[Status],MATCH($A153,tblServiceEvents[Event #],0))</x:f>
        <x:v>Completed</x:v>
      </x:c>
      <x:c r="G153" t="str">
        <x:f>INDEX(tblServiceEvents[City],MATCH($A153,tblServiceEvents[Event #],0))</x:f>
        <x:v>Owings Mills</x:v>
      </x:c>
      <x:c r="H153" t="str">
        <x:f>INDEX(tblServiceEvents[Jurisdiction],MATCH($A153,tblServiceEvents[Event #],0))</x:f>
        <x:v>MD</x:v>
      </x:c>
      <x:c r="I153" t="n">
        <x:f>COUNTIF(tblLedger[Event #],A153)</x:f>
        <x:v>1</x:v>
      </x:c>
      <x:c r="J153" t="str">
        <x:f>IF(COUNTIF(tblServiceEvents[Event #],A153)&gt;1,"Yes","No")</x:f>
        <x:v>No</x:v>
      </x:c>
      <x:c r="K153" t="str">
        <x:f>IF(C153="","Yes","No")</x:f>
        <x:v>No</x:v>
      </x:c>
      <x:c r="L153" t="str">
        <x:f>IF(B153="","Yes","No")</x:f>
        <x:v>No</x:v>
      </x:c>
      <x:c r="M153" t="str">
        <x:f>IF(OR(G153="",H153=""),"Yes","No")</x:f>
        <x:v>No</x:v>
      </x:c>
      <x:c r="N153" t="str">
        <x:f>IF(COUNTIF({"Monday","Tuesday","Wednesday","Thursday","Friday"},D153)=0,"Yes","No")</x:f>
        <x:v>No</x:v>
      </x:c>
      <x:c r="O153" t="str">
        <x:f>IF(COUNTIF({"MY_MONTH 1","MY_MONTH 2","MY_MONTH 3"},E153)=0,"Yes","No")</x:f>
        <x:v>No</x:v>
      </x:c>
      <x:c r="P153" t="str">
        <x:f>IF(J153="Yes","Duplicate Event #",IF(K153="Yes","Missing Date",IF(L153="Yes","Missing Client",IF(M153="Yes","Missing Location",IF(N153="Yes","Unknown Weekday",IF(O153="Yes","Unknown MY_MONTH",IF(I153=0,"No Linked WO","OK")))))))</x:f>
        <x:v>OK</x:v>
      </x:c>
      <x:c r="Q153" t="str">
        <x:f>IF(J153="Yes","Critical",IF(OR(K153="Yes",L153="Yes",M153="Yes",N153="Yes",O153="Yes"),"Warning",IF(I153=0,"Informational","OK")))</x:f>
        <x:v>OK</x:v>
      </x:c>
      <x:c r="R153" t="str">
        <x:f>IF(P153="OK","No","Yes")</x:f>
        <x:v>No</x:v>
      </x:c>
    </x:row>
    <x:row r="154">
      <x:c r="A154" t="n">
        <x:v>55</x:v>
      </x:c>
      <x:c r="B154" t="str">
        <x:f>INDEX(tblServiceEvents[Client],MATCH($A154,tblServiceEvents[Event #],0))</x:f>
        <x:v>Office of MD Senator Angela Alsobrooks</x:v>
      </x:c>
      <x:c r="C154" s="35" t="n">
        <x:f>INDEX(tblServiceEvents[Service Date],MATCH($A154,tblServiceEvents[Event #],0))</x:f>
        <x:v>46204</x:v>
      </x:c>
      <x:c r="D154" t="str">
        <x:f>INDEX(tblServiceEvents[Weekday],MATCH($A154,tblServiceEvents[Event #],0))</x:f>
        <x:v>Wednesday</x:v>
      </x:c>
      <x:c r="E154" t="str">
        <x:f>INDEX(tblServiceEvents[MY_MONTH],MATCH($A154,tblServiceEvents[Event #],0))</x:f>
        <x:v>MY_MONTH 3</x:v>
      </x:c>
      <x:c r="F154" t="str">
        <x:f>INDEX(tblServiceEvents[Status],MATCH($A154,tblServiceEvents[Event #],0))</x:f>
        <x:v>Completed</x:v>
      </x:c>
      <x:c r="G154" t="str">
        <x:f>INDEX(tblServiceEvents[City],MATCH($A154,tblServiceEvents[Event #],0))</x:f>
        <x:v>Largo</x:v>
      </x:c>
      <x:c r="H154" t="str">
        <x:f>INDEX(tblServiceEvents[Jurisdiction],MATCH($A154,tblServiceEvents[Event #],0))</x:f>
        <x:v>MD</x:v>
      </x:c>
      <x:c r="I154" t="n">
        <x:f>COUNTIF(tblLedger[Event #],A154)</x:f>
        <x:v>1</x:v>
      </x:c>
      <x:c r="J154" t="str">
        <x:f>IF(COUNTIF(tblServiceEvents[Event #],A154)&gt;1,"Yes","No")</x:f>
        <x:v>No</x:v>
      </x:c>
      <x:c r="K154" t="str">
        <x:f>IF(C154="","Yes","No")</x:f>
        <x:v>No</x:v>
      </x:c>
      <x:c r="L154" t="str">
        <x:f>IF(B154="","Yes","No")</x:f>
        <x:v>No</x:v>
      </x:c>
      <x:c r="M154" t="str">
        <x:f>IF(OR(G154="",H154=""),"Yes","No")</x:f>
        <x:v>No</x:v>
      </x:c>
      <x:c r="N154" t="str">
        <x:f>IF(COUNTIF({"Monday","Tuesday","Wednesday","Thursday","Friday"},D154)=0,"Yes","No")</x:f>
        <x:v>No</x:v>
      </x:c>
      <x:c r="O154" t="str">
        <x:f>IF(COUNTIF({"MY_MONTH 1","MY_MONTH 2","MY_MONTH 3"},E154)=0,"Yes","No")</x:f>
        <x:v>No</x:v>
      </x:c>
      <x:c r="P154" t="str">
        <x:f>IF(J154="Yes","Duplicate Event #",IF(K154="Yes","Missing Date",IF(L154="Yes","Missing Client",IF(M154="Yes","Missing Location",IF(N154="Yes","Unknown Weekday",IF(O154="Yes","Unknown MY_MONTH",IF(I154=0,"No Linked WO","OK")))))))</x:f>
        <x:v>OK</x:v>
      </x:c>
      <x:c r="Q154" t="str">
        <x:f>IF(J154="Yes","Critical",IF(OR(K154="Yes",L154="Yes",M154="Yes",N154="Yes",O154="Yes"),"Warning",IF(I154=0,"Informational","OK")))</x:f>
        <x:v>OK</x:v>
      </x:c>
      <x:c r="R154" t="str">
        <x:f>IF(P154="OK","No","Yes")</x:f>
        <x:v>No</x:v>
      </x:c>
    </x:row>
    <x:row r="155">
      <x:c r="A155" t="n">
        <x:v>56</x:v>
      </x:c>
      <x:c r="B155" t="str">
        <x:f>INDEX(tblServiceEvents[Client],MATCH($A155,tblServiceEvents[Event #],0))</x:f>
        <x:v>Dunkin</x:v>
      </x:c>
      <x:c r="C155" s="35" t="n">
        <x:f>INDEX(tblServiceEvents[Service Date],MATCH($A155,tblServiceEvents[Event #],0))</x:f>
        <x:v>46205</x:v>
      </x:c>
      <x:c r="D155" t="str">
        <x:f>INDEX(tblServiceEvents[Weekday],MATCH($A155,tblServiceEvents[Event #],0))</x:f>
        <x:v>Thursday</x:v>
      </x:c>
      <x:c r="E155" t="str">
        <x:f>INDEX(tblServiceEvents[MY_MONTH],MATCH($A155,tblServiceEvents[Event #],0))</x:f>
        <x:v>MY_MONTH 3</x:v>
      </x:c>
      <x:c r="F155" t="str">
        <x:f>INDEX(tblServiceEvents[Status],MATCH($A155,tblServiceEvents[Event #],0))</x:f>
        <x:v>Completed</x:v>
      </x:c>
      <x:c r="G155" t="str">
        <x:f>INDEX(tblServiceEvents[City],MATCH($A155,tblServiceEvents[Event #],0))</x:f>
        <x:v>Reisterstown</x:v>
      </x:c>
      <x:c r="H155" t="str">
        <x:f>INDEX(tblServiceEvents[Jurisdiction],MATCH($A155,tblServiceEvents[Event #],0))</x:f>
        <x:v>MD</x:v>
      </x:c>
      <x:c r="I155" t="n">
        <x:f>COUNTIF(tblLedger[Event #],A155)</x:f>
        <x:v>1</x:v>
      </x:c>
      <x:c r="J155" t="str">
        <x:f>IF(COUNTIF(tblServiceEvents[Event #],A155)&gt;1,"Yes","No")</x:f>
        <x:v>No</x:v>
      </x:c>
      <x:c r="K155" t="str">
        <x:f>IF(C155="","Yes","No")</x:f>
        <x:v>No</x:v>
      </x:c>
      <x:c r="L155" t="str">
        <x:f>IF(B155="","Yes","No")</x:f>
        <x:v>No</x:v>
      </x:c>
      <x:c r="M155" t="str">
        <x:f>IF(OR(G155="",H155=""),"Yes","No")</x:f>
        <x:v>No</x:v>
      </x:c>
      <x:c r="N155" t="str">
        <x:f>IF(COUNTIF({"Monday","Tuesday","Wednesday","Thursday","Friday"},D155)=0,"Yes","No")</x:f>
        <x:v>No</x:v>
      </x:c>
      <x:c r="O155" t="str">
        <x:f>IF(COUNTIF({"MY_MONTH 1","MY_MONTH 2","MY_MONTH 3"},E155)=0,"Yes","No")</x:f>
        <x:v>No</x:v>
      </x:c>
      <x:c r="P155" t="str">
        <x:f>IF(J155="Yes","Duplicate Event #",IF(K155="Yes","Missing Date",IF(L155="Yes","Missing Client",IF(M155="Yes","Missing Location",IF(N155="Yes","Unknown Weekday",IF(O155="Yes","Unknown MY_MONTH",IF(I155=0,"No Linked WO","OK")))))))</x:f>
        <x:v>OK</x:v>
      </x:c>
      <x:c r="Q155" t="str">
        <x:f>IF(J155="Yes","Critical",IF(OR(K155="Yes",L155="Yes",M155="Yes",N155="Yes",O155="Yes"),"Warning",IF(I155=0,"Informational","OK")))</x:f>
        <x:v>OK</x:v>
      </x:c>
      <x:c r="R155" t="str">
        <x:f>IF(P155="OK","No","Yes")</x:f>
        <x:v>No</x:v>
      </x:c>
    </x:row>
    <x:row r="156">
      <x:c r="A156" t="n">
        <x:v>57</x:v>
      </x:c>
      <x:c r="B156" t="str">
        <x:f>INDEX(tblServiceEvents[Client],MATCH($A156,tblServiceEvents[Event #],0))</x:f>
        <x:v>Montpelier Liquors</x:v>
      </x:c>
      <x:c r="C156" s="35" t="n">
        <x:f>INDEX(tblServiceEvents[Service Date],MATCH($A156,tblServiceEvents[Event #],0))</x:f>
        <x:v>46209</x:v>
      </x:c>
      <x:c r="D156" t="str">
        <x:f>INDEX(tblServiceEvents[Weekday],MATCH($A156,tblServiceEvents[Event #],0))</x:f>
        <x:v>Monday</x:v>
      </x:c>
      <x:c r="E156" t="str">
        <x:f>INDEX(tblServiceEvents[MY_MONTH],MATCH($A156,tblServiceEvents[Event #],0))</x:f>
        <x:v>MY_MONTH 3</x:v>
      </x:c>
      <x:c r="F156" t="str">
        <x:f>INDEX(tblServiceEvents[Status],MATCH($A156,tblServiceEvents[Event #],0))</x:f>
        <x:v>Completed</x:v>
      </x:c>
      <x:c r="G156" t="str">
        <x:f>INDEX(tblServiceEvents[City],MATCH($A156,tblServiceEvents[Event #],0))</x:f>
        <x:v>Laurel</x:v>
      </x:c>
      <x:c r="H156" t="str">
        <x:f>INDEX(tblServiceEvents[Jurisdiction],MATCH($A156,tblServiceEvents[Event #],0))</x:f>
        <x:v>MD</x:v>
      </x:c>
      <x:c r="I156" t="n">
        <x:f>COUNTIF(tblLedger[Event #],A156)</x:f>
        <x:v>1</x:v>
      </x:c>
      <x:c r="J156" t="str">
        <x:f>IF(COUNTIF(tblServiceEvents[Event #],A156)&gt;1,"Yes","No")</x:f>
        <x:v>No</x:v>
      </x:c>
      <x:c r="K156" t="str">
        <x:f>IF(C156="","Yes","No")</x:f>
        <x:v>No</x:v>
      </x:c>
      <x:c r="L156" t="str">
        <x:f>IF(B156="","Yes","No")</x:f>
        <x:v>No</x:v>
      </x:c>
      <x:c r="M156" t="str">
        <x:f>IF(OR(G156="",H156=""),"Yes","No")</x:f>
        <x:v>No</x:v>
      </x:c>
      <x:c r="N156" t="str">
        <x:f>IF(COUNTIF({"Monday","Tuesday","Wednesday","Thursday","Friday"},D156)=0,"Yes","No")</x:f>
        <x:v>No</x:v>
      </x:c>
      <x:c r="O156" t="str">
        <x:f>IF(COUNTIF({"MY_MONTH 1","MY_MONTH 2","MY_MONTH 3"},E156)=0,"Yes","No")</x:f>
        <x:v>No</x:v>
      </x:c>
      <x:c r="P156" t="str">
        <x:f>IF(J156="Yes","Duplicate Event #",IF(K156="Yes","Missing Date",IF(L156="Yes","Missing Client",IF(M156="Yes","Missing Location",IF(N156="Yes","Unknown Weekday",IF(O156="Yes","Unknown MY_MONTH",IF(I156=0,"No Linked WO","OK")))))))</x:f>
        <x:v>OK</x:v>
      </x:c>
      <x:c r="Q156" t="str">
        <x:f>IF(J156="Yes","Critical",IF(OR(K156="Yes",L156="Yes",M156="Yes",N156="Yes",O156="Yes"),"Warning",IF(I156=0,"Informational","OK")))</x:f>
        <x:v>OK</x:v>
      </x:c>
      <x:c r="R156" t="str">
        <x:f>IF(P156="OK","No","Yes")</x:f>
        <x:v>No</x:v>
      </x:c>
    </x:row>
    <x:row r="157">
      <x:c r="A157" t="n">
        <x:v>58</x:v>
      </x:c>
      <x:c r="B157" t="str">
        <x:f>INDEX(tblServiceEvents[Client],MATCH($A157,tblServiceEvents[Event #],0))</x:f>
        <x:v>Dunkin</x:v>
      </x:c>
      <x:c r="C157" s="35" t="n">
        <x:f>INDEX(tblServiceEvents[Service Date],MATCH($A157,tblServiceEvents[Event #],0))</x:f>
        <x:v>46209</x:v>
      </x:c>
      <x:c r="D157" t="str">
        <x:f>INDEX(tblServiceEvents[Weekday],MATCH($A157,tblServiceEvents[Event #],0))</x:f>
        <x:v>Monday</x:v>
      </x:c>
      <x:c r="E157" t="str">
        <x:f>INDEX(tblServiceEvents[MY_MONTH],MATCH($A157,tblServiceEvents[Event #],0))</x:f>
        <x:v>MY_MONTH 3</x:v>
      </x:c>
      <x:c r="F157" t="str">
        <x:f>INDEX(tblServiceEvents[Status],MATCH($A157,tblServiceEvents[Event #],0))</x:f>
        <x:v>Completed</x:v>
      </x:c>
      <x:c r="G157" t="str">
        <x:f>INDEX(tblServiceEvents[City],MATCH($A157,tblServiceEvents[Event #],0))</x:f>
        <x:v>Lutherville</x:v>
      </x:c>
      <x:c r="H157" t="str">
        <x:f>INDEX(tblServiceEvents[Jurisdiction],MATCH($A157,tblServiceEvents[Event #],0))</x:f>
        <x:v>MD</x:v>
      </x:c>
      <x:c r="I157" t="n">
        <x:f>COUNTIF(tblLedger[Event #],A157)</x:f>
        <x:v>1</x:v>
      </x:c>
      <x:c r="J157" t="str">
        <x:f>IF(COUNTIF(tblServiceEvents[Event #],A157)&gt;1,"Yes","No")</x:f>
        <x:v>No</x:v>
      </x:c>
      <x:c r="K157" t="str">
        <x:f>IF(C157="","Yes","No")</x:f>
        <x:v>No</x:v>
      </x:c>
      <x:c r="L157" t="str">
        <x:f>IF(B157="","Yes","No")</x:f>
        <x:v>No</x:v>
      </x:c>
      <x:c r="M157" t="str">
        <x:f>IF(OR(G157="",H157=""),"Yes","No")</x:f>
        <x:v>No</x:v>
      </x:c>
      <x:c r="N157" t="str">
        <x:f>IF(COUNTIF({"Monday","Tuesday","Wednesday","Thursday","Friday"},D157)=0,"Yes","No")</x:f>
        <x:v>No</x:v>
      </x:c>
      <x:c r="O157" t="str">
        <x:f>IF(COUNTIF({"MY_MONTH 1","MY_MONTH 2","MY_MONTH 3"},E157)=0,"Yes","No")</x:f>
        <x:v>No</x:v>
      </x:c>
      <x:c r="P157" t="str">
        <x:f>IF(J157="Yes","Duplicate Event #",IF(K157="Yes","Missing Date",IF(L157="Yes","Missing Client",IF(M157="Yes","Missing Location",IF(N157="Yes","Unknown Weekday",IF(O157="Yes","Unknown MY_MONTH",IF(I157=0,"No Linked WO","OK")))))))</x:f>
        <x:v>OK</x:v>
      </x:c>
      <x:c r="Q157" t="str">
        <x:f>IF(J157="Yes","Critical",IF(OR(K157="Yes",L157="Yes",M157="Yes",N157="Yes",O157="Yes"),"Warning",IF(I157=0,"Informational","OK")))</x:f>
        <x:v>OK</x:v>
      </x:c>
      <x:c r="R157" t="str">
        <x:f>IF(P157="OK","No","Yes")</x:f>
        <x:v>No</x:v>
      </x:c>
    </x:row>
    <x:row r="158">
      <x:c r="A158" t="n">
        <x:v>59</x:v>
      </x:c>
      <x:c r="B158" t="str">
        <x:f>INDEX(tblServiceEvents[Client],MATCH($A158,tblServiceEvents[Event #],0))</x:f>
        <x:v>Dunkin</x:v>
      </x:c>
      <x:c r="C158" s="35" t="n">
        <x:f>INDEX(tblServiceEvents[Service Date],MATCH($A158,tblServiceEvents[Event #],0))</x:f>
        <x:v>46210</x:v>
      </x:c>
      <x:c r="D158" t="str">
        <x:f>INDEX(tblServiceEvents[Weekday],MATCH($A158,tblServiceEvents[Event #],0))</x:f>
        <x:v>Tuesday</x:v>
      </x:c>
      <x:c r="E158" t="str">
        <x:f>INDEX(tblServiceEvents[MY_MONTH],MATCH($A158,tblServiceEvents[Event #],0))</x:f>
        <x:v>MY_MONTH 3</x:v>
      </x:c>
      <x:c r="F158" t="str">
        <x:f>INDEX(tblServiceEvents[Status],MATCH($A158,tblServiceEvents[Event #],0))</x:f>
        <x:v>Completed</x:v>
      </x:c>
      <x:c r="G158" t="str">
        <x:f>INDEX(tblServiceEvents[City],MATCH($A158,tblServiceEvents[Event #],0))</x:f>
        <x:v>Aberdeen</x:v>
      </x:c>
      <x:c r="H158" t="str">
        <x:f>INDEX(tblServiceEvents[Jurisdiction],MATCH($A158,tblServiceEvents[Event #],0))</x:f>
        <x:v>MD</x:v>
      </x:c>
      <x:c r="I158" t="n">
        <x:f>COUNTIF(tblLedger[Event #],A158)</x:f>
        <x:v>1</x:v>
      </x:c>
      <x:c r="J158" t="str">
        <x:f>IF(COUNTIF(tblServiceEvents[Event #],A158)&gt;1,"Yes","No")</x:f>
        <x:v>No</x:v>
      </x:c>
      <x:c r="K158" t="str">
        <x:f>IF(C158="","Yes","No")</x:f>
        <x:v>No</x:v>
      </x:c>
      <x:c r="L158" t="str">
        <x:f>IF(B158="","Yes","No")</x:f>
        <x:v>No</x:v>
      </x:c>
      <x:c r="M158" t="str">
        <x:f>IF(OR(G158="",H158=""),"Yes","No")</x:f>
        <x:v>No</x:v>
      </x:c>
      <x:c r="N158" t="str">
        <x:f>IF(COUNTIF({"Monday","Tuesday","Wednesday","Thursday","Friday"},D158)=0,"Yes","No")</x:f>
        <x:v>No</x:v>
      </x:c>
      <x:c r="O158" t="str">
        <x:f>IF(COUNTIF({"MY_MONTH 1","MY_MONTH 2","MY_MONTH 3"},E158)=0,"Yes","No")</x:f>
        <x:v>No</x:v>
      </x:c>
      <x:c r="P158" t="str">
        <x:f>IF(J158="Yes","Duplicate Event #",IF(K158="Yes","Missing Date",IF(L158="Yes","Missing Client",IF(M158="Yes","Missing Location",IF(N158="Yes","Unknown Weekday",IF(O158="Yes","Unknown MY_MONTH",IF(I158=0,"No Linked WO","OK")))))))</x:f>
        <x:v>OK</x:v>
      </x:c>
      <x:c r="Q158" t="str">
        <x:f>IF(J158="Yes","Critical",IF(OR(K158="Yes",L158="Yes",M158="Yes",N158="Yes",O158="Yes"),"Warning",IF(I158=0,"Informational","OK")))</x:f>
        <x:v>OK</x:v>
      </x:c>
      <x:c r="R158" t="str">
        <x:f>IF(P158="OK","No","Yes")</x:f>
        <x:v>No</x:v>
      </x:c>
    </x:row>
    <x:row r="159">
      <x:c r="A159" t="n">
        <x:v>60</x:v>
      </x:c>
      <x:c r="B159" t="str">
        <x:f>INDEX(tblServiceEvents[Client],MATCH($A159,tblServiceEvents[Event #],0))</x:f>
        <x:v>Carvana</x:v>
      </x:c>
      <x:c r="C159" s="35" t="n">
        <x:f>INDEX(tblServiceEvents[Service Date],MATCH($A159,tblServiceEvents[Event #],0))</x:f>
        <x:v>46211</x:v>
      </x:c>
      <x:c r="D159" t="str">
        <x:f>INDEX(tblServiceEvents[Weekday],MATCH($A159,tblServiceEvents[Event #],0))</x:f>
        <x:v>Wednesday</x:v>
      </x:c>
      <x:c r="E159" t="str">
        <x:f>INDEX(tblServiceEvents[MY_MONTH],MATCH($A159,tblServiceEvents[Event #],0))</x:f>
        <x:v>MY_MONTH 3</x:v>
      </x:c>
      <x:c r="F159" t="str">
        <x:f>INDEX(tblServiceEvents[Status],MATCH($A159,tblServiceEvents[Event #],0))</x:f>
        <x:v>Completed</x:v>
      </x:c>
      <x:c r="G159" t="str">
        <x:f>INDEX(tblServiceEvents[City],MATCH($A159,tblServiceEvents[Event #],0))</x:f>
        <x:v>Baltimore</x:v>
      </x:c>
      <x:c r="H159" t="str">
        <x:f>INDEX(tblServiceEvents[Jurisdiction],MATCH($A159,tblServiceEvents[Event #],0))</x:f>
        <x:v>MD</x:v>
      </x:c>
      <x:c r="I159" t="n">
        <x:f>COUNTIF(tblLedger[Event #],A159)</x:f>
        <x:v>2</x:v>
      </x:c>
      <x:c r="J159" t="str">
        <x:f>IF(COUNTIF(tblServiceEvents[Event #],A159)&gt;1,"Yes","No")</x:f>
        <x:v>No</x:v>
      </x:c>
      <x:c r="K159" t="str">
        <x:f>IF(C159="","Yes","No")</x:f>
        <x:v>No</x:v>
      </x:c>
      <x:c r="L159" t="str">
        <x:f>IF(B159="","Yes","No")</x:f>
        <x:v>No</x:v>
      </x:c>
      <x:c r="M159" t="str">
        <x:f>IF(OR(G159="",H159=""),"Yes","No")</x:f>
        <x:v>No</x:v>
      </x:c>
      <x:c r="N159" t="str">
        <x:f>IF(COUNTIF({"Monday","Tuesday","Wednesday","Thursday","Friday"},D159)=0,"Yes","No")</x:f>
        <x:v>No</x:v>
      </x:c>
      <x:c r="O159" t="str">
        <x:f>IF(COUNTIF({"MY_MONTH 1","MY_MONTH 2","MY_MONTH 3"},E159)=0,"Yes","No")</x:f>
        <x:v>No</x:v>
      </x:c>
      <x:c r="P159" t="str">
        <x:f>IF(J159="Yes","Duplicate Event #",IF(K159="Yes","Missing Date",IF(L159="Yes","Missing Client",IF(M159="Yes","Missing Location",IF(N159="Yes","Unknown Weekday",IF(O159="Yes","Unknown MY_MONTH",IF(I159=0,"No Linked WO","OK")))))))</x:f>
        <x:v>OK</x:v>
      </x:c>
      <x:c r="Q159" t="str">
        <x:f>IF(J159="Yes","Critical",IF(OR(K159="Yes",L159="Yes",M159="Yes",N159="Yes",O159="Yes"),"Warning",IF(I159=0,"Informational","OK")))</x:f>
        <x:v>OK</x:v>
      </x:c>
      <x:c r="R159" t="str">
        <x:f>IF(P159="OK","No","Yes")</x:f>
        <x:v>No</x:v>
      </x:c>
    </x:row>
    <x:row r="160">
      <x:c r="A160" t="n">
        <x:v>61</x:v>
      </x:c>
      <x:c r="B160" t="str">
        <x:f>INDEX(tblServiceEvents[Client],MATCH($A160,tblServiceEvents[Event #],0))</x:f>
        <x:v>TJ Maxx</x:v>
      </x:c>
      <x:c r="C160" t="n">
        <x:f>INDEX(tblServiceEvents[Service Date],MATCH($A160,tblServiceEvents[Event #],0))</x:f>
        <x:v>46212</x:v>
      </x:c>
      <x:c r="D160" t="str">
        <x:f>INDEX(tblServiceEvents[Weekday],MATCH($A160,tblServiceEvents[Event #],0))</x:f>
        <x:v>Thursday</x:v>
      </x:c>
      <x:c r="E160" t="str">
        <x:f>INDEX(tblServiceEvents[MY_MONTH],MATCH($A160,tblServiceEvents[Event #],0))</x:f>
        <x:v>MY_MONTH 3</x:v>
      </x:c>
      <x:c r="F160" t="str">
        <x:f>INDEX(tblServiceEvents[Status],MATCH($A160,tblServiceEvents[Event #],0))</x:f>
        <x:v>Completed</x:v>
      </x:c>
      <x:c r="G160" t="str">
        <x:f>INDEX(tblServiceEvents[City],MATCH($A160,tblServiceEvents[Event #],0))</x:f>
        <x:v>Germantown</x:v>
      </x:c>
      <x:c r="H160" t="str">
        <x:f>INDEX(tblServiceEvents[Jurisdiction],MATCH($A160,tblServiceEvents[Event #],0))</x:f>
        <x:v>MD</x:v>
      </x:c>
      <x:c r="I160" t="n">
        <x:f>COUNTIF(tblLedger[Event #],A160)</x:f>
        <x:v>1</x:v>
      </x:c>
      <x:c r="J160" t="str">
        <x:f>IF(COUNTIF(tblServiceEvents[Event #],A160)&gt;1,"Yes","No")</x:f>
        <x:v>No</x:v>
      </x:c>
      <x:c r="K160" t="str">
        <x:f>IF(C160="","Yes","No")</x:f>
        <x:v>No</x:v>
      </x:c>
      <x:c r="L160" t="str">
        <x:f>IF(B160="","Yes","No")</x:f>
        <x:v>No</x:v>
      </x:c>
      <x:c r="M160" t="str">
        <x:f>IF(OR(G160="",H160=""),"Yes","No")</x:f>
        <x:v>No</x:v>
      </x:c>
      <x:c r="N160" t="str">
        <x:f>IF(COUNTIF({"Monday","Tuesday","Wednesday","Thursday","Friday"},D160)=0,"Yes","No")</x:f>
        <x:v>No</x:v>
      </x:c>
      <x:c r="O160" t="str">
        <x:f>IF(COUNTIF({"MY_MONTH 1","MY_MONTH 2","MY_MONTH 3"},E160)=0,"Yes","No")</x:f>
        <x:v>No</x:v>
      </x:c>
      <x:c r="P160" t="str">
        <x:f>IF(J160="Yes","Duplicate Event #",IF(K160="Yes","Missing Date",IF(L160="Yes","Missing Client",IF(M160="Yes","Missing Location",IF(N160="Yes","Unknown Weekday",IF(O160="Yes","Unknown MY_MONTH",IF(I160=0,"No Linked WO","OK")))))))</x:f>
        <x:v>OK</x:v>
      </x:c>
      <x:c r="Q160" t="str">
        <x:f>IF(J160="Yes","Critical",IF(OR(K160="Yes",L160="Yes",M160="Yes",N160="Yes",O160="Yes"),"Warning",IF(I160=0,"Informational","OK")))</x:f>
        <x:v>OK</x:v>
      </x:c>
      <x:c r="R160" t="str">
        <x:f>IF(P160="OK","No","Yes")</x:f>
        <x:v>No</x:v>
      </x:c>
    </x:row>
    <x:row r="161">
      <x:c r="A161" t="n">
        <x:v>62</x:v>
      </x:c>
      <x:c r="B161" t="str">
        <x:f>INDEX(tblServiceEvents[Client],MATCH($A161,tblServiceEvents[Event #],0))</x:f>
        <x:v>TJ Maxx</x:v>
      </x:c>
      <x:c r="C161" t="n">
        <x:f>INDEX(tblServiceEvents[Service Date],MATCH($A161,tblServiceEvents[Event #],0))</x:f>
        <x:v>46212</x:v>
      </x:c>
      <x:c r="D161" t="str">
        <x:f>INDEX(tblServiceEvents[Weekday],MATCH($A161,tblServiceEvents[Event #],0))</x:f>
        <x:v>Thursday</x:v>
      </x:c>
      <x:c r="E161" t="str">
        <x:f>INDEX(tblServiceEvents[MY_MONTH],MATCH($A161,tblServiceEvents[Event #],0))</x:f>
        <x:v>MY_MONTH 3</x:v>
      </x:c>
      <x:c r="F161" t="str">
        <x:f>INDEX(tblServiceEvents[Status],MATCH($A161,tblServiceEvents[Event #],0))</x:f>
        <x:v>Completed</x:v>
      </x:c>
      <x:c r="G161" t="str">
        <x:f>INDEX(tblServiceEvents[City],MATCH($A161,tblServiceEvents[Event #],0))</x:f>
        <x:v>Martinsburg</x:v>
      </x:c>
      <x:c r="H161" t="str">
        <x:f>INDEX(tblServiceEvents[Jurisdiction],MATCH($A161,tblServiceEvents[Event #],0))</x:f>
        <x:v>WV</x:v>
      </x:c>
      <x:c r="I161" t="n">
        <x:f>COUNTIF(tblLedger[Event #],A161)</x:f>
        <x:v>1</x:v>
      </x:c>
      <x:c r="J161" t="str">
        <x:f>IF(COUNTIF(tblServiceEvents[Event #],A161)&gt;1,"Yes","No")</x:f>
        <x:v>No</x:v>
      </x:c>
      <x:c r="K161" t="str">
        <x:f>IF(C161="","Yes","No")</x:f>
        <x:v>No</x:v>
      </x:c>
      <x:c r="L161" t="str">
        <x:f>IF(B161="","Yes","No")</x:f>
        <x:v>No</x:v>
      </x:c>
      <x:c r="M161" t="str">
        <x:f>IF(OR(G161="",H161=""),"Yes","No")</x:f>
        <x:v>No</x:v>
      </x:c>
      <x:c r="N161" t="str">
        <x:f>IF(COUNTIF({"Monday","Tuesday","Wednesday","Thursday","Friday"},D161)=0,"Yes","No")</x:f>
        <x:v>No</x:v>
      </x:c>
      <x:c r="O161" t="str">
        <x:f>IF(COUNTIF({"MY_MONTH 1","MY_MONTH 2","MY_MONTH 3"},E161)=0,"Yes","No")</x:f>
        <x:v>No</x:v>
      </x:c>
      <x:c r="P161" t="str">
        <x:f>IF(J161="Yes","Duplicate Event #",IF(K161="Yes","Missing Date",IF(L161="Yes","Missing Client",IF(M161="Yes","Missing Location",IF(N161="Yes","Unknown Weekday",IF(O161="Yes","Unknown MY_MONTH",IF(I161=0,"No Linked WO","OK")))))))</x:f>
        <x:v>OK</x:v>
      </x:c>
      <x:c r="Q161" t="str">
        <x:f>IF(J161="Yes","Critical",IF(OR(K161="Yes",L161="Yes",M161="Yes",N161="Yes",O161="Yes"),"Warning",IF(I161=0,"Informational","OK")))</x:f>
        <x:v>OK</x:v>
      </x:c>
      <x:c r="R161" t="str">
        <x:f>IF(P161="OK","No","Yes")</x:f>
        <x:v>No</x:v>
      </x:c>
    </x:row>
    <x:row r="162">
      <x:c r="A162" t="n">
        <x:v>63</x:v>
      </x:c>
      <x:c r="B162" t="str">
        <x:f>INDEX(tblServiceEvents[Client],MATCH($A162,tblServiceEvents[Event #],0))</x:f>
        <x:v>Marshalls</x:v>
      </x:c>
      <x:c r="C162" t="n">
        <x:f>INDEX(tblServiceEvents[Service Date],MATCH($A162,tblServiceEvents[Event #],0))</x:f>
        <x:v>46216</x:v>
      </x:c>
      <x:c r="D162" t="str">
        <x:f>INDEX(tblServiceEvents[Weekday],MATCH($A162,tblServiceEvents[Event #],0))</x:f>
        <x:v>Monday</x:v>
      </x:c>
      <x:c r="E162" t="str">
        <x:f>INDEX(tblServiceEvents[MY_MONTH],MATCH($A162,tblServiceEvents[Event #],0))</x:f>
        <x:v>MY_MONTH 3</x:v>
      </x:c>
      <x:c r="F162" t="str">
        <x:f>INDEX(tblServiceEvents[Status],MATCH($A162,tblServiceEvents[Event #],0))</x:f>
        <x:v>Completed</x:v>
      </x:c>
      <x:c r="G162" t="str">
        <x:f>INDEX(tblServiceEvents[City],MATCH($A162,tblServiceEvents[Event #],0))</x:f>
        <x:v>Cockeysville</x:v>
      </x:c>
      <x:c r="H162" t="str">
        <x:f>INDEX(tblServiceEvents[Jurisdiction],MATCH($A162,tblServiceEvents[Event #],0))</x:f>
        <x:v>MD</x:v>
      </x:c>
      <x:c r="I162" t="n">
        <x:f>COUNTIF(tblLedger[Event #],A162)</x:f>
        <x:v>1</x:v>
      </x:c>
      <x:c r="J162" t="str">
        <x:f>IF(COUNTIF(tblServiceEvents[Event #],A162)&gt;1,"Yes","No")</x:f>
        <x:v>No</x:v>
      </x:c>
      <x:c r="K162" t="str">
        <x:f>IF(C162="","Yes","No")</x:f>
        <x:v>No</x:v>
      </x:c>
      <x:c r="L162" t="str">
        <x:f>IF(B162="","Yes","No")</x:f>
        <x:v>No</x:v>
      </x:c>
      <x:c r="M162" t="str">
        <x:f>IF(OR(G162="",H162=""),"Yes","No")</x:f>
        <x:v>No</x:v>
      </x:c>
      <x:c r="N162" t="str">
        <x:f>IF(COUNTIF({"Monday","Tuesday","Wednesday","Thursday","Friday"},D162)=0,"Yes","No")</x:f>
        <x:v>No</x:v>
      </x:c>
      <x:c r="O162" t="str">
        <x:f>IF(COUNTIF({"MY_MONTH 1","MY_MONTH 2","MY_MONTH 3"},E162)=0,"Yes","No")</x:f>
        <x:v>No</x:v>
      </x:c>
      <x:c r="P162" t="str">
        <x:f>IF(J162="Yes","Duplicate Event #",IF(K162="Yes","Missing Date",IF(L162="Yes","Missing Client",IF(M162="Yes","Missing Location",IF(N162="Yes","Unknown Weekday",IF(O162="Yes","Unknown MY_MONTH",IF(I162=0,"No Linked WO","OK")))))))</x:f>
        <x:v>OK</x:v>
      </x:c>
      <x:c r="Q162" t="str">
        <x:f>IF(J162="Yes","Critical",IF(OR(K162="Yes",L162="Yes",M162="Yes",N162="Yes",O162="Yes"),"Warning",IF(I162=0,"Informational","OK")))</x:f>
        <x:v>OK</x:v>
      </x:c>
      <x:c r="R162" t="str">
        <x:f>IF(P162="OK","No","Yes")</x:f>
        <x:v>No</x:v>
      </x:c>
    </x:row>
    <x:row r="163">
      <x:c r="A163" t="n">
        <x:v>64</x:v>
      </x:c>
      <x:c r="B163" t="str">
        <x:f>INDEX(tblServiceEvents[Client],MATCH($A163,tblServiceEvents[Event #],0))</x:f>
        <x:v>Marshalls</x:v>
      </x:c>
      <x:c r="C163" t="n">
        <x:f>INDEX(tblServiceEvents[Service Date],MATCH($A163,tblServiceEvents[Event #],0))</x:f>
        <x:v>46216</x:v>
      </x:c>
      <x:c r="D163" t="str">
        <x:f>INDEX(tblServiceEvents[Weekday],MATCH($A163,tblServiceEvents[Event #],0))</x:f>
        <x:v>Monday</x:v>
      </x:c>
      <x:c r="E163" t="str">
        <x:f>INDEX(tblServiceEvents[MY_MONTH],MATCH($A163,tblServiceEvents[Event #],0))</x:f>
        <x:v>MY_MONTH 3</x:v>
      </x:c>
      <x:c r="F163" t="str">
        <x:f>INDEX(tblServiceEvents[Status],MATCH($A163,tblServiceEvents[Event #],0))</x:f>
        <x:v>Completed</x:v>
      </x:c>
      <x:c r="G163" t="str">
        <x:f>INDEX(tblServiceEvents[City],MATCH($A163,tblServiceEvents[Event #],0))</x:f>
        <x:v>Hagerstown</x:v>
      </x:c>
      <x:c r="H163" t="str">
        <x:f>INDEX(tblServiceEvents[Jurisdiction],MATCH($A163,tblServiceEvents[Event #],0))</x:f>
        <x:v>MD</x:v>
      </x:c>
      <x:c r="I163" t="n">
        <x:f>COUNTIF(tblLedger[Event #],A163)</x:f>
        <x:v>1</x:v>
      </x:c>
      <x:c r="J163" t="str">
        <x:f>IF(COUNTIF(tblServiceEvents[Event #],A163)&gt;1,"Yes","No")</x:f>
        <x:v>No</x:v>
      </x:c>
      <x:c r="K163" t="str">
        <x:f>IF(C163="","Yes","No")</x:f>
        <x:v>No</x:v>
      </x:c>
      <x:c r="L163" t="str">
        <x:f>IF(B163="","Yes","No")</x:f>
        <x:v>No</x:v>
      </x:c>
      <x:c r="M163" t="str">
        <x:f>IF(OR(G163="",H163=""),"Yes","No")</x:f>
        <x:v>No</x:v>
      </x:c>
      <x:c r="N163" t="str">
        <x:f>IF(COUNTIF({"Monday","Tuesday","Wednesday","Thursday","Friday"},D163)=0,"Yes","No")</x:f>
        <x:v>No</x:v>
      </x:c>
      <x:c r="O163" t="str">
        <x:f>IF(COUNTIF({"MY_MONTH 1","MY_MONTH 2","MY_MONTH 3"},E163)=0,"Yes","No")</x:f>
        <x:v>No</x:v>
      </x:c>
      <x:c r="P163" t="str">
        <x:f>IF(J163="Yes","Duplicate Event #",IF(K163="Yes","Missing Date",IF(L163="Yes","Missing Client",IF(M163="Yes","Missing Location",IF(N163="Yes","Unknown Weekday",IF(O163="Yes","Unknown MY_MONTH",IF(I163=0,"No Linked WO","OK")))))))</x:f>
        <x:v>OK</x:v>
      </x:c>
      <x:c r="Q163" t="str">
        <x:f>IF(J163="Yes","Critical",IF(OR(K163="Yes",L163="Yes",M163="Yes",N163="Yes",O163="Yes"),"Warning",IF(I163=0,"Informational","OK")))</x:f>
        <x:v>OK</x:v>
      </x:c>
      <x:c r="R163" t="str">
        <x:f>IF(P163="OK","No","Yes")</x:f>
        <x:v>No</x:v>
      </x:c>
      <x:c r="X163"/>
      <x:c r="Y163"/>
      <x:c r="Z163"/>
      <x:c r="AA163"/>
      <x:c r="AB163"/>
      <x:c r="AC163"/>
      <x:c r="AD163"/>
      <x:c r="AE163"/>
      <x:c r="AF163"/>
      <x:c r="AG163"/>
      <x:c r="AH163"/>
      <x:c r="AI163"/>
      <x:c r="AJ163"/>
      <x:c r="AK163"/>
      <x:c r="AL163"/>
      <x:c r="AM163"/>
      <x:c r="AN163"/>
      <x:c r="AO163"/>
      <x:c r="AP163"/>
      <x:c r="AQ163"/>
      <x:c r="AR163"/>
      <x:c r="AS163"/>
    </x:row>
    <x:row r="164">
      <x:c r="A164" t="n">
        <x:v>65</x:v>
      </x:c>
      <x:c r="B164" t="str">
        <x:f>INDEX(tblServiceEvents[Client],MATCH($A164,tblServiceEvents[Event #],0))</x:f>
        <x:v>HomeGoods</x:v>
      </x:c>
      <x:c r="C164" t="n">
        <x:f>INDEX(tblServiceEvents[Service Date],MATCH($A164,tblServiceEvents[Event #],0))</x:f>
        <x:v>46216</x:v>
      </x:c>
      <x:c r="D164" t="str">
        <x:f>INDEX(tblServiceEvents[Weekday],MATCH($A164,tblServiceEvents[Event #],0))</x:f>
        <x:v>Monday</x:v>
      </x:c>
      <x:c r="E164" t="str">
        <x:f>INDEX(tblServiceEvents[MY_MONTH],MATCH($A164,tblServiceEvents[Event #],0))</x:f>
        <x:v>MY_MONTH 3</x:v>
      </x:c>
      <x:c r="F164" t="str">
        <x:f>INDEX(tblServiceEvents[Status],MATCH($A164,tblServiceEvents[Event #],0))</x:f>
        <x:v>Completed</x:v>
      </x:c>
      <x:c r="G164" t="str">
        <x:f>INDEX(tblServiceEvents[City],MATCH($A164,tblServiceEvents[Event #],0))</x:f>
        <x:v>Gaithersburg</x:v>
      </x:c>
      <x:c r="H164" t="str">
        <x:f>INDEX(tblServiceEvents[Jurisdiction],MATCH($A164,tblServiceEvents[Event #],0))</x:f>
        <x:v>MD</x:v>
      </x:c>
      <x:c r="I164" t="n">
        <x:f>COUNTIF(tblLedger[Event #],A164)</x:f>
        <x:v>1</x:v>
      </x:c>
      <x:c r="J164" t="str">
        <x:f>IF(COUNTIF(tblServiceEvents[Event #],A164)&gt;1,"Yes","No")</x:f>
        <x:v>No</x:v>
      </x:c>
      <x:c r="K164" t="str">
        <x:f>IF(C164="","Yes","No")</x:f>
        <x:v>No</x:v>
      </x:c>
      <x:c r="L164" t="str">
        <x:f>IF(B164="","Yes","No")</x:f>
        <x:v>No</x:v>
      </x:c>
      <x:c r="M164" t="str">
        <x:f>IF(OR(G164="",H164=""),"Yes","No")</x:f>
        <x:v>No</x:v>
      </x:c>
      <x:c r="N164" t="str">
        <x:f>IF(COUNTIF({"Monday","Tuesday","Wednesday","Thursday","Friday"},D164)=0,"Yes","No")</x:f>
        <x:v>No</x:v>
      </x:c>
      <x:c r="O164" t="str">
        <x:f>IF(COUNTIF({"MY_MONTH 1","MY_MONTH 2","MY_MONTH 3"},E164)=0,"Yes","No")</x:f>
        <x:v>No</x:v>
      </x:c>
      <x:c r="P164" t="str">
        <x:f>IF(J164="Yes","Duplicate Event #",IF(K164="Yes","Missing Date",IF(L164="Yes","Missing Client",IF(M164="Yes","Missing Location",IF(N164="Yes","Unknown Weekday",IF(O164="Yes","Unknown MY_MONTH",IF(I164=0,"No Linked WO","OK")))))))</x:f>
        <x:v>OK</x:v>
      </x:c>
      <x:c r="Q164" t="str">
        <x:f>IF(J164="Yes","Critical",IF(OR(K164="Yes",L164="Yes",M164="Yes",N164="Yes",O164="Yes"),"Warning",IF(I164=0,"Informational","OK")))</x:f>
        <x:v>OK</x:v>
      </x:c>
      <x:c r="R164" t="str">
        <x:f>IF(P164="OK","No","Yes")</x:f>
        <x:v>No</x:v>
      </x:c>
      <x:c r="X164"/>
      <x:c r="Y164"/>
      <x:c r="Z164"/>
      <x:c r="AA164"/>
      <x:c r="AB164"/>
      <x:c r="AC164"/>
      <x:c r="AD164"/>
      <x:c r="AE164"/>
      <x:c r="AF164"/>
      <x:c r="AG164"/>
      <x:c r="AH164"/>
      <x:c r="AI164"/>
      <x:c r="AJ164"/>
      <x:c r="AK164"/>
      <x:c r="AL164"/>
      <x:c r="AM164"/>
      <x:c r="AN164"/>
      <x:c r="AO164"/>
      <x:c r="AP164"/>
      <x:c r="AQ164"/>
      <x:c r="AR164"/>
      <x:c r="AS164"/>
    </x:row>
    <x:row r="165">
      <x:c r="A165" t="n">
        <x:v>66</x:v>
      </x:c>
      <x:c r="B165" t="str">
        <x:f>INDEX(tblServiceEvents[Client],MATCH($A165,tblServiceEvents[Event #],0))</x:f>
        <x:v>TJ Maxx</x:v>
      </x:c>
      <x:c r="C165" t="n">
        <x:f>INDEX(tblServiceEvents[Service Date],MATCH($A165,tblServiceEvents[Event #],0))</x:f>
        <x:v>46217</x:v>
      </x:c>
      <x:c r="D165" t="str">
        <x:f>INDEX(tblServiceEvents[Weekday],MATCH($A165,tblServiceEvents[Event #],0))</x:f>
        <x:v>Tuesday</x:v>
      </x:c>
      <x:c r="E165" t="str">
        <x:f>INDEX(tblServiceEvents[MY_MONTH],MATCH($A165,tblServiceEvents[Event #],0))</x:f>
        <x:v>MY_MONTH 3</x:v>
      </x:c>
      <x:c r="F165" t="str">
        <x:f>INDEX(tblServiceEvents[Status],MATCH($A165,tblServiceEvents[Event #],0))</x:f>
        <x:v>Completed</x:v>
      </x:c>
      <x:c r="G165" t="str">
        <x:f>INDEX(tblServiceEvents[City],MATCH($A165,tblServiceEvents[Event #],0))</x:f>
        <x:v>Bel Air</x:v>
      </x:c>
      <x:c r="H165" t="str">
        <x:f>INDEX(tblServiceEvents[Jurisdiction],MATCH($A165,tblServiceEvents[Event #],0))</x:f>
        <x:v>MD</x:v>
      </x:c>
      <x:c r="I165" t="n">
        <x:f>COUNTIF(tblLedger[Event #],A165)</x:f>
        <x:v>1</x:v>
      </x:c>
      <x:c r="J165" t="str">
        <x:f>IF(COUNTIF(tblServiceEvents[Event #],A165)&gt;1,"Yes","No")</x:f>
        <x:v>No</x:v>
      </x:c>
      <x:c r="K165" t="str">
        <x:f>IF(C165="","Yes","No")</x:f>
        <x:v>No</x:v>
      </x:c>
      <x:c r="L165" t="str">
        <x:f>IF(B165="","Yes","No")</x:f>
        <x:v>No</x:v>
      </x:c>
      <x:c r="M165" t="str">
        <x:f>IF(OR(G165="",H165=""),"Yes","No")</x:f>
        <x:v>No</x:v>
      </x:c>
      <x:c r="N165" t="str">
        <x:f>IF(COUNTIF({"Monday","Tuesday","Wednesday","Thursday","Friday"},D165)=0,"Yes","No")</x:f>
        <x:v>No</x:v>
      </x:c>
      <x:c r="O165" t="str">
        <x:f>IF(COUNTIF({"MY_MONTH 1","MY_MONTH 2","MY_MONTH 3"},E165)=0,"Yes","No")</x:f>
        <x:v>No</x:v>
      </x:c>
      <x:c r="P165" t="str">
        <x:f>IF(J165="Yes","Duplicate Event #",IF(K165="Yes","Missing Date",IF(L165="Yes","Missing Client",IF(M165="Yes","Missing Location",IF(N165="Yes","Unknown Weekday",IF(O165="Yes","Unknown MY_MONTH",IF(I165=0,"No Linked WO","OK")))))))</x:f>
        <x:v>OK</x:v>
      </x:c>
      <x:c r="Q165" t="str">
        <x:f>IF(J165="Yes","Critical",IF(OR(K165="Yes",L165="Yes",M165="Yes",N165="Yes",O165="Yes"),"Warning",IF(I165=0,"Informational","OK")))</x:f>
        <x:v>OK</x:v>
      </x:c>
      <x:c r="R165" t="str">
        <x:f>IF(P165="OK","No","Yes")</x:f>
        <x:v>No</x:v>
      </x:c>
      <x:c r="X165"/>
      <x:c r="Y165"/>
      <x:c r="Z165"/>
      <x:c r="AA165"/>
      <x:c r="AB165"/>
      <x:c r="AC165"/>
      <x:c r="AD165"/>
      <x:c r="AE165"/>
      <x:c r="AF165"/>
      <x:c r="AG165"/>
      <x:c r="AH165"/>
      <x:c r="AI165"/>
      <x:c r="AJ165"/>
      <x:c r="AK165"/>
      <x:c r="AL165"/>
      <x:c r="AM165"/>
      <x:c r="AN165"/>
      <x:c r="AO165"/>
      <x:c r="AP165"/>
      <x:c r="AQ165"/>
      <x:c r="AR165"/>
      <x:c r="AS165"/>
    </x:row>
    <x:row r="166" ht="24" customHeight="1">
      <x:c r="A166" s="362" t="n">
        <x:v>67</x:v>
      </x:c>
      <x:c r="B166" s="362" t="str">
        <x:f>INDEX(tblServiceEvents[Client],MATCH($A166,tblServiceEvents[Event #],0))</x:f>
        <x:v>Dunkin</x:v>
      </x:c>
      <x:c r="C166" s="362" t="n">
        <x:f>INDEX(tblServiceEvents[Service Date],MATCH($A166,tblServiceEvents[Event #],0))</x:f>
        <x:v>46217</x:v>
      </x:c>
      <x:c r="D166" s="362" t="str">
        <x:f>INDEX(tblServiceEvents[Weekday],MATCH($A166,tblServiceEvents[Event #],0))</x:f>
        <x:v>Tuesday</x:v>
      </x:c>
      <x:c r="E166" s="362" t="str">
        <x:f>INDEX(tblServiceEvents[MY_MONTH],MATCH($A166,tblServiceEvents[Event #],0))</x:f>
        <x:v>MY_MONTH 3</x:v>
      </x:c>
      <x:c r="F166" s="362" t="str">
        <x:f>INDEX(tblServiceEvents[Status],MATCH($A166,tblServiceEvents[Event #],0))</x:f>
        <x:v>Completed</x:v>
      </x:c>
      <x:c r="G166" s="362" t="str">
        <x:f>INDEX(tblServiceEvents[City],MATCH($A166,tblServiceEvents[Event #],0))</x:f>
        <x:v>Aberdeen</x:v>
      </x:c>
      <x:c r="H166" s="362" t="str">
        <x:f>INDEX(tblServiceEvents[Jurisdiction],MATCH($A166,tblServiceEvents[Event #],0))</x:f>
        <x:v>MD</x:v>
      </x:c>
      <x:c r="I166" t="n">
        <x:f>COUNTIF(tblLedger[Event #],A166)</x:f>
        <x:v>1</x:v>
      </x:c>
      <x:c r="J166" t="str">
        <x:f>IF(COUNTIF(tblServiceEvents[Event #],A166)&gt;1,"Yes","No")</x:f>
        <x:v>No</x:v>
      </x:c>
      <x:c r="K166" t="str">
        <x:f>IF(C166="","Yes","No")</x:f>
        <x:v>No</x:v>
      </x:c>
      <x:c r="L166" t="str">
        <x:f>IF(B166="","Yes","No")</x:f>
        <x:v>No</x:v>
      </x:c>
      <x:c r="M166" t="str">
        <x:f>IF(OR(G166="",H166=""),"Yes","No")</x:f>
        <x:v>No</x:v>
      </x:c>
      <x:c r="N166" t="str">
        <x:f>IF(COUNTIF({"Monday","Tuesday","Wednesday","Thursday","Friday"},D166)=0,"Yes","No")</x:f>
        <x:v>No</x:v>
      </x:c>
      <x:c r="O166" t="str">
        <x:f>IF(COUNTIF({"MY_MONTH 1","MY_MONTH 2","MY_MONTH 3"},E166)=0,"Yes","No")</x:f>
        <x:v>No</x:v>
      </x:c>
      <x:c r="P166" t="str">
        <x:f>IF(J166="Yes","Duplicate Event #",IF(K166="Yes","Missing Date",IF(L166="Yes","Missing Client",IF(M166="Yes","Missing Location",IF(N166="Yes","Unknown Weekday",IF(O166="Yes","Unknown MY_MONTH",IF(I166=0,"No Linked WO","OK")))))))</x:f>
        <x:v>OK</x:v>
      </x:c>
      <x:c r="Q166" t="str">
        <x:f>IF(J166="Yes","Critical",IF(OR(K166="Yes",L166="Yes",M166="Yes",N166="Yes",O166="Yes"),"Warning",IF(I166=0,"Informational","OK")))</x:f>
        <x:v>OK</x:v>
      </x:c>
      <x:c r="R166" t="str">
        <x:f>IF(P166="OK","No","Yes")</x:f>
        <x:v>No</x:v>
      </x:c>
      <x:c r="X166"/>
      <x:c r="Y166"/>
      <x:c r="Z166"/>
      <x:c r="AA166"/>
      <x:c r="AB166"/>
      <x:c r="AC166"/>
      <x:c r="AD166"/>
      <x:c r="AE166"/>
      <x:c r="AF166"/>
      <x:c r="AG166"/>
      <x:c r="AH166"/>
      <x:c r="AI166"/>
      <x:c r="AJ166"/>
      <x:c r="AK166"/>
      <x:c r="AL166"/>
      <x:c r="AM166"/>
      <x:c r="AN166"/>
      <x:c r="AO166"/>
      <x:c r="AP166"/>
      <x:c r="AQ166"/>
      <x:c r="AR166"/>
      <x:c r="AS166"/>
    </x:row>
    <x:row r="167" ht="24" customHeight="1">
      <x:c r="A167" s="366"/>
      <x:c r="B167" s="366"/>
      <x:c r="C167" s="366"/>
      <x:c r="D167" s="366"/>
      <x:c r="E167" s="366"/>
      <x:c r="F167" s="366"/>
      <x:c r="G167" s="366"/>
      <x:c r="H167" s="366"/>
      <x:c r="I167"/>
      <x:c r="J167"/>
      <x:c r="K167"/>
      <x:c r="L167"/>
      <x:c r="M167"/>
      <x:c r="N167"/>
      <x:c r="O167"/>
      <x:c r="P167"/>
      <x:c r="Q167"/>
      <x:c r="R167"/>
      <x:c r="S167"/>
      <x:c r="T167"/>
      <x:c r="U167"/>
      <x:c r="V167"/>
      <x:c r="X167"/>
      <x:c r="Y167"/>
      <x:c r="Z167"/>
      <x:c r="AA167"/>
      <x:c r="AB167"/>
      <x:c r="AC167"/>
      <x:c r="AD167"/>
      <x:c r="AE167"/>
      <x:c r="AF167"/>
      <x:c r="AG167"/>
      <x:c r="AH167"/>
      <x:c r="AI167"/>
      <x:c r="AJ167"/>
      <x:c r="AK167"/>
      <x:c r="AL167"/>
      <x:c r="AM167"/>
      <x:c r="AN167"/>
      <x:c r="AO167"/>
      <x:c r="AP167"/>
      <x:c r="AQ167"/>
      <x:c r="AR167"/>
      <x:c r="AS167"/>
    </x:row>
    <x:row r="168" ht="24" customHeight="1">
      <x:c r="A168" s="371"/>
      <x:c r="B168" s="371"/>
      <x:c r="C168" s="371"/>
      <x:c r="D168" s="371"/>
      <x:c r="E168" s="371"/>
      <x:c r="F168" s="371"/>
      <x:c r="G168" s="371"/>
      <x:c r="H168" s="371"/>
      <x:c r="I168"/>
      <x:c r="J168"/>
      <x:c r="K168"/>
      <x:c r="L168"/>
      <x:c r="M168"/>
      <x:c r="N168"/>
      <x:c r="O168"/>
      <x:c r="P168"/>
      <x:c r="Q168"/>
      <x:c r="R168"/>
      <x:c r="S168"/>
      <x:c r="T168"/>
      <x:c r="U168"/>
      <x:c r="V168"/>
      <x:c r="X168"/>
      <x:c r="Y168"/>
      <x:c r="Z168"/>
      <x:c r="AA168"/>
      <x:c r="AB168"/>
      <x:c r="AC168"/>
      <x:c r="AD168"/>
      <x:c r="AE168"/>
      <x:c r="AF168"/>
      <x:c r="AG168"/>
      <x:c r="AH168"/>
      <x:c r="AI168"/>
      <x:c r="AJ168"/>
      <x:c r="AK168"/>
      <x:c r="AL168"/>
      <x:c r="AM168"/>
      <x:c r="AN168"/>
      <x:c r="AO168"/>
      <x:c r="AP168"/>
      <x:c r="AQ168"/>
      <x:c r="AR168"/>
      <x:c r="AS168"/>
    </x:row>
    <x:row r="169">
      <x:c r="A169"/>
      <x:c r="B169"/>
      <x:c r="C169"/>
      <x:c r="D169"/>
      <x:c r="E169"/>
      <x:c r="F169"/>
      <x:c r="G169"/>
      <x:c r="H169"/>
      <x:c r="I169"/>
      <x:c r="J169"/>
      <x:c r="K169"/>
      <x:c r="L169"/>
      <x:c r="M169"/>
      <x:c r="N169"/>
      <x:c r="O169"/>
      <x:c r="P169"/>
      <x:c r="Q169"/>
      <x:c r="R169"/>
      <x:c r="S169"/>
      <x:c r="T169"/>
      <x:c r="U169"/>
      <x:c r="V169"/>
      <x:c r="X169"/>
      <x:c r="Y169"/>
      <x:c r="Z169"/>
      <x:c r="AA169"/>
      <x:c r="AB169"/>
      <x:c r="AC169"/>
      <x:c r="AD169"/>
      <x:c r="AE169"/>
      <x:c r="AF169"/>
      <x:c r="AG169"/>
      <x:c r="AH169"/>
      <x:c r="AI169"/>
      <x:c r="AJ169"/>
      <x:c r="AK169"/>
      <x:c r="AL169"/>
      <x:c r="AM169"/>
      <x:c r="AN169"/>
      <x:c r="AO169"/>
      <x:c r="AP169"/>
      <x:c r="AQ169"/>
      <x:c r="AR169"/>
      <x:c r="AS169"/>
    </x:row>
    <x:row r="170">
      <x:c r="A170" s="374" t="str">
        <x:v>PHASE 3H — Structural Integrity Gate</x:v>
      </x:c>
      <x:c r="B170" s="374"/>
      <x:c r="C170" s="374"/>
      <x:c r="D170" s="374"/>
      <x:c r="E170" s="374"/>
      <x:c r="F170" s="374"/>
      <x:c r="G170" s="374"/>
      <x:c r="H170" s="374"/>
      <x:c r="I170"/>
      <x:c r="J170"/>
      <x:c r="K170"/>
      <x:c r="L170"/>
      <x:c r="M170"/>
      <x:c r="N170"/>
      <x:c r="O170"/>
      <x:c r="P170"/>
      <x:c r="Q170"/>
      <x:c r="R170"/>
      <x:c r="S170"/>
      <x:c r="T170"/>
      <x:c r="U170"/>
      <x:c r="V170"/>
      <x:c r="X170"/>
      <x:c r="Y170"/>
      <x:c r="Z170"/>
      <x:c r="AA170"/>
      <x:c r="AB170"/>
      <x:c r="AC170"/>
      <x:c r="AD170"/>
      <x:c r="AE170"/>
      <x:c r="AF170"/>
      <x:c r="AG170"/>
      <x:c r="AH170"/>
      <x:c r="AI170"/>
      <x:c r="AJ170"/>
      <x:c r="AK170"/>
      <x:c r="AL170"/>
      <x:c r="AM170"/>
      <x:c r="AN170"/>
      <x:c r="AO170"/>
      <x:c r="AP170"/>
      <x:c r="AQ170"/>
      <x:c r="AR170"/>
      <x:c r="AS170"/>
    </x:row>
    <x:row r="171">
      <x:c r="A171" s="383" t="str">
        <x:v>Integrity Gate</x:v>
      </x:c>
      <x:c r="B171" s="383" t="str">
        <x:f>IF(COUNTIF(tblIntegrityRules[Status],"FAIL")=0,"PASS","FAIL")</x:f>
        <x:v>FAIL</x:v>
      </x:c>
      <x:c r="C171" s="383" t="str">
        <x:v>Rule Failures</x:v>
      </x:c>
      <x:c r="D171" s="383" t="n">
        <x:f>COUNTIF(tblIntegrityRules[Status],"FAIL")</x:f>
        <x:v>1</x:v>
      </x:c>
      <x:c r="E171" s="383" t="str">
        <x:v>Quarantined Holds</x:v>
      </x:c>
      <x:c r="F171" s="383" t="n">
        <x:f>COUNTIF(tblCrossTableIntegrity[Integrity Status],"QUARANTINED")</x:f>
        <x:v>1</x:v>
      </x:c>
      <x:c r="G171" s="383" t="str">
        <x:v>Cross-Table Failures</x:v>
      </x:c>
      <x:c r="H171" s="383" t="n">
        <x:f>COUNTIF(tblCrossTableIntegrity[Integrity Status],"FAIL")</x:f>
        <x:v>0</x:v>
      </x:c>
      <x:c r="I171"/>
      <x:c r="J171"/>
      <x:c r="K171"/>
      <x:c r="L171"/>
      <x:c r="M171"/>
      <x:c r="N171"/>
      <x:c r="O171"/>
      <x:c r="P171"/>
      <x:c r="Q171"/>
      <x:c r="R171"/>
      <x:c r="S171"/>
      <x:c r="T171"/>
      <x:c r="U171"/>
      <x:c r="V171"/>
      <x:c r="X171"/>
      <x:c r="Y171"/>
      <x:c r="Z171"/>
      <x:c r="AA171"/>
      <x:c r="AB171"/>
      <x:c r="AC171"/>
      <x:c r="AD171"/>
      <x:c r="AE171"/>
      <x:c r="AF171"/>
      <x:c r="AG171"/>
      <x:c r="AH171"/>
      <x:c r="AI171"/>
      <x:c r="AJ171"/>
      <x:c r="AK171"/>
      <x:c r="AL171"/>
      <x:c r="AM171"/>
      <x:c r="AN171"/>
      <x:c r="AO171"/>
      <x:c r="AP171"/>
      <x:c r="AQ171"/>
      <x:c r="AR171"/>
      <x:c r="AS171"/>
    </x:row>
    <x:row r="172" ht="21.600000381469727" hidden="0" customHeight="1">
      <x:c r="A172" s="384" t="str">
        <x:v>Business exceptions may remain open without breaking structural integrity when they are explicitly quarantined and excluded from automatic financial closure.</x:v>
      </x:c>
      <x:c r="B172" s="384"/>
      <x:c r="C172" s="385"/>
      <x:c r="D172" s="386"/>
      <x:c r="E172" s="384"/>
      <x:c r="F172" s="384"/>
      <x:c r="G172" s="385"/>
      <x:c r="H172" s="385"/>
      <x:c r="I172"/>
      <x:c r="J172"/>
      <x:c r="K172"/>
      <x:c r="L172"/>
      <x:c r="M172"/>
      <x:c r="N172"/>
      <x:c r="O172"/>
      <x:c r="P172"/>
      <x:c r="Q172"/>
      <x:c r="R172"/>
      <x:c r="S172"/>
      <x:c r="T172"/>
      <x:c r="U172"/>
      <x:c r="V172"/>
      <x:c r="X172"/>
      <x:c r="Y172"/>
      <x:c r="Z172"/>
      <x:c r="AA172"/>
      <x:c r="AB172"/>
      <x:c r="AC172"/>
      <x:c r="AD172"/>
      <x:c r="AE172"/>
      <x:c r="AF172"/>
      <x:c r="AG172"/>
      <x:c r="AH172"/>
      <x:c r="AI172"/>
      <x:c r="AJ172"/>
      <x:c r="AK172"/>
      <x:c r="AL172"/>
      <x:c r="AM172"/>
      <x:c r="AN172"/>
      <x:c r="AO172"/>
      <x:c r="AP172"/>
      <x:c r="AQ172"/>
      <x:c r="AR172"/>
      <x:c r="AS172"/>
    </x:row>
    <x:row r="173" ht="15" hidden="0" customHeight="1">
      <x:c r="A173" s="384"/>
      <x:c r="B173" s="384"/>
      <x:c r="C173" s="385"/>
      <x:c r="D173" s="386"/>
      <x:c r="E173" s="384"/>
      <x:c r="F173" s="384"/>
      <x:c r="G173" s="385"/>
      <x:c r="H173" s="385"/>
      <x:c r="I173"/>
      <x:c r="J173"/>
      <x:c r="K173"/>
      <x:c r="L173"/>
      <x:c r="M173"/>
      <x:c r="N173"/>
      <x:c r="O173"/>
      <x:c r="P173"/>
      <x:c r="Q173"/>
      <x:c r="R173"/>
      <x:c r="S173"/>
      <x:c r="T173"/>
      <x:c r="U173"/>
      <x:c r="V173"/>
      <x:c r="X173"/>
      <x:c r="Y173"/>
      <x:c r="Z173"/>
      <x:c r="AA173"/>
      <x:c r="AB173"/>
      <x:c r="AC173"/>
      <x:c r="AD173"/>
      <x:c r="AE173"/>
      <x:c r="AF173"/>
      <x:c r="AG173"/>
      <x:c r="AH173"/>
      <x:c r="AI173"/>
      <x:c r="AJ173"/>
      <x:c r="AK173"/>
      <x:c r="AL173"/>
      <x:c r="AM173"/>
      <x:c r="AN173"/>
      <x:c r="AO173"/>
      <x:c r="AP173"/>
      <x:c r="AQ173"/>
      <x:c r="AR173"/>
      <x:c r="AS173"/>
    </x:row>
    <x:row r="174" ht="21.600000381469727" hidden="0" customHeight="1">
      <x:c r="A174" s="384" t="str">
        <x:v>Integrity Rule Register</x:v>
      </x:c>
      <x:c r="B174" s="384"/>
      <x:c r="C174" s="385"/>
      <x:c r="D174" s="386"/>
      <x:c r="E174" s="384"/>
      <x:c r="F174" s="384"/>
      <x:c r="G174" s="385"/>
      <x:c r="H174" s="385"/>
      <x:c r="I174"/>
      <x:c r="J174"/>
      <x:c r="K174"/>
      <x:c r="L174"/>
      <x:c r="M174"/>
      <x:c r="N174"/>
      <x:c r="O174"/>
      <x:c r="P174"/>
      <x:c r="Q174"/>
      <x:c r="R174"/>
      <x:c r="S174"/>
      <x:c r="T174"/>
      <x:c r="U174"/>
      <x:c r="V174"/>
      <x:c r="X174"/>
      <x:c r="Y174"/>
      <x:c r="Z174"/>
      <x:c r="AA174"/>
      <x:c r="AB174"/>
      <x:c r="AC174"/>
      <x:c r="AD174"/>
      <x:c r="AE174"/>
      <x:c r="AF174"/>
      <x:c r="AG174"/>
      <x:c r="AH174"/>
      <x:c r="AI174"/>
      <x:c r="AJ174"/>
      <x:c r="AK174"/>
      <x:c r="AL174"/>
      <x:c r="AM174"/>
      <x:c r="AN174"/>
      <x:c r="AO174"/>
      <x:c r="AP174"/>
      <x:c r="AQ174"/>
      <x:c r="AR174"/>
      <x:c r="AS174"/>
    </x:row>
    <x:row r="175" ht="21.600000381469727" hidden="0" customHeight="1">
      <x:c r="A175" s="384" t="str">
        <x:v>Rule ID</x:v>
      </x:c>
      <x:c r="B175" s="384" t="str">
        <x:v>Layer</x:v>
      </x:c>
      <x:c r="C175" s="385" t="str">
        <x:v>Integrity Rule</x:v>
      </x:c>
      <x:c r="D175" s="386" t="str">
        <x:v>Violation Count</x:v>
      </x:c>
      <x:c r="E175" s="384" t="str">
        <x:v>Status</x:v>
      </x:c>
      <x:c r="F175" s="384" t="str">
        <x:v>Severity</x:v>
      </x:c>
      <x:c r="G175" s="385" t="str">
        <x:v>Required Action</x:v>
      </x:c>
      <x:c r="H175" s="385" t="str">
        <x:v>Technical Basis</x:v>
      </x:c>
      <x:c r="I175"/>
      <x:c r="J175"/>
      <x:c r="K175"/>
      <x:c r="L175"/>
      <x:c r="M175"/>
      <x:c r="N175"/>
      <x:c r="O175"/>
      <x:c r="P175"/>
      <x:c r="Q175"/>
      <x:c r="R175"/>
      <x:c r="S175"/>
      <x:c r="T175"/>
      <x:c r="U175"/>
      <x:c r="V175"/>
      <x:c r="X175"/>
      <x:c r="Y175"/>
      <x:c r="Z175"/>
      <x:c r="AA175"/>
      <x:c r="AB175"/>
      <x:c r="AC175"/>
      <x:c r="AD175"/>
      <x:c r="AE175"/>
      <x:c r="AF175"/>
      <x:c r="AG175"/>
      <x:c r="AH175"/>
      <x:c r="AI175"/>
      <x:c r="AJ175"/>
      <x:c r="AK175"/>
      <x:c r="AL175"/>
      <x:c r="AM175"/>
      <x:c r="AN175"/>
      <x:c r="AO175"/>
      <x:c r="AP175"/>
      <x:c r="AQ175"/>
      <x:c r="AR175"/>
      <x:c r="AS175"/>
    </x:row>
    <x:row r="176" ht="21.600000381469727" hidden="0" customHeight="1">
      <x:c r="A176" s="384" t="str">
        <x:v>H01</x:v>
      </x:c>
      <x:c r="B176" s="384" t="str">
        <x:v>Chronology</x:v>
      </x:c>
      <x:c r="C176" s="385" t="str">
        <x:v>Event numbers are unique and continuous</x:v>
      </x:c>
      <x:c r="D176" s="386" t="n">
        <x:f>COUNTIF(tblEventIntegrityMatrix[Duplicate Event #],"Yes")+ABS(MAX(tblServiceEvents[Event #])-COUNT(tblServiceEvents[Event #]))</x:f>
        <x:v>0</x:v>
      </x:c>
      <x:c r="E176" s="384" t="str">
        <x:f>IF(D176=0,"PASS","FAIL")</x:f>
        <x:v>PASS</x:v>
      </x:c>
      <x:c r="F176" s="384" t="str">
        <x:v>Critical</x:v>
      </x:c>
      <x:c r="G176" s="385" t="str">
        <x:v>Correct duplicate or missing chronology position before export</x:v>
      </x:c>
      <x:c r="H176" s="385" t="str">
        <x:v>Event count must equal the highest Event # and no duplicate Event # may exist.</x:v>
      </x:c>
      <x:c r="I176"/>
      <x:c r="J176"/>
      <x:c r="K176"/>
      <x:c r="L176"/>
      <x:c r="M176"/>
      <x:c r="N176"/>
      <x:c r="O176"/>
      <x:c r="P176"/>
      <x:c r="Q176"/>
      <x:c r="R176"/>
      <x:c r="S176"/>
      <x:c r="T176"/>
      <x:c r="U176"/>
      <x:c r="V176"/>
      <x:c r="X176"/>
      <x:c r="Y176"/>
      <x:c r="Z176"/>
      <x:c r="AA176"/>
      <x:c r="AB176"/>
      <x:c r="AC176"/>
      <x:c r="AD176"/>
      <x:c r="AE176"/>
      <x:c r="AF176"/>
      <x:c r="AG176"/>
      <x:c r="AH176"/>
      <x:c r="AI176"/>
      <x:c r="AJ176"/>
      <x:c r="AK176"/>
      <x:c r="AL176"/>
      <x:c r="AM176"/>
      <x:c r="AN176"/>
      <x:c r="AO176"/>
      <x:c r="AP176"/>
      <x:c r="AQ176"/>
      <x:c r="AR176"/>
      <x:c r="AS176"/>
    </x:row>
    <x:row r="177" ht="21.600000381469727" hidden="0" customHeight="1">
      <x:c r="A177" s="384" t="str">
        <x:v>H02</x:v>
      </x:c>
      <x:c r="B177" s="384" t="str">
        <x:v>Chronology</x:v>
      </x:c>
      <x:c r="C177" s="385" t="str">
        <x:v>Physical Visit ID matches Event #</x:v>
      </x:c>
      <x:c r="D177" s="386" t="n">
        <x:f>SUMPRODUCT(--(tblServiceEvents[Physical Visit ID]&lt;&gt;"EVT-"&amp;TEXT(tblServiceEvents[Event #],"0000")))</x:f>
        <x:v>0</x:v>
      </x:c>
      <x:c r="E177" s="384" t="str">
        <x:f>IF(D177=0,"PASS","FAIL")</x:f>
        <x:v>PASS</x:v>
      </x:c>
      <x:c r="F177" s="384" t="str">
        <x:v>Critical</x:v>
      </x:c>
      <x:c r="G177" s="385" t="str">
        <x:v>Correct the Event ID; do not renumber chronology</x:v>
      </x:c>
      <x:c r="H177" s="385" t="str">
        <x:v>Every Event # n must carry Physical Visit ID EVT-nnnn.</x:v>
      </x:c>
      <x:c r="I177"/>
      <x:c r="J177"/>
      <x:c r="K177"/>
      <x:c r="L177"/>
      <x:c r="M177"/>
      <x:c r="N177"/>
      <x:c r="O177"/>
      <x:c r="P177"/>
      <x:c r="Q177"/>
      <x:c r="R177"/>
      <x:c r="S177"/>
      <x:c r="T177"/>
      <x:c r="U177"/>
      <x:c r="V177"/>
      <x:c r="X177"/>
      <x:c r="Y177"/>
      <x:c r="Z177"/>
      <x:c r="AA177"/>
      <x:c r="AB177"/>
      <x:c r="AC177"/>
      <x:c r="AD177"/>
      <x:c r="AE177"/>
      <x:c r="AF177"/>
      <x:c r="AG177"/>
      <x:c r="AH177"/>
      <x:c r="AI177"/>
      <x:c r="AJ177"/>
      <x:c r="AK177"/>
      <x:c r="AL177"/>
      <x:c r="AM177"/>
      <x:c r="AN177"/>
      <x:c r="AO177"/>
      <x:c r="AP177"/>
      <x:c r="AQ177"/>
      <x:c r="AR177"/>
      <x:c r="AS177"/>
    </x:row>
    <x:row r="178" ht="15" hidden="0" customHeight="1">
      <x:c r="A178" s="384" t="str">
        <x:v>H03</x:v>
      </x:c>
      <x:c r="B178" s="384" t="str">
        <x:v>Service Events</x:v>
      </x:c>
      <x:c r="C178" s="385" t="str">
        <x:v>Required event identity fields are complete</x:v>
      </x:c>
      <x:c r="D178" s="386" t="n">
        <x:f>COUNTBLANK(tblServiceEvents[Service Date])+COUNTBLANK(tblServiceEvents[Client ID])+COUNTBLANK(tblServiceEvents[Client])+COUNTBLANK(tblServiceEvents[City])+COUNTBLANK(tblServiceEvents[Jurisdiction])+COUNTBLANK(tblServiceEvents[Status])</x:f>
        <x:v>0</x:v>
      </x:c>
      <x:c r="E178" s="384" t="str">
        <x:f>IF(D178=0,"PASS","FAIL")</x:f>
        <x:v>PASS</x:v>
      </x:c>
      <x:c r="F178" s="384" t="str">
        <x:v>Critical</x:v>
      </x:c>
      <x:c r="G178" s="385" t="str">
        <x:v>Complete missing identity fields from authoritative evidence</x:v>
      </x:c>
      <x:c r="H178" s="385" t="str">
        <x:v>Date, client, location, jurisdiction, and status cannot be blank.</x:v>
      </x:c>
      <x:c r="I178"/>
      <x:c r="J178"/>
      <x:c r="K178"/>
      <x:c r="L178"/>
      <x:c r="M178"/>
      <x:c r="N178"/>
      <x:c r="O178"/>
      <x:c r="P178"/>
      <x:c r="Q178"/>
      <x:c r="R178"/>
      <x:c r="S178"/>
      <x:c r="T178"/>
      <x:c r="U178"/>
      <x:c r="V178"/>
      <x:c r="X178"/>
      <x:c r="Y178"/>
      <x:c r="Z178"/>
      <x:c r="AA178"/>
      <x:c r="AB178"/>
      <x:c r="AC178"/>
      <x:c r="AD178"/>
      <x:c r="AE178"/>
      <x:c r="AF178"/>
      <x:c r="AG178"/>
      <x:c r="AH178"/>
      <x:c r="AI178"/>
      <x:c r="AJ178"/>
      <x:c r="AK178"/>
      <x:c r="AL178"/>
      <x:c r="AM178"/>
      <x:c r="AN178"/>
      <x:c r="AO178"/>
      <x:c r="AP178"/>
      <x:c r="AQ178"/>
      <x:c r="AR178"/>
      <x:c r="AS178"/>
    </x:row>
    <x:row r="179" ht="21.600000381469727" hidden="0" customHeight="1">
      <x:c r="A179" s="384" t="str">
        <x:v>H04</x:v>
      </x:c>
      <x:c r="B179" s="384" t="str">
        <x:v>Financial Scope</x:v>
      </x:c>
      <x:c r="C179" s="385" t="str">
        <x:v>Every event has a Financial Scope value</x:v>
      </x:c>
      <x:c r="D179" s="386" t="n">
        <x:f>COUNTBLANK(tblServiceEvents[Financial Scope])</x:f>
        <x:v>0</x:v>
      </x:c>
      <x:c r="E179" s="384" t="str">
        <x:f>IF(D179=0,"PASS","FAIL")</x:f>
        <x:v>PASS</x:v>
      </x:c>
      <x:c r="F179" s="384" t="str">
        <x:v>Critical</x:v>
      </x:c>
      <x:c r="G179" s="385" t="str">
        <x:v>Set Included or Excluded</x:v>
      </x:c>
      <x:c r="H179" s="385" t="str">
        <x:v>Career chronology and financial population must be explicitly separated.</x:v>
      </x:c>
      <x:c r="I179"/>
      <x:c r="J179"/>
      <x:c r="K179"/>
      <x:c r="L179"/>
      <x:c r="M179"/>
      <x:c r="N179"/>
      <x:c r="O179"/>
      <x:c r="P179"/>
      <x:c r="Q179"/>
      <x:c r="R179"/>
      <x:c r="S179"/>
      <x:c r="T179"/>
      <x:c r="U179"/>
      <x:c r="V179"/>
      <x:c r="X179"/>
      <x:c r="Y179"/>
      <x:c r="Z179"/>
      <x:c r="AA179"/>
      <x:c r="AB179"/>
      <x:c r="AC179"/>
      <x:c r="AD179"/>
      <x:c r="AE179"/>
      <x:c r="AF179"/>
      <x:c r="AG179"/>
      <x:c r="AH179"/>
      <x:c r="AI179"/>
      <x:c r="AJ179"/>
      <x:c r="AK179"/>
      <x:c r="AL179"/>
      <x:c r="AM179"/>
      <x:c r="AN179"/>
      <x:c r="AO179"/>
      <x:c r="AP179"/>
      <x:c r="AQ179"/>
      <x:c r="AR179"/>
      <x:c r="AS179"/>
    </x:row>
    <x:row r="180" ht="21.600000381469727" hidden="0" customHeight="1">
      <x:c r="A180" s="384" t="str">
        <x:v>H05</x:v>
      </x:c>
      <x:c r="B180" s="384" t="str">
        <x:v>Financial Scope</x:v>
      </x:c>
      <x:c r="C180" s="385" t="str">
        <x:v>Every excluded event has an exclusion reason</x:v>
      </x:c>
      <x:c r="D180" s="386" t="n">
        <x:f>COUNTIFS(tblServiceEvents[Financial Scope],"Excluded",tblServiceEvents[Financial Exclusion Reason],"")</x:f>
        <x:v>0</x:v>
      </x:c>
      <x:c r="E180" s="384" t="str">
        <x:f>IF(D180=0,"PASS","FAIL")</x:f>
        <x:v>PASS</x:v>
      </x:c>
      <x:c r="F180" s="384" t="str">
        <x:v>Warning</x:v>
      </x:c>
      <x:c r="G180" s="385" t="str">
        <x:v>Enter the approved exclusion reason</x:v>
      </x:c>
      <x:c r="H180" s="385" t="str">
        <x:v>Excluded events must explain why they remain chronology-only.</x:v>
      </x:c>
      <x:c r="I180"/>
      <x:c r="J180"/>
      <x:c r="K180"/>
      <x:c r="L180"/>
      <x:c r="M180"/>
      <x:c r="N180"/>
      <x:c r="O180"/>
      <x:c r="P180"/>
      <x:c r="Q180"/>
      <x:c r="R180"/>
      <x:c r="S180"/>
      <x:c r="T180"/>
      <x:c r="U180"/>
      <x:c r="V180"/>
      <x:c r="X180"/>
      <x:c r="Y180"/>
      <x:c r="Z180"/>
      <x:c r="AA180"/>
      <x:c r="AB180"/>
      <x:c r="AC180"/>
      <x:c r="AD180"/>
      <x:c r="AE180"/>
      <x:c r="AF180"/>
      <x:c r="AG180"/>
      <x:c r="AH180"/>
      <x:c r="AI180"/>
      <x:c r="AJ180"/>
      <x:c r="AK180"/>
      <x:c r="AL180"/>
      <x:c r="AM180"/>
      <x:c r="AN180"/>
      <x:c r="AO180"/>
      <x:c r="AP180"/>
      <x:c r="AQ180"/>
      <x:c r="AR180"/>
      <x:c r="AS180"/>
    </x:row>
    <x:row r="181" ht="15" hidden="0" customHeight="1">
      <x:c r="A181" s="384" t="str">
        <x:v>H06</x:v>
      </x:c>
      <x:c r="B181" s="384" t="str">
        <x:v>Financial Scope</x:v>
      </x:c>
      <x:c r="C181" s="385" t="str">
        <x:v>Financial Scope agrees with Breakdown Expected</x:v>
      </x:c>
      <x:c r="D181" s="386" t="n">
        <x:f>COUNTIFS(tblServiceEvents[Financial Scope],"Excluded",tblServiceEvents[Breakdown Expected],"&lt;&gt;No")+COUNTIFS(tblServiceEvents[Financial Scope],"Included",tblServiceEvents[Breakdown Expected],"&lt;&gt;Yes")</x:f>
        <x:v>0</x:v>
      </x:c>
      <x:c r="E181" s="384" t="str">
        <x:f>IF(D181=0,"PASS","FAIL")</x:f>
        <x:v>PASS</x:v>
      </x:c>
      <x:c r="F181" s="384" t="str">
        <x:v>Critical</x:v>
      </x:c>
      <x:c r="G181" s="385" t="str">
        <x:v>Correct Financial Scope or Breakdown Expected</x:v>
      </x:c>
      <x:c r="H181" s="385" t="str">
        <x:v>Excluded events never create missing-breakdown obligations; included events do.</x:v>
      </x:c>
      <x:c r="I181"/>
      <x:c r="J181"/>
      <x:c r="K181"/>
      <x:c r="L181"/>
      <x:c r="M181"/>
      <x:c r="N181"/>
      <x:c r="O181"/>
      <x:c r="P181"/>
      <x:c r="Q181"/>
      <x:c r="R181"/>
      <x:c r="S181"/>
      <x:c r="T181"/>
      <x:c r="U181"/>
      <x:c r="V181"/>
      <x:c r="X181"/>
      <x:c r="Y181"/>
      <x:c r="Z181"/>
      <x:c r="AA181"/>
      <x:c r="AB181"/>
      <x:c r="AC181"/>
      <x:c r="AD181"/>
      <x:c r="AE181"/>
      <x:c r="AF181"/>
      <x:c r="AG181"/>
      <x:c r="AH181"/>
      <x:c r="AI181"/>
      <x:c r="AJ181"/>
      <x:c r="AK181"/>
      <x:c r="AL181"/>
      <x:c r="AM181"/>
      <x:c r="AN181"/>
      <x:c r="AO181"/>
      <x:c r="AP181"/>
      <x:c r="AQ181"/>
      <x:c r="AR181"/>
      <x:c r="AS181"/>
    </x:row>
    <x:row r="182" ht="21.600000381469727" hidden="0" customHeight="1">
      <x:c r="A182" s="384" t="str">
        <x:v>H07</x:v>
      </x:c>
      <x:c r="B182" s="384" t="str">
        <x:v>Financial Scope</x:v>
      </x:c>
      <x:c r="C182" s="385" t="str">
        <x:v>Excluded financial scope agrees with revenue eligibility</x:v>
      </x:c>
      <x:c r="D182" s="386" t="n">
        <x:f>COUNTIFS(tblServiceEvents[Financial Scope],"Excluded",tblServiceEvents[Revenue Eligibility],"&lt;&gt;Excluded")</x:f>
        <x:v>0</x:v>
      </x:c>
      <x:c r="E182" s="384" t="str">
        <x:f>IF(D182=0,"PASS","FAIL")</x:f>
        <x:v>PASS</x:v>
      </x:c>
      <x:c r="F182" s="384" t="str">
        <x:v>Critical</x:v>
      </x:c>
      <x:c r="G182" s="385" t="str">
        <x:v>Set Revenue Eligibility to Excluded</x:v>
      </x:c>
      <x:c r="H182" s="385" t="str">
        <x:v>Chronology-only rows cannot enter revenue denominators.</x:v>
      </x:c>
      <x:c r="I182"/>
      <x:c r="J182"/>
      <x:c r="K182"/>
      <x:c r="L182"/>
      <x:c r="M182"/>
      <x:c r="N182"/>
      <x:c r="O182"/>
      <x:c r="P182"/>
      <x:c r="Q182"/>
      <x:c r="R182"/>
      <x:c r="S182"/>
      <x:c r="T182"/>
      <x:c r="U182"/>
      <x:c r="V182"/>
      <x:c r="X182"/>
      <x:c r="Y182"/>
      <x:c r="Z182"/>
      <x:c r="AA182"/>
      <x:c r="AB182"/>
      <x:c r="AC182"/>
      <x:c r="AD182"/>
      <x:c r="AE182"/>
      <x:c r="AF182"/>
      <x:c r="AG182"/>
      <x:c r="AH182"/>
      <x:c r="AI182"/>
      <x:c r="AJ182"/>
      <x:c r="AK182"/>
      <x:c r="AL182"/>
      <x:c r="AM182"/>
      <x:c r="AN182"/>
      <x:c r="AO182"/>
      <x:c r="AP182"/>
      <x:c r="AQ182"/>
      <x:c r="AR182"/>
      <x:c r="AS182"/>
    </x:row>
    <x:row r="183" ht="15" hidden="0" customHeight="1">
      <x:c r="A183" s="384" t="str">
        <x:v>H08</x:v>
      </x:c>
      <x:c r="B183" s="384" t="str">
        <x:v>Revenue</x:v>
      </x:c>
      <x:c r="C183" s="385" t="str">
        <x:v>Revenue eligibility agrees with confirmed revenue</x:v>
      </x:c>
      <x:c r="D183" s="386" t="n">
        <x:f>COUNTIFS(tblServiceEvents[Revenue Eligibility],"Eligible",tblServiceEvents[Confirmed Revenue],"&lt;=0")+COUNTIFS(tblServiceEvents[Revenue Eligibility],"Excluded",tblServiceEvents[Confirmed Revenue],"&gt;0")</x:f>
        <x:v>0</x:v>
      </x:c>
      <x:c r="E183" s="384" t="str">
        <x:f>IF(D183=0,"PASS","FAIL")</x:f>
        <x:v>PASS</x:v>
      </x:c>
      <x:c r="F183" s="384" t="str">
        <x:v>Critical</x:v>
      </x:c>
      <x:c r="G183" s="385" t="str">
        <x:v>Correct eligibility or confirmed revenue</x:v>
      </x:c>
      <x:c r="H183" s="385" t="str">
        <x:v>Eligible rows require positive confirmed revenue; excluded rows cannot carry it.</x:v>
      </x:c>
      <x:c r="I183"/>
      <x:c r="J183"/>
      <x:c r="K183"/>
      <x:c r="L183"/>
      <x:c r="M183"/>
      <x:c r="N183"/>
      <x:c r="O183"/>
      <x:c r="P183"/>
      <x:c r="Q183"/>
      <x:c r="R183"/>
      <x:c r="S183"/>
      <x:c r="T183"/>
      <x:c r="U183"/>
      <x:c r="V183"/>
      <x:c r="X183"/>
      <x:c r="Y183"/>
      <x:c r="Z183"/>
      <x:c r="AA183"/>
      <x:c r="AB183"/>
      <x:c r="AC183"/>
      <x:c r="AD183"/>
      <x:c r="AE183"/>
      <x:c r="AF183"/>
      <x:c r="AG183"/>
      <x:c r="AH183"/>
      <x:c r="AI183"/>
      <x:c r="AJ183"/>
      <x:c r="AK183"/>
      <x:c r="AL183"/>
      <x:c r="AM183"/>
      <x:c r="AN183"/>
      <x:c r="AO183"/>
      <x:c r="AP183"/>
      <x:c r="AQ183"/>
      <x:c r="AR183"/>
      <x:c r="AS183"/>
    </x:row>
    <x:row r="184" ht="15" hidden="0" customHeight="1">
      <x:c r="A184" s="384" t="str">
        <x:v>H09</x:v>
      </x:c>
      <x:c r="B184" s="384" t="str">
        <x:v>Cross-table</x:v>
      </x:c>
      <x:c r="C184" s="385" t="str">
        <x:v>Event WO count reconciles to linked ledger rows after quarantine</x:v>
      </x:c>
      <x:c r="D184" s="386" t="n">
        <x:f>MAX(0,SUMPRODUCT(--(tblServiceEvents[Work Order Count]&lt;&gt;COUNTIF(tblLedger[Event #],tblServiceEvents[Event #])))-COUNTIF(tblLedgerExceptionMatrix[Mapping Hold],"Yes"))</x:f>
        <x:v>0</x:v>
      </x:c>
      <x:c r="E184" s="384" t="str">
        <x:f>IF(D184=0,"PASS","FAIL")</x:f>
        <x:v>PASS</x:v>
      </x:c>
      <x:c r="F184" s="384" t="str">
        <x:v>Critical</x:v>
      </x:c>
      <x:c r="G184" s="385" t="str">
        <x:v>Resolve unquarantined event-to-ledger mismatch</x:v>
      </x:c>
      <x:c r="H184" s="385" t="str">
        <x:v>One visit can map to one or more WOs; known mapping holds are quarantined.</x:v>
      </x:c>
      <x:c r="I184"/>
      <x:c r="J184"/>
      <x:c r="K184"/>
      <x:c r="L184"/>
      <x:c r="M184"/>
      <x:c r="N184"/>
      <x:c r="O184"/>
      <x:c r="P184"/>
      <x:c r="Q184"/>
      <x:c r="R184"/>
      <x:c r="S184"/>
      <x:c r="T184"/>
      <x:c r="U184"/>
      <x:c r="V184"/>
      <x:c r="X184"/>
      <x:c r="Y184"/>
      <x:c r="Z184"/>
      <x:c r="AA184"/>
      <x:c r="AB184"/>
      <x:c r="AC184"/>
      <x:c r="AD184"/>
      <x:c r="AE184"/>
      <x:c r="AF184"/>
      <x:c r="AG184"/>
      <x:c r="AH184"/>
      <x:c r="AI184"/>
      <x:c r="AJ184"/>
      <x:c r="AK184"/>
      <x:c r="AL184"/>
      <x:c r="AM184"/>
      <x:c r="AN184"/>
      <x:c r="AO184"/>
      <x:c r="AP184"/>
      <x:c r="AQ184"/>
      <x:c r="AR184"/>
      <x:c r="AS184"/>
    </x:row>
    <x:row r="185" ht="21.600000381469727" hidden="0" customHeight="1">
      <x:c r="A185" s="384" t="str">
        <x:v>H10</x:v>
      </x:c>
      <x:c r="B185" s="384" t="str">
        <x:v>Ledger</x:v>
      </x:c>
      <x:c r="C185" s="385" t="str">
        <x:v>Ledger Record IDs are unique</x:v>
      </x:c>
      <x:c r="D185" s="386" t="n">
        <x:f>SUMPRODUCT(--(COUNTIF(tblLedger[Ledger Record ID],tblLedger[Ledger Record ID])&gt;1))</x:f>
        <x:v>0</x:v>
      </x:c>
      <x:c r="E185" s="384" t="str">
        <x:f>IF(D185=0,"PASS","FAIL")</x:f>
        <x:v>PASS</x:v>
      </x:c>
      <x:c r="F185" s="384" t="str">
        <x:v>Critical</x:v>
      </x:c>
      <x:c r="G185" s="385" t="str">
        <x:v>Assign a unique Ledger Record ID</x:v>
      </x:c>
      <x:c r="H185" s="385" t="str">
        <x:v>Ledger rows require immutable unique record identifiers.</x:v>
      </x:c>
      <x:c r="I185"/>
      <x:c r="J185"/>
      <x:c r="K185"/>
      <x:c r="L185"/>
      <x:c r="M185"/>
      <x:c r="N185"/>
      <x:c r="O185"/>
      <x:c r="P185"/>
      <x:c r="Q185"/>
      <x:c r="R185"/>
      <x:c r="S185"/>
      <x:c r="T185"/>
      <x:c r="U185"/>
      <x:c r="V185"/>
      <x:c r="X185"/>
      <x:c r="Y185"/>
      <x:c r="Z185"/>
      <x:c r="AA185"/>
      <x:c r="AB185"/>
      <x:c r="AC185"/>
      <x:c r="AD185"/>
      <x:c r="AE185"/>
      <x:c r="AF185"/>
      <x:c r="AG185"/>
      <x:c r="AH185"/>
      <x:c r="AI185"/>
      <x:c r="AJ185"/>
      <x:c r="AK185"/>
      <x:c r="AL185"/>
      <x:c r="AM185"/>
      <x:c r="AN185"/>
      <x:c r="AO185"/>
      <x:c r="AP185"/>
      <x:c r="AQ185"/>
      <x:c r="AR185"/>
      <x:c r="AS185"/>
    </x:row>
    <x:row r="186" ht="21.600000381469727" hidden="0" customHeight="1">
      <x:c r="A186" s="384" t="str">
        <x:v>H11</x:v>
      </x:c>
      <x:c r="B186" s="384" t="str">
        <x:v>Ledger</x:v>
      </x:c>
      <x:c r="C186" s="385" t="str">
        <x:v>Duplicate WOs are either absent or quarantined</x:v>
      </x:c>
      <x:c r="D186" s="386" t="n">
        <x:f>COUNTIFS(tblLedgerExceptionMatrix[Duplicate WO],"Yes",tblLedgerExceptionMatrix[Mapping Hold],"&lt;&gt;Yes")</x:f>
        <x:v>0</x:v>
      </x:c>
      <x:c r="E186" s="384" t="str">
        <x:f>IF(D186=0,"PASS","FAIL")</x:f>
        <x:v>PASS</x:v>
      </x:c>
      <x:c r="F186" s="384" t="str">
        <x:v>Critical</x:v>
      </x:c>
      <x:c r="G186" s="385" t="str">
        <x:v>Stop update and resolve mapping</x:v>
      </x:c>
      <x:c r="H186" s="385" t="str">
        <x:v>A WO may not update more than one ledger record unless formally held.</x:v>
      </x:c>
      <x:c r="I186"/>
      <x:c r="J186"/>
      <x:c r="K186"/>
      <x:c r="L186"/>
      <x:c r="M186"/>
      <x:c r="N186"/>
      <x:c r="O186"/>
      <x:c r="P186"/>
      <x:c r="Q186"/>
      <x:c r="R186"/>
      <x:c r="S186"/>
      <x:c r="T186"/>
      <x:c r="U186"/>
      <x:c r="V186"/>
      <x:c r="X186"/>
      <x:c r="Y186"/>
      <x:c r="Z186"/>
      <x:c r="AA186"/>
      <x:c r="AB186"/>
      <x:c r="AC186"/>
      <x:c r="AD186"/>
      <x:c r="AE186"/>
      <x:c r="AF186"/>
      <x:c r="AG186"/>
      <x:c r="AH186"/>
      <x:c r="AI186"/>
      <x:c r="AJ186"/>
      <x:c r="AK186"/>
      <x:c r="AL186"/>
      <x:c r="AM186"/>
      <x:c r="AN186"/>
      <x:c r="AO186"/>
      <x:c r="AP186"/>
      <x:c r="AQ186"/>
      <x:c r="AR186"/>
      <x:c r="AS186"/>
    </x:row>
    <x:row r="187" ht="21.600000381469727" hidden="0" customHeight="1">
      <x:c r="A187" s="384" t="str">
        <x:v>H12</x:v>
      </x:c>
      <x:c r="B187" s="384" t="str">
        <x:v>Ledger</x:v>
      </x:c>
      <x:c r="C187" s="385" t="str">
        <x:v>Missing Event links are quarantined</x:v>
      </x:c>
      <x:c r="D187" s="386" t="n">
        <x:f>COUNTIFS(tblLedgerExceptionMatrix[Missing Event Link],"Yes",tblLedgerExceptionMatrix[Mapping Hold],"&lt;&gt;Yes")</x:f>
        <x:v>0</x:v>
      </x:c>
      <x:c r="E187" s="384" t="str">
        <x:f>IF(D187=0,"PASS","FAIL")</x:f>
        <x:v>PASS</x:v>
      </x:c>
      <x:c r="F187" s="384" t="str">
        <x:v>Critical</x:v>
      </x:c>
      <x:c r="G187" s="385" t="str">
        <x:v>Link the WO or classify it as Mapping Hold</x:v>
      </x:c>
      <x:c r="H187" s="385" t="str">
        <x:v>Unmapped WOs cannot update financial metrics.</x:v>
      </x:c>
      <x:c r="I187"/>
      <x:c r="J187"/>
      <x:c r="K187"/>
      <x:c r="L187"/>
      <x:c r="M187"/>
      <x:c r="N187"/>
      <x:c r="O187"/>
      <x:c r="P187"/>
      <x:c r="Q187"/>
      <x:c r="R187"/>
      <x:c r="S187"/>
      <x:c r="T187"/>
      <x:c r="U187"/>
      <x:c r="V187"/>
      <x:c r="X187"/>
      <x:c r="Y187"/>
      <x:c r="Z187"/>
      <x:c r="AA187"/>
      <x:c r="AB187"/>
      <x:c r="AC187"/>
      <x:c r="AD187"/>
      <x:c r="AE187"/>
      <x:c r="AF187"/>
      <x:c r="AG187"/>
      <x:c r="AH187"/>
      <x:c r="AI187"/>
      <x:c r="AJ187"/>
      <x:c r="AK187"/>
      <x:c r="AL187"/>
      <x:c r="AM187"/>
      <x:c r="AN187"/>
      <x:c r="AO187"/>
      <x:c r="AP187"/>
      <x:c r="AQ187"/>
      <x:c r="AR187"/>
      <x:c r="AS187"/>
    </x:row>
    <x:row r="188" ht="21.600000381469727" hidden="0" customHeight="1">
      <x:c r="A188" s="384" t="str">
        <x:v>H13</x:v>
      </x:c>
      <x:c r="B188" s="384" t="str">
        <x:v>Cross-table</x:v>
      </x:c>
      <x:c r="C188" s="385" t="str">
        <x:v>Linked ledger identity matches the service event</x:v>
      </x:c>
      <x:c r="D188" s="386" t="n">
        <x:f>COUNTIF(tblCrossTableIntegrity[Integrity Status],"FAIL")</x:f>
        <x:v>0</x:v>
      </x:c>
      <x:c r="E188" s="384" t="str">
        <x:f>IF(D188=0,"PASS","FAIL")</x:f>
        <x:v>PASS</x:v>
      </x:c>
      <x:c r="F188" s="384" t="str">
        <x:v>Critical</x:v>
      </x:c>
      <x:c r="G188" s="385" t="str">
        <x:v>Correct client, location, date, or WO linkage</x:v>
      </x:c>
      <x:c r="H188" s="385" t="str">
        <x:v>Ledger identity fields must agree with the linked Event #.</x:v>
      </x:c>
      <x:c r="I188"/>
      <x:c r="J188"/>
      <x:c r="K188"/>
      <x:c r="L188"/>
      <x:c r="M188"/>
      <x:c r="N188"/>
      <x:c r="O188"/>
      <x:c r="P188"/>
      <x:c r="Q188"/>
      <x:c r="R188"/>
      <x:c r="S188"/>
      <x:c r="T188"/>
      <x:c r="U188"/>
      <x:c r="V188"/>
      <x:c r="X188"/>
      <x:c r="Y188"/>
      <x:c r="Z188"/>
      <x:c r="AA188"/>
      <x:c r="AB188"/>
      <x:c r="AC188"/>
      <x:c r="AD188"/>
      <x:c r="AE188"/>
      <x:c r="AF188"/>
      <x:c r="AG188"/>
      <x:c r="AH188"/>
      <x:c r="AI188"/>
      <x:c r="AJ188"/>
      <x:c r="AK188"/>
      <x:c r="AL188"/>
      <x:c r="AM188"/>
      <x:c r="AN188"/>
      <x:c r="AO188"/>
      <x:c r="AP188"/>
      <x:c r="AQ188"/>
      <x:c r="AR188"/>
      <x:c r="AS188"/>
    </x:row>
    <x:row r="189" ht="15" hidden="0" customHeight="1">
      <x:c r="A189" s="384" t="str">
        <x:v>H14</x:v>
      </x:c>
      <x:c r="B189" s="384" t="str">
        <x:v>Ledger</x:v>
      </x:c>
      <x:c r="C189" s="385" t="str">
        <x:v>Breakdown state agrees with Breakdown Amount</x:v>
      </x:c>
      <x:c r="D189" s="386" t="n">
        <x:f>COUNTIFS(tblLedger[Breakdown Confirmed],"Yes",tblLedger[Breakdown Amount],"&lt;=0")+COUNTIFS(tblLedger[Breakdown Confirmed],"Partial",tblLedger[Breakdown Amount],"&lt;=0")+COUNTIFS(tblLedger[Breakdown Confirmed],"Pending",tblLedger[Breakdown Amount],"&gt;0")+COUNTIFS(tblLedger[Breakdown Confirmed],"No",tblLedger[Breakdown Amount],"&gt;0")</x:f>
        <x:v>0</x:v>
      </x:c>
      <x:c r="E189" s="384" t="str">
        <x:f>IF(D189=0,"PASS","FAIL")</x:f>
        <x:v>PASS</x:v>
      </x:c>
      <x:c r="F189" s="384" t="str">
        <x:v>Critical</x:v>
      </x:c>
      <x:c r="G189" s="385" t="str">
        <x:v>Correct breakdown status or amount</x:v>
      </x:c>
      <x:c r="H189" s="385" t="str">
        <x:v>Confirmed/partial breakdowns need an amount; pending/no rows cannot carry one.</x:v>
      </x:c>
      <x:c r="I189"/>
      <x:c r="J189"/>
      <x:c r="K189"/>
      <x:c r="L189"/>
      <x:c r="M189"/>
      <x:c r="N189"/>
      <x:c r="O189"/>
      <x:c r="P189"/>
      <x:c r="Q189"/>
      <x:c r="R189"/>
      <x:c r="S189"/>
      <x:c r="T189"/>
      <x:c r="U189"/>
      <x:c r="V189"/>
      <x:c r="X189"/>
      <x:c r="Y189"/>
      <x:c r="Z189"/>
      <x:c r="AA189"/>
      <x:c r="AB189"/>
      <x:c r="AC189"/>
      <x:c r="AD189"/>
      <x:c r="AE189"/>
      <x:c r="AF189"/>
      <x:c r="AG189"/>
      <x:c r="AH189"/>
      <x:c r="AI189"/>
      <x:c r="AJ189"/>
      <x:c r="AK189"/>
      <x:c r="AL189"/>
      <x:c r="AM189"/>
      <x:c r="AN189"/>
      <x:c r="AO189"/>
      <x:c r="AP189"/>
      <x:c r="AQ189"/>
      <x:c r="AR189"/>
      <x:c r="AS189"/>
    </x:row>
    <x:row r="190" ht="21.600000381469727" hidden="0" customHeight="1">
      <x:c r="A190" s="384" t="str">
        <x:v>H15</x:v>
      </x:c>
      <x:c r="B190" s="384" t="str">
        <x:v>Ledger</x:v>
      </x:c>
      <x:c r="C190" s="385" t="str">
        <x:v>Confirmed ACH agrees with Breakdown Amount</x:v>
      </x:c>
      <x:c r="D190" s="386" t="n">
        <x:f>COUNTIFS(tblLedger[ACH Confirmed],"Yes",tblLedger[ACH Amount],"&lt;=0",tblLedger[Reconciliation Status],"&lt;&gt;Operational complete / excluded financial metric")+SUMPRODUCT(--(tblLedger[ACH Confirmed]="Yes"),--(tblLedger[Breakdown Confirmed]="Yes"),--(ABS(tblLedger[ACH Amount]-tblLedger[Breakdown Amount])&gt;0.01))</x:f>
        <x:v>0</x:v>
      </x:c>
      <x:c r="E190" s="384" t="str">
        <x:f>IF(D190=0,"PASS","FAIL")</x:f>
        <x:v>PASS</x:v>
      </x:c>
      <x:c r="F190" s="384" t="str">
        <x:v>Critical</x:v>
      </x:c>
      <x:c r="G190" s="385" t="str">
        <x:v>Reconcile ACH amount or classify as partial/mismatch</x:v>
      </x:c>
      <x:c r="H190" s="385" t="str">
        <x:v>A clean ACH confirmation must have a positive amount matching the breakdown.</x:v>
      </x:c>
      <x:c r="I190"/>
      <x:c r="J190"/>
      <x:c r="K190"/>
      <x:c r="L190"/>
      <x:c r="M190"/>
      <x:c r="N190"/>
      <x:c r="O190"/>
      <x:c r="P190"/>
      <x:c r="Q190"/>
      <x:c r="R190"/>
      <x:c r="S190"/>
      <x:c r="T190"/>
      <x:c r="U190"/>
      <x:c r="V190"/>
      <x:c r="X190"/>
      <x:c r="Y190"/>
      <x:c r="Z190"/>
      <x:c r="AA190"/>
      <x:c r="AB190"/>
      <x:c r="AC190"/>
      <x:c r="AD190"/>
      <x:c r="AE190"/>
      <x:c r="AF190"/>
      <x:c r="AG190"/>
      <x:c r="AH190"/>
      <x:c r="AI190"/>
      <x:c r="AJ190"/>
      <x:c r="AK190"/>
      <x:c r="AL190"/>
      <x:c r="AM190"/>
      <x:c r="AN190"/>
      <x:c r="AO190"/>
      <x:c r="AP190"/>
      <x:c r="AQ190"/>
      <x:c r="AR190"/>
      <x:c r="AS190"/>
    </x:row>
    <x:row r="191" ht="21.600000381469727" hidden="0" customHeight="1">
      <x:c r="A191" s="384" t="str">
        <x:v>H16</x:v>
      </x:c>
      <x:c r="B191" s="384" t="str">
        <x:v>Ledger</x:v>
      </x:c>
      <x:c r="C191" s="385" t="str">
        <x:v>Variance equals Breakdown minus Agreed Amount</x:v>
      </x:c>
      <x:c r="D191" s="386" t="n">
        <x:f>SUMPRODUCT(--ISNUMBER(tblLedger[Agreed Amount]),--ISNUMBER(tblLedger[Breakdown Amount]),--(IFERROR(ABS(tblLedger[Variance]-(tblLedger[Breakdown Amount]-tblLedger[Agreed Amount])),0)&gt;0.01))</x:f>
        <x:v>0</x:v>
      </x:c>
      <x:c r="E191" s="384" t="str">
        <x:f>IF(D191=0,"PASS","FAIL")</x:f>
        <x:v>PASS</x:v>
      </x:c>
      <x:c r="F191" s="384" t="str">
        <x:v>Critical</x:v>
      </x:c>
      <x:c r="G191" s="385" t="str">
        <x:v>Correct the recorded variance</x:v>
      </x:c>
      <x:c r="H191" s="385" t="str">
        <x:v>Variance sign and amount must be mathematically consistent.</x:v>
      </x:c>
      <x:c r="I191"/>
      <x:c r="J191"/>
      <x:c r="K191"/>
      <x:c r="L191"/>
      <x:c r="M191"/>
      <x:c r="N191"/>
      <x:c r="O191"/>
      <x:c r="P191"/>
      <x:c r="Q191"/>
      <x:c r="R191"/>
      <x:c r="S191"/>
      <x:c r="T191"/>
      <x:c r="U191"/>
      <x:c r="V191"/>
      <x:c r="X191"/>
      <x:c r="Y191"/>
      <x:c r="Z191"/>
      <x:c r="AA191"/>
      <x:c r="AB191"/>
      <x:c r="AC191"/>
      <x:c r="AD191"/>
      <x:c r="AE191"/>
      <x:c r="AF191"/>
      <x:c r="AG191"/>
      <x:c r="AH191"/>
      <x:c r="AI191"/>
      <x:c r="AJ191"/>
      <x:c r="AK191"/>
      <x:c r="AL191"/>
      <x:c r="AM191"/>
      <x:c r="AN191"/>
      <x:c r="AO191"/>
      <x:c r="AP191"/>
      <x:c r="AQ191"/>
      <x:c r="AR191"/>
      <x:c r="AS191"/>
    </x:row>
    <x:row r="192" ht="21.600000381469727" hidden="0" customHeight="1">
      <x:c r="A192" s="384" t="str">
        <x:v>H17</x:v>
      </x:c>
      <x:c r="B192" s="384" t="str">
        <x:v>Dashboard</x:v>
      </x:c>
      <x:c r="C192" s="385" t="str">
        <x:v>Completed Event KPI reconciles to Service Events</x:v>
      </x:c>
      <x:c r="D192" s="386" t="n">
        <x:f>ABS(Dashboard!A6-COUNT(tblServiceEvents[Event #]))</x:f>
        <x:v>0</x:v>
      </x:c>
      <x:c r="E192" s="384" t="str">
        <x:f>IF(D192=0,"PASS","FAIL")</x:f>
        <x:v>PASS</x:v>
      </x:c>
      <x:c r="F192" s="384" t="str">
        <x:v>Critical</x:v>
      </x:c>
      <x:c r="G192" s="385" t="str">
        <x:v>Refresh dashboard formula</x:v>
      </x:c>
      <x:c r="H192" s="385" t="str">
        <x:v>Dashboard career-event count must equal authoritative timeline rows.</x:v>
      </x:c>
      <x:c r="I192"/>
      <x:c r="J192"/>
      <x:c r="K192"/>
      <x:c r="L192"/>
      <x:c r="M192"/>
      <x:c r="N192"/>
      <x:c r="O192"/>
      <x:c r="P192"/>
      <x:c r="Q192"/>
      <x:c r="R192"/>
      <x:c r="S192"/>
      <x:c r="T192"/>
      <x:c r="U192"/>
      <x:c r="V192"/>
      <x:c r="X192"/>
      <x:c r="Y192"/>
      <x:c r="Z192"/>
      <x:c r="AA192"/>
      <x:c r="AB192"/>
      <x:c r="AC192"/>
      <x:c r="AD192"/>
      <x:c r="AE192"/>
      <x:c r="AF192"/>
      <x:c r="AG192"/>
      <x:c r="AH192"/>
      <x:c r="AI192"/>
      <x:c r="AJ192"/>
      <x:c r="AK192"/>
      <x:c r="AL192"/>
      <x:c r="AM192"/>
      <x:c r="AN192"/>
      <x:c r="AO192"/>
      <x:c r="AP192"/>
      <x:c r="AQ192"/>
      <x:c r="AR192"/>
      <x:c r="AS192"/>
    </x:row>
    <x:row r="193" ht="21.600000381469727" hidden="0" customHeight="1">
      <x:c r="A193" s="384" t="str">
        <x:v>H18</x:v>
      </x:c>
      <x:c r="B193" s="384" t="str">
        <x:v>Dashboard</x:v>
      </x:c>
      <x:c r="C193" s="385" t="str">
        <x:v>Unique Work Order KPI reconciles to Ledger</x:v>
      </x:c>
      <x:c r="D193" s="386" t="n">
        <x:f>ABS(Dashboard!E6-COUNTA(tblLedger[Work Order #]))</x:f>
        <x:v>0</x:v>
      </x:c>
      <x:c r="E193" s="384" t="str">
        <x:f>IF(D193=0,"PASS","FAIL")</x:f>
        <x:v>PASS</x:v>
      </x:c>
      <x:c r="F193" s="384" t="str">
        <x:v>Critical</x:v>
      </x:c>
      <x:c r="G193" s="385" t="str">
        <x:v>Refresh dashboard formula</x:v>
      </x:c>
      <x:c r="H193" s="385" t="str">
        <x:v>Dashboard WO count must equal authoritative ledger rows.</x:v>
      </x:c>
      <x:c r="I193"/>
      <x:c r="J193"/>
      <x:c r="K193"/>
      <x:c r="L193"/>
      <x:c r="M193"/>
      <x:c r="N193"/>
      <x:c r="O193"/>
      <x:c r="P193"/>
      <x:c r="Q193"/>
      <x:c r="R193"/>
      <x:c r="S193"/>
      <x:c r="T193"/>
      <x:c r="U193"/>
      <x:c r="V193"/>
      <x:c r="X193"/>
      <x:c r="Y193"/>
      <x:c r="Z193"/>
      <x:c r="AA193"/>
      <x:c r="AB193"/>
      <x:c r="AC193"/>
      <x:c r="AD193"/>
      <x:c r="AE193"/>
      <x:c r="AF193"/>
      <x:c r="AG193"/>
      <x:c r="AH193"/>
      <x:c r="AI193"/>
      <x:c r="AJ193"/>
      <x:c r="AK193"/>
      <x:c r="AL193"/>
      <x:c r="AM193"/>
      <x:c r="AN193"/>
      <x:c r="AO193"/>
      <x:c r="AP193"/>
      <x:c r="AQ193"/>
      <x:c r="AR193"/>
      <x:c r="AS193"/>
    </x:row>
    <x:row r="194">
      <x:c r="A194" t="str">
        <x:v>H19</x:v>
      </x:c>
      <x:c r="B194" t="str">
        <x:v>Dashboard</x:v>
      </x:c>
      <x:c r="C194" t="str">
        <x:v>Confirmed Revenue KPI reconciles to eligible events</x:v>
      </x:c>
      <x:c r="D194" t="n">
        <x:f>IF(ABS(Dashboard!G6-SUMIFS(tblServiceEvents[Confirmed Revenue],tblServiceEvents[Revenue Eligibility],"Eligible"))&lt;0.01,0,1)</x:f>
        <x:v>0</x:v>
      </x:c>
      <x:c r="E194" t="str">
        <x:f>IF(D194=0,"PASS","FAIL")</x:f>
        <x:v>PASS</x:v>
      </x:c>
      <x:c r="F194" t="str">
        <x:v>Critical</x:v>
      </x:c>
      <x:c r="G194" t="str">
        <x:v>Refresh revenue formula</x:v>
      </x:c>
      <x:c r="H194" t="str">
        <x:v>Dashboard confirmed revenue must equal eligible event revenue.</x:v>
      </x:c>
      <x:c r="I194"/>
      <x:c r="J194"/>
      <x:c r="K194"/>
      <x:c r="L194"/>
      <x:c r="M194"/>
      <x:c r="N194"/>
      <x:c r="O194"/>
      <x:c r="P194"/>
      <x:c r="Q194"/>
      <x:c r="R194"/>
      <x:c r="S194"/>
      <x:c r="T194"/>
      <x:c r="U194"/>
      <x:c r="V194"/>
      <x:c r="X194"/>
      <x:c r="Y194"/>
      <x:c r="Z194"/>
      <x:c r="AA194"/>
      <x:c r="AB194"/>
      <x:c r="AC194"/>
      <x:c r="AD194"/>
      <x:c r="AE194"/>
      <x:c r="AF194"/>
      <x:c r="AG194"/>
      <x:c r="AH194"/>
      <x:c r="AI194"/>
      <x:c r="AJ194"/>
      <x:c r="AK194"/>
      <x:c r="AL194"/>
      <x:c r="AM194"/>
      <x:c r="AN194"/>
      <x:c r="AO194"/>
      <x:c r="AP194"/>
      <x:c r="AQ194"/>
      <x:c r="AR194"/>
      <x:c r="AS194"/>
    </x:row>
    <x:row r="195">
      <x:c r="A195" t="str">
        <x:v>H20</x:v>
      </x:c>
      <x:c r="B195" t="str">
        <x:v>Dashboard</x:v>
      </x:c>
      <x:c r="C195" t="str">
        <x:v>Pending Breakdown KPI reconciles to Ledger</x:v>
      </x:c>
      <x:c r="D195" t="n">
        <x:f>ABS(Dashboard!I6-COUNTIF(tblLedger[Breakdown Confirmed],"Pending"))</x:f>
        <x:v>0</x:v>
      </x:c>
      <x:c r="E195" t="str">
        <x:f>IF(D195=0,"PASS","FAIL")</x:f>
        <x:v>PASS</x:v>
      </x:c>
      <x:c r="F195" t="str">
        <x:v>Critical</x:v>
      </x:c>
      <x:c r="G195" t="str">
        <x:v>Refresh pending-breakdown formula</x:v>
      </x:c>
      <x:c r="H195" t="str">
        <x:v>Pending breakdown count is sourced only from financially tracked WOs.</x:v>
      </x:c>
      <x:c r="I195"/>
      <x:c r="J195"/>
      <x:c r="K195"/>
      <x:c r="L195"/>
      <x:c r="M195"/>
      <x:c r="N195"/>
      <x:c r="O195"/>
      <x:c r="P195"/>
      <x:c r="Q195"/>
      <x:c r="R195"/>
      <x:c r="S195"/>
      <x:c r="T195"/>
      <x:c r="U195"/>
      <x:c r="V195"/>
      <x:c r="X195"/>
      <x:c r="Y195"/>
      <x:c r="Z195"/>
      <x:c r="AA195"/>
      <x:c r="AB195"/>
      <x:c r="AC195"/>
      <x:c r="AD195"/>
      <x:c r="AE195"/>
      <x:c r="AF195"/>
      <x:c r="AG195"/>
      <x:c r="AH195"/>
      <x:c r="AI195"/>
      <x:c r="AJ195"/>
      <x:c r="AK195"/>
      <x:c r="AL195"/>
      <x:c r="AM195"/>
      <x:c r="AN195"/>
      <x:c r="AO195"/>
      <x:c r="AP195"/>
      <x:c r="AQ195"/>
      <x:c r="AR195"/>
      <x:c r="AS195"/>
    </x:row>
    <x:row r="196">
      <x:c r="A196" s="374" t="str">
        <x:v>H21</x:v>
      </x:c>
      <x:c r="B196" s="374" t="str">
        <x:v>Dashboard</x:v>
      </x:c>
      <x:c r="C196" s="374" t="str">
        <x:v>Pending ACH KPI reconciles to Ledger</x:v>
      </x:c>
      <x:c r="D196" s="374" t="n">
        <x:f>ABS(Dashboard!K6-(COUNTIFS(tblLedger[Breakdown Confirmed],"Yes",tblLedger[ACH Confirmed],"No")+COUNTIFS(tblLedger[Breakdown Confirmed],"Yes",tblLedger[ACH Confirmed],"Pending")))</x:f>
        <x:v>1</x:v>
      </x:c>
      <x:c r="E196" s="374" t="str">
        <x:f>IF(D196=0,"PASS","FAIL")</x:f>
        <x:v>FAIL</x:v>
      </x:c>
      <x:c r="F196" s="374" t="str">
        <x:v>Critical</x:v>
      </x:c>
      <x:c r="G196" s="374" t="str">
        <x:v>Refresh pending-ACH formula</x:v>
      </x:c>
      <x:c r="H196" s="374" t="str">
        <x:v>Pending ACH requires a confirmed breakdown and no confirmed ACH.</x:v>
      </x:c>
      <x:c r="I196" s="374"/>
      <x:c r="J196" s="374"/>
      <x:c r="K196"/>
      <x:c r="L196"/>
      <x:c r="M196"/>
      <x:c r="N196"/>
      <x:c r="O196"/>
      <x:c r="P196"/>
      <x:c r="Q196"/>
      <x:c r="R196"/>
      <x:c r="S196"/>
      <x:c r="T196"/>
      <x:c r="U196"/>
      <x:c r="V196"/>
      <x:c r="X196"/>
      <x:c r="Y196"/>
      <x:c r="Z196"/>
      <x:c r="AA196"/>
      <x:c r="AB196"/>
      <x:c r="AC196"/>
      <x:c r="AD196"/>
      <x:c r="AE196"/>
      <x:c r="AF196"/>
      <x:c r="AG196"/>
      <x:c r="AH196"/>
      <x:c r="AI196"/>
      <x:c r="AJ196"/>
      <x:c r="AK196"/>
      <x:c r="AL196"/>
      <x:c r="AM196"/>
      <x:c r="AN196"/>
      <x:c r="AO196"/>
      <x:c r="AP196"/>
      <x:c r="AQ196"/>
      <x:c r="AR196"/>
      <x:c r="AS196"/>
    </x:row>
    <x:row r="197" ht="15" hidden="0" customHeight="1">
      <x:c r="A197" s="383" t="str">
        <x:v>H22</x:v>
      </x:c>
      <x:c r="B197" s="383" t="str">
        <x:v>Quarantine</x:v>
      </x:c>
      <x:c r="C197" s="383" t="str">
        <x:v>Mapping Holds are fully and consistently quarantined</x:v>
      </x:c>
      <x:c r="D197" s="383" t="n">
        <x:f>COUNTIFS(tblLedger[Mapping Status],"MAPPING_HOLD",tblLedger[Reconciliation Status],"&lt;&gt;MAPPING_HOLD")+COUNTIFS(tblLedger[Reconciliation Status],"MAPPING_HOLD",tblLedger[Mapping Status],"&lt;&gt;MAPPING_HOLD")+COUNTIFS(tblLedger[Mapping Status],"MAPPING_HOLD",tblLedger[Candidate Event(s)],"")</x:f>
        <x:v>0</x:v>
      </x:c>
      <x:c r="E197" s="383" t="str">
        <x:f>IF(D197=0,"PASS","FAIL")</x:f>
        <x:v>PASS</x:v>
      </x:c>
      <x:c r="F197" s="383" t="str">
        <x:v>Critical</x:v>
      </x:c>
      <x:c r="G197" s="383" t="str">
        <x:v>Complete the hold classification before any update</x:v>
      </x:c>
      <x:c r="H197" s="383" t="str">
        <x:v>Known ambiguous WOs remain visible but cannot affect automatic financial closure.</x:v>
      </x:c>
      <x:c r="I197" s="383"/>
      <x:c r="J197" s="383"/>
      <x:c r="K197"/>
      <x:c r="L197"/>
      <x:c r="M197"/>
      <x:c r="N197"/>
      <x:c r="O197"/>
      <x:c r="P197"/>
      <x:c r="Q197"/>
      <x:c r="R197"/>
      <x:c r="S197"/>
      <x:c r="T197"/>
      <x:c r="U197"/>
      <x:c r="V197"/>
      <x:c r="X197"/>
      <x:c r="Y197"/>
      <x:c r="Z197"/>
      <x:c r="AA197"/>
      <x:c r="AB197"/>
      <x:c r="AC197"/>
      <x:c r="AD197"/>
      <x:c r="AE197"/>
      <x:c r="AF197"/>
      <x:c r="AG197"/>
      <x:c r="AH197"/>
      <x:c r="AI197"/>
      <x:c r="AJ197"/>
      <x:c r="AK197"/>
      <x:c r="AL197"/>
      <x:c r="AM197"/>
      <x:c r="AN197"/>
      <x:c r="AO197"/>
      <x:c r="AP197"/>
      <x:c r="AQ197"/>
      <x:c r="AR197"/>
      <x:c r="AS197"/>
    </x:row>
    <x:row r="198" ht="15" hidden="0" customHeight="1">
      <x:c r="A198" s="384"/>
      <x:c r="B198" s="384"/>
      <x:c r="C198" s="384"/>
      <x:c r="D198" s="384"/>
      <x:c r="E198" s="384"/>
      <x:c r="F198" s="384"/>
      <x:c r="G198" s="384"/>
      <x:c r="H198" s="384"/>
      <x:c r="I198" s="384"/>
      <x:c r="J198" s="384"/>
      <x:c r="K198"/>
      <x:c r="L198"/>
      <x:c r="M198"/>
      <x:c r="N198"/>
      <x:c r="O198"/>
      <x:c r="P198"/>
      <x:c r="Q198"/>
      <x:c r="R198"/>
      <x:c r="S198"/>
      <x:c r="T198"/>
      <x:c r="U198"/>
      <x:c r="V198"/>
      <x:c r="X198"/>
      <x:c r="Y198"/>
      <x:c r="Z198"/>
      <x:c r="AA198"/>
      <x:c r="AB198"/>
      <x:c r="AC198"/>
      <x:c r="AD198"/>
      <x:c r="AE198"/>
      <x:c r="AF198"/>
      <x:c r="AG198"/>
      <x:c r="AH198"/>
      <x:c r="AI198"/>
      <x:c r="AJ198"/>
      <x:c r="AK198"/>
      <x:c r="AL198"/>
      <x:c r="AM198"/>
      <x:c r="AN198"/>
      <x:c r="AO198"/>
      <x:c r="AP198"/>
      <x:c r="AQ198"/>
      <x:c r="AR198"/>
      <x:c r="AS198"/>
    </x:row>
    <x:row r="199" ht="15" hidden="0" customHeight="1">
      <x:c r="A199" s="384"/>
      <x:c r="B199" s="384"/>
      <x:c r="C199" s="384"/>
      <x:c r="D199" s="384"/>
      <x:c r="E199" s="384"/>
      <x:c r="F199" s="384"/>
      <x:c r="G199" s="384"/>
      <x:c r="H199" s="384"/>
      <x:c r="I199" s="384"/>
      <x:c r="J199" s="384"/>
      <x:c r="K199"/>
      <x:c r="L199"/>
      <x:c r="M199"/>
      <x:c r="N199"/>
      <x:c r="O199"/>
      <x:c r="P199"/>
      <x:c r="Q199"/>
      <x:c r="R199"/>
      <x:c r="S199"/>
      <x:c r="T199"/>
      <x:c r="U199"/>
      <x:c r="V199"/>
      <x:c r="X199"/>
      <x:c r="Y199"/>
      <x:c r="Z199"/>
      <x:c r="AA199"/>
      <x:c r="AB199"/>
      <x:c r="AC199"/>
      <x:c r="AD199"/>
      <x:c r="AE199"/>
      <x:c r="AF199"/>
      <x:c r="AG199"/>
      <x:c r="AH199"/>
      <x:c r="AI199"/>
      <x:c r="AJ199"/>
      <x:c r="AK199"/>
      <x:c r="AL199"/>
      <x:c r="AM199"/>
      <x:c r="AN199"/>
      <x:c r="AO199"/>
      <x:c r="AP199"/>
      <x:c r="AQ199"/>
      <x:c r="AR199"/>
      <x:c r="AS199"/>
    </x:row>
    <x:row r="200" ht="15" hidden="0" customHeight="1">
      <x:c r="A200" s="384" t="str">
        <x:v>Cross-Table Identity Matrix — Ledger to Service Events</x:v>
      </x:c>
      <x:c r="B200" s="384"/>
      <x:c r="C200" s="384"/>
      <x:c r="D200" s="384"/>
      <x:c r="E200" s="384"/>
      <x:c r="F200" s="384"/>
      <x:c r="G200" s="384"/>
      <x:c r="H200" s="384"/>
      <x:c r="I200" s="384"/>
      <x:c r="J200" s="384"/>
      <x:c r="K200"/>
      <x:c r="L200"/>
      <x:c r="M200"/>
      <x:c r="N200"/>
      <x:c r="O200"/>
      <x:c r="P200"/>
      <x:c r="Q200"/>
      <x:c r="R200"/>
      <x:c r="S200"/>
      <x:c r="T200"/>
      <x:c r="U200"/>
      <x:c r="V200"/>
      <x:c r="X200"/>
      <x:c r="Y200"/>
      <x:c r="Z200"/>
      <x:c r="AA200"/>
      <x:c r="AB200"/>
      <x:c r="AC200"/>
      <x:c r="AD200"/>
      <x:c r="AE200"/>
      <x:c r="AF200"/>
      <x:c r="AG200"/>
      <x:c r="AH200"/>
      <x:c r="AI200"/>
      <x:c r="AJ200"/>
      <x:c r="AK200"/>
      <x:c r="AL200"/>
      <x:c r="AM200"/>
      <x:c r="AN200"/>
      <x:c r="AO200"/>
      <x:c r="AP200"/>
      <x:c r="AQ200"/>
      <x:c r="AR200"/>
      <x:c r="AS200"/>
    </x:row>
    <x:row r="201" ht="15" hidden="0" customHeight="1">
      <x:c r="A201" s="384" t="str">
        <x:v>Ledger Record ID</x:v>
      </x:c>
      <x:c r="B201" s="384" t="str">
        <x:v>WO #</x:v>
      </x:c>
      <x:c r="C201" s="384" t="str">
        <x:v>Event #</x:v>
      </x:c>
      <x:c r="D201" s="384" t="str">
        <x:v>Mapping Status</x:v>
      </x:c>
      <x:c r="E201" s="384" t="str">
        <x:v>Event Exists</x:v>
      </x:c>
      <x:c r="F201" s="384" t="str">
        <x:v>Client Match</x:v>
      </x:c>
      <x:c r="G201" s="384" t="str">
        <x:v>Location Match</x:v>
      </x:c>
      <x:c r="H201" s="384" t="str">
        <x:v>Date Match</x:v>
      </x:c>
      <x:c r="I201" s="384" t="str">
        <x:v>WO Listed</x:v>
      </x:c>
      <x:c r="J201" s="384" t="str">
        <x:v>Integrity Status</x:v>
      </x:c>
      <x:c r="K201"/>
      <x:c r="L201"/>
      <x:c r="M201"/>
      <x:c r="N201"/>
      <x:c r="O201"/>
      <x:c r="P201"/>
      <x:c r="Q201"/>
      <x:c r="R201"/>
      <x:c r="S201"/>
      <x:c r="T201"/>
      <x:c r="U201"/>
      <x:c r="V201"/>
      <x:c r="X201"/>
      <x:c r="Y201"/>
      <x:c r="Z201"/>
      <x:c r="AA201"/>
      <x:c r="AB201"/>
      <x:c r="AC201"/>
      <x:c r="AD201"/>
      <x:c r="AE201"/>
      <x:c r="AF201"/>
      <x:c r="AG201"/>
      <x:c r="AH201"/>
      <x:c r="AI201"/>
      <x:c r="AJ201"/>
      <x:c r="AK201"/>
      <x:c r="AL201"/>
      <x:c r="AM201"/>
      <x:c r="AN201"/>
      <x:c r="AO201"/>
      <x:c r="AP201"/>
      <x:c r="AQ201"/>
      <x:c r="AR201"/>
      <x:c r="AS201"/>
    </x:row>
    <x:row r="202" ht="15" hidden="0" customHeight="1">
      <x:c r="A202" s="384" t="str">
        <x:f>IFERROR(INDEX(tblLedger[Ledger Record ID],ROWS($A$202:A202)),"")</x:f>
        <x:v>LED-0001</x:v>
      </x:c>
      <x:c r="B202" s="384" t="n">
        <x:f>IFERROR(INDEX(tblLedger[Work Order #],ROWS($A$202:A202)),"")</x:f>
        <x:v>5847113</x:v>
      </x:c>
      <x:c r="C202" s="384" t="n">
        <x:f>IFERROR(INDEX(tblLedger[Event #],ROWS($A$202:A202)),"")</x:f>
        <x:v>1</x:v>
      </x:c>
      <x:c r="D202" s="384" t="str">
        <x:f>IFERROR(INDEX(tblLedger[Mapping Status],ROWS($A$202:A202)),"")</x:f>
        <x:v>Unique</x:v>
      </x:c>
      <x:c r="E202" s="384" t="str">
        <x:f>IF(A202="","",IF(D202="MAPPING_HOLD","QUARANTINED",IF(COUNTIF(tblServiceEvents[Event #],C202)=1,"Yes","No")))</x:f>
        <x:v>Yes</x:v>
      </x:c>
      <x:c r="F202" s="384" t="str">
        <x:f>IF(A202="","",IF(E202&lt;&gt;"Yes","N/A",IF(INDEX(tblServiceEvents[Client ID],MATCH(C202,tblServiceEvents[Event #],0))=INDEX(tblLedger[Client ID],ROWS($A$202:A202)),"Yes","No")))</x:f>
        <x:v>Yes</x:v>
      </x:c>
      <x:c r="G202" s="384" t="str">
        <x:f>IF(A202="","",IF(E202&lt;&gt;"Yes","N/A",IF(INDEX(tblServiceEvents[Location Key],MATCH(C202,tblServiceEvents[Event #],0))=INDEX(tblLedger[Location Key],ROWS($A$202:A202)),"Yes","No")))</x:f>
        <x:v>Yes</x:v>
      </x:c>
      <x:c r="H202" s="384" t="str">
        <x:f>IF(A202="","",IF(E202&lt;&gt;"Yes","N/A",IF(INDEX(tblServiceEvents[Service Date],MATCH(C202,tblServiceEvents[Event #],0))=INDEX(tblLedger[Service Date],ROWS($A$202:A202)),"Yes","No")))</x:f>
        <x:v>Yes</x:v>
      </x:c>
      <x:c r="I202" s="384" t="str">
        <x:f>IF(A202="","",IF(E202&lt;&gt;"Yes","N/A",IF(D202="MULTI-WO VISIT","Yes",IF(B202=INDEX(tblServiceEvents[Work Orders],MATCH(C202,tblServiceEvents[Event #],0)),"Yes","No"))))</x:f>
        <x:v>Yes</x:v>
      </x:c>
      <x:c r="J202" s="384" t="str">
        <x:f>IF(A202="","",IF(D202="MAPPING_HOLD","QUARANTINED",IF(AND(E202="Yes",F202="Yes",G202="Yes",H202="Yes",I202="Yes"),"PASS","FAIL")))</x:f>
        <x:v>PASS</x:v>
      </x:c>
      <x:c r="K202"/>
      <x:c r="L202"/>
      <x:c r="M202"/>
      <x:c r="N202"/>
      <x:c r="O202"/>
      <x:c r="P202"/>
      <x:c r="Q202"/>
      <x:c r="R202"/>
      <x:c r="S202"/>
      <x:c r="T202"/>
      <x:c r="U202"/>
      <x:c r="V202"/>
      <x:c r="X202"/>
      <x:c r="Y202"/>
      <x:c r="Z202"/>
      <x:c r="AA202"/>
      <x:c r="AB202"/>
      <x:c r="AC202"/>
      <x:c r="AD202"/>
      <x:c r="AE202"/>
      <x:c r="AF202"/>
      <x:c r="AG202"/>
      <x:c r="AH202"/>
      <x:c r="AI202"/>
      <x:c r="AJ202"/>
      <x:c r="AK202"/>
      <x:c r="AL202"/>
      <x:c r="AM202"/>
      <x:c r="AN202"/>
      <x:c r="AO202"/>
      <x:c r="AP202"/>
      <x:c r="AQ202"/>
      <x:c r="AR202"/>
      <x:c r="AS202"/>
    </x:row>
    <x:row r="203" ht="15" hidden="0" customHeight="1">
      <x:c r="A203" s="384" t="str">
        <x:f>IFERROR(INDEX(tblLedger[Ledger Record ID],ROWS($A$202:A203)),"")</x:f>
        <x:v>LED-0002</x:v>
      </x:c>
      <x:c r="B203" s="384" t="n">
        <x:f>IFERROR(INDEX(tblLedger[Work Order #],ROWS($A$202:A203)),"")</x:f>
        <x:v>5860365</x:v>
      </x:c>
      <x:c r="C203" s="384" t="n">
        <x:f>IFERROR(INDEX(tblLedger[Event #],ROWS($A$202:A203)),"")</x:f>
        <x:v>2</x:v>
      </x:c>
      <x:c r="D203" s="384" t="str">
        <x:f>IFERROR(INDEX(tblLedger[Mapping Status],ROWS($A$202:A203)),"")</x:f>
        <x:v>Unique</x:v>
      </x:c>
      <x:c r="E203" s="384" t="str">
        <x:f>IF(A203="","",IF(D203="MAPPING_HOLD","QUARANTINED",IF(COUNTIF(tblServiceEvents[Event #],C203)=1,"Yes","No")))</x:f>
        <x:v>Yes</x:v>
      </x:c>
      <x:c r="F203" s="384" t="str">
        <x:f>IF(A203="","",IF(E203&lt;&gt;"Yes","N/A",IF(INDEX(tblServiceEvents[Client ID],MATCH(C203,tblServiceEvents[Event #],0))=INDEX(tblLedger[Client ID],ROWS($A$202:A203)),"Yes","No")))</x:f>
        <x:v>Yes</x:v>
      </x:c>
      <x:c r="G203" s="384" t="str">
        <x:f>IF(A203="","",IF(E203&lt;&gt;"Yes","N/A",IF(INDEX(tblServiceEvents[Location Key],MATCH(C203,tblServiceEvents[Event #],0))=INDEX(tblLedger[Location Key],ROWS($A$202:A203)),"Yes","No")))</x:f>
        <x:v>Yes</x:v>
      </x:c>
      <x:c r="H203" s="384" t="str">
        <x:f>IF(A203="","",IF(E203&lt;&gt;"Yes","N/A",IF(INDEX(tblServiceEvents[Service Date],MATCH(C203,tblServiceEvents[Event #],0))=INDEX(tblLedger[Service Date],ROWS($A$202:A203)),"Yes","No")))</x:f>
        <x:v>Yes</x:v>
      </x:c>
      <x:c r="I203" s="384" t="str">
        <x:f>IF(A203="","",IF(E203&lt;&gt;"Yes","N/A",IF(D203="MULTI-WO VISIT","Yes",IF(B203=INDEX(tblServiceEvents[Work Orders],MATCH(C203,tblServiceEvents[Event #],0)),"Yes","No"))))</x:f>
        <x:v>Yes</x:v>
      </x:c>
      <x:c r="J203" s="384" t="str">
        <x:f>IF(A203="","",IF(D203="MAPPING_HOLD","QUARANTINED",IF(AND(E203="Yes",F203="Yes",G203="Yes",H203="Yes",I203="Yes"),"PASS","FAIL")))</x:f>
        <x:v>PASS</x:v>
      </x:c>
      <x:c r="K203"/>
      <x:c r="L203"/>
      <x:c r="M203"/>
      <x:c r="N203"/>
      <x:c r="O203"/>
      <x:c r="P203"/>
      <x:c r="Q203"/>
      <x:c r="R203"/>
      <x:c r="S203"/>
      <x:c r="T203"/>
      <x:c r="U203"/>
      <x:c r="V203"/>
      <x:c r="X203"/>
      <x:c r="Y203"/>
      <x:c r="Z203"/>
      <x:c r="AA203"/>
      <x:c r="AB203"/>
      <x:c r="AC203"/>
      <x:c r="AD203"/>
      <x:c r="AE203"/>
      <x:c r="AF203"/>
      <x:c r="AG203"/>
      <x:c r="AH203"/>
      <x:c r="AI203"/>
      <x:c r="AJ203"/>
      <x:c r="AK203"/>
      <x:c r="AL203"/>
      <x:c r="AM203"/>
      <x:c r="AN203"/>
      <x:c r="AO203"/>
      <x:c r="AP203"/>
      <x:c r="AQ203"/>
      <x:c r="AR203"/>
      <x:c r="AS203"/>
    </x:row>
    <x:row r="204" ht="15" hidden="0" customHeight="1">
      <x:c r="A204" s="384" t="str">
        <x:f>IFERROR(INDEX(tblLedger[Ledger Record ID],ROWS($A$202:A204)),"")</x:f>
        <x:v>LED-0003</x:v>
      </x:c>
      <x:c r="B204" s="384" t="n">
        <x:f>IFERROR(INDEX(tblLedger[Work Order #],ROWS($A$202:A204)),"")</x:f>
        <x:v>5860393</x:v>
      </x:c>
      <x:c r="C204" s="384" t="n">
        <x:f>IFERROR(INDEX(tblLedger[Event #],ROWS($A$202:A204)),"")</x:f>
        <x:v>3</x:v>
      </x:c>
      <x:c r="D204" s="384" t="str">
        <x:f>IFERROR(INDEX(tblLedger[Mapping Status],ROWS($A$202:A204)),"")</x:f>
        <x:v>Unique</x:v>
      </x:c>
      <x:c r="E204" s="384" t="str">
        <x:f>IF(A204="","",IF(D204="MAPPING_HOLD","QUARANTINED",IF(COUNTIF(tblServiceEvents[Event #],C204)=1,"Yes","No")))</x:f>
        <x:v>Yes</x:v>
      </x:c>
      <x:c r="F204" s="384" t="str">
        <x:f>IF(A204="","",IF(E204&lt;&gt;"Yes","N/A",IF(INDEX(tblServiceEvents[Client ID],MATCH(C204,tblServiceEvents[Event #],0))=INDEX(tblLedger[Client ID],ROWS($A$202:A204)),"Yes","No")))</x:f>
        <x:v>Yes</x:v>
      </x:c>
      <x:c r="G204" s="384" t="str">
        <x:f>IF(A204="","",IF(E204&lt;&gt;"Yes","N/A",IF(INDEX(tblServiceEvents[Location Key],MATCH(C204,tblServiceEvents[Event #],0))=INDEX(tblLedger[Location Key],ROWS($A$202:A204)),"Yes","No")))</x:f>
        <x:v>Yes</x:v>
      </x:c>
      <x:c r="H204" s="384" t="str">
        <x:f>IF(A204="","",IF(E204&lt;&gt;"Yes","N/A",IF(INDEX(tblServiceEvents[Service Date],MATCH(C204,tblServiceEvents[Event #],0))=INDEX(tblLedger[Service Date],ROWS($A$202:A204)),"Yes","No")))</x:f>
        <x:v>Yes</x:v>
      </x:c>
      <x:c r="I204" s="384" t="str">
        <x:f>IF(A204="","",IF(E204&lt;&gt;"Yes","N/A",IF(D204="MULTI-WO VISIT","Yes",IF(B204=INDEX(tblServiceEvents[Work Orders],MATCH(C204,tblServiceEvents[Event #],0)),"Yes","No"))))</x:f>
        <x:v>Yes</x:v>
      </x:c>
      <x:c r="J204" s="384" t="str">
        <x:f>IF(A204="","",IF(D204="MAPPING_HOLD","QUARANTINED",IF(AND(E204="Yes",F204="Yes",G204="Yes",H204="Yes",I204="Yes"),"PASS","FAIL")))</x:f>
        <x:v>PASS</x:v>
      </x:c>
      <x:c r="K204"/>
      <x:c r="L204"/>
      <x:c r="M204"/>
      <x:c r="N204"/>
      <x:c r="O204"/>
      <x:c r="P204"/>
      <x:c r="Q204"/>
      <x:c r="R204"/>
      <x:c r="S204"/>
      <x:c r="T204"/>
      <x:c r="U204"/>
      <x:c r="V204"/>
      <x:c r="X204"/>
      <x:c r="Y204"/>
      <x:c r="Z204"/>
      <x:c r="AA204"/>
      <x:c r="AB204"/>
      <x:c r="AC204"/>
      <x:c r="AD204"/>
      <x:c r="AE204"/>
      <x:c r="AF204"/>
      <x:c r="AG204"/>
      <x:c r="AH204"/>
      <x:c r="AI204"/>
      <x:c r="AJ204"/>
      <x:c r="AK204"/>
      <x:c r="AL204"/>
      <x:c r="AM204"/>
      <x:c r="AN204"/>
      <x:c r="AO204"/>
      <x:c r="AP204"/>
      <x:c r="AQ204"/>
      <x:c r="AR204"/>
      <x:c r="AS204"/>
    </x:row>
    <x:row r="205" ht="15" hidden="0" customHeight="1">
      <x:c r="A205" s="384" t="str">
        <x:f>IFERROR(INDEX(tblLedger[Ledger Record ID],ROWS($A$202:A205)),"")</x:f>
        <x:v>LED-0004</x:v>
      </x:c>
      <x:c r="B205" s="384" t="n">
        <x:f>IFERROR(INDEX(tblLedger[Work Order #],ROWS($A$202:A205)),"")</x:f>
        <x:v>5874484</x:v>
      </x:c>
      <x:c r="C205" s="384" t="n">
        <x:f>IFERROR(INDEX(tblLedger[Event #],ROWS($A$202:A205)),"")</x:f>
        <x:v>4</x:v>
      </x:c>
      <x:c r="D205" s="384" t="str">
        <x:f>IFERROR(INDEX(tblLedger[Mapping Status],ROWS($A$202:A205)),"")</x:f>
        <x:v>Unique</x:v>
      </x:c>
      <x:c r="E205" s="384" t="str">
        <x:f>IF(A205="","",IF(D205="MAPPING_HOLD","QUARANTINED",IF(COUNTIF(tblServiceEvents[Event #],C205)=1,"Yes","No")))</x:f>
        <x:v>Yes</x:v>
      </x:c>
      <x:c r="F205" s="384" t="str">
        <x:f>IF(A205="","",IF(E205&lt;&gt;"Yes","N/A",IF(INDEX(tblServiceEvents[Client ID],MATCH(C205,tblServiceEvents[Event #],0))=INDEX(tblLedger[Client ID],ROWS($A$202:A205)),"Yes","No")))</x:f>
        <x:v>Yes</x:v>
      </x:c>
      <x:c r="G205" s="384" t="str">
        <x:f>IF(A205="","",IF(E205&lt;&gt;"Yes","N/A",IF(INDEX(tblServiceEvents[Location Key],MATCH(C205,tblServiceEvents[Event #],0))=INDEX(tblLedger[Location Key],ROWS($A$202:A205)),"Yes","No")))</x:f>
        <x:v>Yes</x:v>
      </x:c>
      <x:c r="H205" s="384" t="str">
        <x:f>IF(A205="","",IF(E205&lt;&gt;"Yes","N/A",IF(INDEX(tblServiceEvents[Service Date],MATCH(C205,tblServiceEvents[Event #],0))=INDEX(tblLedger[Service Date],ROWS($A$202:A205)),"Yes","No")))</x:f>
        <x:v>Yes</x:v>
      </x:c>
      <x:c r="I205" s="384" t="str">
        <x:f>IF(A205="","",IF(E205&lt;&gt;"Yes","N/A",IF(D205="MULTI-WO VISIT","Yes",IF(B205=INDEX(tblServiceEvents[Work Orders],MATCH(C205,tblServiceEvents[Event #],0)),"Yes","No"))))</x:f>
        <x:v>Yes</x:v>
      </x:c>
      <x:c r="J205" s="384" t="str">
        <x:f>IF(A205="","",IF(D205="MAPPING_HOLD","QUARANTINED",IF(AND(E205="Yes",F205="Yes",G205="Yes",H205="Yes",I205="Yes"),"PASS","FAIL")))</x:f>
        <x:v>PASS</x:v>
      </x:c>
      <x:c r="K205"/>
      <x:c r="L205"/>
      <x:c r="M205"/>
      <x:c r="N205"/>
      <x:c r="O205"/>
      <x:c r="P205"/>
      <x:c r="Q205"/>
      <x:c r="R205"/>
      <x:c r="S205"/>
      <x:c r="T205"/>
      <x:c r="U205"/>
      <x:c r="V205"/>
      <x:c r="X205"/>
      <x:c r="Y205"/>
      <x:c r="Z205"/>
      <x:c r="AA205"/>
      <x:c r="AB205"/>
      <x:c r="AC205"/>
      <x:c r="AD205"/>
      <x:c r="AE205"/>
      <x:c r="AF205"/>
      <x:c r="AG205"/>
      <x:c r="AH205"/>
      <x:c r="AI205"/>
      <x:c r="AJ205"/>
      <x:c r="AK205"/>
      <x:c r="AL205"/>
      <x:c r="AM205"/>
      <x:c r="AN205"/>
      <x:c r="AO205"/>
      <x:c r="AP205"/>
      <x:c r="AQ205"/>
      <x:c r="AR205"/>
      <x:c r="AS205"/>
    </x:row>
    <x:row r="206" ht="15" hidden="0" customHeight="1">
      <x:c r="A206" s="384" t="str">
        <x:f>IFERROR(INDEX(tblLedger[Ledger Record ID],ROWS($A$202:A206)),"")</x:f>
        <x:v>LED-0005</x:v>
      </x:c>
      <x:c r="B206" s="384" t="n">
        <x:f>IFERROR(INDEX(tblLedger[Work Order #],ROWS($A$202:A206)),"")</x:f>
        <x:v>5876589</x:v>
      </x:c>
      <x:c r="C206" s="384" t="n">
        <x:f>IFERROR(INDEX(tblLedger[Event #],ROWS($A$202:A206)),"")</x:f>
        <x:v>5</x:v>
      </x:c>
      <x:c r="D206" s="384" t="str">
        <x:f>IFERROR(INDEX(tblLedger[Mapping Status],ROWS($A$202:A206)),"")</x:f>
        <x:v>Unique</x:v>
      </x:c>
      <x:c r="E206" s="384" t="str">
        <x:f>IF(A206="","",IF(D206="MAPPING_HOLD","QUARANTINED",IF(COUNTIF(tblServiceEvents[Event #],C206)=1,"Yes","No")))</x:f>
        <x:v>Yes</x:v>
      </x:c>
      <x:c r="F206" s="384" t="str">
        <x:f>IF(A206="","",IF(E206&lt;&gt;"Yes","N/A",IF(INDEX(tblServiceEvents[Client ID],MATCH(C206,tblServiceEvents[Event #],0))=INDEX(tblLedger[Client ID],ROWS($A$202:A206)),"Yes","No")))</x:f>
        <x:v>Yes</x:v>
      </x:c>
      <x:c r="G206" s="384" t="str">
        <x:f>IF(A206="","",IF(E206&lt;&gt;"Yes","N/A",IF(INDEX(tblServiceEvents[Location Key],MATCH(C206,tblServiceEvents[Event #],0))=INDEX(tblLedger[Location Key],ROWS($A$202:A206)),"Yes","No")))</x:f>
        <x:v>Yes</x:v>
      </x:c>
      <x:c r="H206" s="384" t="str">
        <x:f>IF(A206="","",IF(E206&lt;&gt;"Yes","N/A",IF(INDEX(tblServiceEvents[Service Date],MATCH(C206,tblServiceEvents[Event #],0))=INDEX(tblLedger[Service Date],ROWS($A$202:A206)),"Yes","No")))</x:f>
        <x:v>Yes</x:v>
      </x:c>
      <x:c r="I206" s="384" t="str">
        <x:f>IF(A206="","",IF(E206&lt;&gt;"Yes","N/A",IF(D206="MULTI-WO VISIT","Yes",IF(B206=INDEX(tblServiceEvents[Work Orders],MATCH(C206,tblServiceEvents[Event #],0)),"Yes","No"))))</x:f>
        <x:v>Yes</x:v>
      </x:c>
      <x:c r="J206" s="384" t="str">
        <x:f>IF(A206="","",IF(D206="MAPPING_HOLD","QUARANTINED",IF(AND(E206="Yes",F206="Yes",G206="Yes",H206="Yes",I206="Yes"),"PASS","FAIL")))</x:f>
        <x:v>PASS</x:v>
      </x:c>
      <x:c r="K206"/>
      <x:c r="L206"/>
      <x:c r="M206"/>
      <x:c r="N206"/>
      <x:c r="O206"/>
      <x:c r="P206"/>
      <x:c r="Q206"/>
      <x:c r="R206"/>
      <x:c r="S206"/>
      <x:c r="T206"/>
      <x:c r="U206"/>
      <x:c r="V206"/>
      <x:c r="X206"/>
      <x:c r="Y206"/>
      <x:c r="Z206"/>
      <x:c r="AA206"/>
      <x:c r="AB206"/>
      <x:c r="AC206"/>
      <x:c r="AD206"/>
      <x:c r="AE206"/>
      <x:c r="AF206"/>
      <x:c r="AG206"/>
      <x:c r="AH206"/>
      <x:c r="AI206"/>
      <x:c r="AJ206"/>
      <x:c r="AK206"/>
      <x:c r="AL206"/>
      <x:c r="AM206"/>
      <x:c r="AN206"/>
      <x:c r="AO206"/>
      <x:c r="AP206"/>
      <x:c r="AQ206"/>
      <x:c r="AR206"/>
      <x:c r="AS206"/>
    </x:row>
    <x:row r="207" ht="15" hidden="0" customHeight="1">
      <x:c r="A207" s="384" t="str">
        <x:f>IFERROR(INDEX(tblLedger[Ledger Record ID],ROWS($A$202:A207)),"")</x:f>
        <x:v>LED-0006</x:v>
      </x:c>
      <x:c r="B207" s="384" t="n">
        <x:f>IFERROR(INDEX(tblLedger[Work Order #],ROWS($A$202:A207)),"")</x:f>
        <x:v>5874982</x:v>
      </x:c>
      <x:c r="C207" s="384" t="n">
        <x:f>IFERROR(INDEX(tblLedger[Event #],ROWS($A$202:A207)),"")</x:f>
        <x:v>6</x:v>
      </x:c>
      <x:c r="D207" s="384" t="str">
        <x:f>IFERROR(INDEX(tblLedger[Mapping Status],ROWS($A$202:A207)),"")</x:f>
        <x:v>Unique</x:v>
      </x:c>
      <x:c r="E207" s="384" t="str">
        <x:f>IF(A207="","",IF(D207="MAPPING_HOLD","QUARANTINED",IF(COUNTIF(tblServiceEvents[Event #],C207)=1,"Yes","No")))</x:f>
        <x:v>Yes</x:v>
      </x:c>
      <x:c r="F207" s="384" t="str">
        <x:f>IF(A207="","",IF(E207&lt;&gt;"Yes","N/A",IF(INDEX(tblServiceEvents[Client ID],MATCH(C207,tblServiceEvents[Event #],0))=INDEX(tblLedger[Client ID],ROWS($A$202:A207)),"Yes","No")))</x:f>
        <x:v>Yes</x:v>
      </x:c>
      <x:c r="G207" s="384" t="str">
        <x:f>IF(A207="","",IF(E207&lt;&gt;"Yes","N/A",IF(INDEX(tblServiceEvents[Location Key],MATCH(C207,tblServiceEvents[Event #],0))=INDEX(tblLedger[Location Key],ROWS($A$202:A207)),"Yes","No")))</x:f>
        <x:v>Yes</x:v>
      </x:c>
      <x:c r="H207" s="384" t="str">
        <x:f>IF(A207="","",IF(E207&lt;&gt;"Yes","N/A",IF(INDEX(tblServiceEvents[Service Date],MATCH(C207,tblServiceEvents[Event #],0))=INDEX(tblLedger[Service Date],ROWS($A$202:A207)),"Yes","No")))</x:f>
        <x:v>Yes</x:v>
      </x:c>
      <x:c r="I207" s="384" t="str">
        <x:f>IF(A207="","",IF(E207&lt;&gt;"Yes","N/A",IF(D207="MULTI-WO VISIT","Yes",IF(B207=INDEX(tblServiceEvents[Work Orders],MATCH(C207,tblServiceEvents[Event #],0)),"Yes","No"))))</x:f>
        <x:v>Yes</x:v>
      </x:c>
      <x:c r="J207" s="384" t="str">
        <x:f>IF(A207="","",IF(D207="MAPPING_HOLD","QUARANTINED",IF(AND(E207="Yes",F207="Yes",G207="Yes",H207="Yes",I207="Yes"),"PASS","FAIL")))</x:f>
        <x:v>PASS</x:v>
      </x:c>
      <x:c r="K207"/>
      <x:c r="L207"/>
      <x:c r="M207"/>
      <x:c r="N207"/>
      <x:c r="O207"/>
      <x:c r="P207"/>
      <x:c r="Q207"/>
      <x:c r="R207"/>
      <x:c r="S207"/>
      <x:c r="T207"/>
      <x:c r="U207"/>
      <x:c r="V207"/>
      <x:c r="X207"/>
      <x:c r="Y207"/>
      <x:c r="Z207"/>
      <x:c r="AA207"/>
      <x:c r="AB207"/>
      <x:c r="AC207"/>
      <x:c r="AD207"/>
      <x:c r="AE207"/>
      <x:c r="AF207"/>
      <x:c r="AG207"/>
      <x:c r="AH207"/>
      <x:c r="AI207"/>
      <x:c r="AJ207"/>
      <x:c r="AK207"/>
      <x:c r="AL207"/>
      <x:c r="AM207"/>
      <x:c r="AN207"/>
      <x:c r="AO207"/>
      <x:c r="AP207"/>
      <x:c r="AQ207"/>
      <x:c r="AR207"/>
      <x:c r="AS207"/>
    </x:row>
    <x:row r="208" ht="15" hidden="0" customHeight="1">
      <x:c r="A208" s="384" t="str">
        <x:f>IFERROR(INDEX(tblLedger[Ledger Record ID],ROWS($A$202:A208)),"")</x:f>
        <x:v>LED-0007</x:v>
      </x:c>
      <x:c r="B208" s="384" t="n">
        <x:f>IFERROR(INDEX(tblLedger[Work Order #],ROWS($A$202:A208)),"")</x:f>
        <x:v>5876638</x:v>
      </x:c>
      <x:c r="C208" s="384" t="n">
        <x:f>IFERROR(INDEX(tblLedger[Event #],ROWS($A$202:A208)),"")</x:f>
        <x:v>7</x:v>
      </x:c>
      <x:c r="D208" s="384" t="str">
        <x:f>IFERROR(INDEX(tblLedger[Mapping Status],ROWS($A$202:A208)),"")</x:f>
        <x:v>Unique</x:v>
      </x:c>
      <x:c r="E208" s="384" t="str">
        <x:f>IF(A208="","",IF(D208="MAPPING_HOLD","QUARANTINED",IF(COUNTIF(tblServiceEvents[Event #],C208)=1,"Yes","No")))</x:f>
        <x:v>Yes</x:v>
      </x:c>
      <x:c r="F208" s="384" t="str">
        <x:f>IF(A208="","",IF(E208&lt;&gt;"Yes","N/A",IF(INDEX(tblServiceEvents[Client ID],MATCH(C208,tblServiceEvents[Event #],0))=INDEX(tblLedger[Client ID],ROWS($A$202:A208)),"Yes","No")))</x:f>
        <x:v>Yes</x:v>
      </x:c>
      <x:c r="G208" s="384" t="str">
        <x:f>IF(A208="","",IF(E208&lt;&gt;"Yes","N/A",IF(INDEX(tblServiceEvents[Location Key],MATCH(C208,tblServiceEvents[Event #],0))=INDEX(tblLedger[Location Key],ROWS($A$202:A208)),"Yes","No")))</x:f>
        <x:v>Yes</x:v>
      </x:c>
      <x:c r="H208" s="384" t="str">
        <x:f>IF(A208="","",IF(E208&lt;&gt;"Yes","N/A",IF(INDEX(tblServiceEvents[Service Date],MATCH(C208,tblServiceEvents[Event #],0))=INDEX(tblLedger[Service Date],ROWS($A$202:A208)),"Yes","No")))</x:f>
        <x:v>Yes</x:v>
      </x:c>
      <x:c r="I208" s="384" t="str">
        <x:f>IF(A208="","",IF(E208&lt;&gt;"Yes","N/A",IF(D208="MULTI-WO VISIT","Yes",IF(B208=INDEX(tblServiceEvents[Work Orders],MATCH(C208,tblServiceEvents[Event #],0)),"Yes","No"))))</x:f>
        <x:v>Yes</x:v>
      </x:c>
      <x:c r="J208" s="384" t="str">
        <x:f>IF(A208="","",IF(D208="MAPPING_HOLD","QUARANTINED",IF(AND(E208="Yes",F208="Yes",G208="Yes",H208="Yes",I208="Yes"),"PASS","FAIL")))</x:f>
        <x:v>PASS</x:v>
      </x:c>
      <x:c r="K208"/>
      <x:c r="L208"/>
      <x:c r="M208"/>
      <x:c r="N208"/>
      <x:c r="O208"/>
      <x:c r="P208"/>
      <x:c r="Q208"/>
      <x:c r="R208"/>
      <x:c r="S208"/>
      <x:c r="T208"/>
      <x:c r="U208"/>
      <x:c r="V208"/>
      <x:c r="X208"/>
      <x:c r="Y208"/>
      <x:c r="Z208"/>
      <x:c r="AA208"/>
      <x:c r="AB208"/>
      <x:c r="AC208"/>
      <x:c r="AD208"/>
      <x:c r="AE208"/>
      <x:c r="AF208"/>
      <x:c r="AG208"/>
      <x:c r="AH208"/>
      <x:c r="AI208"/>
      <x:c r="AJ208"/>
      <x:c r="AK208"/>
      <x:c r="AL208"/>
      <x:c r="AM208"/>
      <x:c r="AN208"/>
      <x:c r="AO208"/>
      <x:c r="AP208"/>
      <x:c r="AQ208"/>
      <x:c r="AR208"/>
      <x:c r="AS208"/>
    </x:row>
    <x:row r="209" ht="15" hidden="0" customHeight="1">
      <x:c r="A209" s="384" t="str">
        <x:f>IFERROR(INDEX(tblLedger[Ledger Record ID],ROWS($A$202:A209)),"")</x:f>
        <x:v>LED-0008</x:v>
      </x:c>
      <x:c r="B209" s="384" t="n">
        <x:f>IFERROR(INDEX(tblLedger[Work Order #],ROWS($A$202:A209)),"")</x:f>
        <x:v>5878985</x:v>
      </x:c>
      <x:c r="C209" s="384" t="n">
        <x:f>IFERROR(INDEX(tblLedger[Event #],ROWS($A$202:A209)),"")</x:f>
        <x:v>8</x:v>
      </x:c>
      <x:c r="D209" s="384" t="str">
        <x:f>IFERROR(INDEX(tblLedger[Mapping Status],ROWS($A$202:A209)),"")</x:f>
        <x:v>Unique</x:v>
      </x:c>
      <x:c r="E209" s="384" t="str">
        <x:f>IF(A209="","",IF(D209="MAPPING_HOLD","QUARANTINED",IF(COUNTIF(tblServiceEvents[Event #],C209)=1,"Yes","No")))</x:f>
        <x:v>Yes</x:v>
      </x:c>
      <x:c r="F209" s="384" t="str">
        <x:f>IF(A209="","",IF(E209&lt;&gt;"Yes","N/A",IF(INDEX(tblServiceEvents[Client ID],MATCH(C209,tblServiceEvents[Event #],0))=INDEX(tblLedger[Client ID],ROWS($A$202:A209)),"Yes","No")))</x:f>
        <x:v>Yes</x:v>
      </x:c>
      <x:c r="G209" s="384" t="str">
        <x:f>IF(A209="","",IF(E209&lt;&gt;"Yes","N/A",IF(INDEX(tblServiceEvents[Location Key],MATCH(C209,tblServiceEvents[Event #],0))=INDEX(tblLedger[Location Key],ROWS($A$202:A209)),"Yes","No")))</x:f>
        <x:v>Yes</x:v>
      </x:c>
      <x:c r="H209" s="384" t="str">
        <x:f>IF(A209="","",IF(E209&lt;&gt;"Yes","N/A",IF(INDEX(tblServiceEvents[Service Date],MATCH(C209,tblServiceEvents[Event #],0))=INDEX(tblLedger[Service Date],ROWS($A$202:A209)),"Yes","No")))</x:f>
        <x:v>Yes</x:v>
      </x:c>
      <x:c r="I209" s="384" t="str">
        <x:f>IF(A209="","",IF(E209&lt;&gt;"Yes","N/A",IF(D209="MULTI-WO VISIT","Yes",IF(B209=INDEX(tblServiceEvents[Work Orders],MATCH(C209,tblServiceEvents[Event #],0)),"Yes","No"))))</x:f>
        <x:v>Yes</x:v>
      </x:c>
      <x:c r="J209" s="384" t="str">
        <x:f>IF(A209="","",IF(D209="MAPPING_HOLD","QUARANTINED",IF(AND(E209="Yes",F209="Yes",G209="Yes",H209="Yes",I209="Yes"),"PASS","FAIL")))</x:f>
        <x:v>PASS</x:v>
      </x:c>
      <x:c r="K209"/>
      <x:c r="L209"/>
      <x:c r="M209"/>
      <x:c r="N209"/>
      <x:c r="O209"/>
      <x:c r="P209"/>
      <x:c r="Q209"/>
      <x:c r="R209"/>
      <x:c r="S209"/>
      <x:c r="T209"/>
      <x:c r="U209"/>
      <x:c r="V209"/>
      <x:c r="X209"/>
      <x:c r="Y209"/>
      <x:c r="Z209"/>
      <x:c r="AA209"/>
      <x:c r="AB209"/>
      <x:c r="AC209"/>
      <x:c r="AD209"/>
      <x:c r="AE209"/>
      <x:c r="AF209"/>
      <x:c r="AG209"/>
      <x:c r="AH209"/>
      <x:c r="AI209"/>
      <x:c r="AJ209"/>
      <x:c r="AK209"/>
      <x:c r="AL209"/>
      <x:c r="AM209"/>
      <x:c r="AN209"/>
      <x:c r="AO209"/>
      <x:c r="AP209"/>
      <x:c r="AQ209"/>
      <x:c r="AR209"/>
      <x:c r="AS209"/>
    </x:row>
    <x:row r="210" ht="15" hidden="0" customHeight="1">
      <x:c r="A210" s="384" t="str">
        <x:f>IFERROR(INDEX(tblLedger[Ledger Record ID],ROWS($A$202:A210)),"")</x:f>
        <x:v>LED-0009</x:v>
      </x:c>
      <x:c r="B210" s="384" t="str">
        <x:f>IFERROR(INDEX(tblLedger[Work Order #],ROWS($A$202:A210)),"")</x:f>
        <x:v>UNRESOLVED-E009</x:v>
      </x:c>
      <x:c r="C210" s="384" t="n">
        <x:f>IFERROR(INDEX(tblLedger[Event #],ROWS($A$202:A210)),"")</x:f>
        <x:v>9</x:v>
      </x:c>
      <x:c r="D210" s="384" t="str">
        <x:f>IFERROR(INDEX(tblLedger[Mapping Status],ROWS($A$202:A210)),"")</x:f>
        <x:v>Nonstandard</x:v>
      </x:c>
      <x:c r="E210" s="384" t="str">
        <x:f>IF(A210="","",IF(D210="MAPPING_HOLD","QUARANTINED",IF(COUNTIF(tblServiceEvents[Event #],C210)=1,"Yes","No")))</x:f>
        <x:v>Yes</x:v>
      </x:c>
      <x:c r="F210" s="384" t="str">
        <x:f>IF(A210="","",IF(E210&lt;&gt;"Yes","N/A",IF(INDEX(tblServiceEvents[Client ID],MATCH(C210,tblServiceEvents[Event #],0))=INDEX(tblLedger[Client ID],ROWS($A$202:A210)),"Yes","No")))</x:f>
        <x:v>Yes</x:v>
      </x:c>
      <x:c r="G210" s="384" t="str">
        <x:f>IF(A210="","",IF(E210&lt;&gt;"Yes","N/A",IF(INDEX(tblServiceEvents[Location Key],MATCH(C210,tblServiceEvents[Event #],0))=INDEX(tblLedger[Location Key],ROWS($A$202:A210)),"Yes","No")))</x:f>
        <x:v>Yes</x:v>
      </x:c>
      <x:c r="H210" s="384" t="str">
        <x:f>IF(A210="","",IF(E210&lt;&gt;"Yes","N/A",IF(INDEX(tblServiceEvents[Service Date],MATCH(C210,tblServiceEvents[Event #],0))=INDEX(tblLedger[Service Date],ROWS($A$202:A210)),"Yes","No")))</x:f>
        <x:v>Yes</x:v>
      </x:c>
      <x:c r="I210" s="384" t="str">
        <x:f>IF(A210="","",IF(E210&lt;&gt;"Yes","N/A",IF(D210="MULTI-WO VISIT","Yes",IF(B210=INDEX(tblServiceEvents[Work Orders],MATCH(C210,tblServiceEvents[Event #],0)),"Yes","No"))))</x:f>
        <x:v>Yes</x:v>
      </x:c>
      <x:c r="J210" s="384" t="str">
        <x:f>IF(A210="","",IF(D210="MAPPING_HOLD","QUARANTINED",IF(AND(E210="Yes",F210="Yes",G210="Yes",H210="Yes",I210="Yes"),"PASS","FAIL")))</x:f>
        <x:v>PASS</x:v>
      </x:c>
      <x:c r="K210"/>
      <x:c r="L210"/>
      <x:c r="M210"/>
      <x:c r="N210"/>
      <x:c r="O210"/>
      <x:c r="P210"/>
      <x:c r="Q210"/>
      <x:c r="R210"/>
      <x:c r="S210"/>
      <x:c r="T210"/>
      <x:c r="U210"/>
      <x:c r="V210"/>
      <x:c r="X210"/>
      <x:c r="Y210"/>
      <x:c r="Z210"/>
      <x:c r="AA210"/>
      <x:c r="AB210"/>
      <x:c r="AC210"/>
      <x:c r="AD210"/>
      <x:c r="AE210"/>
      <x:c r="AF210"/>
      <x:c r="AG210"/>
      <x:c r="AH210"/>
      <x:c r="AI210"/>
      <x:c r="AJ210"/>
      <x:c r="AK210"/>
      <x:c r="AL210"/>
      <x:c r="AM210"/>
      <x:c r="AN210"/>
      <x:c r="AO210"/>
      <x:c r="AP210"/>
      <x:c r="AQ210"/>
      <x:c r="AR210"/>
      <x:c r="AS210"/>
    </x:row>
    <x:row r="211" ht="15" hidden="0" customHeight="1">
      <x:c r="A211" s="384" t="str">
        <x:f>IFERROR(INDEX(tblLedger[Ledger Record ID],ROWS($A$202:A211)),"")</x:f>
        <x:v>LED-0010</x:v>
      </x:c>
      <x:c r="B211" s="384" t="n">
        <x:f>IFERROR(INDEX(tblLedger[Work Order #],ROWS($A$202:A211)),"")</x:f>
        <x:v>5882097</x:v>
      </x:c>
      <x:c r="C211" s="384" t="n">
        <x:f>IFERROR(INDEX(tblLedger[Event #],ROWS($A$202:A211)),"")</x:f>
        <x:v>10</x:v>
      </x:c>
      <x:c r="D211" s="384" t="str">
        <x:f>IFERROR(INDEX(tblLedger[Mapping Status],ROWS($A$202:A211)),"")</x:f>
        <x:v>Unique</x:v>
      </x:c>
      <x:c r="E211" s="384" t="str">
        <x:f>IF(A211="","",IF(D211="MAPPING_HOLD","QUARANTINED",IF(COUNTIF(tblServiceEvents[Event #],C211)=1,"Yes","No")))</x:f>
        <x:v>Yes</x:v>
      </x:c>
      <x:c r="F211" s="384" t="str">
        <x:f>IF(A211="","",IF(E211&lt;&gt;"Yes","N/A",IF(INDEX(tblServiceEvents[Client ID],MATCH(C211,tblServiceEvents[Event #],0))=INDEX(tblLedger[Client ID],ROWS($A$202:A211)),"Yes","No")))</x:f>
        <x:v>Yes</x:v>
      </x:c>
      <x:c r="G211" s="384" t="str">
        <x:f>IF(A211="","",IF(E211&lt;&gt;"Yes","N/A",IF(INDEX(tblServiceEvents[Location Key],MATCH(C211,tblServiceEvents[Event #],0))=INDEX(tblLedger[Location Key],ROWS($A$202:A211)),"Yes","No")))</x:f>
        <x:v>Yes</x:v>
      </x:c>
      <x:c r="H211" s="384" t="str">
        <x:f>IF(A211="","",IF(E211&lt;&gt;"Yes","N/A",IF(INDEX(tblServiceEvents[Service Date],MATCH(C211,tblServiceEvents[Event #],0))=INDEX(tblLedger[Service Date],ROWS($A$202:A211)),"Yes","No")))</x:f>
        <x:v>Yes</x:v>
      </x:c>
      <x:c r="I211" s="384" t="str">
        <x:f>IF(A211="","",IF(E211&lt;&gt;"Yes","N/A",IF(D211="MULTI-WO VISIT","Yes",IF(B211=INDEX(tblServiceEvents[Work Orders],MATCH(C211,tblServiceEvents[Event #],0)),"Yes","No"))))</x:f>
        <x:v>Yes</x:v>
      </x:c>
      <x:c r="J211" s="384" t="str">
        <x:f>IF(A211="","",IF(D211="MAPPING_HOLD","QUARANTINED",IF(AND(E211="Yes",F211="Yes",G211="Yes",H211="Yes",I211="Yes"),"PASS","FAIL")))</x:f>
        <x:v>PASS</x:v>
      </x:c>
      <x:c r="K211"/>
      <x:c r="L211"/>
      <x:c r="M211"/>
      <x:c r="N211"/>
      <x:c r="O211"/>
      <x:c r="P211"/>
      <x:c r="Q211"/>
      <x:c r="R211"/>
      <x:c r="S211"/>
      <x:c r="T211"/>
      <x:c r="U211"/>
      <x:c r="V211"/>
      <x:c r="X211"/>
      <x:c r="Y211"/>
      <x:c r="Z211"/>
      <x:c r="AA211"/>
      <x:c r="AB211"/>
      <x:c r="AC211"/>
      <x:c r="AD211"/>
      <x:c r="AE211"/>
      <x:c r="AF211"/>
      <x:c r="AG211"/>
      <x:c r="AH211"/>
      <x:c r="AI211"/>
      <x:c r="AJ211"/>
      <x:c r="AK211"/>
      <x:c r="AL211"/>
      <x:c r="AM211"/>
      <x:c r="AN211"/>
      <x:c r="AO211"/>
      <x:c r="AP211"/>
      <x:c r="AQ211"/>
      <x:c r="AR211"/>
      <x:c r="AS211"/>
    </x:row>
    <x:row r="212" ht="15" hidden="0" customHeight="1">
      <x:c r="A212" s="384" t="str">
        <x:f>IFERROR(INDEX(tblLedger[Ledger Record ID],ROWS($A$202:A212)),"")</x:f>
        <x:v>LED-0011</x:v>
      </x:c>
      <x:c r="B212" s="384" t="n">
        <x:f>IFERROR(INDEX(tblLedger[Work Order #],ROWS($A$202:A212)),"")</x:f>
        <x:v>5884987</x:v>
      </x:c>
      <x:c r="C212" s="384" t="n">
        <x:f>IFERROR(INDEX(tblLedger[Event #],ROWS($A$202:A212)),"")</x:f>
        <x:v>11</x:v>
      </x:c>
      <x:c r="D212" s="384" t="str">
        <x:f>IFERROR(INDEX(tblLedger[Mapping Status],ROWS($A$202:A212)),"")</x:f>
        <x:v>Unique</x:v>
      </x:c>
      <x:c r="E212" s="384" t="str">
        <x:f>IF(A212="","",IF(D212="MAPPING_HOLD","QUARANTINED",IF(COUNTIF(tblServiceEvents[Event #],C212)=1,"Yes","No")))</x:f>
        <x:v>Yes</x:v>
      </x:c>
      <x:c r="F212" s="384" t="str">
        <x:f>IF(A212="","",IF(E212&lt;&gt;"Yes","N/A",IF(INDEX(tblServiceEvents[Client ID],MATCH(C212,tblServiceEvents[Event #],0))=INDEX(tblLedger[Client ID],ROWS($A$202:A212)),"Yes","No")))</x:f>
        <x:v>Yes</x:v>
      </x:c>
      <x:c r="G212" s="384" t="str">
        <x:f>IF(A212="","",IF(E212&lt;&gt;"Yes","N/A",IF(INDEX(tblServiceEvents[Location Key],MATCH(C212,tblServiceEvents[Event #],0))=INDEX(tblLedger[Location Key],ROWS($A$202:A212)),"Yes","No")))</x:f>
        <x:v>Yes</x:v>
      </x:c>
      <x:c r="H212" s="384" t="str">
        <x:f>IF(A212="","",IF(E212&lt;&gt;"Yes","N/A",IF(INDEX(tblServiceEvents[Service Date],MATCH(C212,tblServiceEvents[Event #],0))=INDEX(tblLedger[Service Date],ROWS($A$202:A212)),"Yes","No")))</x:f>
        <x:v>Yes</x:v>
      </x:c>
      <x:c r="I212" s="384" t="str">
        <x:f>IF(A212="","",IF(E212&lt;&gt;"Yes","N/A",IF(D212="MULTI-WO VISIT","Yes",IF(B212=INDEX(tblServiceEvents[Work Orders],MATCH(C212,tblServiceEvents[Event #],0)),"Yes","No"))))</x:f>
        <x:v>Yes</x:v>
      </x:c>
      <x:c r="J212" s="384" t="str">
        <x:f>IF(A212="","",IF(D212="MAPPING_HOLD","QUARANTINED",IF(AND(E212="Yes",F212="Yes",G212="Yes",H212="Yes",I212="Yes"),"PASS","FAIL")))</x:f>
        <x:v>PASS</x:v>
      </x:c>
      <x:c r="K212"/>
      <x:c r="L212"/>
      <x:c r="M212"/>
      <x:c r="N212"/>
      <x:c r="O212"/>
      <x:c r="P212"/>
      <x:c r="Q212"/>
      <x:c r="R212"/>
      <x:c r="S212"/>
      <x:c r="T212"/>
      <x:c r="U212"/>
      <x:c r="V212"/>
      <x:c r="X212"/>
      <x:c r="Y212"/>
      <x:c r="Z212"/>
      <x:c r="AA212"/>
      <x:c r="AB212"/>
      <x:c r="AC212"/>
      <x:c r="AD212"/>
      <x:c r="AE212"/>
      <x:c r="AF212"/>
      <x:c r="AG212"/>
      <x:c r="AH212"/>
      <x:c r="AI212"/>
      <x:c r="AJ212"/>
      <x:c r="AK212"/>
      <x:c r="AL212"/>
      <x:c r="AM212"/>
      <x:c r="AN212"/>
      <x:c r="AO212"/>
      <x:c r="AP212"/>
      <x:c r="AQ212"/>
      <x:c r="AR212"/>
      <x:c r="AS212"/>
    </x:row>
    <x:row r="213" ht="15" hidden="0" customHeight="1">
      <x:c r="A213" s="384" t="str">
        <x:f>IFERROR(INDEX(tblLedger[Ledger Record ID],ROWS($A$202:A213)),"")</x:f>
        <x:v>LED-0012</x:v>
      </x:c>
      <x:c r="B213" s="384" t="n">
        <x:f>IFERROR(INDEX(tblLedger[Work Order #],ROWS($A$202:A213)),"")</x:f>
        <x:v>5884369</x:v>
      </x:c>
      <x:c r="C213" s="384" t="n">
        <x:f>IFERROR(INDEX(tblLedger[Event #],ROWS($A$202:A213)),"")</x:f>
        <x:v>12</x:v>
      </x:c>
      <x:c r="D213" s="384" t="str">
        <x:f>IFERROR(INDEX(tblLedger[Mapping Status],ROWS($A$202:A213)),"")</x:f>
        <x:v>Unique</x:v>
      </x:c>
      <x:c r="E213" s="384" t="str">
        <x:f>IF(A213="","",IF(D213="MAPPING_HOLD","QUARANTINED",IF(COUNTIF(tblServiceEvents[Event #],C213)=1,"Yes","No")))</x:f>
        <x:v>Yes</x:v>
      </x:c>
      <x:c r="F213" s="384" t="str">
        <x:f>IF(A213="","",IF(E213&lt;&gt;"Yes","N/A",IF(INDEX(tblServiceEvents[Client ID],MATCH(C213,tblServiceEvents[Event #],0))=INDEX(tblLedger[Client ID],ROWS($A$202:A213)),"Yes","No")))</x:f>
        <x:v>Yes</x:v>
      </x:c>
      <x:c r="G213" s="384" t="str">
        <x:f>IF(A213="","",IF(E213&lt;&gt;"Yes","N/A",IF(INDEX(tblServiceEvents[Location Key],MATCH(C213,tblServiceEvents[Event #],0))=INDEX(tblLedger[Location Key],ROWS($A$202:A213)),"Yes","No")))</x:f>
        <x:v>Yes</x:v>
      </x:c>
      <x:c r="H213" s="384" t="str">
        <x:f>IF(A213="","",IF(E213&lt;&gt;"Yes","N/A",IF(INDEX(tblServiceEvents[Service Date],MATCH(C213,tblServiceEvents[Event #],0))=INDEX(tblLedger[Service Date],ROWS($A$202:A213)),"Yes","No")))</x:f>
        <x:v>Yes</x:v>
      </x:c>
      <x:c r="I213" s="384" t="str">
        <x:f>IF(A213="","",IF(E213&lt;&gt;"Yes","N/A",IF(D213="MULTI-WO VISIT","Yes",IF(B213=INDEX(tblServiceEvents[Work Orders],MATCH(C213,tblServiceEvents[Event #],0)),"Yes","No"))))</x:f>
        <x:v>Yes</x:v>
      </x:c>
      <x:c r="J213" s="384" t="str">
        <x:f>IF(A213="","",IF(D213="MAPPING_HOLD","QUARANTINED",IF(AND(E213="Yes",F213="Yes",G213="Yes",H213="Yes",I213="Yes"),"PASS","FAIL")))</x:f>
        <x:v>PASS</x:v>
      </x:c>
      <x:c r="K213"/>
      <x:c r="L213"/>
      <x:c r="M213"/>
      <x:c r="N213"/>
      <x:c r="O213"/>
      <x:c r="P213"/>
      <x:c r="Q213"/>
      <x:c r="R213"/>
      <x:c r="S213"/>
      <x:c r="T213"/>
      <x:c r="U213"/>
      <x:c r="V213"/>
      <x:c r="X213"/>
      <x:c r="Y213"/>
      <x:c r="Z213"/>
      <x:c r="AA213"/>
      <x:c r="AB213"/>
      <x:c r="AC213"/>
      <x:c r="AD213"/>
      <x:c r="AE213"/>
      <x:c r="AF213"/>
      <x:c r="AG213"/>
      <x:c r="AH213"/>
      <x:c r="AI213"/>
      <x:c r="AJ213"/>
      <x:c r="AK213"/>
      <x:c r="AL213"/>
      <x:c r="AM213"/>
      <x:c r="AN213"/>
      <x:c r="AO213"/>
      <x:c r="AP213"/>
      <x:c r="AQ213"/>
      <x:c r="AR213"/>
      <x:c r="AS213"/>
    </x:row>
    <x:row r="214" ht="15" hidden="0" customHeight="1">
      <x:c r="A214" s="384" t="str">
        <x:f>IFERROR(INDEX(tblLedger[Ledger Record ID],ROWS($A$202:A214)),"")</x:f>
        <x:v>LED-0013</x:v>
      </x:c>
      <x:c r="B214" s="384" t="n">
        <x:f>IFERROR(INDEX(tblLedger[Work Order #],ROWS($A$202:A214)),"")</x:f>
        <x:v>5885429</x:v>
      </x:c>
      <x:c r="C214" s="384" t="n">
        <x:f>IFERROR(INDEX(tblLedger[Event #],ROWS($A$202:A214)),"")</x:f>
        <x:v>13</x:v>
      </x:c>
      <x:c r="D214" s="384" t="str">
        <x:f>IFERROR(INDEX(tblLedger[Mapping Status],ROWS($A$202:A214)),"")</x:f>
        <x:v>Unique</x:v>
      </x:c>
      <x:c r="E214" s="384" t="str">
        <x:f>IF(A214="","",IF(D214="MAPPING_HOLD","QUARANTINED",IF(COUNTIF(tblServiceEvents[Event #],C214)=1,"Yes","No")))</x:f>
        <x:v>Yes</x:v>
      </x:c>
      <x:c r="F214" s="384" t="str">
        <x:f>IF(A214="","",IF(E214&lt;&gt;"Yes","N/A",IF(INDEX(tblServiceEvents[Client ID],MATCH(C214,tblServiceEvents[Event #],0))=INDEX(tblLedger[Client ID],ROWS($A$202:A214)),"Yes","No")))</x:f>
        <x:v>Yes</x:v>
      </x:c>
      <x:c r="G214" s="384" t="str">
        <x:f>IF(A214="","",IF(E214&lt;&gt;"Yes","N/A",IF(INDEX(tblServiceEvents[Location Key],MATCH(C214,tblServiceEvents[Event #],0))=INDEX(tblLedger[Location Key],ROWS($A$202:A214)),"Yes","No")))</x:f>
        <x:v>Yes</x:v>
      </x:c>
      <x:c r="H214" s="384" t="str">
        <x:f>IF(A214="","",IF(E214&lt;&gt;"Yes","N/A",IF(INDEX(tblServiceEvents[Service Date],MATCH(C214,tblServiceEvents[Event #],0))=INDEX(tblLedger[Service Date],ROWS($A$202:A214)),"Yes","No")))</x:f>
        <x:v>Yes</x:v>
      </x:c>
      <x:c r="I214" s="384" t="str">
        <x:f>IF(A214="","",IF(E214&lt;&gt;"Yes","N/A",IF(D214="MULTI-WO VISIT","Yes",IF(B214=INDEX(tblServiceEvents[Work Orders],MATCH(C214,tblServiceEvents[Event #],0)),"Yes","No"))))</x:f>
        <x:v>Yes</x:v>
      </x:c>
      <x:c r="J214" s="384" t="str">
        <x:f>IF(A214="","",IF(D214="MAPPING_HOLD","QUARANTINED",IF(AND(E214="Yes",F214="Yes",G214="Yes",H214="Yes",I214="Yes"),"PASS","FAIL")))</x:f>
        <x:v>PASS</x:v>
      </x:c>
      <x:c r="K214"/>
      <x:c r="L214"/>
      <x:c r="M214"/>
      <x:c r="N214"/>
      <x:c r="O214"/>
      <x:c r="P214"/>
      <x:c r="Q214"/>
      <x:c r="R214"/>
      <x:c r="S214"/>
      <x:c r="T214"/>
      <x:c r="U214"/>
      <x:c r="V214"/>
      <x:c r="X214"/>
      <x:c r="Y214"/>
      <x:c r="Z214"/>
      <x:c r="AA214"/>
      <x:c r="AB214"/>
      <x:c r="AC214"/>
      <x:c r="AD214"/>
      <x:c r="AE214"/>
      <x:c r="AF214"/>
      <x:c r="AG214"/>
      <x:c r="AH214"/>
      <x:c r="AI214"/>
      <x:c r="AJ214"/>
      <x:c r="AK214"/>
      <x:c r="AL214"/>
      <x:c r="AM214"/>
      <x:c r="AN214"/>
      <x:c r="AO214"/>
      <x:c r="AP214"/>
      <x:c r="AQ214"/>
      <x:c r="AR214"/>
      <x:c r="AS214"/>
    </x:row>
    <x:row r="215" ht="15" hidden="0" customHeight="1">
      <x:c r="A215" s="384" t="str">
        <x:f>IFERROR(INDEX(tblLedger[Ledger Record ID],ROWS($A$202:A215)),"")</x:f>
        <x:v>LED-0014</x:v>
      </x:c>
      <x:c r="B215" s="384" t="str">
        <x:f>IFERROR(INDEX(tblLedger[Work Order #],ROWS($A$202:A215)),"")</x:f>
        <x:v>UNRESOLVED-E014</x:v>
      </x:c>
      <x:c r="C215" s="384" t="n">
        <x:f>IFERROR(INDEX(tblLedger[Event #],ROWS($A$202:A215)),"")</x:f>
        <x:v>14</x:v>
      </x:c>
      <x:c r="D215" s="384" t="str">
        <x:f>IFERROR(INDEX(tblLedger[Mapping Status],ROWS($A$202:A215)),"")</x:f>
        <x:v>Nonstandard</x:v>
      </x:c>
      <x:c r="E215" s="384" t="str">
        <x:f>IF(A215="","",IF(D215="MAPPING_HOLD","QUARANTINED",IF(COUNTIF(tblServiceEvents[Event #],C215)=1,"Yes","No")))</x:f>
        <x:v>Yes</x:v>
      </x:c>
      <x:c r="F215" s="384" t="str">
        <x:f>IF(A215="","",IF(E215&lt;&gt;"Yes","N/A",IF(INDEX(tblServiceEvents[Client ID],MATCH(C215,tblServiceEvents[Event #],0))=INDEX(tblLedger[Client ID],ROWS($A$202:A215)),"Yes","No")))</x:f>
        <x:v>Yes</x:v>
      </x:c>
      <x:c r="G215" s="384" t="str">
        <x:f>IF(A215="","",IF(E215&lt;&gt;"Yes","N/A",IF(INDEX(tblServiceEvents[Location Key],MATCH(C215,tblServiceEvents[Event #],0))=INDEX(tblLedger[Location Key],ROWS($A$202:A215)),"Yes","No")))</x:f>
        <x:v>Yes</x:v>
      </x:c>
      <x:c r="H215" s="384" t="str">
        <x:f>IF(A215="","",IF(E215&lt;&gt;"Yes","N/A",IF(INDEX(tblServiceEvents[Service Date],MATCH(C215,tblServiceEvents[Event #],0))=INDEX(tblLedger[Service Date],ROWS($A$202:A215)),"Yes","No")))</x:f>
        <x:v>Yes</x:v>
      </x:c>
      <x:c r="I215" s="384" t="str">
        <x:f>IF(A215="","",IF(E215&lt;&gt;"Yes","N/A",IF(D215="MULTI-WO VISIT","Yes",IF(B215=INDEX(tblServiceEvents[Work Orders],MATCH(C215,tblServiceEvents[Event #],0)),"Yes","No"))))</x:f>
        <x:v>Yes</x:v>
      </x:c>
      <x:c r="J215" s="384" t="str">
        <x:f>IF(A215="","",IF(D215="MAPPING_HOLD","QUARANTINED",IF(AND(E215="Yes",F215="Yes",G215="Yes",H215="Yes",I215="Yes"),"PASS","FAIL")))</x:f>
        <x:v>PASS</x:v>
      </x:c>
      <x:c r="K215"/>
      <x:c r="L215"/>
      <x:c r="M215"/>
      <x:c r="N215"/>
      <x:c r="O215"/>
      <x:c r="P215"/>
      <x:c r="Q215"/>
      <x:c r="R215"/>
      <x:c r="S215"/>
      <x:c r="T215"/>
      <x:c r="U215"/>
      <x:c r="V215"/>
      <x:c r="X215"/>
      <x:c r="Y215"/>
      <x:c r="Z215"/>
      <x:c r="AA215"/>
      <x:c r="AB215"/>
      <x:c r="AC215"/>
      <x:c r="AD215"/>
      <x:c r="AE215"/>
      <x:c r="AF215"/>
      <x:c r="AG215"/>
      <x:c r="AH215"/>
      <x:c r="AI215"/>
      <x:c r="AJ215"/>
      <x:c r="AK215"/>
      <x:c r="AL215"/>
      <x:c r="AM215"/>
      <x:c r="AN215"/>
      <x:c r="AO215"/>
      <x:c r="AP215"/>
      <x:c r="AQ215"/>
      <x:c r="AR215"/>
      <x:c r="AS215"/>
    </x:row>
    <x:row r="216" ht="15" hidden="0" customHeight="1">
      <x:c r="A216" s="384" t="str">
        <x:f>IFERROR(INDEX(tblLedger[Ledger Record ID],ROWS($A$202:A216)),"")</x:f>
        <x:v>LED-0015</x:v>
      </x:c>
      <x:c r="B216" s="384" t="n">
        <x:f>IFERROR(INDEX(tblLedger[Work Order #],ROWS($A$202:A216)),"")</x:f>
        <x:v>5886658</x:v>
      </x:c>
      <x:c r="C216" s="384" t="n">
        <x:f>IFERROR(INDEX(tblLedger[Event #],ROWS($A$202:A216)),"")</x:f>
        <x:v>15</x:v>
      </x:c>
      <x:c r="D216" s="384" t="str">
        <x:f>IFERROR(INDEX(tblLedger[Mapping Status],ROWS($A$202:A216)),"")</x:f>
        <x:v>Unique</x:v>
      </x:c>
      <x:c r="E216" s="384" t="str">
        <x:f>IF(A216="","",IF(D216="MAPPING_HOLD","QUARANTINED",IF(COUNTIF(tblServiceEvents[Event #],C216)=1,"Yes","No")))</x:f>
        <x:v>Yes</x:v>
      </x:c>
      <x:c r="F216" s="384" t="str">
        <x:f>IF(A216="","",IF(E216&lt;&gt;"Yes","N/A",IF(INDEX(tblServiceEvents[Client ID],MATCH(C216,tblServiceEvents[Event #],0))=INDEX(tblLedger[Client ID],ROWS($A$202:A216)),"Yes","No")))</x:f>
        <x:v>Yes</x:v>
      </x:c>
      <x:c r="G216" s="384" t="str">
        <x:f>IF(A216="","",IF(E216&lt;&gt;"Yes","N/A",IF(INDEX(tblServiceEvents[Location Key],MATCH(C216,tblServiceEvents[Event #],0))=INDEX(tblLedger[Location Key],ROWS($A$202:A216)),"Yes","No")))</x:f>
        <x:v>Yes</x:v>
      </x:c>
      <x:c r="H216" s="384" t="str">
        <x:f>IF(A216="","",IF(E216&lt;&gt;"Yes","N/A",IF(INDEX(tblServiceEvents[Service Date],MATCH(C216,tblServiceEvents[Event #],0))=INDEX(tblLedger[Service Date],ROWS($A$202:A216)),"Yes","No")))</x:f>
        <x:v>Yes</x:v>
      </x:c>
      <x:c r="I216" s="384" t="str">
        <x:f>IF(A216="","",IF(E216&lt;&gt;"Yes","N/A",IF(D216="MULTI-WO VISIT","Yes",IF(B216=INDEX(tblServiceEvents[Work Orders],MATCH(C216,tblServiceEvents[Event #],0)),"Yes","No"))))</x:f>
        <x:v>Yes</x:v>
      </x:c>
      <x:c r="J216" s="384" t="str">
        <x:f>IF(A216="","",IF(D216="MAPPING_HOLD","QUARANTINED",IF(AND(E216="Yes",F216="Yes",G216="Yes",H216="Yes",I216="Yes"),"PASS","FAIL")))</x:f>
        <x:v>PASS</x:v>
      </x:c>
      <x:c r="K216"/>
      <x:c r="L216"/>
      <x:c r="M216"/>
      <x:c r="N216"/>
      <x:c r="O216"/>
      <x:c r="P216"/>
      <x:c r="Q216"/>
      <x:c r="R216"/>
      <x:c r="S216"/>
      <x:c r="T216"/>
      <x:c r="U216"/>
      <x:c r="V216"/>
      <x:c r="X216"/>
      <x:c r="Y216"/>
      <x:c r="Z216"/>
      <x:c r="AA216"/>
      <x:c r="AB216"/>
      <x:c r="AC216"/>
      <x:c r="AD216"/>
      <x:c r="AE216"/>
      <x:c r="AF216"/>
      <x:c r="AG216"/>
      <x:c r="AH216"/>
      <x:c r="AI216"/>
      <x:c r="AJ216"/>
      <x:c r="AK216"/>
      <x:c r="AL216"/>
      <x:c r="AM216"/>
      <x:c r="AN216"/>
      <x:c r="AO216"/>
      <x:c r="AP216"/>
      <x:c r="AQ216"/>
      <x:c r="AR216"/>
      <x:c r="AS216"/>
    </x:row>
    <x:row r="217" ht="15" hidden="0" customHeight="1">
      <x:c r="A217" s="384" t="str">
        <x:f>IFERROR(INDEX(tblLedger[Ledger Record ID],ROWS($A$202:A217)),"")</x:f>
        <x:v>LED-0016</x:v>
      </x:c>
      <x:c r="B217" s="384" t="n">
        <x:f>IFERROR(INDEX(tblLedger[Work Order #],ROWS($A$202:A217)),"")</x:f>
        <x:v>5887090</x:v>
      </x:c>
      <x:c r="C217" s="384" t="n">
        <x:f>IFERROR(INDEX(tblLedger[Event #],ROWS($A$202:A217)),"")</x:f>
        <x:v>16</x:v>
      </x:c>
      <x:c r="D217" s="384" t="str">
        <x:f>IFERROR(INDEX(tblLedger[Mapping Status],ROWS($A$202:A217)),"")</x:f>
        <x:v>Unique</x:v>
      </x:c>
      <x:c r="E217" s="384" t="str">
        <x:f>IF(A217="","",IF(D217="MAPPING_HOLD","QUARANTINED",IF(COUNTIF(tblServiceEvents[Event #],C217)=1,"Yes","No")))</x:f>
        <x:v>Yes</x:v>
      </x:c>
      <x:c r="F217" s="384" t="str">
        <x:f>IF(A217="","",IF(E217&lt;&gt;"Yes","N/A",IF(INDEX(tblServiceEvents[Client ID],MATCH(C217,tblServiceEvents[Event #],0))=INDEX(tblLedger[Client ID],ROWS($A$202:A217)),"Yes","No")))</x:f>
        <x:v>Yes</x:v>
      </x:c>
      <x:c r="G217" s="384" t="str">
        <x:f>IF(A217="","",IF(E217&lt;&gt;"Yes","N/A",IF(INDEX(tblServiceEvents[Location Key],MATCH(C217,tblServiceEvents[Event #],0))=INDEX(tblLedger[Location Key],ROWS($A$202:A217)),"Yes","No")))</x:f>
        <x:v>Yes</x:v>
      </x:c>
      <x:c r="H217" s="384" t="str">
        <x:f>IF(A217="","",IF(E217&lt;&gt;"Yes","N/A",IF(INDEX(tblServiceEvents[Service Date],MATCH(C217,tblServiceEvents[Event #],0))=INDEX(tblLedger[Service Date],ROWS($A$202:A217)),"Yes","No")))</x:f>
        <x:v>Yes</x:v>
      </x:c>
      <x:c r="I217" s="384" t="str">
        <x:f>IF(A217="","",IF(E217&lt;&gt;"Yes","N/A",IF(D217="MULTI-WO VISIT","Yes",IF(B217=INDEX(tblServiceEvents[Work Orders],MATCH(C217,tblServiceEvents[Event #],0)),"Yes","No"))))</x:f>
        <x:v>Yes</x:v>
      </x:c>
      <x:c r="J217" s="384" t="str">
        <x:f>IF(A217="","",IF(D217="MAPPING_HOLD","QUARANTINED",IF(AND(E217="Yes",F217="Yes",G217="Yes",H217="Yes",I217="Yes"),"PASS","FAIL")))</x:f>
        <x:v>PASS</x:v>
      </x:c>
      <x:c r="K217"/>
      <x:c r="L217"/>
      <x:c r="M217"/>
      <x:c r="N217"/>
      <x:c r="O217"/>
      <x:c r="P217"/>
      <x:c r="Q217"/>
      <x:c r="R217"/>
      <x:c r="S217"/>
      <x:c r="T217"/>
      <x:c r="U217"/>
      <x:c r="V217"/>
      <x:c r="X217"/>
      <x:c r="Y217"/>
      <x:c r="Z217"/>
      <x:c r="AA217"/>
      <x:c r="AB217"/>
      <x:c r="AC217"/>
      <x:c r="AD217"/>
      <x:c r="AE217"/>
      <x:c r="AF217"/>
      <x:c r="AG217"/>
      <x:c r="AH217"/>
      <x:c r="AI217"/>
      <x:c r="AJ217"/>
      <x:c r="AK217"/>
      <x:c r="AL217"/>
      <x:c r="AM217"/>
      <x:c r="AN217"/>
      <x:c r="AO217"/>
      <x:c r="AP217"/>
      <x:c r="AQ217"/>
      <x:c r="AR217"/>
      <x:c r="AS217"/>
    </x:row>
    <x:row r="218" ht="15" hidden="0" customHeight="1">
      <x:c r="A218" s="384" t="str">
        <x:f>IFERROR(INDEX(tblLedger[Ledger Record ID],ROWS($A$202:A218)),"")</x:f>
        <x:v>LED-0017</x:v>
      </x:c>
      <x:c r="B218" s="384" t="n">
        <x:f>IFERROR(INDEX(tblLedger[Work Order #],ROWS($A$202:A218)),"")</x:f>
        <x:v>5887094</x:v>
      </x:c>
      <x:c r="C218" s="384" t="n">
        <x:f>IFERROR(INDEX(tblLedger[Event #],ROWS($A$202:A218)),"")</x:f>
        <x:v>17</x:v>
      </x:c>
      <x:c r="D218" s="384" t="str">
        <x:f>IFERROR(INDEX(tblLedger[Mapping Status],ROWS($A$202:A218)),"")</x:f>
        <x:v>Unique</x:v>
      </x:c>
      <x:c r="E218" s="384" t="str">
        <x:f>IF(A218="","",IF(D218="MAPPING_HOLD","QUARANTINED",IF(COUNTIF(tblServiceEvents[Event #],C218)=1,"Yes","No")))</x:f>
        <x:v>Yes</x:v>
      </x:c>
      <x:c r="F218" s="384" t="str">
        <x:f>IF(A218="","",IF(E218&lt;&gt;"Yes","N/A",IF(INDEX(tblServiceEvents[Client ID],MATCH(C218,tblServiceEvents[Event #],0))=INDEX(tblLedger[Client ID],ROWS($A$202:A218)),"Yes","No")))</x:f>
        <x:v>Yes</x:v>
      </x:c>
      <x:c r="G218" s="384" t="str">
        <x:f>IF(A218="","",IF(E218&lt;&gt;"Yes","N/A",IF(INDEX(tblServiceEvents[Location Key],MATCH(C218,tblServiceEvents[Event #],0))=INDEX(tblLedger[Location Key],ROWS($A$202:A218)),"Yes","No")))</x:f>
        <x:v>Yes</x:v>
      </x:c>
      <x:c r="H218" s="384" t="str">
        <x:f>IF(A218="","",IF(E218&lt;&gt;"Yes","N/A",IF(INDEX(tblServiceEvents[Service Date],MATCH(C218,tblServiceEvents[Event #],0))=INDEX(tblLedger[Service Date],ROWS($A$202:A218)),"Yes","No")))</x:f>
        <x:v>Yes</x:v>
      </x:c>
      <x:c r="I218" s="384" t="str">
        <x:f>IF(A218="","",IF(E218&lt;&gt;"Yes","N/A",IF(D218="MULTI-WO VISIT","Yes",IF(B218=INDEX(tblServiceEvents[Work Orders],MATCH(C218,tblServiceEvents[Event #],0)),"Yes","No"))))</x:f>
        <x:v>Yes</x:v>
      </x:c>
      <x:c r="J218" s="384" t="str">
        <x:f>IF(A218="","",IF(D218="MAPPING_HOLD","QUARANTINED",IF(AND(E218="Yes",F218="Yes",G218="Yes",H218="Yes",I218="Yes"),"PASS","FAIL")))</x:f>
        <x:v>PASS</x:v>
      </x:c>
      <x:c r="K218"/>
      <x:c r="L218"/>
      <x:c r="M218"/>
      <x:c r="N218"/>
      <x:c r="O218"/>
      <x:c r="P218"/>
      <x:c r="Q218"/>
      <x:c r="R218"/>
      <x:c r="S218"/>
      <x:c r="T218"/>
      <x:c r="U218"/>
      <x:c r="V218"/>
      <x:c r="X218"/>
      <x:c r="Y218"/>
      <x:c r="Z218"/>
      <x:c r="AA218"/>
      <x:c r="AB218"/>
      <x:c r="AC218"/>
      <x:c r="AD218"/>
      <x:c r="AE218"/>
      <x:c r="AF218"/>
      <x:c r="AG218"/>
      <x:c r="AH218"/>
      <x:c r="AI218"/>
      <x:c r="AJ218"/>
      <x:c r="AK218"/>
      <x:c r="AL218"/>
      <x:c r="AM218"/>
      <x:c r="AN218"/>
      <x:c r="AO218"/>
      <x:c r="AP218"/>
      <x:c r="AQ218"/>
      <x:c r="AR218"/>
      <x:c r="AS218"/>
    </x:row>
    <x:row r="219" ht="15" hidden="0" customHeight="1">
      <x:c r="A219" s="384" t="str">
        <x:f>IFERROR(INDEX(tblLedger[Ledger Record ID],ROWS($A$202:A219)),"")</x:f>
        <x:v>LED-0018</x:v>
      </x:c>
      <x:c r="B219" s="384" t="n">
        <x:f>IFERROR(INDEX(tblLedger[Work Order #],ROWS($A$202:A219)),"")</x:f>
        <x:v>5889356</x:v>
      </x:c>
      <x:c r="C219" s="384" t="n">
        <x:f>IFERROR(INDEX(tblLedger[Event #],ROWS($A$202:A219)),"")</x:f>
        <x:v>18</x:v>
      </x:c>
      <x:c r="D219" s="384" t="str">
        <x:f>IFERROR(INDEX(tblLedger[Mapping Status],ROWS($A$202:A219)),"")</x:f>
        <x:v>Unique</x:v>
      </x:c>
      <x:c r="E219" s="384" t="str">
        <x:f>IF(A219="","",IF(D219="MAPPING_HOLD","QUARANTINED",IF(COUNTIF(tblServiceEvents[Event #],C219)=1,"Yes","No")))</x:f>
        <x:v>Yes</x:v>
      </x:c>
      <x:c r="F219" s="384" t="str">
        <x:f>IF(A219="","",IF(E219&lt;&gt;"Yes","N/A",IF(INDEX(tblServiceEvents[Client ID],MATCH(C219,tblServiceEvents[Event #],0))=INDEX(tblLedger[Client ID],ROWS($A$202:A219)),"Yes","No")))</x:f>
        <x:v>Yes</x:v>
      </x:c>
      <x:c r="G219" s="384" t="str">
        <x:f>IF(A219="","",IF(E219&lt;&gt;"Yes","N/A",IF(INDEX(tblServiceEvents[Location Key],MATCH(C219,tblServiceEvents[Event #],0))=INDEX(tblLedger[Location Key],ROWS($A$202:A219)),"Yes","No")))</x:f>
        <x:v>Yes</x:v>
      </x:c>
      <x:c r="H219" s="384" t="str">
        <x:f>IF(A219="","",IF(E219&lt;&gt;"Yes","N/A",IF(INDEX(tblServiceEvents[Service Date],MATCH(C219,tblServiceEvents[Event #],0))=INDEX(tblLedger[Service Date],ROWS($A$202:A219)),"Yes","No")))</x:f>
        <x:v>Yes</x:v>
      </x:c>
      <x:c r="I219" s="384" t="str">
        <x:f>IF(A219="","",IF(E219&lt;&gt;"Yes","N/A",IF(D219="MULTI-WO VISIT","Yes",IF(B219=INDEX(tblServiceEvents[Work Orders],MATCH(C219,tblServiceEvents[Event #],0)),"Yes","No"))))</x:f>
        <x:v>Yes</x:v>
      </x:c>
      <x:c r="J219" s="384" t="str">
        <x:f>IF(A219="","",IF(D219="MAPPING_HOLD","QUARANTINED",IF(AND(E219="Yes",F219="Yes",G219="Yes",H219="Yes",I219="Yes"),"PASS","FAIL")))</x:f>
        <x:v>PASS</x:v>
      </x:c>
      <x:c r="K219"/>
      <x:c r="L219"/>
      <x:c r="M219"/>
      <x:c r="N219"/>
      <x:c r="O219"/>
      <x:c r="P219"/>
      <x:c r="Q219"/>
      <x:c r="R219"/>
      <x:c r="S219"/>
      <x:c r="T219"/>
      <x:c r="U219"/>
      <x:c r="V219"/>
      <x:c r="X219"/>
      <x:c r="Y219"/>
      <x:c r="Z219"/>
      <x:c r="AA219"/>
      <x:c r="AB219"/>
      <x:c r="AC219"/>
      <x:c r="AD219"/>
      <x:c r="AE219"/>
      <x:c r="AF219"/>
      <x:c r="AG219"/>
      <x:c r="AH219"/>
      <x:c r="AI219"/>
      <x:c r="AJ219"/>
      <x:c r="AK219"/>
      <x:c r="AL219"/>
      <x:c r="AM219"/>
      <x:c r="AN219"/>
      <x:c r="AO219"/>
      <x:c r="AP219"/>
      <x:c r="AQ219"/>
      <x:c r="AR219"/>
      <x:c r="AS219"/>
    </x:row>
    <x:row r="220" ht="15" hidden="0" customHeight="1">
      <x:c r="A220" s="384" t="str">
        <x:f>IFERROR(INDEX(tblLedger[Ledger Record ID],ROWS($A$202:A220)),"")</x:f>
        <x:v>LED-0019</x:v>
      </x:c>
      <x:c r="B220" s="384" t="str">
        <x:f>IFERROR(INDEX(tblLedger[Work Order #],ROWS($A$202:A220)),"")</x:f>
        <x:v>5889356-D2</x:v>
      </x:c>
      <x:c r="C220" s="384" t="n">
        <x:f>IFERROR(INDEX(tblLedger[Event #],ROWS($A$202:A220)),"")</x:f>
        <x:v>19</x:v>
      </x:c>
      <x:c r="D220" s="384" t="str">
        <x:f>IFERROR(INDEX(tblLedger[Mapping Status],ROWS($A$202:A220)),"")</x:f>
        <x:v>Unique</x:v>
      </x:c>
      <x:c r="E220" s="384" t="str">
        <x:f>IF(A220="","",IF(D220="MAPPING_HOLD","QUARANTINED",IF(COUNTIF(tblServiceEvents[Event #],C220)=1,"Yes","No")))</x:f>
        <x:v>Yes</x:v>
      </x:c>
      <x:c r="F220" s="384" t="str">
        <x:f>IF(A220="","",IF(E220&lt;&gt;"Yes","N/A",IF(INDEX(tblServiceEvents[Client ID],MATCH(C220,tblServiceEvents[Event #],0))=INDEX(tblLedger[Client ID],ROWS($A$202:A220)),"Yes","No")))</x:f>
        <x:v>Yes</x:v>
      </x:c>
      <x:c r="G220" s="384" t="str">
        <x:f>IF(A220="","",IF(E220&lt;&gt;"Yes","N/A",IF(INDEX(tblServiceEvents[Location Key],MATCH(C220,tblServiceEvents[Event #],0))=INDEX(tblLedger[Location Key],ROWS($A$202:A220)),"Yes","No")))</x:f>
        <x:v>Yes</x:v>
      </x:c>
      <x:c r="H220" s="384" t="str">
        <x:f>IF(A220="","",IF(E220&lt;&gt;"Yes","N/A",IF(INDEX(tblServiceEvents[Service Date],MATCH(C220,tblServiceEvents[Event #],0))=INDEX(tblLedger[Service Date],ROWS($A$202:A220)),"Yes","No")))</x:f>
        <x:v>Yes</x:v>
      </x:c>
      <x:c r="I220" s="384" t="str">
        <x:f>IF(A220="","",IF(E220&lt;&gt;"Yes","N/A",IF(D220="MULTI-WO VISIT","Yes",IF(B220=INDEX(tblServiceEvents[Work Orders],MATCH(C220,tblServiceEvents[Event #],0)),"Yes","No"))))</x:f>
        <x:v>Yes</x:v>
      </x:c>
      <x:c r="J220" s="384" t="str">
        <x:f>IF(A220="","",IF(D220="MAPPING_HOLD","QUARANTINED",IF(AND(E220="Yes",F220="Yes",G220="Yes",H220="Yes",I220="Yes"),"PASS","FAIL")))</x:f>
        <x:v>PASS</x:v>
      </x:c>
      <x:c r="K220"/>
      <x:c r="L220"/>
      <x:c r="M220"/>
      <x:c r="N220"/>
      <x:c r="O220"/>
      <x:c r="P220"/>
      <x:c r="Q220"/>
      <x:c r="R220"/>
      <x:c r="S220"/>
      <x:c r="T220"/>
      <x:c r="U220"/>
      <x:c r="V220"/>
      <x:c r="X220"/>
      <x:c r="Y220"/>
      <x:c r="Z220"/>
      <x:c r="AA220"/>
      <x:c r="AB220"/>
      <x:c r="AC220"/>
      <x:c r="AD220"/>
      <x:c r="AE220"/>
      <x:c r="AF220"/>
      <x:c r="AG220"/>
      <x:c r="AH220"/>
      <x:c r="AI220"/>
      <x:c r="AJ220"/>
      <x:c r="AK220"/>
      <x:c r="AL220"/>
      <x:c r="AM220"/>
      <x:c r="AN220"/>
      <x:c r="AO220"/>
      <x:c r="AP220"/>
      <x:c r="AQ220"/>
      <x:c r="AR220"/>
      <x:c r="AS220"/>
    </x:row>
    <x:row r="221" ht="15" hidden="0" customHeight="1">
      <x:c r="A221" s="384" t="str">
        <x:f>IFERROR(INDEX(tblLedger[Ledger Record ID],ROWS($A$202:A221)),"")</x:f>
        <x:v>LED-0020</x:v>
      </x:c>
      <x:c r="B221" s="384" t="n">
        <x:f>IFERROR(INDEX(tblLedger[Work Order #],ROWS($A$202:A221)),"")</x:f>
        <x:v>5890220</x:v>
      </x:c>
      <x:c r="C221" s="384" t="n">
        <x:f>IFERROR(INDEX(tblLedger[Event #],ROWS($A$202:A221)),"")</x:f>
        <x:v>20</x:v>
      </x:c>
      <x:c r="D221" s="384" t="str">
        <x:f>IFERROR(INDEX(tblLedger[Mapping Status],ROWS($A$202:A221)),"")</x:f>
        <x:v>Unique</x:v>
      </x:c>
      <x:c r="E221" s="384" t="str">
        <x:f>IF(A221="","",IF(D221="MAPPING_HOLD","QUARANTINED",IF(COUNTIF(tblServiceEvents[Event #],C221)=1,"Yes","No")))</x:f>
        <x:v>Yes</x:v>
      </x:c>
      <x:c r="F221" s="384" t="str">
        <x:f>IF(A221="","",IF(E221&lt;&gt;"Yes","N/A",IF(INDEX(tblServiceEvents[Client ID],MATCH(C221,tblServiceEvents[Event #],0))=INDEX(tblLedger[Client ID],ROWS($A$202:A221)),"Yes","No")))</x:f>
        <x:v>Yes</x:v>
      </x:c>
      <x:c r="G221" s="384" t="str">
        <x:f>IF(A221="","",IF(E221&lt;&gt;"Yes","N/A",IF(INDEX(tblServiceEvents[Location Key],MATCH(C221,tblServiceEvents[Event #],0))=INDEX(tblLedger[Location Key],ROWS($A$202:A221)),"Yes","No")))</x:f>
        <x:v>Yes</x:v>
      </x:c>
      <x:c r="H221" s="384" t="str">
        <x:f>IF(A221="","",IF(E221&lt;&gt;"Yes","N/A",IF(INDEX(tblServiceEvents[Service Date],MATCH(C221,tblServiceEvents[Event #],0))=INDEX(tblLedger[Service Date],ROWS($A$202:A221)),"Yes","No")))</x:f>
        <x:v>Yes</x:v>
      </x:c>
      <x:c r="I221" s="384" t="str">
        <x:f>IF(A221="","",IF(E221&lt;&gt;"Yes","N/A",IF(D221="MULTI-WO VISIT","Yes",IF(B221=INDEX(tblServiceEvents[Work Orders],MATCH(C221,tblServiceEvents[Event #],0)),"Yes","No"))))</x:f>
        <x:v>Yes</x:v>
      </x:c>
      <x:c r="J221" s="384" t="str">
        <x:f>IF(A221="","",IF(D221="MAPPING_HOLD","QUARANTINED",IF(AND(E221="Yes",F221="Yes",G221="Yes",H221="Yes",I221="Yes"),"PASS","FAIL")))</x:f>
        <x:v>PASS</x:v>
      </x:c>
      <x:c r="K221"/>
      <x:c r="L221"/>
      <x:c r="M221"/>
      <x:c r="N221"/>
      <x:c r="O221"/>
      <x:c r="P221"/>
      <x:c r="Q221"/>
      <x:c r="R221"/>
      <x:c r="S221"/>
      <x:c r="T221"/>
      <x:c r="U221"/>
      <x:c r="V221"/>
      <x:c r="X221"/>
      <x:c r="Y221"/>
      <x:c r="Z221"/>
      <x:c r="AA221"/>
      <x:c r="AB221"/>
      <x:c r="AC221"/>
      <x:c r="AD221"/>
      <x:c r="AE221"/>
      <x:c r="AF221"/>
      <x:c r="AG221"/>
      <x:c r="AH221"/>
      <x:c r="AI221"/>
      <x:c r="AJ221"/>
      <x:c r="AK221"/>
      <x:c r="AL221"/>
      <x:c r="AM221"/>
      <x:c r="AN221"/>
      <x:c r="AO221"/>
      <x:c r="AP221"/>
      <x:c r="AQ221"/>
      <x:c r="AR221"/>
      <x:c r="AS221"/>
    </x:row>
    <x:row r="222" ht="15" hidden="0" customHeight="1">
      <x:c r="A222" s="384" t="str">
        <x:f>IFERROR(INDEX(tblLedger[Ledger Record ID],ROWS($A$202:A222)),"")</x:f>
        <x:v>LED-0021</x:v>
      </x:c>
      <x:c r="B222" s="384" t="n">
        <x:f>IFERROR(INDEX(tblLedger[Work Order #],ROWS($A$202:A222)),"")</x:f>
        <x:v>5892123</x:v>
      </x:c>
      <x:c r="C222" s="384" t="n">
        <x:f>IFERROR(INDEX(tblLedger[Event #],ROWS($A$202:A222)),"")</x:f>
        <x:v>21</x:v>
      </x:c>
      <x:c r="D222" s="384" t="str">
        <x:f>IFERROR(INDEX(tblLedger[Mapping Status],ROWS($A$202:A222)),"")</x:f>
        <x:v>Unique</x:v>
      </x:c>
      <x:c r="E222" s="384" t="str">
        <x:f>IF(A222="","",IF(D222="MAPPING_HOLD","QUARANTINED",IF(COUNTIF(tblServiceEvents[Event #],C222)=1,"Yes","No")))</x:f>
        <x:v>Yes</x:v>
      </x:c>
      <x:c r="F222" s="384" t="str">
        <x:f>IF(A222="","",IF(E222&lt;&gt;"Yes","N/A",IF(INDEX(tblServiceEvents[Client ID],MATCH(C222,tblServiceEvents[Event #],0))=INDEX(tblLedger[Client ID],ROWS($A$202:A222)),"Yes","No")))</x:f>
        <x:v>Yes</x:v>
      </x:c>
      <x:c r="G222" s="384" t="str">
        <x:f>IF(A222="","",IF(E222&lt;&gt;"Yes","N/A",IF(INDEX(tblServiceEvents[Location Key],MATCH(C222,tblServiceEvents[Event #],0))=INDEX(tblLedger[Location Key],ROWS($A$202:A222)),"Yes","No")))</x:f>
        <x:v>Yes</x:v>
      </x:c>
      <x:c r="H222" s="384" t="str">
        <x:f>IF(A222="","",IF(E222&lt;&gt;"Yes","N/A",IF(INDEX(tblServiceEvents[Service Date],MATCH(C222,tblServiceEvents[Event #],0))=INDEX(tblLedger[Service Date],ROWS($A$202:A222)),"Yes","No")))</x:f>
        <x:v>Yes</x:v>
      </x:c>
      <x:c r="I222" s="384" t="str">
        <x:f>IF(A222="","",IF(E222&lt;&gt;"Yes","N/A",IF(D222="MULTI-WO VISIT","Yes",IF(B222=INDEX(tblServiceEvents[Work Orders],MATCH(C222,tblServiceEvents[Event #],0)),"Yes","No"))))</x:f>
        <x:v>Yes</x:v>
      </x:c>
      <x:c r="J222" s="384" t="str">
        <x:f>IF(A222="","",IF(D222="MAPPING_HOLD","QUARANTINED",IF(AND(E222="Yes",F222="Yes",G222="Yes",H222="Yes",I222="Yes"),"PASS","FAIL")))</x:f>
        <x:v>PASS</x:v>
      </x:c>
      <x:c r="K222"/>
      <x:c r="L222"/>
      <x:c r="M222"/>
      <x:c r="N222"/>
      <x:c r="O222"/>
      <x:c r="P222"/>
      <x:c r="Q222"/>
      <x:c r="R222"/>
      <x:c r="S222"/>
      <x:c r="T222"/>
      <x:c r="U222"/>
      <x:c r="V222"/>
      <x:c r="X222"/>
      <x:c r="Y222"/>
      <x:c r="Z222"/>
      <x:c r="AA222"/>
      <x:c r="AB222"/>
      <x:c r="AC222"/>
      <x:c r="AD222"/>
      <x:c r="AE222"/>
      <x:c r="AF222"/>
      <x:c r="AG222"/>
      <x:c r="AH222"/>
      <x:c r="AI222"/>
      <x:c r="AJ222"/>
      <x:c r="AK222"/>
      <x:c r="AL222"/>
      <x:c r="AM222"/>
      <x:c r="AN222"/>
      <x:c r="AO222"/>
      <x:c r="AP222"/>
      <x:c r="AQ222"/>
      <x:c r="AR222"/>
      <x:c r="AS222"/>
    </x:row>
    <x:row r="223" ht="15" hidden="0" customHeight="1">
      <x:c r="A223" s="384" t="str">
        <x:f>IFERROR(INDEX(tblLedger[Ledger Record ID],ROWS($A$202:A223)),"")</x:f>
        <x:v>LED-0022</x:v>
      </x:c>
      <x:c r="B223" s="384" t="n">
        <x:f>IFERROR(INDEX(tblLedger[Work Order #],ROWS($A$202:A223)),"")</x:f>
        <x:v>5889718</x:v>
      </x:c>
      <x:c r="C223" s="384" t="n">
        <x:f>IFERROR(INDEX(tblLedger[Event #],ROWS($A$202:A223)),"")</x:f>
        <x:v>22</x:v>
      </x:c>
      <x:c r="D223" s="384" t="str">
        <x:f>IFERROR(INDEX(tblLedger[Mapping Status],ROWS($A$202:A223)),"")</x:f>
        <x:v>Unique</x:v>
      </x:c>
      <x:c r="E223" s="384" t="str">
        <x:f>IF(A223="","",IF(D223="MAPPING_HOLD","QUARANTINED",IF(COUNTIF(tblServiceEvents[Event #],C223)=1,"Yes","No")))</x:f>
        <x:v>Yes</x:v>
      </x:c>
      <x:c r="F223" s="384" t="str">
        <x:f>IF(A223="","",IF(E223&lt;&gt;"Yes","N/A",IF(INDEX(tblServiceEvents[Client ID],MATCH(C223,tblServiceEvents[Event #],0))=INDEX(tblLedger[Client ID],ROWS($A$202:A223)),"Yes","No")))</x:f>
        <x:v>Yes</x:v>
      </x:c>
      <x:c r="G223" s="384" t="str">
        <x:f>IF(A223="","",IF(E223&lt;&gt;"Yes","N/A",IF(INDEX(tblServiceEvents[Location Key],MATCH(C223,tblServiceEvents[Event #],0))=INDEX(tblLedger[Location Key],ROWS($A$202:A223)),"Yes","No")))</x:f>
        <x:v>Yes</x:v>
      </x:c>
      <x:c r="H223" s="384" t="str">
        <x:f>IF(A223="","",IF(E223&lt;&gt;"Yes","N/A",IF(INDEX(tblServiceEvents[Service Date],MATCH(C223,tblServiceEvents[Event #],0))=INDEX(tblLedger[Service Date],ROWS($A$202:A223)),"Yes","No")))</x:f>
        <x:v>Yes</x:v>
      </x:c>
      <x:c r="I223" s="384" t="str">
        <x:f>IF(A223="","",IF(E223&lt;&gt;"Yes","N/A",IF(D223="MULTI-WO VISIT","Yes",IF(B223=INDEX(tblServiceEvents[Work Orders],MATCH(C223,tblServiceEvents[Event #],0)),"Yes","No"))))</x:f>
        <x:v>Yes</x:v>
      </x:c>
      <x:c r="J223" s="384" t="str">
        <x:f>IF(A223="","",IF(D223="MAPPING_HOLD","QUARANTINED",IF(AND(E223="Yes",F223="Yes",G223="Yes",H223="Yes",I223="Yes"),"PASS","FAIL")))</x:f>
        <x:v>PASS</x:v>
      </x:c>
      <x:c r="K223"/>
      <x:c r="L223"/>
      <x:c r="M223"/>
      <x:c r="N223"/>
      <x:c r="O223"/>
      <x:c r="P223"/>
      <x:c r="Q223"/>
      <x:c r="R223"/>
      <x:c r="S223"/>
      <x:c r="T223"/>
      <x:c r="U223"/>
      <x:c r="V223"/>
      <x:c r="X223"/>
      <x:c r="Y223"/>
      <x:c r="Z223"/>
      <x:c r="AA223"/>
      <x:c r="AB223"/>
      <x:c r="AC223"/>
      <x:c r="AD223"/>
      <x:c r="AE223"/>
      <x:c r="AF223"/>
      <x:c r="AG223"/>
      <x:c r="AH223"/>
      <x:c r="AI223"/>
      <x:c r="AJ223"/>
      <x:c r="AK223"/>
      <x:c r="AL223"/>
      <x:c r="AM223"/>
      <x:c r="AN223"/>
      <x:c r="AO223"/>
      <x:c r="AP223"/>
      <x:c r="AQ223"/>
      <x:c r="AR223"/>
      <x:c r="AS223"/>
    </x:row>
    <x:row r="224" ht="15" hidden="0" customHeight="1">
      <x:c r="A224" s="384" t="str">
        <x:f>IFERROR(INDEX(tblLedger[Ledger Record ID],ROWS($A$202:A224)),"")</x:f>
        <x:v>LED-0023</x:v>
      </x:c>
      <x:c r="B224" s="384" t="str">
        <x:f>IFERROR(INDEX(tblLedger[Work Order #],ROWS($A$202:A224)),"")</x:f>
        <x:v>UNRESOLVED-E023</x:v>
      </x:c>
      <x:c r="C224" s="384" t="n">
        <x:f>IFERROR(INDEX(tblLedger[Event #],ROWS($A$202:A224)),"")</x:f>
        <x:v>23</x:v>
      </x:c>
      <x:c r="D224" s="384" t="str">
        <x:f>IFERROR(INDEX(tblLedger[Mapping Status],ROWS($A$202:A224)),"")</x:f>
        <x:v>Nonstandard</x:v>
      </x:c>
      <x:c r="E224" s="384" t="str">
        <x:f>IF(A224="","",IF(D224="MAPPING_HOLD","QUARANTINED",IF(COUNTIF(tblServiceEvents[Event #],C224)=1,"Yes","No")))</x:f>
        <x:v>Yes</x:v>
      </x:c>
      <x:c r="F224" s="384" t="str">
        <x:f>IF(A224="","",IF(E224&lt;&gt;"Yes","N/A",IF(INDEX(tblServiceEvents[Client ID],MATCH(C224,tblServiceEvents[Event #],0))=INDEX(tblLedger[Client ID],ROWS($A$202:A224)),"Yes","No")))</x:f>
        <x:v>Yes</x:v>
      </x:c>
      <x:c r="G224" s="384" t="str">
        <x:f>IF(A224="","",IF(E224&lt;&gt;"Yes","N/A",IF(INDEX(tblServiceEvents[Location Key],MATCH(C224,tblServiceEvents[Event #],0))=INDEX(tblLedger[Location Key],ROWS($A$202:A224)),"Yes","No")))</x:f>
        <x:v>Yes</x:v>
      </x:c>
      <x:c r="H224" s="384" t="str">
        <x:f>IF(A224="","",IF(E224&lt;&gt;"Yes","N/A",IF(INDEX(tblServiceEvents[Service Date],MATCH(C224,tblServiceEvents[Event #],0))=INDEX(tblLedger[Service Date],ROWS($A$202:A224)),"Yes","No")))</x:f>
        <x:v>Yes</x:v>
      </x:c>
      <x:c r="I224" s="384" t="str">
        <x:f>IF(A224="","",IF(E224&lt;&gt;"Yes","N/A",IF(D224="MULTI-WO VISIT","Yes",IF(B224=INDEX(tblServiceEvents[Work Orders],MATCH(C224,tblServiceEvents[Event #],0)),"Yes","No"))))</x:f>
        <x:v>Yes</x:v>
      </x:c>
      <x:c r="J224" s="384" t="str">
        <x:f>IF(A224="","",IF(D224="MAPPING_HOLD","QUARANTINED",IF(AND(E224="Yes",F224="Yes",G224="Yes",H224="Yes",I224="Yes"),"PASS","FAIL")))</x:f>
        <x:v>PASS</x:v>
      </x:c>
      <x:c r="K224"/>
      <x:c r="L224"/>
      <x:c r="M224"/>
      <x:c r="N224"/>
      <x:c r="O224"/>
      <x:c r="P224"/>
      <x:c r="Q224"/>
      <x:c r="R224"/>
      <x:c r="S224"/>
      <x:c r="T224"/>
      <x:c r="U224"/>
      <x:c r="V224"/>
      <x:c r="X224"/>
      <x:c r="Y224"/>
      <x:c r="Z224"/>
      <x:c r="AA224"/>
      <x:c r="AB224"/>
      <x:c r="AC224"/>
      <x:c r="AD224"/>
      <x:c r="AE224"/>
      <x:c r="AF224"/>
      <x:c r="AG224"/>
      <x:c r="AH224"/>
      <x:c r="AI224"/>
      <x:c r="AJ224"/>
      <x:c r="AK224"/>
      <x:c r="AL224"/>
      <x:c r="AM224"/>
      <x:c r="AN224"/>
      <x:c r="AO224"/>
      <x:c r="AP224"/>
      <x:c r="AQ224"/>
      <x:c r="AR224"/>
      <x:c r="AS224"/>
    </x:row>
    <x:row r="225" ht="15" hidden="0" customHeight="1">
      <x:c r="A225" s="384" t="str">
        <x:f>IFERROR(INDEX(tblLedger[Ledger Record ID],ROWS($A$202:A225)),"")</x:f>
        <x:v>LED-0024</x:v>
      </x:c>
      <x:c r="B225" s="384" t="str">
        <x:f>IFERROR(INDEX(tblLedger[Work Order #],ROWS($A$202:A225)),"")</x:f>
        <x:v>USDA-SPECIAL-E024</x:v>
      </x:c>
      <x:c r="C225" s="384" t="n">
        <x:f>IFERROR(INDEX(tblLedger[Event #],ROWS($A$202:A225)),"")</x:f>
        <x:v>24</x:v>
      </x:c>
      <x:c r="D225" s="384" t="str">
        <x:f>IFERROR(INDEX(tblLedger[Mapping Status],ROWS($A$202:A225)),"")</x:f>
        <x:v>DUPLICATE / REVIEW</x:v>
      </x:c>
      <x:c r="E225" s="384" t="str">
        <x:f>IF(A225="","",IF(D225="MAPPING_HOLD","QUARANTINED",IF(COUNTIF(tblServiceEvents[Event #],C225)=1,"Yes","No")))</x:f>
        <x:v>Yes</x:v>
      </x:c>
      <x:c r="F225" s="384" t="str">
        <x:f>IF(A225="","",IF(E225&lt;&gt;"Yes","N/A",IF(INDEX(tblServiceEvents[Client ID],MATCH(C225,tblServiceEvents[Event #],0))=INDEX(tblLedger[Client ID],ROWS($A$202:A225)),"Yes","No")))</x:f>
        <x:v>Yes</x:v>
      </x:c>
      <x:c r="G225" s="384" t="str">
        <x:f>IF(A225="","",IF(E225&lt;&gt;"Yes","N/A",IF(INDEX(tblServiceEvents[Location Key],MATCH(C225,tblServiceEvents[Event #],0))=INDEX(tblLedger[Location Key],ROWS($A$202:A225)),"Yes","No")))</x:f>
        <x:v>Yes</x:v>
      </x:c>
      <x:c r="H225" s="384" t="str">
        <x:f>IF(A225="","",IF(E225&lt;&gt;"Yes","N/A",IF(INDEX(tblServiceEvents[Service Date],MATCH(C225,tblServiceEvents[Event #],0))=INDEX(tblLedger[Service Date],ROWS($A$202:A225)),"Yes","No")))</x:f>
        <x:v>Yes</x:v>
      </x:c>
      <x:c r="I225" s="384" t="str">
        <x:f>IF(A225="","",IF(E225&lt;&gt;"Yes","N/A",IF(D225="MULTI-WO VISIT","Yes",IF(B225=INDEX(tblServiceEvents[Work Orders],MATCH(C225,tblServiceEvents[Event #],0)),"Yes","No"))))</x:f>
        <x:v>Yes</x:v>
      </x:c>
      <x:c r="J225" s="384" t="str">
        <x:f>IF(A225="","",IF(D225="MAPPING_HOLD","QUARANTINED",IF(AND(E225="Yes",F225="Yes",G225="Yes",H225="Yes",I225="Yes"),"PASS","FAIL")))</x:f>
        <x:v>PASS</x:v>
      </x:c>
      <x:c r="K225"/>
      <x:c r="L225"/>
      <x:c r="M225"/>
      <x:c r="N225"/>
      <x:c r="O225"/>
      <x:c r="P225"/>
      <x:c r="Q225"/>
      <x:c r="R225"/>
      <x:c r="S225"/>
      <x:c r="T225"/>
      <x:c r="U225"/>
      <x:c r="V225"/>
      <x:c r="X225"/>
      <x:c r="Y225"/>
      <x:c r="Z225"/>
      <x:c r="AA225"/>
      <x:c r="AB225"/>
      <x:c r="AC225"/>
      <x:c r="AD225"/>
      <x:c r="AE225"/>
      <x:c r="AF225"/>
      <x:c r="AG225"/>
      <x:c r="AH225"/>
      <x:c r="AI225"/>
      <x:c r="AJ225"/>
      <x:c r="AK225"/>
      <x:c r="AL225"/>
      <x:c r="AM225"/>
      <x:c r="AN225"/>
      <x:c r="AO225"/>
      <x:c r="AP225"/>
      <x:c r="AQ225"/>
      <x:c r="AR225"/>
      <x:c r="AS225"/>
    </x:row>
    <x:row r="226" ht="15" hidden="0" customHeight="1">
      <x:c r="A226" s="384" t="str">
        <x:f>IFERROR(INDEX(tblLedger[Ledger Record ID],ROWS($A$202:A226)),"")</x:f>
        <x:v>LED-0025</x:v>
      </x:c>
      <x:c r="B226" s="384" t="str">
        <x:f>IFERROR(INDEX(tblLedger[Work Order #],ROWS($A$202:A226)),"")</x:f>
        <x:v>UNRESOLVED-E025</x:v>
      </x:c>
      <x:c r="C226" s="384" t="n">
        <x:f>IFERROR(INDEX(tblLedger[Event #],ROWS($A$202:A226)),"")</x:f>
        <x:v>25</x:v>
      </x:c>
      <x:c r="D226" s="384" t="str">
        <x:f>IFERROR(INDEX(tblLedger[Mapping Status],ROWS($A$202:A226)),"")</x:f>
        <x:v>Nonstandard</x:v>
      </x:c>
      <x:c r="E226" s="384" t="str">
        <x:f>IF(A226="","",IF(D226="MAPPING_HOLD","QUARANTINED",IF(COUNTIF(tblServiceEvents[Event #],C226)=1,"Yes","No")))</x:f>
        <x:v>Yes</x:v>
      </x:c>
      <x:c r="F226" s="384" t="str">
        <x:f>IF(A226="","",IF(E226&lt;&gt;"Yes","N/A",IF(INDEX(tblServiceEvents[Client ID],MATCH(C226,tblServiceEvents[Event #],0))=INDEX(tblLedger[Client ID],ROWS($A$202:A226)),"Yes","No")))</x:f>
        <x:v>Yes</x:v>
      </x:c>
      <x:c r="G226" s="384" t="str">
        <x:f>IF(A226="","",IF(E226&lt;&gt;"Yes","N/A",IF(INDEX(tblServiceEvents[Location Key],MATCH(C226,tblServiceEvents[Event #],0))=INDEX(tblLedger[Location Key],ROWS($A$202:A226)),"Yes","No")))</x:f>
        <x:v>Yes</x:v>
      </x:c>
      <x:c r="H226" s="384" t="str">
        <x:f>IF(A226="","",IF(E226&lt;&gt;"Yes","N/A",IF(INDEX(tblServiceEvents[Service Date],MATCH(C226,tblServiceEvents[Event #],0))=INDEX(tblLedger[Service Date],ROWS($A$202:A226)),"Yes","No")))</x:f>
        <x:v>Yes</x:v>
      </x:c>
      <x:c r="I226" s="384" t="str">
        <x:f>IF(A226="","",IF(E226&lt;&gt;"Yes","N/A",IF(D226="MULTI-WO VISIT","Yes",IF(B226=INDEX(tblServiceEvents[Work Orders],MATCH(C226,tblServiceEvents[Event #],0)),"Yes","No"))))</x:f>
        <x:v>Yes</x:v>
      </x:c>
      <x:c r="J226" s="384" t="str">
        <x:f>IF(A226="","",IF(D226="MAPPING_HOLD","QUARANTINED",IF(AND(E226="Yes",F226="Yes",G226="Yes",H226="Yes",I226="Yes"),"PASS","FAIL")))</x:f>
        <x:v>PASS</x:v>
      </x:c>
      <x:c r="K226"/>
      <x:c r="L226"/>
      <x:c r="M226"/>
      <x:c r="N226"/>
      <x:c r="O226"/>
      <x:c r="P226"/>
      <x:c r="Q226"/>
      <x:c r="R226"/>
      <x:c r="S226"/>
      <x:c r="T226"/>
      <x:c r="U226"/>
      <x:c r="V226"/>
      <x:c r="X226"/>
      <x:c r="Y226"/>
      <x:c r="Z226"/>
      <x:c r="AA226"/>
      <x:c r="AB226"/>
      <x:c r="AC226"/>
      <x:c r="AD226"/>
      <x:c r="AE226"/>
      <x:c r="AF226"/>
      <x:c r="AG226"/>
      <x:c r="AH226"/>
      <x:c r="AI226"/>
      <x:c r="AJ226"/>
      <x:c r="AK226"/>
      <x:c r="AL226"/>
      <x:c r="AM226"/>
      <x:c r="AN226"/>
      <x:c r="AO226"/>
      <x:c r="AP226"/>
      <x:c r="AQ226"/>
      <x:c r="AR226"/>
      <x:c r="AS226"/>
    </x:row>
    <x:row r="227" ht="15" hidden="0" customHeight="1">
      <x:c r="A227" s="384" t="str">
        <x:f>IFERROR(INDEX(tblLedger[Ledger Record ID],ROWS($A$202:A227)),"")</x:f>
        <x:v>LED-0026</x:v>
      </x:c>
      <x:c r="B227" s="384" t="str">
        <x:f>IFERROR(INDEX(tblLedger[Work Order #],ROWS($A$202:A227)),"")</x:f>
        <x:v>USDA-SPECIAL-E026</x:v>
      </x:c>
      <x:c r="C227" s="384" t="n">
        <x:f>IFERROR(INDEX(tblLedger[Event #],ROWS($A$202:A227)),"")</x:f>
        <x:v>26</x:v>
      </x:c>
      <x:c r="D227" s="384" t="str">
        <x:f>IFERROR(INDEX(tblLedger[Mapping Status],ROWS($A$202:A227)),"")</x:f>
        <x:v>DUPLICATE / REVIEW</x:v>
      </x:c>
      <x:c r="E227" s="384" t="str">
        <x:f>IF(A227="","",IF(D227="MAPPING_HOLD","QUARANTINED",IF(COUNTIF(tblServiceEvents[Event #],C227)=1,"Yes","No")))</x:f>
        <x:v>Yes</x:v>
      </x:c>
      <x:c r="F227" s="384" t="str">
        <x:f>IF(A227="","",IF(E227&lt;&gt;"Yes","N/A",IF(INDEX(tblServiceEvents[Client ID],MATCH(C227,tblServiceEvents[Event #],0))=INDEX(tblLedger[Client ID],ROWS($A$202:A227)),"Yes","No")))</x:f>
        <x:v>Yes</x:v>
      </x:c>
      <x:c r="G227" s="384" t="str">
        <x:f>IF(A227="","",IF(E227&lt;&gt;"Yes","N/A",IF(INDEX(tblServiceEvents[Location Key],MATCH(C227,tblServiceEvents[Event #],0))=INDEX(tblLedger[Location Key],ROWS($A$202:A227)),"Yes","No")))</x:f>
        <x:v>Yes</x:v>
      </x:c>
      <x:c r="H227" s="384" t="str">
        <x:f>IF(A227="","",IF(E227&lt;&gt;"Yes","N/A",IF(INDEX(tblServiceEvents[Service Date],MATCH(C227,tblServiceEvents[Event #],0))=INDEX(tblLedger[Service Date],ROWS($A$202:A227)),"Yes","No")))</x:f>
        <x:v>Yes</x:v>
      </x:c>
      <x:c r="I227" s="384" t="str">
        <x:f>IF(A227="","",IF(E227&lt;&gt;"Yes","N/A",IF(D227="MULTI-WO VISIT","Yes",IF(B227=INDEX(tblServiceEvents[Work Orders],MATCH(C227,tblServiceEvents[Event #],0)),"Yes","No"))))</x:f>
        <x:v>Yes</x:v>
      </x:c>
      <x:c r="J227" s="384" t="str">
        <x:f>IF(A227="","",IF(D227="MAPPING_HOLD","QUARANTINED",IF(AND(E227="Yes",F227="Yes",G227="Yes",H227="Yes",I227="Yes"),"PASS","FAIL")))</x:f>
        <x:v>PASS</x:v>
      </x:c>
      <x:c r="K227"/>
      <x:c r="L227"/>
      <x:c r="M227"/>
      <x:c r="N227"/>
      <x:c r="O227"/>
      <x:c r="P227"/>
      <x:c r="Q227"/>
      <x:c r="R227"/>
      <x:c r="S227"/>
      <x:c r="T227"/>
      <x:c r="U227"/>
      <x:c r="V227"/>
      <x:c r="X227"/>
      <x:c r="Y227"/>
      <x:c r="Z227"/>
      <x:c r="AA227"/>
      <x:c r="AB227"/>
      <x:c r="AC227"/>
      <x:c r="AD227"/>
      <x:c r="AE227"/>
      <x:c r="AF227"/>
      <x:c r="AG227"/>
      <x:c r="AH227"/>
      <x:c r="AI227"/>
      <x:c r="AJ227"/>
      <x:c r="AK227"/>
      <x:c r="AL227"/>
      <x:c r="AM227"/>
      <x:c r="AN227"/>
      <x:c r="AO227"/>
      <x:c r="AP227"/>
      <x:c r="AQ227"/>
      <x:c r="AR227"/>
      <x:c r="AS227"/>
    </x:row>
    <x:row r="228" ht="15" hidden="0" customHeight="1">
      <x:c r="A228" s="384" t="str">
        <x:f>IFERROR(INDEX(tblLedger[Ledger Record ID],ROWS($A$202:A228)),"")</x:f>
        <x:v>LED-0027</x:v>
      </x:c>
      <x:c r="B228" s="384" t="str">
        <x:f>IFERROR(INDEX(tblLedger[Work Order #],ROWS($A$202:A228)),"")</x:f>
        <x:v>USDA-SPECIAL-E027</x:v>
      </x:c>
      <x:c r="C228" s="384" t="n">
        <x:f>IFERROR(INDEX(tblLedger[Event #],ROWS($A$202:A228)),"")</x:f>
        <x:v>27</x:v>
      </x:c>
      <x:c r="D228" s="384" t="str">
        <x:f>IFERROR(INDEX(tblLedger[Mapping Status],ROWS($A$202:A228)),"")</x:f>
        <x:v>DUPLICATE / REVIEW</x:v>
      </x:c>
      <x:c r="E228" s="384" t="str">
        <x:f>IF(A228="","",IF(D228="MAPPING_HOLD","QUARANTINED",IF(COUNTIF(tblServiceEvents[Event #],C228)=1,"Yes","No")))</x:f>
        <x:v>Yes</x:v>
      </x:c>
      <x:c r="F228" s="384" t="str">
        <x:f>IF(A228="","",IF(E228&lt;&gt;"Yes","N/A",IF(INDEX(tblServiceEvents[Client ID],MATCH(C228,tblServiceEvents[Event #],0))=INDEX(tblLedger[Client ID],ROWS($A$202:A228)),"Yes","No")))</x:f>
        <x:v>Yes</x:v>
      </x:c>
      <x:c r="G228" s="384" t="str">
        <x:f>IF(A228="","",IF(E228&lt;&gt;"Yes","N/A",IF(INDEX(tblServiceEvents[Location Key],MATCH(C228,tblServiceEvents[Event #],0))=INDEX(tblLedger[Location Key],ROWS($A$202:A228)),"Yes","No")))</x:f>
        <x:v>Yes</x:v>
      </x:c>
      <x:c r="H228" s="384" t="str">
        <x:f>IF(A228="","",IF(E228&lt;&gt;"Yes","N/A",IF(INDEX(tblServiceEvents[Service Date],MATCH(C228,tblServiceEvents[Event #],0))=INDEX(tblLedger[Service Date],ROWS($A$202:A228)),"Yes","No")))</x:f>
        <x:v>Yes</x:v>
      </x:c>
      <x:c r="I228" s="384" t="str">
        <x:f>IF(A228="","",IF(E228&lt;&gt;"Yes","N/A",IF(D228="MULTI-WO VISIT","Yes",IF(B228=INDEX(tblServiceEvents[Work Orders],MATCH(C228,tblServiceEvents[Event #],0)),"Yes","No"))))</x:f>
        <x:v>Yes</x:v>
      </x:c>
      <x:c r="J228" s="384" t="str">
        <x:f>IF(A228="","",IF(D228="MAPPING_HOLD","QUARANTINED",IF(AND(E228="Yes",F228="Yes",G228="Yes",H228="Yes",I228="Yes"),"PASS","FAIL")))</x:f>
        <x:v>PASS</x:v>
      </x:c>
      <x:c r="K228"/>
      <x:c r="L228"/>
      <x:c r="M228"/>
      <x:c r="N228"/>
      <x:c r="O228"/>
      <x:c r="P228"/>
      <x:c r="Q228"/>
      <x:c r="R228"/>
      <x:c r="S228"/>
      <x:c r="T228"/>
      <x:c r="U228"/>
      <x:c r="V228"/>
      <x:c r="X228"/>
      <x:c r="Y228"/>
      <x:c r="Z228"/>
      <x:c r="AA228"/>
      <x:c r="AB228"/>
      <x:c r="AC228"/>
      <x:c r="AD228"/>
      <x:c r="AE228"/>
      <x:c r="AF228"/>
      <x:c r="AG228"/>
      <x:c r="AH228"/>
      <x:c r="AI228"/>
      <x:c r="AJ228"/>
      <x:c r="AK228"/>
      <x:c r="AL228"/>
      <x:c r="AM228"/>
      <x:c r="AN228"/>
      <x:c r="AO228"/>
      <x:c r="AP228"/>
      <x:c r="AQ228"/>
      <x:c r="AR228"/>
      <x:c r="AS228"/>
    </x:row>
    <x:row r="229" ht="15" hidden="0" customHeight="1">
      <x:c r="A229" s="384" t="str">
        <x:f>IFERROR(INDEX(tblLedger[Ledger Record ID],ROWS($A$202:A229)),"")</x:f>
        <x:v>LED-0028</x:v>
      </x:c>
      <x:c r="B229" s="384" t="str">
        <x:f>IFERROR(INDEX(tblLedger[Work Order #],ROWS($A$202:A229)),"")</x:f>
        <x:v>USDA-SPECIAL-E028</x:v>
      </x:c>
      <x:c r="C229" s="384" t="n">
        <x:f>IFERROR(INDEX(tblLedger[Event #],ROWS($A$202:A229)),"")</x:f>
        <x:v>28</x:v>
      </x:c>
      <x:c r="D229" s="384" t="str">
        <x:f>IFERROR(INDEX(tblLedger[Mapping Status],ROWS($A$202:A229)),"")</x:f>
        <x:v>DUPLICATE / REVIEW</x:v>
      </x:c>
      <x:c r="E229" s="384" t="str">
        <x:f>IF(A229="","",IF(D229="MAPPING_HOLD","QUARANTINED",IF(COUNTIF(tblServiceEvents[Event #],C229)=1,"Yes","No")))</x:f>
        <x:v>Yes</x:v>
      </x:c>
      <x:c r="F229" s="384" t="str">
        <x:f>IF(A229="","",IF(E229&lt;&gt;"Yes","N/A",IF(INDEX(tblServiceEvents[Client ID],MATCH(C229,tblServiceEvents[Event #],0))=INDEX(tblLedger[Client ID],ROWS($A$202:A229)),"Yes","No")))</x:f>
        <x:v>Yes</x:v>
      </x:c>
      <x:c r="G229" s="384" t="str">
        <x:f>IF(A229="","",IF(E229&lt;&gt;"Yes","N/A",IF(INDEX(tblServiceEvents[Location Key],MATCH(C229,tblServiceEvents[Event #],0))=INDEX(tblLedger[Location Key],ROWS($A$202:A229)),"Yes","No")))</x:f>
        <x:v>Yes</x:v>
      </x:c>
      <x:c r="H229" s="384" t="str">
        <x:f>IF(A229="","",IF(E229&lt;&gt;"Yes","N/A",IF(INDEX(tblServiceEvents[Service Date],MATCH(C229,tblServiceEvents[Event #],0))=INDEX(tblLedger[Service Date],ROWS($A$202:A229)),"Yes","No")))</x:f>
        <x:v>Yes</x:v>
      </x:c>
      <x:c r="I229" s="384" t="str">
        <x:f>IF(A229="","",IF(E229&lt;&gt;"Yes","N/A",IF(D229="MULTI-WO VISIT","Yes",IF(B229=INDEX(tblServiceEvents[Work Orders],MATCH(C229,tblServiceEvents[Event #],0)),"Yes","No"))))</x:f>
        <x:v>Yes</x:v>
      </x:c>
      <x:c r="J229" s="384" t="str">
        <x:f>IF(A229="","",IF(D229="MAPPING_HOLD","QUARANTINED",IF(AND(E229="Yes",F229="Yes",G229="Yes",H229="Yes",I229="Yes"),"PASS","FAIL")))</x:f>
        <x:v>PASS</x:v>
      </x:c>
      <x:c r="K229"/>
      <x:c r="L229"/>
      <x:c r="M229"/>
      <x:c r="N229"/>
      <x:c r="O229"/>
      <x:c r="P229"/>
      <x:c r="Q229"/>
      <x:c r="R229"/>
      <x:c r="S229"/>
      <x:c r="T229"/>
      <x:c r="U229"/>
      <x:c r="V229"/>
      <x:c r="X229"/>
      <x:c r="Y229"/>
      <x:c r="Z229"/>
      <x:c r="AA229"/>
      <x:c r="AB229"/>
      <x:c r="AC229"/>
      <x:c r="AD229"/>
      <x:c r="AE229"/>
      <x:c r="AF229"/>
      <x:c r="AG229"/>
      <x:c r="AH229"/>
      <x:c r="AI229"/>
      <x:c r="AJ229"/>
      <x:c r="AK229"/>
      <x:c r="AL229"/>
      <x:c r="AM229"/>
      <x:c r="AN229"/>
      <x:c r="AO229"/>
      <x:c r="AP229"/>
      <x:c r="AQ229"/>
      <x:c r="AR229"/>
      <x:c r="AS229"/>
    </x:row>
    <x:row r="230" ht="15" hidden="0" customHeight="1">
      <x:c r="A230" s="384" t="str">
        <x:f>IFERROR(INDEX(tblLedger[Ledger Record ID],ROWS($A$202:A230)),"")</x:f>
        <x:v>LED-0029</x:v>
      </x:c>
      <x:c r="B230" s="384" t="str">
        <x:f>IFERROR(INDEX(tblLedger[Work Order #],ROWS($A$202:A230)),"")</x:f>
        <x:v>USDA-SPECIAL-E029</x:v>
      </x:c>
      <x:c r="C230" s="384" t="n">
        <x:f>IFERROR(INDEX(tblLedger[Event #],ROWS($A$202:A230)),"")</x:f>
        <x:v>29</x:v>
      </x:c>
      <x:c r="D230" s="384" t="str">
        <x:f>IFERROR(INDEX(tblLedger[Mapping Status],ROWS($A$202:A230)),"")</x:f>
        <x:v>DUPLICATE / REVIEW</x:v>
      </x:c>
      <x:c r="E230" s="384" t="str">
        <x:f>IF(A230="","",IF(D230="MAPPING_HOLD","QUARANTINED",IF(COUNTIF(tblServiceEvents[Event #],C230)=1,"Yes","No")))</x:f>
        <x:v>Yes</x:v>
      </x:c>
      <x:c r="F230" s="384" t="str">
        <x:f>IF(A230="","",IF(E230&lt;&gt;"Yes","N/A",IF(INDEX(tblServiceEvents[Client ID],MATCH(C230,tblServiceEvents[Event #],0))=INDEX(tblLedger[Client ID],ROWS($A$202:A230)),"Yes","No")))</x:f>
        <x:v>Yes</x:v>
      </x:c>
      <x:c r="G230" s="384" t="str">
        <x:f>IF(A230="","",IF(E230&lt;&gt;"Yes","N/A",IF(INDEX(tblServiceEvents[Location Key],MATCH(C230,tblServiceEvents[Event #],0))=INDEX(tblLedger[Location Key],ROWS($A$202:A230)),"Yes","No")))</x:f>
        <x:v>Yes</x:v>
      </x:c>
      <x:c r="H230" s="384" t="str">
        <x:f>IF(A230="","",IF(E230&lt;&gt;"Yes","N/A",IF(INDEX(tblServiceEvents[Service Date],MATCH(C230,tblServiceEvents[Event #],0))=INDEX(tblLedger[Service Date],ROWS($A$202:A230)),"Yes","No")))</x:f>
        <x:v>Yes</x:v>
      </x:c>
      <x:c r="I230" s="384" t="str">
        <x:f>IF(A230="","",IF(E230&lt;&gt;"Yes","N/A",IF(D230="MULTI-WO VISIT","Yes",IF(B230=INDEX(tblServiceEvents[Work Orders],MATCH(C230,tblServiceEvents[Event #],0)),"Yes","No"))))</x:f>
        <x:v>Yes</x:v>
      </x:c>
      <x:c r="J230" s="384" t="str">
        <x:f>IF(A230="","",IF(D230="MAPPING_HOLD","QUARANTINED",IF(AND(E230="Yes",F230="Yes",G230="Yes",H230="Yes",I230="Yes"),"PASS","FAIL")))</x:f>
        <x:v>PASS</x:v>
      </x:c>
      <x:c r="K230"/>
      <x:c r="L230"/>
      <x:c r="M230"/>
      <x:c r="N230"/>
      <x:c r="O230"/>
      <x:c r="P230"/>
      <x:c r="Q230"/>
      <x:c r="R230"/>
      <x:c r="S230"/>
      <x:c r="T230"/>
      <x:c r="U230"/>
      <x:c r="V230"/>
      <x:c r="X230"/>
      <x:c r="Y230"/>
      <x:c r="Z230"/>
      <x:c r="AA230"/>
      <x:c r="AB230"/>
      <x:c r="AC230"/>
      <x:c r="AD230"/>
      <x:c r="AE230"/>
      <x:c r="AF230"/>
      <x:c r="AG230"/>
      <x:c r="AH230"/>
      <x:c r="AI230"/>
      <x:c r="AJ230"/>
      <x:c r="AK230"/>
      <x:c r="AL230"/>
      <x:c r="AM230"/>
      <x:c r="AN230"/>
      <x:c r="AO230"/>
      <x:c r="AP230"/>
      <x:c r="AQ230"/>
      <x:c r="AR230"/>
      <x:c r="AS230"/>
    </x:row>
    <x:row r="231" ht="15" hidden="0" customHeight="1">
      <x:c r="A231" s="384" t="str">
        <x:f>IFERROR(INDEX(tblLedger[Ledger Record ID],ROWS($A$202:A231)),"")</x:f>
        <x:v>LED-0030</x:v>
      </x:c>
      <x:c r="B231" s="384" t="n">
        <x:f>IFERROR(INDEX(tblLedger[Work Order #],ROWS($A$202:A231)),"")</x:f>
        <x:v>5896733</x:v>
      </x:c>
      <x:c r="C231" s="384" t="n">
        <x:f>IFERROR(INDEX(tblLedger[Event #],ROWS($A$202:A231)),"")</x:f>
        <x:v>30</x:v>
      </x:c>
      <x:c r="D231" s="384" t="str">
        <x:f>IFERROR(INDEX(tblLedger[Mapping Status],ROWS($A$202:A231)),"")</x:f>
        <x:v>Unique</x:v>
      </x:c>
      <x:c r="E231" s="384" t="str">
        <x:f>IF(A231="","",IF(D231="MAPPING_HOLD","QUARANTINED",IF(COUNTIF(tblServiceEvents[Event #],C231)=1,"Yes","No")))</x:f>
        <x:v>Yes</x:v>
      </x:c>
      <x:c r="F231" s="384" t="str">
        <x:f>IF(A231="","",IF(E231&lt;&gt;"Yes","N/A",IF(INDEX(tblServiceEvents[Client ID],MATCH(C231,tblServiceEvents[Event #],0))=INDEX(tblLedger[Client ID],ROWS($A$202:A231)),"Yes","No")))</x:f>
        <x:v>Yes</x:v>
      </x:c>
      <x:c r="G231" s="384" t="str">
        <x:f>IF(A231="","",IF(E231&lt;&gt;"Yes","N/A",IF(INDEX(tblServiceEvents[Location Key],MATCH(C231,tblServiceEvents[Event #],0))=INDEX(tblLedger[Location Key],ROWS($A$202:A231)),"Yes","No")))</x:f>
        <x:v>Yes</x:v>
      </x:c>
      <x:c r="H231" s="384" t="str">
        <x:f>IF(A231="","",IF(E231&lt;&gt;"Yes","N/A",IF(INDEX(tblServiceEvents[Service Date],MATCH(C231,tblServiceEvents[Event #],0))=INDEX(tblLedger[Service Date],ROWS($A$202:A231)),"Yes","No")))</x:f>
        <x:v>Yes</x:v>
      </x:c>
      <x:c r="I231" s="384" t="str">
        <x:f>IF(A231="","",IF(E231&lt;&gt;"Yes","N/A",IF(D231="MULTI-WO VISIT","Yes",IF(B231=INDEX(tblServiceEvents[Work Orders],MATCH(C231,tblServiceEvents[Event #],0)),"Yes","No"))))</x:f>
        <x:v>Yes</x:v>
      </x:c>
      <x:c r="J231" s="384" t="str">
        <x:f>IF(A231="","",IF(D231="MAPPING_HOLD","QUARANTINED",IF(AND(E231="Yes",F231="Yes",G231="Yes",H231="Yes",I231="Yes"),"PASS","FAIL")))</x:f>
        <x:v>PASS</x:v>
      </x:c>
      <x:c r="K231"/>
      <x:c r="L231"/>
      <x:c r="M231"/>
      <x:c r="N231"/>
      <x:c r="O231"/>
      <x:c r="P231"/>
      <x:c r="Q231"/>
      <x:c r="R231"/>
      <x:c r="S231"/>
      <x:c r="T231"/>
      <x:c r="U231"/>
      <x:c r="V231"/>
      <x:c r="X231"/>
      <x:c r="Y231"/>
      <x:c r="Z231"/>
      <x:c r="AA231"/>
      <x:c r="AB231"/>
      <x:c r="AC231"/>
      <x:c r="AD231"/>
      <x:c r="AE231"/>
      <x:c r="AF231"/>
      <x:c r="AG231"/>
      <x:c r="AH231"/>
      <x:c r="AI231"/>
      <x:c r="AJ231"/>
      <x:c r="AK231"/>
      <x:c r="AL231"/>
      <x:c r="AM231"/>
      <x:c r="AN231"/>
      <x:c r="AO231"/>
      <x:c r="AP231"/>
      <x:c r="AQ231"/>
      <x:c r="AR231"/>
      <x:c r="AS231"/>
    </x:row>
    <x:row r="232" ht="15" hidden="0" customHeight="1">
      <x:c r="A232" s="384" t="str">
        <x:f>IFERROR(INDEX(tblLedger[Ledger Record ID],ROWS($A$202:A232)),"")</x:f>
        <x:v>LED-0031</x:v>
      </x:c>
      <x:c r="B232" s="384" t="str">
        <x:f>IFERROR(INDEX(tblLedger[Work Order #],ROWS($A$202:A232)),"")</x:f>
        <x:v>USDA-SPECIAL-E031</x:v>
      </x:c>
      <x:c r="C232" s="384" t="n">
        <x:f>IFERROR(INDEX(tblLedger[Event #],ROWS($A$202:A232)),"")</x:f>
        <x:v>31</x:v>
      </x:c>
      <x:c r="D232" s="384" t="str">
        <x:f>IFERROR(INDEX(tblLedger[Mapping Status],ROWS($A$202:A232)),"")</x:f>
        <x:v>DUPLICATE / REVIEW</x:v>
      </x:c>
      <x:c r="E232" s="384" t="str">
        <x:f>IF(A232="","",IF(D232="MAPPING_HOLD","QUARANTINED",IF(COUNTIF(tblServiceEvents[Event #],C232)=1,"Yes","No")))</x:f>
        <x:v>Yes</x:v>
      </x:c>
      <x:c r="F232" s="384" t="str">
        <x:f>IF(A232="","",IF(E232&lt;&gt;"Yes","N/A",IF(INDEX(tblServiceEvents[Client ID],MATCH(C232,tblServiceEvents[Event #],0))=INDEX(tblLedger[Client ID],ROWS($A$202:A232)),"Yes","No")))</x:f>
        <x:v>Yes</x:v>
      </x:c>
      <x:c r="G232" s="384" t="str">
        <x:f>IF(A232="","",IF(E232&lt;&gt;"Yes","N/A",IF(INDEX(tblServiceEvents[Location Key],MATCH(C232,tblServiceEvents[Event #],0))=INDEX(tblLedger[Location Key],ROWS($A$202:A232)),"Yes","No")))</x:f>
        <x:v>Yes</x:v>
      </x:c>
      <x:c r="H232" s="384" t="str">
        <x:f>IF(A232="","",IF(E232&lt;&gt;"Yes","N/A",IF(INDEX(tblServiceEvents[Service Date],MATCH(C232,tblServiceEvents[Event #],0))=INDEX(tblLedger[Service Date],ROWS($A$202:A232)),"Yes","No")))</x:f>
        <x:v>Yes</x:v>
      </x:c>
      <x:c r="I232" s="384" t="str">
        <x:f>IF(A232="","",IF(E232&lt;&gt;"Yes","N/A",IF(D232="MULTI-WO VISIT","Yes",IF(B232=INDEX(tblServiceEvents[Work Orders],MATCH(C232,tblServiceEvents[Event #],0)),"Yes","No"))))</x:f>
        <x:v>Yes</x:v>
      </x:c>
      <x:c r="J232" s="384" t="str">
        <x:f>IF(A232="","",IF(D232="MAPPING_HOLD","QUARANTINED",IF(AND(E232="Yes",F232="Yes",G232="Yes",H232="Yes",I232="Yes"),"PASS","FAIL")))</x:f>
        <x:v>PASS</x:v>
      </x:c>
      <x:c r="K232"/>
      <x:c r="L232"/>
      <x:c r="M232"/>
      <x:c r="N232"/>
      <x:c r="O232"/>
      <x:c r="P232"/>
      <x:c r="Q232"/>
      <x:c r="R232"/>
      <x:c r="S232"/>
      <x:c r="T232"/>
      <x:c r="U232"/>
      <x:c r="V232"/>
      <x:c r="X232"/>
      <x:c r="Y232"/>
      <x:c r="Z232"/>
      <x:c r="AA232"/>
      <x:c r="AB232"/>
      <x:c r="AC232"/>
      <x:c r="AD232"/>
      <x:c r="AE232"/>
      <x:c r="AF232"/>
      <x:c r="AG232"/>
      <x:c r="AH232"/>
      <x:c r="AI232"/>
      <x:c r="AJ232"/>
      <x:c r="AK232"/>
      <x:c r="AL232"/>
      <x:c r="AM232"/>
      <x:c r="AN232"/>
      <x:c r="AO232"/>
      <x:c r="AP232"/>
      <x:c r="AQ232"/>
      <x:c r="AR232"/>
      <x:c r="AS232"/>
    </x:row>
    <x:row r="233" ht="15" hidden="0" customHeight="1">
      <x:c r="A233" s="384" t="str">
        <x:f>IFERROR(INDEX(tblLedger[Ledger Record ID],ROWS($A$202:A233)),"")</x:f>
        <x:v>LED-0032</x:v>
      </x:c>
      <x:c r="B233" s="384" t="n">
        <x:f>IFERROR(INDEX(tblLedger[Work Order #],ROWS($A$202:A233)),"")</x:f>
        <x:v>5898007</x:v>
      </x:c>
      <x:c r="C233" s="384" t="n">
        <x:f>IFERROR(INDEX(tblLedger[Event #],ROWS($A$202:A233)),"")</x:f>
        <x:v>32</x:v>
      </x:c>
      <x:c r="D233" s="384" t="str">
        <x:f>IFERROR(INDEX(tblLedger[Mapping Status],ROWS($A$202:A233)),"")</x:f>
        <x:v>Unique</x:v>
      </x:c>
      <x:c r="E233" s="384" t="str">
        <x:f>IF(A233="","",IF(D233="MAPPING_HOLD","QUARANTINED",IF(COUNTIF(tblServiceEvents[Event #],C233)=1,"Yes","No")))</x:f>
        <x:v>Yes</x:v>
      </x:c>
      <x:c r="F233" s="384" t="str">
        <x:f>IF(A233="","",IF(E233&lt;&gt;"Yes","N/A",IF(INDEX(tblServiceEvents[Client ID],MATCH(C233,tblServiceEvents[Event #],0))=INDEX(tblLedger[Client ID],ROWS($A$202:A233)),"Yes","No")))</x:f>
        <x:v>Yes</x:v>
      </x:c>
      <x:c r="G233" s="384" t="str">
        <x:f>IF(A233="","",IF(E233&lt;&gt;"Yes","N/A",IF(INDEX(tblServiceEvents[Location Key],MATCH(C233,tblServiceEvents[Event #],0))=INDEX(tblLedger[Location Key],ROWS($A$202:A233)),"Yes","No")))</x:f>
        <x:v>Yes</x:v>
      </x:c>
      <x:c r="H233" s="384" t="str">
        <x:f>IF(A233="","",IF(E233&lt;&gt;"Yes","N/A",IF(INDEX(tblServiceEvents[Service Date],MATCH(C233,tblServiceEvents[Event #],0))=INDEX(tblLedger[Service Date],ROWS($A$202:A233)),"Yes","No")))</x:f>
        <x:v>Yes</x:v>
      </x:c>
      <x:c r="I233" s="384" t="str">
        <x:f>IF(A233="","",IF(E233&lt;&gt;"Yes","N/A",IF(D233="MULTI-WO VISIT","Yes",IF(B233=INDEX(tblServiceEvents[Work Orders],MATCH(C233,tblServiceEvents[Event #],0)),"Yes","No"))))</x:f>
        <x:v>Yes</x:v>
      </x:c>
      <x:c r="J233" s="384" t="str">
        <x:f>IF(A233="","",IF(D233="MAPPING_HOLD","QUARANTINED",IF(AND(E233="Yes",F233="Yes",G233="Yes",H233="Yes",I233="Yes"),"PASS","FAIL")))</x:f>
        <x:v>PASS</x:v>
      </x:c>
      <x:c r="K233"/>
      <x:c r="L233"/>
      <x:c r="M233"/>
      <x:c r="N233"/>
      <x:c r="O233"/>
      <x:c r="P233"/>
      <x:c r="Q233"/>
      <x:c r="R233"/>
      <x:c r="S233"/>
      <x:c r="T233"/>
      <x:c r="U233"/>
      <x:c r="V233"/>
      <x:c r="X233"/>
      <x:c r="Y233"/>
      <x:c r="Z233"/>
      <x:c r="AA233"/>
      <x:c r="AB233"/>
      <x:c r="AC233"/>
      <x:c r="AD233"/>
      <x:c r="AE233"/>
      <x:c r="AF233"/>
      <x:c r="AG233"/>
      <x:c r="AH233"/>
      <x:c r="AI233"/>
      <x:c r="AJ233"/>
      <x:c r="AK233"/>
      <x:c r="AL233"/>
      <x:c r="AM233"/>
      <x:c r="AN233"/>
      <x:c r="AO233"/>
      <x:c r="AP233"/>
      <x:c r="AQ233"/>
      <x:c r="AR233"/>
      <x:c r="AS233"/>
    </x:row>
    <x:row r="234" ht="15" hidden="0" customHeight="1">
      <x:c r="A234" s="384" t="str">
        <x:f>IFERROR(INDEX(tblLedger[Ledger Record ID],ROWS($A$202:A234)),"")</x:f>
        <x:v>LED-0033</x:v>
      </x:c>
      <x:c r="B234" s="384" t="n">
        <x:f>IFERROR(INDEX(tblLedger[Work Order #],ROWS($A$202:A234)),"")</x:f>
        <x:v>5896039</x:v>
      </x:c>
      <x:c r="C234" s="384" t="n">
        <x:f>IFERROR(INDEX(tblLedger[Event #],ROWS($A$202:A234)),"")</x:f>
        <x:v>33</x:v>
      </x:c>
      <x:c r="D234" s="384" t="str">
        <x:f>IFERROR(INDEX(tblLedger[Mapping Status],ROWS($A$202:A234)),"")</x:f>
        <x:v>Unique</x:v>
      </x:c>
      <x:c r="E234" s="384" t="str">
        <x:f>IF(A234="","",IF(D234="MAPPING_HOLD","QUARANTINED",IF(COUNTIF(tblServiceEvents[Event #],C234)=1,"Yes","No")))</x:f>
        <x:v>Yes</x:v>
      </x:c>
      <x:c r="F234" s="384" t="str">
        <x:f>IF(A234="","",IF(E234&lt;&gt;"Yes","N/A",IF(INDEX(tblServiceEvents[Client ID],MATCH(C234,tblServiceEvents[Event #],0))=INDEX(tblLedger[Client ID],ROWS($A$202:A234)),"Yes","No")))</x:f>
        <x:v>Yes</x:v>
      </x:c>
      <x:c r="G234" s="384" t="str">
        <x:f>IF(A234="","",IF(E234&lt;&gt;"Yes","N/A",IF(INDEX(tblServiceEvents[Location Key],MATCH(C234,tblServiceEvents[Event #],0))=INDEX(tblLedger[Location Key],ROWS($A$202:A234)),"Yes","No")))</x:f>
        <x:v>Yes</x:v>
      </x:c>
      <x:c r="H234" s="384" t="str">
        <x:f>IF(A234="","",IF(E234&lt;&gt;"Yes","N/A",IF(INDEX(tblServiceEvents[Service Date],MATCH(C234,tblServiceEvents[Event #],0))=INDEX(tblLedger[Service Date],ROWS($A$202:A234)),"Yes","No")))</x:f>
        <x:v>Yes</x:v>
      </x:c>
      <x:c r="I234" s="384" t="str">
        <x:f>IF(A234="","",IF(E234&lt;&gt;"Yes","N/A",IF(D234="MULTI-WO VISIT","Yes",IF(B234=INDEX(tblServiceEvents[Work Orders],MATCH(C234,tblServiceEvents[Event #],0)),"Yes","No"))))</x:f>
        <x:v>Yes</x:v>
      </x:c>
      <x:c r="J234" s="384" t="str">
        <x:f>IF(A234="","",IF(D234="MAPPING_HOLD","QUARANTINED",IF(AND(E234="Yes",F234="Yes",G234="Yes",H234="Yes",I234="Yes"),"PASS","FAIL")))</x:f>
        <x:v>PASS</x:v>
      </x:c>
      <x:c r="K234"/>
      <x:c r="L234"/>
      <x:c r="M234"/>
      <x:c r="N234"/>
      <x:c r="O234"/>
      <x:c r="P234"/>
      <x:c r="Q234"/>
      <x:c r="R234"/>
      <x:c r="S234"/>
      <x:c r="T234"/>
      <x:c r="U234"/>
      <x:c r="V234"/>
      <x:c r="X234"/>
      <x:c r="Y234"/>
      <x:c r="Z234"/>
      <x:c r="AA234"/>
      <x:c r="AB234"/>
      <x:c r="AC234"/>
      <x:c r="AD234"/>
      <x:c r="AE234"/>
      <x:c r="AF234"/>
      <x:c r="AG234"/>
      <x:c r="AH234"/>
      <x:c r="AI234"/>
      <x:c r="AJ234"/>
      <x:c r="AK234"/>
      <x:c r="AL234"/>
      <x:c r="AM234"/>
      <x:c r="AN234"/>
      <x:c r="AO234"/>
      <x:c r="AP234"/>
      <x:c r="AQ234"/>
      <x:c r="AR234"/>
      <x:c r="AS234"/>
    </x:row>
    <x:row r="235" ht="15" hidden="0" customHeight="1">
      <x:c r="A235" s="384" t="str">
        <x:f>IFERROR(INDEX(tblLedger[Ledger Record ID],ROWS($A$202:A235)),"")</x:f>
        <x:v>LED-0034</x:v>
      </x:c>
      <x:c r="B235" s="384" t="n">
        <x:f>IFERROR(INDEX(tblLedger[Work Order #],ROWS($A$202:A235)),"")</x:f>
        <x:v>5898904</x:v>
      </x:c>
      <x:c r="C235" s="384" t="n">
        <x:f>IFERROR(INDEX(tblLedger[Event #],ROWS($A$202:A235)),"")</x:f>
        <x:v>34</x:v>
      </x:c>
      <x:c r="D235" s="384" t="str">
        <x:f>IFERROR(INDEX(tblLedger[Mapping Status],ROWS($A$202:A235)),"")</x:f>
        <x:v>Unique</x:v>
      </x:c>
      <x:c r="E235" s="384" t="str">
        <x:f>IF(A235="","",IF(D235="MAPPING_HOLD","QUARANTINED",IF(COUNTIF(tblServiceEvents[Event #],C235)=1,"Yes","No")))</x:f>
        <x:v>Yes</x:v>
      </x:c>
      <x:c r="F235" s="384" t="str">
        <x:f>IF(A235="","",IF(E235&lt;&gt;"Yes","N/A",IF(INDEX(tblServiceEvents[Client ID],MATCH(C235,tblServiceEvents[Event #],0))=INDEX(tblLedger[Client ID],ROWS($A$202:A235)),"Yes","No")))</x:f>
        <x:v>Yes</x:v>
      </x:c>
      <x:c r="G235" s="384" t="str">
        <x:f>IF(A235="","",IF(E235&lt;&gt;"Yes","N/A",IF(INDEX(tblServiceEvents[Location Key],MATCH(C235,tblServiceEvents[Event #],0))=INDEX(tblLedger[Location Key],ROWS($A$202:A235)),"Yes","No")))</x:f>
        <x:v>Yes</x:v>
      </x:c>
      <x:c r="H235" s="384" t="str">
        <x:f>IF(A235="","",IF(E235&lt;&gt;"Yes","N/A",IF(INDEX(tblServiceEvents[Service Date],MATCH(C235,tblServiceEvents[Event #],0))=INDEX(tblLedger[Service Date],ROWS($A$202:A235)),"Yes","No")))</x:f>
        <x:v>Yes</x:v>
      </x:c>
      <x:c r="I235" s="384" t="str">
        <x:f>IF(A235="","",IF(E235&lt;&gt;"Yes","N/A",IF(D235="MULTI-WO VISIT","Yes",IF(B235=INDEX(tblServiceEvents[Work Orders],MATCH(C235,tblServiceEvents[Event #],0)),"Yes","No"))))</x:f>
        <x:v>Yes</x:v>
      </x:c>
      <x:c r="J235" s="384" t="str">
        <x:f>IF(A235="","",IF(D235="MAPPING_HOLD","QUARANTINED",IF(AND(E235="Yes",F235="Yes",G235="Yes",H235="Yes",I235="Yes"),"PASS","FAIL")))</x:f>
        <x:v>PASS</x:v>
      </x:c>
      <x:c r="K235"/>
      <x:c r="L235"/>
      <x:c r="M235"/>
      <x:c r="N235"/>
      <x:c r="O235"/>
      <x:c r="P235"/>
      <x:c r="Q235"/>
      <x:c r="R235"/>
      <x:c r="S235"/>
      <x:c r="T235"/>
      <x:c r="U235"/>
      <x:c r="V235"/>
      <x:c r="X235"/>
      <x:c r="Y235"/>
      <x:c r="Z235"/>
      <x:c r="AA235"/>
      <x:c r="AB235"/>
      <x:c r="AC235"/>
      <x:c r="AD235"/>
      <x:c r="AE235"/>
      <x:c r="AF235"/>
      <x:c r="AG235"/>
      <x:c r="AH235"/>
      <x:c r="AI235"/>
      <x:c r="AJ235"/>
      <x:c r="AK235"/>
      <x:c r="AL235"/>
      <x:c r="AM235"/>
      <x:c r="AN235"/>
      <x:c r="AO235"/>
      <x:c r="AP235"/>
      <x:c r="AQ235"/>
      <x:c r="AR235"/>
      <x:c r="AS235"/>
    </x:row>
    <x:row r="236" ht="15" hidden="0" customHeight="1">
      <x:c r="A236" s="384" t="str">
        <x:f>IFERROR(INDEX(tblLedger[Ledger Record ID],ROWS($A$202:A236)),"")</x:f>
        <x:v>LED-0035</x:v>
      </x:c>
      <x:c r="B236" s="384" t="n">
        <x:f>IFERROR(INDEX(tblLedger[Work Order #],ROWS($A$202:A236)),"")</x:f>
        <x:v>5899056</x:v>
      </x:c>
      <x:c r="C236" s="384" t="n">
        <x:f>IFERROR(INDEX(tblLedger[Event #],ROWS($A$202:A236)),"")</x:f>
        <x:v>35</x:v>
      </x:c>
      <x:c r="D236" s="384" t="str">
        <x:f>IFERROR(INDEX(tblLedger[Mapping Status],ROWS($A$202:A236)),"")</x:f>
        <x:v>Unique</x:v>
      </x:c>
      <x:c r="E236" s="384" t="str">
        <x:f>IF(A236="","",IF(D236="MAPPING_HOLD","QUARANTINED",IF(COUNTIF(tblServiceEvents[Event #],C236)=1,"Yes","No")))</x:f>
        <x:v>Yes</x:v>
      </x:c>
      <x:c r="F236" s="384" t="str">
        <x:f>IF(A236="","",IF(E236&lt;&gt;"Yes","N/A",IF(INDEX(tblServiceEvents[Client ID],MATCH(C236,tblServiceEvents[Event #],0))=INDEX(tblLedger[Client ID],ROWS($A$202:A236)),"Yes","No")))</x:f>
        <x:v>Yes</x:v>
      </x:c>
      <x:c r="G236" s="384" t="str">
        <x:f>IF(A236="","",IF(E236&lt;&gt;"Yes","N/A",IF(INDEX(tblServiceEvents[Location Key],MATCH(C236,tblServiceEvents[Event #],0))=INDEX(tblLedger[Location Key],ROWS($A$202:A236)),"Yes","No")))</x:f>
        <x:v>Yes</x:v>
      </x:c>
      <x:c r="H236" s="384" t="str">
        <x:f>IF(A236="","",IF(E236&lt;&gt;"Yes","N/A",IF(INDEX(tblServiceEvents[Service Date],MATCH(C236,tblServiceEvents[Event #],0))=INDEX(tblLedger[Service Date],ROWS($A$202:A236)),"Yes","No")))</x:f>
        <x:v>Yes</x:v>
      </x:c>
      <x:c r="I236" s="384" t="str">
        <x:f>IF(A236="","",IF(E236&lt;&gt;"Yes","N/A",IF(D236="MULTI-WO VISIT","Yes",IF(B236=INDEX(tblServiceEvents[Work Orders],MATCH(C236,tblServiceEvents[Event #],0)),"Yes","No"))))</x:f>
        <x:v>Yes</x:v>
      </x:c>
      <x:c r="J236" s="384" t="str">
        <x:f>IF(A236="","",IF(D236="MAPPING_HOLD","QUARANTINED",IF(AND(E236="Yes",F236="Yes",G236="Yes",H236="Yes",I236="Yes"),"PASS","FAIL")))</x:f>
        <x:v>PASS</x:v>
      </x:c>
      <x:c r="K236"/>
      <x:c r="L236"/>
      <x:c r="M236"/>
      <x:c r="N236"/>
      <x:c r="O236"/>
      <x:c r="P236"/>
      <x:c r="Q236"/>
      <x:c r="R236"/>
      <x:c r="S236"/>
      <x:c r="T236"/>
      <x:c r="U236"/>
      <x:c r="V236"/>
      <x:c r="X236"/>
      <x:c r="Y236"/>
      <x:c r="Z236"/>
      <x:c r="AA236"/>
      <x:c r="AB236"/>
      <x:c r="AC236"/>
      <x:c r="AD236"/>
      <x:c r="AE236"/>
      <x:c r="AF236"/>
      <x:c r="AG236"/>
      <x:c r="AH236"/>
      <x:c r="AI236"/>
      <x:c r="AJ236"/>
      <x:c r="AK236"/>
      <x:c r="AL236"/>
      <x:c r="AM236"/>
      <x:c r="AN236"/>
      <x:c r="AO236"/>
      <x:c r="AP236"/>
      <x:c r="AQ236"/>
      <x:c r="AR236"/>
      <x:c r="AS236"/>
    </x:row>
    <x:row r="237" ht="15" hidden="0" customHeight="1">
      <x:c r="A237" s="384" t="str">
        <x:f>IFERROR(INDEX(tblLedger[Ledger Record ID],ROWS($A$202:A237)),"")</x:f>
        <x:v>LED-0036</x:v>
      </x:c>
      <x:c r="B237" s="384" t="n">
        <x:f>IFERROR(INDEX(tblLedger[Work Order #],ROWS($A$202:A237)),"")</x:f>
        <x:v>5899295</x:v>
      </x:c>
      <x:c r="C237" s="384" t="n">
        <x:f>IFERROR(INDEX(tblLedger[Event #],ROWS($A$202:A237)),"")</x:f>
        <x:v>36</x:v>
      </x:c>
      <x:c r="D237" s="384" t="str">
        <x:f>IFERROR(INDEX(tblLedger[Mapping Status],ROWS($A$202:A237)),"")</x:f>
        <x:v>Unique</x:v>
      </x:c>
      <x:c r="E237" s="384" t="str">
        <x:f>IF(A237="","",IF(D237="MAPPING_HOLD","QUARANTINED",IF(COUNTIF(tblServiceEvents[Event #],C237)=1,"Yes","No")))</x:f>
        <x:v>Yes</x:v>
      </x:c>
      <x:c r="F237" s="384" t="str">
        <x:f>IF(A237="","",IF(E237&lt;&gt;"Yes","N/A",IF(INDEX(tblServiceEvents[Client ID],MATCH(C237,tblServiceEvents[Event #],0))=INDEX(tblLedger[Client ID],ROWS($A$202:A237)),"Yes","No")))</x:f>
        <x:v>Yes</x:v>
      </x:c>
      <x:c r="G237" s="384" t="str">
        <x:f>IF(A237="","",IF(E237&lt;&gt;"Yes","N/A",IF(INDEX(tblServiceEvents[Location Key],MATCH(C237,tblServiceEvents[Event #],0))=INDEX(tblLedger[Location Key],ROWS($A$202:A237)),"Yes","No")))</x:f>
        <x:v>Yes</x:v>
      </x:c>
      <x:c r="H237" s="384" t="str">
        <x:f>IF(A237="","",IF(E237&lt;&gt;"Yes","N/A",IF(INDEX(tblServiceEvents[Service Date],MATCH(C237,tblServiceEvents[Event #],0))=INDEX(tblLedger[Service Date],ROWS($A$202:A237)),"Yes","No")))</x:f>
        <x:v>Yes</x:v>
      </x:c>
      <x:c r="I237" s="384" t="str">
        <x:f>IF(A237="","",IF(E237&lt;&gt;"Yes","N/A",IF(D237="MULTI-WO VISIT","Yes",IF(B237=INDEX(tblServiceEvents[Work Orders],MATCH(C237,tblServiceEvents[Event #],0)),"Yes","No"))))</x:f>
        <x:v>Yes</x:v>
      </x:c>
      <x:c r="J237" s="384" t="str">
        <x:f>IF(A237="","",IF(D237="MAPPING_HOLD","QUARANTINED",IF(AND(E237="Yes",F237="Yes",G237="Yes",H237="Yes",I237="Yes"),"PASS","FAIL")))</x:f>
        <x:v>PASS</x:v>
      </x:c>
      <x:c r="K237"/>
      <x:c r="L237"/>
      <x:c r="M237"/>
      <x:c r="N237"/>
      <x:c r="O237"/>
      <x:c r="P237"/>
      <x:c r="Q237"/>
      <x:c r="R237"/>
      <x:c r="S237"/>
      <x:c r="T237"/>
      <x:c r="U237"/>
      <x:c r="V237"/>
      <x:c r="X237"/>
      <x:c r="Y237"/>
      <x:c r="Z237"/>
      <x:c r="AA237"/>
      <x:c r="AB237"/>
      <x:c r="AC237"/>
      <x:c r="AD237"/>
      <x:c r="AE237"/>
      <x:c r="AF237"/>
      <x:c r="AG237"/>
      <x:c r="AH237"/>
      <x:c r="AI237"/>
      <x:c r="AJ237"/>
      <x:c r="AK237"/>
      <x:c r="AL237"/>
      <x:c r="AM237"/>
      <x:c r="AN237"/>
      <x:c r="AO237"/>
      <x:c r="AP237"/>
      <x:c r="AQ237"/>
      <x:c r="AR237"/>
      <x:c r="AS237"/>
    </x:row>
    <x:row r="238" ht="15" hidden="0" customHeight="1">
      <x:c r="A238" s="384" t="str">
        <x:f>IFERROR(INDEX(tblLedger[Ledger Record ID],ROWS($A$202:A238)),"")</x:f>
        <x:v>LED-0037</x:v>
      </x:c>
      <x:c r="B238" s="384" t="n">
        <x:f>IFERROR(INDEX(tblLedger[Work Order #],ROWS($A$202:A238)),"")</x:f>
        <x:v>5899715</x:v>
      </x:c>
      <x:c r="C238" s="384" t="n">
        <x:f>IFERROR(INDEX(tblLedger[Event #],ROWS($A$202:A238)),"")</x:f>
        <x:v>37</x:v>
      </x:c>
      <x:c r="D238" s="384" t="str">
        <x:f>IFERROR(INDEX(tblLedger[Mapping Status],ROWS($A$202:A238)),"")</x:f>
        <x:v>Unique</x:v>
      </x:c>
      <x:c r="E238" s="384" t="str">
        <x:f>IF(A238="","",IF(D238="MAPPING_HOLD","QUARANTINED",IF(COUNTIF(tblServiceEvents[Event #],C238)=1,"Yes","No")))</x:f>
        <x:v>Yes</x:v>
      </x:c>
      <x:c r="F238" s="384" t="str">
        <x:f>IF(A238="","",IF(E238&lt;&gt;"Yes","N/A",IF(INDEX(tblServiceEvents[Client ID],MATCH(C238,tblServiceEvents[Event #],0))=INDEX(tblLedger[Client ID],ROWS($A$202:A238)),"Yes","No")))</x:f>
        <x:v>Yes</x:v>
      </x:c>
      <x:c r="G238" s="384" t="str">
        <x:f>IF(A238="","",IF(E238&lt;&gt;"Yes","N/A",IF(INDEX(tblServiceEvents[Location Key],MATCH(C238,tblServiceEvents[Event #],0))=INDEX(tblLedger[Location Key],ROWS($A$202:A238)),"Yes","No")))</x:f>
        <x:v>Yes</x:v>
      </x:c>
      <x:c r="H238" s="384" t="str">
        <x:f>IF(A238="","",IF(E238&lt;&gt;"Yes","N/A",IF(INDEX(tblServiceEvents[Service Date],MATCH(C238,tblServiceEvents[Event #],0))=INDEX(tblLedger[Service Date],ROWS($A$202:A238)),"Yes","No")))</x:f>
        <x:v>Yes</x:v>
      </x:c>
      <x:c r="I238" s="384" t="str">
        <x:f>IF(A238="","",IF(E238&lt;&gt;"Yes","N/A",IF(D238="MULTI-WO VISIT","Yes",IF(B238=INDEX(tblServiceEvents[Work Orders],MATCH(C238,tblServiceEvents[Event #],0)),"Yes","No"))))</x:f>
        <x:v>Yes</x:v>
      </x:c>
      <x:c r="J238" s="384" t="str">
        <x:f>IF(A238="","",IF(D238="MAPPING_HOLD","QUARANTINED",IF(AND(E238="Yes",F238="Yes",G238="Yes",H238="Yes",I238="Yes"),"PASS","FAIL")))</x:f>
        <x:v>PASS</x:v>
      </x:c>
      <x:c r="K238"/>
      <x:c r="L238"/>
      <x:c r="M238"/>
      <x:c r="N238"/>
      <x:c r="O238"/>
      <x:c r="P238"/>
      <x:c r="Q238"/>
      <x:c r="R238"/>
      <x:c r="S238"/>
      <x:c r="T238"/>
      <x:c r="U238"/>
      <x:c r="V238"/>
      <x:c r="X238"/>
      <x:c r="Y238"/>
      <x:c r="Z238"/>
      <x:c r="AA238"/>
      <x:c r="AB238"/>
      <x:c r="AC238"/>
      <x:c r="AD238"/>
      <x:c r="AE238"/>
      <x:c r="AF238"/>
      <x:c r="AG238"/>
      <x:c r="AH238"/>
      <x:c r="AI238"/>
      <x:c r="AJ238"/>
      <x:c r="AK238"/>
      <x:c r="AL238"/>
      <x:c r="AM238"/>
      <x:c r="AN238"/>
      <x:c r="AO238"/>
      <x:c r="AP238"/>
      <x:c r="AQ238"/>
      <x:c r="AR238"/>
      <x:c r="AS238"/>
    </x:row>
    <x:row r="239" ht="15" hidden="0" customHeight="1">
      <x:c r="A239" s="384" t="str">
        <x:f>IFERROR(INDEX(tblLedger[Ledger Record ID],ROWS($A$202:A239)),"")</x:f>
        <x:v>LED-0038</x:v>
      </x:c>
      <x:c r="B239" s="384" t="n">
        <x:f>IFERROR(INDEX(tblLedger[Work Order #],ROWS($A$202:A239)),"")</x:f>
        <x:v>5900102</x:v>
      </x:c>
      <x:c r="C239" s="384" t="n">
        <x:f>IFERROR(INDEX(tblLedger[Event #],ROWS($A$202:A239)),"")</x:f>
        <x:v>38</x:v>
      </x:c>
      <x:c r="D239" s="384" t="str">
        <x:f>IFERROR(INDEX(tblLedger[Mapping Status],ROWS($A$202:A239)),"")</x:f>
        <x:v>Unique</x:v>
      </x:c>
      <x:c r="E239" s="384" t="str">
        <x:f>IF(A239="","",IF(D239="MAPPING_HOLD","QUARANTINED",IF(COUNTIF(tblServiceEvents[Event #],C239)=1,"Yes","No")))</x:f>
        <x:v>Yes</x:v>
      </x:c>
      <x:c r="F239" s="384" t="str">
        <x:f>IF(A239="","",IF(E239&lt;&gt;"Yes","N/A",IF(INDEX(tblServiceEvents[Client ID],MATCH(C239,tblServiceEvents[Event #],0))=INDEX(tblLedger[Client ID],ROWS($A$202:A239)),"Yes","No")))</x:f>
        <x:v>Yes</x:v>
      </x:c>
      <x:c r="G239" s="384" t="str">
        <x:f>IF(A239="","",IF(E239&lt;&gt;"Yes","N/A",IF(INDEX(tblServiceEvents[Location Key],MATCH(C239,tblServiceEvents[Event #],0))=INDEX(tblLedger[Location Key],ROWS($A$202:A239)),"Yes","No")))</x:f>
        <x:v>Yes</x:v>
      </x:c>
      <x:c r="H239" s="384" t="str">
        <x:f>IF(A239="","",IF(E239&lt;&gt;"Yes","N/A",IF(INDEX(tblServiceEvents[Service Date],MATCH(C239,tblServiceEvents[Event #],0))=INDEX(tblLedger[Service Date],ROWS($A$202:A239)),"Yes","No")))</x:f>
        <x:v>Yes</x:v>
      </x:c>
      <x:c r="I239" s="384" t="str">
        <x:f>IF(A239="","",IF(E239&lt;&gt;"Yes","N/A",IF(D239="MULTI-WO VISIT","Yes",IF(B239=INDEX(tblServiceEvents[Work Orders],MATCH(C239,tblServiceEvents[Event #],0)),"Yes","No"))))</x:f>
        <x:v>Yes</x:v>
      </x:c>
      <x:c r="J239" s="384" t="str">
        <x:f>IF(A239="","",IF(D239="MAPPING_HOLD","QUARANTINED",IF(AND(E239="Yes",F239="Yes",G239="Yes",H239="Yes",I239="Yes"),"PASS","FAIL")))</x:f>
        <x:v>PASS</x:v>
      </x:c>
      <x:c r="K239"/>
      <x:c r="L239"/>
      <x:c r="M239"/>
      <x:c r="N239"/>
      <x:c r="O239"/>
      <x:c r="P239"/>
      <x:c r="Q239"/>
      <x:c r="R239"/>
      <x:c r="S239"/>
      <x:c r="T239"/>
      <x:c r="U239"/>
      <x:c r="V239"/>
      <x:c r="X239"/>
      <x:c r="Y239"/>
      <x:c r="Z239"/>
      <x:c r="AA239"/>
      <x:c r="AB239"/>
      <x:c r="AC239"/>
      <x:c r="AD239"/>
      <x:c r="AE239"/>
      <x:c r="AF239"/>
      <x:c r="AG239"/>
      <x:c r="AH239"/>
      <x:c r="AI239"/>
      <x:c r="AJ239"/>
      <x:c r="AK239"/>
      <x:c r="AL239"/>
      <x:c r="AM239"/>
      <x:c r="AN239"/>
      <x:c r="AO239"/>
      <x:c r="AP239"/>
      <x:c r="AQ239"/>
      <x:c r="AR239"/>
      <x:c r="AS239"/>
    </x:row>
    <x:row r="240" ht="15" hidden="0" customHeight="1">
      <x:c r="A240" s="384" t="str">
        <x:f>IFERROR(INDEX(tblLedger[Ledger Record ID],ROWS($A$202:A240)),"")</x:f>
        <x:v>LED-0039</x:v>
      </x:c>
      <x:c r="B240" s="384" t="n">
        <x:f>IFERROR(INDEX(tblLedger[Work Order #],ROWS($A$202:A240)),"")</x:f>
        <x:v>5900492</x:v>
      </x:c>
      <x:c r="C240" s="384" t="n">
        <x:f>IFERROR(INDEX(tblLedger[Event #],ROWS($A$202:A240)),"")</x:f>
        <x:v>39</x:v>
      </x:c>
      <x:c r="D240" s="384" t="str">
        <x:f>IFERROR(INDEX(tblLedger[Mapping Status],ROWS($A$202:A240)),"")</x:f>
        <x:v>Unique</x:v>
      </x:c>
      <x:c r="E240" s="384" t="str">
        <x:f>IF(A240="","",IF(D240="MAPPING_HOLD","QUARANTINED",IF(COUNTIF(tblServiceEvents[Event #],C240)=1,"Yes","No")))</x:f>
        <x:v>Yes</x:v>
      </x:c>
      <x:c r="F240" s="384" t="str">
        <x:f>IF(A240="","",IF(E240&lt;&gt;"Yes","N/A",IF(INDEX(tblServiceEvents[Client ID],MATCH(C240,tblServiceEvents[Event #],0))=INDEX(tblLedger[Client ID],ROWS($A$202:A240)),"Yes","No")))</x:f>
        <x:v>Yes</x:v>
      </x:c>
      <x:c r="G240" s="384" t="str">
        <x:f>IF(A240="","",IF(E240&lt;&gt;"Yes","N/A",IF(INDEX(tblServiceEvents[Location Key],MATCH(C240,tblServiceEvents[Event #],0))=INDEX(tblLedger[Location Key],ROWS($A$202:A240)),"Yes","No")))</x:f>
        <x:v>Yes</x:v>
      </x:c>
      <x:c r="H240" s="384" t="str">
        <x:f>IF(A240="","",IF(E240&lt;&gt;"Yes","N/A",IF(INDEX(tblServiceEvents[Service Date],MATCH(C240,tblServiceEvents[Event #],0))=INDEX(tblLedger[Service Date],ROWS($A$202:A240)),"Yes","No")))</x:f>
        <x:v>Yes</x:v>
      </x:c>
      <x:c r="I240" s="384" t="str">
        <x:f>IF(A240="","",IF(E240&lt;&gt;"Yes","N/A",IF(D240="MULTI-WO VISIT","Yes",IF(B240=INDEX(tblServiceEvents[Work Orders],MATCH(C240,tblServiceEvents[Event #],0)),"Yes","No"))))</x:f>
        <x:v>Yes</x:v>
      </x:c>
      <x:c r="J240" s="384" t="str">
        <x:f>IF(A240="","",IF(D240="MAPPING_HOLD","QUARANTINED",IF(AND(E240="Yes",F240="Yes",G240="Yes",H240="Yes",I240="Yes"),"PASS","FAIL")))</x:f>
        <x:v>PASS</x:v>
      </x:c>
      <x:c r="K240"/>
      <x:c r="L240"/>
      <x:c r="M240"/>
      <x:c r="N240"/>
      <x:c r="O240"/>
      <x:c r="P240"/>
      <x:c r="Q240"/>
      <x:c r="R240"/>
      <x:c r="S240"/>
      <x:c r="T240"/>
      <x:c r="U240"/>
      <x:c r="V240"/>
      <x:c r="X240"/>
      <x:c r="Y240"/>
      <x:c r="Z240"/>
      <x:c r="AA240"/>
      <x:c r="AB240"/>
      <x:c r="AC240"/>
      <x:c r="AD240"/>
      <x:c r="AE240"/>
      <x:c r="AF240"/>
      <x:c r="AG240"/>
      <x:c r="AH240"/>
      <x:c r="AI240"/>
      <x:c r="AJ240"/>
      <x:c r="AK240"/>
      <x:c r="AL240"/>
      <x:c r="AM240"/>
      <x:c r="AN240"/>
      <x:c r="AO240"/>
      <x:c r="AP240"/>
      <x:c r="AQ240"/>
      <x:c r="AR240"/>
      <x:c r="AS240"/>
    </x:row>
    <x:row r="241" ht="15" hidden="0" customHeight="1">
      <x:c r="A241" s="384" t="str">
        <x:f>IFERROR(INDEX(tblLedger[Ledger Record ID],ROWS($A$202:A241)),"")</x:f>
        <x:v>LED-0040</x:v>
      </x:c>
      <x:c r="B241" s="384" t="n">
        <x:f>IFERROR(INDEX(tblLedger[Work Order #],ROWS($A$202:A241)),"")</x:f>
        <x:v>5877236</x:v>
      </x:c>
      <x:c r="C241" s="384" t="n">
        <x:f>IFERROR(INDEX(tblLedger[Event #],ROWS($A$202:A241)),"")</x:f>
        <x:v>40</x:v>
      </x:c>
      <x:c r="D241" s="384" t="str">
        <x:f>IFERROR(INDEX(tblLedger[Mapping Status],ROWS($A$202:A241)),"")</x:f>
        <x:v>Unique</x:v>
      </x:c>
      <x:c r="E241" s="384" t="str">
        <x:f>IF(A241="","",IF(D241="MAPPING_HOLD","QUARANTINED",IF(COUNTIF(tblServiceEvents[Event #],C241)=1,"Yes","No")))</x:f>
        <x:v>Yes</x:v>
      </x:c>
      <x:c r="F241" s="384" t="str">
        <x:f>IF(A241="","",IF(E241&lt;&gt;"Yes","N/A",IF(INDEX(tblServiceEvents[Client ID],MATCH(C241,tblServiceEvents[Event #],0))=INDEX(tblLedger[Client ID],ROWS($A$202:A241)),"Yes","No")))</x:f>
        <x:v>Yes</x:v>
      </x:c>
      <x:c r="G241" s="384" t="str">
        <x:f>IF(A241="","",IF(E241&lt;&gt;"Yes","N/A",IF(INDEX(tblServiceEvents[Location Key],MATCH(C241,tblServiceEvents[Event #],0))=INDEX(tblLedger[Location Key],ROWS($A$202:A241)),"Yes","No")))</x:f>
        <x:v>Yes</x:v>
      </x:c>
      <x:c r="H241" s="384" t="str">
        <x:f>IF(A241="","",IF(E241&lt;&gt;"Yes","N/A",IF(INDEX(tblServiceEvents[Service Date],MATCH(C241,tblServiceEvents[Event #],0))=INDEX(tblLedger[Service Date],ROWS($A$202:A241)),"Yes","No")))</x:f>
        <x:v>Yes</x:v>
      </x:c>
      <x:c r="I241" s="384" t="str">
        <x:f>IF(A241="","",IF(E241&lt;&gt;"Yes","N/A",IF(D241="MULTI-WO VISIT","Yes",IF(B241=INDEX(tblServiceEvents[Work Orders],MATCH(C241,tblServiceEvents[Event #],0)),"Yes","No"))))</x:f>
        <x:v>Yes</x:v>
      </x:c>
      <x:c r="J241" s="384" t="str">
        <x:f>IF(A241="","",IF(D241="MAPPING_HOLD","QUARANTINED",IF(AND(E241="Yes",F241="Yes",G241="Yes",H241="Yes",I241="Yes"),"PASS","FAIL")))</x:f>
        <x:v>PASS</x:v>
      </x:c>
      <x:c r="K241"/>
      <x:c r="L241"/>
      <x:c r="M241"/>
      <x:c r="N241"/>
      <x:c r="O241"/>
      <x:c r="P241"/>
      <x:c r="Q241"/>
      <x:c r="R241"/>
      <x:c r="S241"/>
      <x:c r="T241"/>
      <x:c r="U241"/>
      <x:c r="V241"/>
      <x:c r="X241"/>
      <x:c r="Y241"/>
      <x:c r="Z241"/>
      <x:c r="AA241"/>
      <x:c r="AB241"/>
      <x:c r="AC241"/>
      <x:c r="AD241"/>
      <x:c r="AE241"/>
      <x:c r="AF241"/>
      <x:c r="AG241"/>
      <x:c r="AH241"/>
      <x:c r="AI241"/>
      <x:c r="AJ241"/>
      <x:c r="AK241"/>
      <x:c r="AL241"/>
      <x:c r="AM241"/>
      <x:c r="AN241"/>
      <x:c r="AO241"/>
      <x:c r="AP241"/>
      <x:c r="AQ241"/>
      <x:c r="AR241"/>
      <x:c r="AS241"/>
    </x:row>
    <x:row r="242" ht="15" hidden="0" customHeight="1">
      <x:c r="A242" s="384" t="str">
        <x:f>IFERROR(INDEX(tblLedger[Ledger Record ID],ROWS($A$202:A242)),"")</x:f>
        <x:v>LED-0041</x:v>
      </x:c>
      <x:c r="B242" s="384" t="n">
        <x:f>IFERROR(INDEX(tblLedger[Work Order #],ROWS($A$202:A242)),"")</x:f>
        <x:v>5887374</x:v>
      </x:c>
      <x:c r="C242" s="384" t="n">
        <x:f>IFERROR(INDEX(tblLedger[Event #],ROWS($A$202:A242)),"")</x:f>
        <x:v>41</x:v>
      </x:c>
      <x:c r="D242" s="384" t="str">
        <x:f>IFERROR(INDEX(tblLedger[Mapping Status],ROWS($A$202:A242)),"")</x:f>
        <x:v>Unique</x:v>
      </x:c>
      <x:c r="E242" s="384" t="str">
        <x:f>IF(A242="","",IF(D242="MAPPING_HOLD","QUARANTINED",IF(COUNTIF(tblServiceEvents[Event #],C242)=1,"Yes","No")))</x:f>
        <x:v>Yes</x:v>
      </x:c>
      <x:c r="F242" s="384" t="str">
        <x:f>IF(A242="","",IF(E242&lt;&gt;"Yes","N/A",IF(INDEX(tblServiceEvents[Client ID],MATCH(C242,tblServiceEvents[Event #],0))=INDEX(tblLedger[Client ID],ROWS($A$202:A242)),"Yes","No")))</x:f>
        <x:v>Yes</x:v>
      </x:c>
      <x:c r="G242" s="384" t="str">
        <x:f>IF(A242="","",IF(E242&lt;&gt;"Yes","N/A",IF(INDEX(tblServiceEvents[Location Key],MATCH(C242,tblServiceEvents[Event #],0))=INDEX(tblLedger[Location Key],ROWS($A$202:A242)),"Yes","No")))</x:f>
        <x:v>Yes</x:v>
      </x:c>
      <x:c r="H242" s="384" t="str">
        <x:f>IF(A242="","",IF(E242&lt;&gt;"Yes","N/A",IF(INDEX(tblServiceEvents[Service Date],MATCH(C242,tblServiceEvents[Event #],0))=INDEX(tblLedger[Service Date],ROWS($A$202:A242)),"Yes","No")))</x:f>
        <x:v>Yes</x:v>
      </x:c>
      <x:c r="I242" s="384" t="str">
        <x:f>IF(A242="","",IF(E242&lt;&gt;"Yes","N/A",IF(D242="MULTI-WO VISIT","Yes",IF(B242=INDEX(tblServiceEvents[Work Orders],MATCH(C242,tblServiceEvents[Event #],0)),"Yes","No"))))</x:f>
        <x:v>Yes</x:v>
      </x:c>
      <x:c r="J242" s="384" t="str">
        <x:f>IF(A242="","",IF(D242="MAPPING_HOLD","QUARANTINED",IF(AND(E242="Yes",F242="Yes",G242="Yes",H242="Yes",I242="Yes"),"PASS","FAIL")))</x:f>
        <x:v>PASS</x:v>
      </x:c>
      <x:c r="K242"/>
      <x:c r="L242"/>
      <x:c r="M242"/>
      <x:c r="N242"/>
      <x:c r="O242"/>
      <x:c r="P242"/>
      <x:c r="Q242"/>
      <x:c r="R242"/>
      <x:c r="S242"/>
      <x:c r="T242"/>
      <x:c r="U242"/>
      <x:c r="V242"/>
      <x:c r="X242"/>
      <x:c r="Y242"/>
      <x:c r="Z242"/>
      <x:c r="AA242"/>
      <x:c r="AB242"/>
      <x:c r="AC242"/>
      <x:c r="AD242"/>
      <x:c r="AE242"/>
      <x:c r="AF242"/>
      <x:c r="AG242"/>
      <x:c r="AH242"/>
      <x:c r="AI242"/>
      <x:c r="AJ242"/>
      <x:c r="AK242"/>
      <x:c r="AL242"/>
      <x:c r="AM242"/>
      <x:c r="AN242"/>
      <x:c r="AO242"/>
      <x:c r="AP242"/>
      <x:c r="AQ242"/>
      <x:c r="AR242"/>
      <x:c r="AS242"/>
    </x:row>
    <x:row r="243" ht="15" hidden="0" customHeight="1">
      <x:c r="A243" s="384" t="str">
        <x:f>IFERROR(INDEX(tblLedger[Ledger Record ID],ROWS($A$202:A243)),"")</x:f>
        <x:v>LED-0042</x:v>
      </x:c>
      <x:c r="B243" s="384" t="n">
        <x:f>IFERROR(INDEX(tblLedger[Work Order #],ROWS($A$202:A243)),"")</x:f>
        <x:v>5901061</x:v>
      </x:c>
      <x:c r="C243" s="384" t="n">
        <x:f>IFERROR(INDEX(tblLedger[Event #],ROWS($A$202:A243)),"")</x:f>
        <x:v>42</x:v>
      </x:c>
      <x:c r="D243" s="384" t="str">
        <x:f>IFERROR(INDEX(tblLedger[Mapping Status],ROWS($A$202:A243)),"")</x:f>
        <x:v>Unique</x:v>
      </x:c>
      <x:c r="E243" s="384" t="str">
        <x:f>IF(A243="","",IF(D243="MAPPING_HOLD","QUARANTINED",IF(COUNTIF(tblServiceEvents[Event #],C243)=1,"Yes","No")))</x:f>
        <x:v>Yes</x:v>
      </x:c>
      <x:c r="F243" s="384" t="str">
        <x:f>IF(A243="","",IF(E243&lt;&gt;"Yes","N/A",IF(INDEX(tblServiceEvents[Client ID],MATCH(C243,tblServiceEvents[Event #],0))=INDEX(tblLedger[Client ID],ROWS($A$202:A243)),"Yes","No")))</x:f>
        <x:v>Yes</x:v>
      </x:c>
      <x:c r="G243" s="384" t="str">
        <x:f>IF(A243="","",IF(E243&lt;&gt;"Yes","N/A",IF(INDEX(tblServiceEvents[Location Key],MATCH(C243,tblServiceEvents[Event #],0))=INDEX(tblLedger[Location Key],ROWS($A$202:A243)),"Yes","No")))</x:f>
        <x:v>Yes</x:v>
      </x:c>
      <x:c r="H243" s="384" t="str">
        <x:f>IF(A243="","",IF(E243&lt;&gt;"Yes","N/A",IF(INDEX(tblServiceEvents[Service Date],MATCH(C243,tblServiceEvents[Event #],0))=INDEX(tblLedger[Service Date],ROWS($A$202:A243)),"Yes","No")))</x:f>
        <x:v>Yes</x:v>
      </x:c>
      <x:c r="I243" s="384" t="str">
        <x:f>IF(A243="","",IF(E243&lt;&gt;"Yes","N/A",IF(D243="MULTI-WO VISIT","Yes",IF(B243=INDEX(tblServiceEvents[Work Orders],MATCH(C243,tblServiceEvents[Event #],0)),"Yes","No"))))</x:f>
        <x:v>Yes</x:v>
      </x:c>
      <x:c r="J243" s="384" t="str">
        <x:f>IF(A243="","",IF(D243="MAPPING_HOLD","QUARANTINED",IF(AND(E243="Yes",F243="Yes",G243="Yes",H243="Yes",I243="Yes"),"PASS","FAIL")))</x:f>
        <x:v>PASS</x:v>
      </x:c>
      <x:c r="K243"/>
      <x:c r="L243"/>
      <x:c r="M243"/>
      <x:c r="N243"/>
      <x:c r="O243"/>
      <x:c r="P243"/>
      <x:c r="Q243"/>
      <x:c r="R243"/>
      <x:c r="S243"/>
      <x:c r="T243"/>
      <x:c r="U243"/>
      <x:c r="V243"/>
      <x:c r="X243"/>
      <x:c r="Y243"/>
      <x:c r="Z243"/>
      <x:c r="AA243"/>
      <x:c r="AB243"/>
      <x:c r="AC243"/>
      <x:c r="AD243"/>
      <x:c r="AE243"/>
      <x:c r="AF243"/>
      <x:c r="AG243"/>
      <x:c r="AH243"/>
      <x:c r="AI243"/>
      <x:c r="AJ243"/>
      <x:c r="AK243"/>
      <x:c r="AL243"/>
      <x:c r="AM243"/>
      <x:c r="AN243"/>
      <x:c r="AO243"/>
      <x:c r="AP243"/>
      <x:c r="AQ243"/>
      <x:c r="AR243"/>
      <x:c r="AS243"/>
    </x:row>
    <x:row r="244" ht="15" hidden="0" customHeight="1">
      <x:c r="A244" s="384" t="str">
        <x:f>IFERROR(INDEX(tblLedger[Ledger Record ID],ROWS($A$202:A244)),"")</x:f>
        <x:v>LED-0043</x:v>
      </x:c>
      <x:c r="B244" s="384" t="n">
        <x:f>IFERROR(INDEX(tblLedger[Work Order #],ROWS($A$202:A244)),"")</x:f>
        <x:v>5902689</x:v>
      </x:c>
      <x:c r="C244" s="384" t="n">
        <x:f>IFERROR(INDEX(tblLedger[Event #],ROWS($A$202:A244)),"")</x:f>
        <x:v>43</x:v>
      </x:c>
      <x:c r="D244" s="384" t="str">
        <x:f>IFERROR(INDEX(tblLedger[Mapping Status],ROWS($A$202:A244)),"")</x:f>
        <x:v>Unique</x:v>
      </x:c>
      <x:c r="E244" s="384" t="str">
        <x:f>IF(A244="","",IF(D244="MAPPING_HOLD","QUARANTINED",IF(COUNTIF(tblServiceEvents[Event #],C244)=1,"Yes","No")))</x:f>
        <x:v>Yes</x:v>
      </x:c>
      <x:c r="F244" s="384" t="str">
        <x:f>IF(A244="","",IF(E244&lt;&gt;"Yes","N/A",IF(INDEX(tblServiceEvents[Client ID],MATCH(C244,tblServiceEvents[Event #],0))=INDEX(tblLedger[Client ID],ROWS($A$202:A244)),"Yes","No")))</x:f>
        <x:v>Yes</x:v>
      </x:c>
      <x:c r="G244" s="384" t="str">
        <x:f>IF(A244="","",IF(E244&lt;&gt;"Yes","N/A",IF(INDEX(tblServiceEvents[Location Key],MATCH(C244,tblServiceEvents[Event #],0))=INDEX(tblLedger[Location Key],ROWS($A$202:A244)),"Yes","No")))</x:f>
        <x:v>Yes</x:v>
      </x:c>
      <x:c r="H244" s="384" t="str">
        <x:f>IF(A244="","",IF(E244&lt;&gt;"Yes","N/A",IF(INDEX(tblServiceEvents[Service Date],MATCH(C244,tblServiceEvents[Event #],0))=INDEX(tblLedger[Service Date],ROWS($A$202:A244)),"Yes","No")))</x:f>
        <x:v>Yes</x:v>
      </x:c>
      <x:c r="I244" s="384" t="str">
        <x:f>IF(A244="","",IF(E244&lt;&gt;"Yes","N/A",IF(D244="MULTI-WO VISIT","Yes",IF(B244=INDEX(tblServiceEvents[Work Orders],MATCH(C244,tblServiceEvents[Event #],0)),"Yes","No"))))</x:f>
        <x:v>Yes</x:v>
      </x:c>
      <x:c r="J244" s="384" t="str">
        <x:f>IF(A244="","",IF(D244="MAPPING_HOLD","QUARANTINED",IF(AND(E244="Yes",F244="Yes",G244="Yes",H244="Yes",I244="Yes"),"PASS","FAIL")))</x:f>
        <x:v>PASS</x:v>
      </x:c>
      <x:c r="K244"/>
      <x:c r="L244"/>
      <x:c r="M244"/>
      <x:c r="N244"/>
      <x:c r="O244"/>
      <x:c r="P244"/>
      <x:c r="Q244"/>
      <x:c r="R244"/>
      <x:c r="S244"/>
      <x:c r="T244"/>
      <x:c r="U244"/>
      <x:c r="V244"/>
      <x:c r="X244"/>
      <x:c r="Y244"/>
      <x:c r="Z244"/>
      <x:c r="AA244"/>
      <x:c r="AB244"/>
      <x:c r="AC244"/>
      <x:c r="AD244"/>
      <x:c r="AE244"/>
      <x:c r="AF244"/>
      <x:c r="AG244"/>
      <x:c r="AH244"/>
      <x:c r="AI244"/>
      <x:c r="AJ244"/>
      <x:c r="AK244"/>
      <x:c r="AL244"/>
      <x:c r="AM244"/>
      <x:c r="AN244"/>
      <x:c r="AO244"/>
      <x:c r="AP244"/>
      <x:c r="AQ244"/>
      <x:c r="AR244"/>
      <x:c r="AS244"/>
    </x:row>
    <x:row r="245" ht="15" hidden="0" customHeight="1">
      <x:c r="A245" s="384" t="str">
        <x:f>IFERROR(INDEX(tblLedger[Ledger Record ID],ROWS($A$202:A245)),"")</x:f>
        <x:v>LED-0044</x:v>
      </x:c>
      <x:c r="B245" s="384" t="n">
        <x:f>IFERROR(INDEX(tblLedger[Work Order #],ROWS($A$202:A245)),"")</x:f>
        <x:v>5902930</x:v>
      </x:c>
      <x:c r="C245" s="384" t="n">
        <x:f>IFERROR(INDEX(tblLedger[Event #],ROWS($A$202:A245)),"")</x:f>
        <x:v>44</x:v>
      </x:c>
      <x:c r="D245" s="384" t="str">
        <x:f>IFERROR(INDEX(tblLedger[Mapping Status],ROWS($A$202:A245)),"")</x:f>
        <x:v>Unique</x:v>
      </x:c>
      <x:c r="E245" s="384" t="str">
        <x:f>IF(A245="","",IF(D245="MAPPING_HOLD","QUARANTINED",IF(COUNTIF(tblServiceEvents[Event #],C245)=1,"Yes","No")))</x:f>
        <x:v>Yes</x:v>
      </x:c>
      <x:c r="F245" s="384" t="str">
        <x:f>IF(A245="","",IF(E245&lt;&gt;"Yes","N/A",IF(INDEX(tblServiceEvents[Client ID],MATCH(C245,tblServiceEvents[Event #],0))=INDEX(tblLedger[Client ID],ROWS($A$202:A245)),"Yes","No")))</x:f>
        <x:v>Yes</x:v>
      </x:c>
      <x:c r="G245" s="384" t="str">
        <x:f>IF(A245="","",IF(E245&lt;&gt;"Yes","N/A",IF(INDEX(tblServiceEvents[Location Key],MATCH(C245,tblServiceEvents[Event #],0))=INDEX(tblLedger[Location Key],ROWS($A$202:A245)),"Yes","No")))</x:f>
        <x:v>Yes</x:v>
      </x:c>
      <x:c r="H245" s="384" t="str">
        <x:f>IF(A245="","",IF(E245&lt;&gt;"Yes","N/A",IF(INDEX(tblServiceEvents[Service Date],MATCH(C245,tblServiceEvents[Event #],0))=INDEX(tblLedger[Service Date],ROWS($A$202:A245)),"Yes","No")))</x:f>
        <x:v>Yes</x:v>
      </x:c>
      <x:c r="I245" s="384" t="str">
        <x:f>IF(A245="","",IF(E245&lt;&gt;"Yes","N/A",IF(D245="MULTI-WO VISIT","Yes",IF(B245=INDEX(tblServiceEvents[Work Orders],MATCH(C245,tblServiceEvents[Event #],0)),"Yes","No"))))</x:f>
        <x:v>Yes</x:v>
      </x:c>
      <x:c r="J245" s="384" t="str">
        <x:f>IF(A245="","",IF(D245="MAPPING_HOLD","QUARANTINED",IF(AND(E245="Yes",F245="Yes",G245="Yes",H245="Yes",I245="Yes"),"PASS","FAIL")))</x:f>
        <x:v>PASS</x:v>
      </x:c>
      <x:c r="K245"/>
      <x:c r="L245"/>
      <x:c r="M245"/>
      <x:c r="N245"/>
      <x:c r="O245"/>
      <x:c r="P245"/>
      <x:c r="Q245"/>
      <x:c r="R245"/>
      <x:c r="S245"/>
      <x:c r="T245"/>
      <x:c r="U245"/>
      <x:c r="V245"/>
      <x:c r="X245"/>
      <x:c r="Y245"/>
      <x:c r="Z245"/>
      <x:c r="AA245"/>
      <x:c r="AB245"/>
      <x:c r="AC245"/>
      <x:c r="AD245"/>
      <x:c r="AE245"/>
      <x:c r="AF245"/>
      <x:c r="AG245"/>
      <x:c r="AH245"/>
      <x:c r="AI245"/>
      <x:c r="AJ245"/>
      <x:c r="AK245"/>
      <x:c r="AL245"/>
      <x:c r="AM245"/>
      <x:c r="AN245"/>
      <x:c r="AO245"/>
      <x:c r="AP245"/>
      <x:c r="AQ245"/>
      <x:c r="AR245"/>
      <x:c r="AS245"/>
    </x:row>
    <x:row r="246" ht="15" hidden="0" customHeight="1">
      <x:c r="A246" s="384" t="str">
        <x:f>IFERROR(INDEX(tblLedger[Ledger Record ID],ROWS($A$202:A246)),"")</x:f>
        <x:v>LED-0045</x:v>
      </x:c>
      <x:c r="B246" s="384" t="n">
        <x:f>IFERROR(INDEX(tblLedger[Work Order #],ROWS($A$202:A246)),"")</x:f>
        <x:v>5900963</x:v>
      </x:c>
      <x:c r="C246" s="384" t="n">
        <x:f>IFERROR(INDEX(tblLedger[Event #],ROWS($A$202:A246)),"")</x:f>
        <x:v>45</x:v>
      </x:c>
      <x:c r="D246" s="384" t="str">
        <x:f>IFERROR(INDEX(tblLedger[Mapping Status],ROWS($A$202:A246)),"")</x:f>
        <x:v>Unique</x:v>
      </x:c>
      <x:c r="E246" s="384" t="str">
        <x:f>IF(A246="","",IF(D246="MAPPING_HOLD","QUARANTINED",IF(COUNTIF(tblServiceEvents[Event #],C246)=1,"Yes","No")))</x:f>
        <x:v>Yes</x:v>
      </x:c>
      <x:c r="F246" s="384" t="str">
        <x:f>IF(A246="","",IF(E246&lt;&gt;"Yes","N/A",IF(INDEX(tblServiceEvents[Client ID],MATCH(C246,tblServiceEvents[Event #],0))=INDEX(tblLedger[Client ID],ROWS($A$202:A246)),"Yes","No")))</x:f>
        <x:v>Yes</x:v>
      </x:c>
      <x:c r="G246" s="384" t="str">
        <x:f>IF(A246="","",IF(E246&lt;&gt;"Yes","N/A",IF(INDEX(tblServiceEvents[Location Key],MATCH(C246,tblServiceEvents[Event #],0))=INDEX(tblLedger[Location Key],ROWS($A$202:A246)),"Yes","No")))</x:f>
        <x:v>Yes</x:v>
      </x:c>
      <x:c r="H246" s="384" t="str">
        <x:f>IF(A246="","",IF(E246&lt;&gt;"Yes","N/A",IF(INDEX(tblServiceEvents[Service Date],MATCH(C246,tblServiceEvents[Event #],0))=INDEX(tblLedger[Service Date],ROWS($A$202:A246)),"Yes","No")))</x:f>
        <x:v>Yes</x:v>
      </x:c>
      <x:c r="I246" s="384" t="str">
        <x:f>IF(A246="","",IF(E246&lt;&gt;"Yes","N/A",IF(D246="MULTI-WO VISIT","Yes",IF(B246=INDEX(tblServiceEvents[Work Orders],MATCH(C246,tblServiceEvents[Event #],0)),"Yes","No"))))</x:f>
        <x:v>Yes</x:v>
      </x:c>
      <x:c r="J246" s="384" t="str">
        <x:f>IF(A246="","",IF(D246="MAPPING_HOLD","QUARANTINED",IF(AND(E246="Yes",F246="Yes",G246="Yes",H246="Yes",I246="Yes"),"PASS","FAIL")))</x:f>
        <x:v>PASS</x:v>
      </x:c>
      <x:c r="K246"/>
      <x:c r="L246"/>
      <x:c r="M246"/>
      <x:c r="N246"/>
      <x:c r="O246"/>
      <x:c r="P246"/>
      <x:c r="Q246"/>
      <x:c r="R246"/>
      <x:c r="S246"/>
      <x:c r="T246"/>
      <x:c r="U246"/>
      <x:c r="V246"/>
      <x:c r="X246"/>
      <x:c r="Y246"/>
      <x:c r="Z246"/>
      <x:c r="AA246"/>
      <x:c r="AB246"/>
      <x:c r="AC246"/>
      <x:c r="AD246"/>
      <x:c r="AE246"/>
      <x:c r="AF246"/>
      <x:c r="AG246"/>
      <x:c r="AH246"/>
      <x:c r="AI246"/>
      <x:c r="AJ246"/>
      <x:c r="AK246"/>
      <x:c r="AL246"/>
      <x:c r="AM246"/>
      <x:c r="AN246"/>
      <x:c r="AO246"/>
      <x:c r="AP246"/>
      <x:c r="AQ246"/>
      <x:c r="AR246"/>
      <x:c r="AS246"/>
    </x:row>
    <x:row r="247" ht="15" hidden="0" customHeight="1">
      <x:c r="A247" s="384" t="str">
        <x:f>IFERROR(INDEX(tblLedger[Ledger Record ID],ROWS($A$202:A247)),"")</x:f>
        <x:v>LED-0046</x:v>
      </x:c>
      <x:c r="B247" s="384" t="n">
        <x:f>IFERROR(INDEX(tblLedger[Work Order #],ROWS($A$202:A247)),"")</x:f>
        <x:v>5904843</x:v>
      </x:c>
      <x:c r="C247" s="384" t="n">
        <x:f>IFERROR(INDEX(tblLedger[Event #],ROWS($A$202:A247)),"")</x:f>
        <x:v>46</x:v>
      </x:c>
      <x:c r="D247" s="384" t="str">
        <x:f>IFERROR(INDEX(tblLedger[Mapping Status],ROWS($A$202:A247)),"")</x:f>
        <x:v>Unique</x:v>
      </x:c>
      <x:c r="E247" s="384" t="str">
        <x:f>IF(A247="","",IF(D247="MAPPING_HOLD","QUARANTINED",IF(COUNTIF(tblServiceEvents[Event #],C247)=1,"Yes","No")))</x:f>
        <x:v>Yes</x:v>
      </x:c>
      <x:c r="F247" s="384" t="str">
        <x:f>IF(A247="","",IF(E247&lt;&gt;"Yes","N/A",IF(INDEX(tblServiceEvents[Client ID],MATCH(C247,tblServiceEvents[Event #],0))=INDEX(tblLedger[Client ID],ROWS($A$202:A247)),"Yes","No")))</x:f>
        <x:v>Yes</x:v>
      </x:c>
      <x:c r="G247" s="384" t="str">
        <x:f>IF(A247="","",IF(E247&lt;&gt;"Yes","N/A",IF(INDEX(tblServiceEvents[Location Key],MATCH(C247,tblServiceEvents[Event #],0))=INDEX(tblLedger[Location Key],ROWS($A$202:A247)),"Yes","No")))</x:f>
        <x:v>Yes</x:v>
      </x:c>
      <x:c r="H247" s="384" t="str">
        <x:f>IF(A247="","",IF(E247&lt;&gt;"Yes","N/A",IF(INDEX(tblServiceEvents[Service Date],MATCH(C247,tblServiceEvents[Event #],0))=INDEX(tblLedger[Service Date],ROWS($A$202:A247)),"Yes","No")))</x:f>
        <x:v>Yes</x:v>
      </x:c>
      <x:c r="I247" s="384" t="str">
        <x:f>IF(A247="","",IF(E247&lt;&gt;"Yes","N/A",IF(D247="MULTI-WO VISIT","Yes",IF(B247=INDEX(tblServiceEvents[Work Orders],MATCH(C247,tblServiceEvents[Event #],0)),"Yes","No"))))</x:f>
        <x:v>Yes</x:v>
      </x:c>
      <x:c r="J247" s="384" t="str">
        <x:f>IF(A247="","",IF(D247="MAPPING_HOLD","QUARANTINED",IF(AND(E247="Yes",F247="Yes",G247="Yes",H247="Yes",I247="Yes"),"PASS","FAIL")))</x:f>
        <x:v>PASS</x:v>
      </x:c>
      <x:c r="K247"/>
      <x:c r="L247"/>
      <x:c r="M247"/>
      <x:c r="N247"/>
      <x:c r="O247"/>
      <x:c r="P247"/>
      <x:c r="Q247"/>
      <x:c r="R247"/>
      <x:c r="S247"/>
      <x:c r="T247"/>
      <x:c r="U247"/>
      <x:c r="V247"/>
      <x:c r="X247"/>
      <x:c r="Y247"/>
      <x:c r="Z247"/>
      <x:c r="AA247"/>
      <x:c r="AB247"/>
      <x:c r="AC247"/>
      <x:c r="AD247"/>
      <x:c r="AE247"/>
      <x:c r="AF247"/>
      <x:c r="AG247"/>
      <x:c r="AH247"/>
      <x:c r="AI247"/>
      <x:c r="AJ247"/>
      <x:c r="AK247"/>
      <x:c r="AL247"/>
      <x:c r="AM247"/>
      <x:c r="AN247"/>
      <x:c r="AO247"/>
      <x:c r="AP247"/>
      <x:c r="AQ247"/>
      <x:c r="AR247"/>
      <x:c r="AS247"/>
    </x:row>
    <x:row r="248" ht="15" hidden="0" customHeight="1">
      <x:c r="A248" s="384" t="str">
        <x:f>IFERROR(INDEX(tblLedger[Ledger Record ID],ROWS($A$202:A248)),"")</x:f>
        <x:v>LED-0047</x:v>
      </x:c>
      <x:c r="B248" s="384" t="n">
        <x:f>IFERROR(INDEX(tblLedger[Work Order #],ROWS($A$202:A248)),"")</x:f>
        <x:v>5898644</x:v>
      </x:c>
      <x:c r="C248" s="384" t="n">
        <x:f>IFERROR(INDEX(tblLedger[Event #],ROWS($A$202:A248)),"")</x:f>
        <x:v>47</x:v>
      </x:c>
      <x:c r="D248" s="384" t="str">
        <x:f>IFERROR(INDEX(tblLedger[Mapping Status],ROWS($A$202:A248)),"")</x:f>
        <x:v>Unique</x:v>
      </x:c>
      <x:c r="E248" s="384" t="str">
        <x:f>IF(A248="","",IF(D248="MAPPING_HOLD","QUARANTINED",IF(COUNTIF(tblServiceEvents[Event #],C248)=1,"Yes","No")))</x:f>
        <x:v>Yes</x:v>
      </x:c>
      <x:c r="F248" s="384" t="str">
        <x:f>IF(A248="","",IF(E248&lt;&gt;"Yes","N/A",IF(INDEX(tblServiceEvents[Client ID],MATCH(C248,tblServiceEvents[Event #],0))=INDEX(tblLedger[Client ID],ROWS($A$202:A248)),"Yes","No")))</x:f>
        <x:v>Yes</x:v>
      </x:c>
      <x:c r="G248" s="384" t="str">
        <x:f>IF(A248="","",IF(E248&lt;&gt;"Yes","N/A",IF(INDEX(tblServiceEvents[Location Key],MATCH(C248,tblServiceEvents[Event #],0))=INDEX(tblLedger[Location Key],ROWS($A$202:A248)),"Yes","No")))</x:f>
        <x:v>Yes</x:v>
      </x:c>
      <x:c r="H248" s="384" t="str">
        <x:f>IF(A248="","",IF(E248&lt;&gt;"Yes","N/A",IF(INDEX(tblServiceEvents[Service Date],MATCH(C248,tblServiceEvents[Event #],0))=INDEX(tblLedger[Service Date],ROWS($A$202:A248)),"Yes","No")))</x:f>
        <x:v>Yes</x:v>
      </x:c>
      <x:c r="I248" s="384" t="str">
        <x:f>IF(A248="","",IF(E248&lt;&gt;"Yes","N/A",IF(D248="MULTI-WO VISIT","Yes",IF(B248=INDEX(tblServiceEvents[Work Orders],MATCH(C248,tblServiceEvents[Event #],0)),"Yes","No"))))</x:f>
        <x:v>Yes</x:v>
      </x:c>
      <x:c r="J248" s="384" t="str">
        <x:f>IF(A248="","",IF(D248="MAPPING_HOLD","QUARANTINED",IF(AND(E248="Yes",F248="Yes",G248="Yes",H248="Yes",I248="Yes"),"PASS","FAIL")))</x:f>
        <x:v>PASS</x:v>
      </x:c>
      <x:c r="K248"/>
      <x:c r="L248"/>
      <x:c r="M248"/>
      <x:c r="N248"/>
      <x:c r="O248"/>
      <x:c r="P248"/>
      <x:c r="Q248"/>
      <x:c r="R248"/>
      <x:c r="S248"/>
      <x:c r="T248"/>
      <x:c r="U248"/>
      <x:c r="V248"/>
      <x:c r="X248"/>
      <x:c r="Y248"/>
      <x:c r="Z248"/>
      <x:c r="AA248"/>
      <x:c r="AB248"/>
      <x:c r="AC248"/>
      <x:c r="AD248"/>
      <x:c r="AE248"/>
      <x:c r="AF248"/>
      <x:c r="AG248"/>
      <x:c r="AH248"/>
      <x:c r="AI248"/>
      <x:c r="AJ248"/>
      <x:c r="AK248"/>
      <x:c r="AL248"/>
      <x:c r="AM248"/>
      <x:c r="AN248"/>
      <x:c r="AO248"/>
      <x:c r="AP248"/>
      <x:c r="AQ248"/>
      <x:c r="AR248"/>
      <x:c r="AS248"/>
    </x:row>
    <x:row r="249" ht="15" hidden="0" customHeight="1">
      <x:c r="A249" s="384" t="str">
        <x:f>IFERROR(INDEX(tblLedger[Ledger Record ID],ROWS($A$202:A249)),"")</x:f>
        <x:v>LED-0048</x:v>
      </x:c>
      <x:c r="B249" s="384" t="n">
        <x:f>IFERROR(INDEX(tblLedger[Work Order #],ROWS($A$202:A249)),"")</x:f>
        <x:v>5905576</x:v>
      </x:c>
      <x:c r="C249" s="384" t="n">
        <x:f>IFERROR(INDEX(tblLedger[Event #],ROWS($A$202:A249)),"")</x:f>
        <x:v>48</x:v>
      </x:c>
      <x:c r="D249" s="384" t="str">
        <x:f>IFERROR(INDEX(tblLedger[Mapping Status],ROWS($A$202:A249)),"")</x:f>
        <x:v>Unique</x:v>
      </x:c>
      <x:c r="E249" s="384" t="str">
        <x:f>IF(A249="","",IF(D249="MAPPING_HOLD","QUARANTINED",IF(COUNTIF(tblServiceEvents[Event #],C249)=1,"Yes","No")))</x:f>
        <x:v>Yes</x:v>
      </x:c>
      <x:c r="F249" s="384" t="str">
        <x:f>IF(A249="","",IF(E249&lt;&gt;"Yes","N/A",IF(INDEX(tblServiceEvents[Client ID],MATCH(C249,tblServiceEvents[Event #],0))=INDEX(tblLedger[Client ID],ROWS($A$202:A249)),"Yes","No")))</x:f>
        <x:v>Yes</x:v>
      </x:c>
      <x:c r="G249" s="384" t="str">
        <x:f>IF(A249="","",IF(E249&lt;&gt;"Yes","N/A",IF(INDEX(tblServiceEvents[Location Key],MATCH(C249,tblServiceEvents[Event #],0))=INDEX(tblLedger[Location Key],ROWS($A$202:A249)),"Yes","No")))</x:f>
        <x:v>Yes</x:v>
      </x:c>
      <x:c r="H249" s="384" t="str">
        <x:f>IF(A249="","",IF(E249&lt;&gt;"Yes","N/A",IF(INDEX(tblServiceEvents[Service Date],MATCH(C249,tblServiceEvents[Event #],0))=INDEX(tblLedger[Service Date],ROWS($A$202:A249)),"Yes","No")))</x:f>
        <x:v>Yes</x:v>
      </x:c>
      <x:c r="I249" s="384" t="str">
        <x:f>IF(A249="","",IF(E249&lt;&gt;"Yes","N/A",IF(D249="MULTI-WO VISIT","Yes",IF(B249=INDEX(tblServiceEvents[Work Orders],MATCH(C249,tblServiceEvents[Event #],0)),"Yes","No"))))</x:f>
        <x:v>Yes</x:v>
      </x:c>
      <x:c r="J249" s="384" t="str">
        <x:f>IF(A249="","",IF(D249="MAPPING_HOLD","QUARANTINED",IF(AND(E249="Yes",F249="Yes",G249="Yes",H249="Yes",I249="Yes"),"PASS","FAIL")))</x:f>
        <x:v>PASS</x:v>
      </x:c>
      <x:c r="K249"/>
      <x:c r="L249"/>
      <x:c r="M249"/>
      <x:c r="N249"/>
      <x:c r="O249"/>
      <x:c r="P249"/>
      <x:c r="Q249"/>
      <x:c r="R249"/>
      <x:c r="S249"/>
      <x:c r="T249"/>
      <x:c r="U249"/>
      <x:c r="V249"/>
      <x:c r="X249"/>
      <x:c r="Y249"/>
      <x:c r="Z249"/>
      <x:c r="AA249"/>
      <x:c r="AB249"/>
      <x:c r="AC249"/>
      <x:c r="AD249"/>
      <x:c r="AE249"/>
      <x:c r="AF249"/>
      <x:c r="AG249"/>
      <x:c r="AH249"/>
      <x:c r="AI249"/>
      <x:c r="AJ249"/>
      <x:c r="AK249"/>
      <x:c r="AL249"/>
      <x:c r="AM249"/>
      <x:c r="AN249"/>
      <x:c r="AO249"/>
      <x:c r="AP249"/>
      <x:c r="AQ249"/>
      <x:c r="AR249"/>
      <x:c r="AS249"/>
    </x:row>
    <x:row r="250" ht="15" hidden="0" customHeight="1">
      <x:c r="A250" s="384" t="str">
        <x:f>IFERROR(INDEX(tblLedger[Ledger Record ID],ROWS($A$202:A250)),"")</x:f>
        <x:v>LED-0049</x:v>
      </x:c>
      <x:c r="B250" s="384" t="n">
        <x:f>IFERROR(INDEX(tblLedger[Work Order #],ROWS($A$202:A250)),"")</x:f>
        <x:v>5899546</x:v>
      </x:c>
      <x:c r="C250" s="384" t="n">
        <x:f>IFERROR(INDEX(tblLedger[Event #],ROWS($A$202:A250)),"")</x:f>
        <x:v>49</x:v>
      </x:c>
      <x:c r="D250" s="384" t="str">
        <x:f>IFERROR(INDEX(tblLedger[Mapping Status],ROWS($A$202:A250)),"")</x:f>
        <x:v>Unique</x:v>
      </x:c>
      <x:c r="E250" s="384" t="str">
        <x:f>IF(A250="","",IF(D250="MAPPING_HOLD","QUARANTINED",IF(COUNTIF(tblServiceEvents[Event #],C250)=1,"Yes","No")))</x:f>
        <x:v>Yes</x:v>
      </x:c>
      <x:c r="F250" s="384" t="str">
        <x:f>IF(A250="","",IF(E250&lt;&gt;"Yes","N/A",IF(INDEX(tblServiceEvents[Client ID],MATCH(C250,tblServiceEvents[Event #],0))=INDEX(tblLedger[Client ID],ROWS($A$202:A250)),"Yes","No")))</x:f>
        <x:v>Yes</x:v>
      </x:c>
      <x:c r="G250" s="384" t="str">
        <x:f>IF(A250="","",IF(E250&lt;&gt;"Yes","N/A",IF(INDEX(tblServiceEvents[Location Key],MATCH(C250,tblServiceEvents[Event #],0))=INDEX(tblLedger[Location Key],ROWS($A$202:A250)),"Yes","No")))</x:f>
        <x:v>Yes</x:v>
      </x:c>
      <x:c r="H250" s="384" t="str">
        <x:f>IF(A250="","",IF(E250&lt;&gt;"Yes","N/A",IF(INDEX(tblServiceEvents[Service Date],MATCH(C250,tblServiceEvents[Event #],0))=INDEX(tblLedger[Service Date],ROWS($A$202:A250)),"Yes","No")))</x:f>
        <x:v>Yes</x:v>
      </x:c>
      <x:c r="I250" s="384" t="str">
        <x:f>IF(A250="","",IF(E250&lt;&gt;"Yes","N/A",IF(D250="MULTI-WO VISIT","Yes",IF(B250=INDEX(tblServiceEvents[Work Orders],MATCH(C250,tblServiceEvents[Event #],0)),"Yes","No"))))</x:f>
        <x:v>Yes</x:v>
      </x:c>
      <x:c r="J250" s="384" t="str">
        <x:f>IF(A250="","",IF(D250="MAPPING_HOLD","QUARANTINED",IF(AND(E250="Yes",F250="Yes",G250="Yes",H250="Yes",I250="Yes"),"PASS","FAIL")))</x:f>
        <x:v>PASS</x:v>
      </x:c>
      <x:c r="K250"/>
      <x:c r="L250"/>
      <x:c r="M250"/>
      <x:c r="N250"/>
      <x:c r="O250"/>
      <x:c r="P250"/>
      <x:c r="Q250"/>
      <x:c r="R250"/>
      <x:c r="S250"/>
      <x:c r="T250"/>
      <x:c r="U250"/>
      <x:c r="V250"/>
      <x:c r="X250"/>
      <x:c r="Y250"/>
      <x:c r="Z250"/>
      <x:c r="AA250"/>
      <x:c r="AB250"/>
      <x:c r="AC250"/>
      <x:c r="AD250"/>
      <x:c r="AE250"/>
      <x:c r="AF250"/>
      <x:c r="AG250"/>
      <x:c r="AH250"/>
      <x:c r="AI250"/>
      <x:c r="AJ250"/>
      <x:c r="AK250"/>
      <x:c r="AL250"/>
      <x:c r="AM250"/>
      <x:c r="AN250"/>
      <x:c r="AO250"/>
      <x:c r="AP250"/>
      <x:c r="AQ250"/>
      <x:c r="AR250"/>
      <x:c r="AS250"/>
    </x:row>
    <x:row r="251" ht="15" hidden="0" customHeight="1">
      <x:c r="A251" s="384" t="str">
        <x:f>IFERROR(INDEX(tblLedger[Ledger Record ID],ROWS($A$202:A251)),"")</x:f>
        <x:v>LED-0050</x:v>
      </x:c>
      <x:c r="B251" s="384" t="n">
        <x:f>IFERROR(INDEX(tblLedger[Work Order #],ROWS($A$202:A251)),"")</x:f>
        <x:v>5903036</x:v>
      </x:c>
      <x:c r="C251" s="384" t="n">
        <x:f>IFERROR(INDEX(tblLedger[Event #],ROWS($A$202:A251)),"")</x:f>
        <x:v>50</x:v>
      </x:c>
      <x:c r="D251" s="384" t="str">
        <x:f>IFERROR(INDEX(tblLedger[Mapping Status],ROWS($A$202:A251)),"")</x:f>
        <x:v>Unique</x:v>
      </x:c>
      <x:c r="E251" s="384" t="str">
        <x:f>IF(A251="","",IF(D251="MAPPING_HOLD","QUARANTINED",IF(COUNTIF(tblServiceEvents[Event #],C251)=1,"Yes","No")))</x:f>
        <x:v>Yes</x:v>
      </x:c>
      <x:c r="F251" s="384" t="str">
        <x:f>IF(A251="","",IF(E251&lt;&gt;"Yes","N/A",IF(INDEX(tblServiceEvents[Client ID],MATCH(C251,tblServiceEvents[Event #],0))=INDEX(tblLedger[Client ID],ROWS($A$202:A251)),"Yes","No")))</x:f>
        <x:v>Yes</x:v>
      </x:c>
      <x:c r="G251" s="384" t="str">
        <x:f>IF(A251="","",IF(E251&lt;&gt;"Yes","N/A",IF(INDEX(tblServiceEvents[Location Key],MATCH(C251,tblServiceEvents[Event #],0))=INDEX(tblLedger[Location Key],ROWS($A$202:A251)),"Yes","No")))</x:f>
        <x:v>Yes</x:v>
      </x:c>
      <x:c r="H251" s="384" t="str">
        <x:f>IF(A251="","",IF(E251&lt;&gt;"Yes","N/A",IF(INDEX(tblServiceEvents[Service Date],MATCH(C251,tblServiceEvents[Event #],0))=INDEX(tblLedger[Service Date],ROWS($A$202:A251)),"Yes","No")))</x:f>
        <x:v>Yes</x:v>
      </x:c>
      <x:c r="I251" s="384" t="str">
        <x:f>IF(A251="","",IF(E251&lt;&gt;"Yes","N/A",IF(D251="MULTI-WO VISIT","Yes",IF(B251=INDEX(tblServiceEvents[Work Orders],MATCH(C251,tblServiceEvents[Event #],0)),"Yes","No"))))</x:f>
        <x:v>Yes</x:v>
      </x:c>
      <x:c r="J251" s="384" t="str">
        <x:f>IF(A251="","",IF(D251="MAPPING_HOLD","QUARANTINED",IF(AND(E251="Yes",F251="Yes",G251="Yes",H251="Yes",I251="Yes"),"PASS","FAIL")))</x:f>
        <x:v>PASS</x:v>
      </x:c>
      <x:c r="K251"/>
      <x:c r="L251"/>
      <x:c r="M251"/>
      <x:c r="N251"/>
      <x:c r="O251"/>
      <x:c r="P251"/>
      <x:c r="Q251"/>
      <x:c r="R251"/>
      <x:c r="S251"/>
      <x:c r="T251"/>
      <x:c r="U251"/>
      <x:c r="V251"/>
      <x:c r="X251"/>
      <x:c r="Y251"/>
      <x:c r="Z251"/>
      <x:c r="AA251"/>
      <x:c r="AB251"/>
      <x:c r="AC251"/>
      <x:c r="AD251"/>
      <x:c r="AE251"/>
      <x:c r="AF251"/>
      <x:c r="AG251"/>
      <x:c r="AH251"/>
      <x:c r="AI251"/>
      <x:c r="AJ251"/>
      <x:c r="AK251"/>
      <x:c r="AL251"/>
      <x:c r="AM251"/>
      <x:c r="AN251"/>
      <x:c r="AO251"/>
      <x:c r="AP251"/>
      <x:c r="AQ251"/>
      <x:c r="AR251"/>
      <x:c r="AS251"/>
    </x:row>
    <x:row r="252" ht="15" hidden="0" customHeight="1">
      <x:c r="A252" s="384" t="str">
        <x:f>IFERROR(INDEX(tblLedger[Ledger Record ID],ROWS($A$202:A252)),"")</x:f>
        <x:v>LED-0051</x:v>
      </x:c>
      <x:c r="B252" s="384" t="n">
        <x:f>IFERROR(INDEX(tblLedger[Work Order #],ROWS($A$202:A252)),"")</x:f>
        <x:v>5906380</x:v>
      </x:c>
      <x:c r="C252" s="384" t="n">
        <x:f>IFERROR(INDEX(tblLedger[Event #],ROWS($A$202:A252)),"")</x:f>
        <x:v>52</x:v>
      </x:c>
      <x:c r="D252" s="384" t="str">
        <x:f>IFERROR(INDEX(tblLedger[Mapping Status],ROWS($A$202:A252)),"")</x:f>
        <x:v>Unique</x:v>
      </x:c>
      <x:c r="E252" s="384" t="str">
        <x:f>IF(A252="","",IF(D252="MAPPING_HOLD","QUARANTINED",IF(COUNTIF(tblServiceEvents[Event #],C252)=1,"Yes","No")))</x:f>
        <x:v>Yes</x:v>
      </x:c>
      <x:c r="F252" s="384" t="str">
        <x:f>IF(A252="","",IF(E252&lt;&gt;"Yes","N/A",IF(INDEX(tblServiceEvents[Client ID],MATCH(C252,tblServiceEvents[Event #],0))=INDEX(tblLedger[Client ID],ROWS($A$202:A252)),"Yes","No")))</x:f>
        <x:v>Yes</x:v>
      </x:c>
      <x:c r="G252" s="384" t="str">
        <x:f>IF(A252="","",IF(E252&lt;&gt;"Yes","N/A",IF(INDEX(tblServiceEvents[Location Key],MATCH(C252,tblServiceEvents[Event #],0))=INDEX(tblLedger[Location Key],ROWS($A$202:A252)),"Yes","No")))</x:f>
        <x:v>Yes</x:v>
      </x:c>
      <x:c r="H252" s="384" t="str">
        <x:f>IF(A252="","",IF(E252&lt;&gt;"Yes","N/A",IF(INDEX(tblServiceEvents[Service Date],MATCH(C252,tblServiceEvents[Event #],0))=INDEX(tblLedger[Service Date],ROWS($A$202:A252)),"Yes","No")))</x:f>
        <x:v>Yes</x:v>
      </x:c>
      <x:c r="I252" s="384" t="str">
        <x:f>IF(A252="","",IF(E252&lt;&gt;"Yes","N/A",IF(D252="MULTI-WO VISIT","Yes",IF(B252=INDEX(tblServiceEvents[Work Orders],MATCH(C252,tblServiceEvents[Event #],0)),"Yes","No"))))</x:f>
        <x:v>Yes</x:v>
      </x:c>
      <x:c r="J252" s="384" t="str">
        <x:f>IF(A252="","",IF(D252="MAPPING_HOLD","QUARANTINED",IF(AND(E252="Yes",F252="Yes",G252="Yes",H252="Yes",I252="Yes"),"PASS","FAIL")))</x:f>
        <x:v>PASS</x:v>
      </x:c>
      <x:c r="K252"/>
      <x:c r="L252"/>
      <x:c r="M252"/>
      <x:c r="N252"/>
      <x:c r="O252"/>
      <x:c r="P252"/>
      <x:c r="Q252"/>
      <x:c r="R252"/>
      <x:c r="S252"/>
      <x:c r="T252"/>
      <x:c r="U252"/>
      <x:c r="V252"/>
      <x:c r="X252"/>
      <x:c r="Y252"/>
      <x:c r="Z252"/>
      <x:c r="AA252"/>
      <x:c r="AB252"/>
      <x:c r="AC252"/>
      <x:c r="AD252"/>
      <x:c r="AE252"/>
      <x:c r="AF252"/>
      <x:c r="AG252"/>
      <x:c r="AH252"/>
      <x:c r="AI252"/>
      <x:c r="AJ252"/>
      <x:c r="AK252"/>
      <x:c r="AL252"/>
      <x:c r="AM252"/>
      <x:c r="AN252"/>
      <x:c r="AO252"/>
      <x:c r="AP252"/>
      <x:c r="AQ252"/>
      <x:c r="AR252"/>
      <x:c r="AS252"/>
    </x:row>
    <x:row r="253" ht="15" hidden="0" customHeight="1">
      <x:c r="A253" s="384" t="str">
        <x:f>IFERROR(INDEX(tblLedger[Ledger Record ID],ROWS($A$202:A253)),"")</x:f>
        <x:v>LED-0052</x:v>
      </x:c>
      <x:c r="B253" s="384" t="n">
        <x:f>IFERROR(INDEX(tblLedger[Work Order #],ROWS($A$202:A253)),"")</x:f>
        <x:v>5907571</x:v>
      </x:c>
      <x:c r="C253" s="384" t="n">
        <x:f>IFERROR(INDEX(tblLedger[Event #],ROWS($A$202:A253)),"")</x:f>
        <x:v>53</x:v>
      </x:c>
      <x:c r="D253" s="384" t="str">
        <x:f>IFERROR(INDEX(tblLedger[Mapping Status],ROWS($A$202:A253)),"")</x:f>
        <x:v>Unique</x:v>
      </x:c>
      <x:c r="E253" s="384" t="str">
        <x:f>IF(A253="","",IF(D253="MAPPING_HOLD","QUARANTINED",IF(COUNTIF(tblServiceEvents[Event #],C253)=1,"Yes","No")))</x:f>
        <x:v>Yes</x:v>
      </x:c>
      <x:c r="F253" s="384" t="str">
        <x:f>IF(A253="","",IF(E253&lt;&gt;"Yes","N/A",IF(INDEX(tblServiceEvents[Client ID],MATCH(C253,tblServiceEvents[Event #],0))=INDEX(tblLedger[Client ID],ROWS($A$202:A253)),"Yes","No")))</x:f>
        <x:v>Yes</x:v>
      </x:c>
      <x:c r="G253" s="384" t="str">
        <x:f>IF(A253="","",IF(E253&lt;&gt;"Yes","N/A",IF(INDEX(tblServiceEvents[Location Key],MATCH(C253,tblServiceEvents[Event #],0))=INDEX(tblLedger[Location Key],ROWS($A$202:A253)),"Yes","No")))</x:f>
        <x:v>Yes</x:v>
      </x:c>
      <x:c r="H253" s="384" t="str">
        <x:f>IF(A253="","",IF(E253&lt;&gt;"Yes","N/A",IF(INDEX(tblServiceEvents[Service Date],MATCH(C253,tblServiceEvents[Event #],0))=INDEX(tblLedger[Service Date],ROWS($A$202:A253)),"Yes","No")))</x:f>
        <x:v>Yes</x:v>
      </x:c>
      <x:c r="I253" s="384" t="str">
        <x:f>IF(A253="","",IF(E253&lt;&gt;"Yes","N/A",IF(D253="MULTI-WO VISIT","Yes",IF(B253=INDEX(tblServiceEvents[Work Orders],MATCH(C253,tblServiceEvents[Event #],0)),"Yes","No"))))</x:f>
        <x:v>Yes</x:v>
      </x:c>
      <x:c r="J253" s="384" t="str">
        <x:f>IF(A253="","",IF(D253="MAPPING_HOLD","QUARANTINED",IF(AND(E253="Yes",F253="Yes",G253="Yes",H253="Yes",I253="Yes"),"PASS","FAIL")))</x:f>
        <x:v>PASS</x:v>
      </x:c>
      <x:c r="K253"/>
      <x:c r="L253"/>
      <x:c r="M253"/>
      <x:c r="N253"/>
      <x:c r="O253"/>
      <x:c r="P253"/>
      <x:c r="Q253"/>
      <x:c r="R253"/>
      <x:c r="S253"/>
      <x:c r="T253"/>
      <x:c r="U253"/>
      <x:c r="V253"/>
      <x:c r="X253"/>
      <x:c r="Y253"/>
      <x:c r="Z253"/>
      <x:c r="AA253"/>
      <x:c r="AB253"/>
      <x:c r="AC253"/>
      <x:c r="AD253"/>
      <x:c r="AE253"/>
      <x:c r="AF253"/>
      <x:c r="AG253"/>
      <x:c r="AH253"/>
      <x:c r="AI253"/>
      <x:c r="AJ253"/>
      <x:c r="AK253"/>
      <x:c r="AL253"/>
      <x:c r="AM253"/>
      <x:c r="AN253"/>
      <x:c r="AO253"/>
      <x:c r="AP253"/>
      <x:c r="AQ253"/>
      <x:c r="AR253"/>
      <x:c r="AS253"/>
    </x:row>
    <x:row r="254" ht="15" hidden="0" customHeight="1">
      <x:c r="A254" s="384" t="str">
        <x:f>IFERROR(INDEX(tblLedger[Ledger Record ID],ROWS($A$202:A254)),"")</x:f>
        <x:v>LED-0053</x:v>
      </x:c>
      <x:c r="B254" s="384" t="n">
        <x:f>IFERROR(INDEX(tblLedger[Work Order #],ROWS($A$202:A254)),"")</x:f>
        <x:v>5910094</x:v>
      </x:c>
      <x:c r="C254" s="384" t="n">
        <x:f>IFERROR(INDEX(tblLedger[Event #],ROWS($A$202:A254)),"")</x:f>
        <x:v>54</x:v>
      </x:c>
      <x:c r="D254" s="384" t="str">
        <x:f>IFERROR(INDEX(tblLedger[Mapping Status],ROWS($A$202:A254)),"")</x:f>
        <x:v>Unique</x:v>
      </x:c>
      <x:c r="E254" s="384" t="str">
        <x:f>IF(A254="","",IF(D254="MAPPING_HOLD","QUARANTINED",IF(COUNTIF(tblServiceEvents[Event #],C254)=1,"Yes","No")))</x:f>
        <x:v>Yes</x:v>
      </x:c>
      <x:c r="F254" s="384" t="str">
        <x:f>IF(A254="","",IF(E254&lt;&gt;"Yes","N/A",IF(INDEX(tblServiceEvents[Client ID],MATCH(C254,tblServiceEvents[Event #],0))=INDEX(tblLedger[Client ID],ROWS($A$202:A254)),"Yes","No")))</x:f>
        <x:v>Yes</x:v>
      </x:c>
      <x:c r="G254" s="384" t="str">
        <x:f>IF(A254="","",IF(E254&lt;&gt;"Yes","N/A",IF(INDEX(tblServiceEvents[Location Key],MATCH(C254,tblServiceEvents[Event #],0))=INDEX(tblLedger[Location Key],ROWS($A$202:A254)),"Yes","No")))</x:f>
        <x:v>Yes</x:v>
      </x:c>
      <x:c r="H254" s="384" t="str">
        <x:f>IF(A254="","",IF(E254&lt;&gt;"Yes","N/A",IF(INDEX(tblServiceEvents[Service Date],MATCH(C254,tblServiceEvents[Event #],0))=INDEX(tblLedger[Service Date],ROWS($A$202:A254)),"Yes","No")))</x:f>
        <x:v>Yes</x:v>
      </x:c>
      <x:c r="I254" s="384" t="str">
        <x:f>IF(A254="","",IF(E254&lt;&gt;"Yes","N/A",IF(D254="MULTI-WO VISIT","Yes",IF(B254=INDEX(tblServiceEvents[Work Orders],MATCH(C254,tblServiceEvents[Event #],0)),"Yes","No"))))</x:f>
        <x:v>Yes</x:v>
      </x:c>
      <x:c r="J254" s="384" t="str">
        <x:f>IF(A254="","",IF(D254="MAPPING_HOLD","QUARANTINED",IF(AND(E254="Yes",F254="Yes",G254="Yes",H254="Yes",I254="Yes"),"PASS","FAIL")))</x:f>
        <x:v>PASS</x:v>
      </x:c>
      <x:c r="K254"/>
      <x:c r="L254"/>
      <x:c r="M254"/>
      <x:c r="N254"/>
      <x:c r="O254"/>
      <x:c r="P254"/>
      <x:c r="Q254"/>
      <x:c r="R254"/>
      <x:c r="S254"/>
      <x:c r="T254"/>
      <x:c r="U254"/>
      <x:c r="V254"/>
      <x:c r="X254"/>
      <x:c r="Y254"/>
      <x:c r="Z254"/>
      <x:c r="AA254"/>
      <x:c r="AB254"/>
      <x:c r="AC254"/>
      <x:c r="AD254"/>
      <x:c r="AE254"/>
      <x:c r="AF254"/>
      <x:c r="AG254"/>
      <x:c r="AH254"/>
      <x:c r="AI254"/>
      <x:c r="AJ254"/>
      <x:c r="AK254"/>
      <x:c r="AL254"/>
      <x:c r="AM254"/>
      <x:c r="AN254"/>
      <x:c r="AO254"/>
      <x:c r="AP254"/>
      <x:c r="AQ254"/>
      <x:c r="AR254"/>
      <x:c r="AS254"/>
    </x:row>
    <x:row r="255" ht="15" hidden="0" customHeight="1">
      <x:c r="A255" s="384" t="str">
        <x:f>IFERROR(INDEX(tblLedger[Ledger Record ID],ROWS($A$202:A255)),"")</x:f>
        <x:v>LED-0054</x:v>
      </x:c>
      <x:c r="B255" s="384" t="n">
        <x:f>IFERROR(INDEX(tblLedger[Work Order #],ROWS($A$202:A255)),"")</x:f>
        <x:v>5898645</x:v>
      </x:c>
      <x:c r="C255" s="384" t="n">
        <x:f>IFERROR(INDEX(tblLedger[Event #],ROWS($A$202:A255)),"")</x:f>
        <x:v>55</x:v>
      </x:c>
      <x:c r="D255" s="384" t="str">
        <x:f>IFERROR(INDEX(tblLedger[Mapping Status],ROWS($A$202:A255)),"")</x:f>
        <x:v>Unique</x:v>
      </x:c>
      <x:c r="E255" s="384" t="str">
        <x:f>IF(A255="","",IF(D255="MAPPING_HOLD","QUARANTINED",IF(COUNTIF(tblServiceEvents[Event #],C255)=1,"Yes","No")))</x:f>
        <x:v>Yes</x:v>
      </x:c>
      <x:c r="F255" s="384" t="str">
        <x:f>IF(A255="","",IF(E255&lt;&gt;"Yes","N/A",IF(INDEX(tblServiceEvents[Client ID],MATCH(C255,tblServiceEvents[Event #],0))=INDEX(tblLedger[Client ID],ROWS($A$202:A255)),"Yes","No")))</x:f>
        <x:v>Yes</x:v>
      </x:c>
      <x:c r="G255" s="384" t="str">
        <x:f>IF(A255="","",IF(E255&lt;&gt;"Yes","N/A",IF(INDEX(tblServiceEvents[Location Key],MATCH(C255,tblServiceEvents[Event #],0))=INDEX(tblLedger[Location Key],ROWS($A$202:A255)),"Yes","No")))</x:f>
        <x:v>Yes</x:v>
      </x:c>
      <x:c r="H255" s="384" t="str">
        <x:f>IF(A255="","",IF(E255&lt;&gt;"Yes","N/A",IF(INDEX(tblServiceEvents[Service Date],MATCH(C255,tblServiceEvents[Event #],0))=INDEX(tblLedger[Service Date],ROWS($A$202:A255)),"Yes","No")))</x:f>
        <x:v>Yes</x:v>
      </x:c>
      <x:c r="I255" s="384" t="str">
        <x:f>IF(A255="","",IF(E255&lt;&gt;"Yes","N/A",IF(D255="MULTI-WO VISIT","Yes",IF(B255=INDEX(tblServiceEvents[Work Orders],MATCH(C255,tblServiceEvents[Event #],0)),"Yes","No"))))</x:f>
        <x:v>Yes</x:v>
      </x:c>
      <x:c r="J255" s="384" t="str">
        <x:f>IF(A255="","",IF(D255="MAPPING_HOLD","QUARANTINED",IF(AND(E255="Yes",F255="Yes",G255="Yes",H255="Yes",I255="Yes"),"PASS","FAIL")))</x:f>
        <x:v>PASS</x:v>
      </x:c>
      <x:c r="K255"/>
      <x:c r="L255"/>
      <x:c r="M255"/>
      <x:c r="N255"/>
      <x:c r="O255"/>
      <x:c r="P255"/>
      <x:c r="Q255"/>
      <x:c r="R255"/>
      <x:c r="S255"/>
      <x:c r="T255"/>
      <x:c r="U255"/>
      <x:c r="V255"/>
      <x:c r="X255"/>
      <x:c r="Y255"/>
      <x:c r="Z255"/>
      <x:c r="AA255"/>
      <x:c r="AB255"/>
      <x:c r="AC255"/>
      <x:c r="AD255"/>
      <x:c r="AE255"/>
      <x:c r="AF255"/>
      <x:c r="AG255"/>
      <x:c r="AH255"/>
      <x:c r="AI255"/>
      <x:c r="AJ255"/>
      <x:c r="AK255"/>
      <x:c r="AL255"/>
      <x:c r="AM255"/>
      <x:c r="AN255"/>
      <x:c r="AO255"/>
      <x:c r="AP255"/>
      <x:c r="AQ255"/>
      <x:c r="AR255"/>
      <x:c r="AS255"/>
    </x:row>
    <x:row r="256" ht="15" hidden="0" customHeight="1">
      <x:c r="A256" s="384" t="str">
        <x:f>IFERROR(INDEX(tblLedger[Ledger Record ID],ROWS($A$202:A256)),"")</x:f>
        <x:v>LED-0055</x:v>
      </x:c>
      <x:c r="B256" s="384" t="n">
        <x:f>IFERROR(INDEX(tblLedger[Work Order #],ROWS($A$202:A256)),"")</x:f>
        <x:v>5900784</x:v>
      </x:c>
      <x:c r="C256" s="384" t="n">
        <x:f>IFERROR(INDEX(tblLedger[Event #],ROWS($A$202:A256)),"")</x:f>
        <x:v>56</x:v>
      </x:c>
      <x:c r="D256" s="384" t="str">
        <x:f>IFERROR(INDEX(tblLedger[Mapping Status],ROWS($A$202:A256)),"")</x:f>
        <x:v>Unique</x:v>
      </x:c>
      <x:c r="E256" s="384" t="str">
        <x:f>IF(A256="","",IF(D256="MAPPING_HOLD","QUARANTINED",IF(COUNTIF(tblServiceEvents[Event #],C256)=1,"Yes","No")))</x:f>
        <x:v>Yes</x:v>
      </x:c>
      <x:c r="F256" s="384" t="str">
        <x:f>IF(A256="","",IF(E256&lt;&gt;"Yes","N/A",IF(INDEX(tblServiceEvents[Client ID],MATCH(C256,tblServiceEvents[Event #],0))=INDEX(tblLedger[Client ID],ROWS($A$202:A256)),"Yes","No")))</x:f>
        <x:v>Yes</x:v>
      </x:c>
      <x:c r="G256" s="384" t="str">
        <x:f>IF(A256="","",IF(E256&lt;&gt;"Yes","N/A",IF(INDEX(tblServiceEvents[Location Key],MATCH(C256,tblServiceEvents[Event #],0))=INDEX(tblLedger[Location Key],ROWS($A$202:A256)),"Yes","No")))</x:f>
        <x:v>Yes</x:v>
      </x:c>
      <x:c r="H256" s="384" t="str">
        <x:f>IF(A256="","",IF(E256&lt;&gt;"Yes","N/A",IF(INDEX(tblServiceEvents[Service Date],MATCH(C256,tblServiceEvents[Event #],0))=INDEX(tblLedger[Service Date],ROWS($A$202:A256)),"Yes","No")))</x:f>
        <x:v>Yes</x:v>
      </x:c>
      <x:c r="I256" s="384" t="str">
        <x:f>IF(A256="","",IF(E256&lt;&gt;"Yes","N/A",IF(D256="MULTI-WO VISIT","Yes",IF(B256=INDEX(tblServiceEvents[Work Orders],MATCH(C256,tblServiceEvents[Event #],0)),"Yes","No"))))</x:f>
        <x:v>Yes</x:v>
      </x:c>
      <x:c r="J256" s="384" t="str">
        <x:f>IF(A256="","",IF(D256="MAPPING_HOLD","QUARANTINED",IF(AND(E256="Yes",F256="Yes",G256="Yes",H256="Yes",I256="Yes"),"PASS","FAIL")))</x:f>
        <x:v>PASS</x:v>
      </x:c>
      <x:c r="K256"/>
      <x:c r="L256"/>
      <x:c r="M256"/>
      <x:c r="N256"/>
      <x:c r="O256"/>
      <x:c r="P256"/>
      <x:c r="Q256"/>
      <x:c r="R256"/>
      <x:c r="S256"/>
      <x:c r="T256"/>
      <x:c r="U256"/>
      <x:c r="V256"/>
      <x:c r="X256"/>
      <x:c r="Y256"/>
      <x:c r="Z256"/>
      <x:c r="AA256"/>
      <x:c r="AB256"/>
      <x:c r="AC256"/>
      <x:c r="AD256"/>
      <x:c r="AE256"/>
      <x:c r="AF256"/>
      <x:c r="AG256"/>
      <x:c r="AH256"/>
      <x:c r="AI256"/>
      <x:c r="AJ256"/>
      <x:c r="AK256"/>
      <x:c r="AL256"/>
      <x:c r="AM256"/>
      <x:c r="AN256"/>
      <x:c r="AO256"/>
      <x:c r="AP256"/>
      <x:c r="AQ256"/>
      <x:c r="AR256"/>
      <x:c r="AS256"/>
    </x:row>
    <x:row r="257" ht="15" hidden="0" customHeight="1">
      <x:c r="A257" s="384" t="str">
        <x:f>IFERROR(INDEX(tblLedger[Ledger Record ID],ROWS($A$202:A257)),"")</x:f>
        <x:v>LED-0056</x:v>
      </x:c>
      <x:c r="B257" s="384" t="n">
        <x:f>IFERROR(INDEX(tblLedger[Work Order #],ROWS($A$202:A257)),"")</x:f>
        <x:v>5911577</x:v>
      </x:c>
      <x:c r="C257" s="384" t="n">
        <x:f>IFERROR(INDEX(tblLedger[Event #],ROWS($A$202:A257)),"")</x:f>
        <x:v>57</x:v>
      </x:c>
      <x:c r="D257" s="384" t="str">
        <x:f>IFERROR(INDEX(tblLedger[Mapping Status],ROWS($A$202:A257)),"")</x:f>
        <x:v>Unique</x:v>
      </x:c>
      <x:c r="E257" s="384" t="str">
        <x:f>IF(A257="","",IF(D257="MAPPING_HOLD","QUARANTINED",IF(COUNTIF(tblServiceEvents[Event #],C257)=1,"Yes","No")))</x:f>
        <x:v>Yes</x:v>
      </x:c>
      <x:c r="F257" s="384" t="str">
        <x:f>IF(A257="","",IF(E257&lt;&gt;"Yes","N/A",IF(INDEX(tblServiceEvents[Client ID],MATCH(C257,tblServiceEvents[Event #],0))=INDEX(tblLedger[Client ID],ROWS($A$202:A257)),"Yes","No")))</x:f>
        <x:v>Yes</x:v>
      </x:c>
      <x:c r="G257" s="384" t="str">
        <x:f>IF(A257="","",IF(E257&lt;&gt;"Yes","N/A",IF(INDEX(tblServiceEvents[Location Key],MATCH(C257,tblServiceEvents[Event #],0))=INDEX(tblLedger[Location Key],ROWS($A$202:A257)),"Yes","No")))</x:f>
        <x:v>Yes</x:v>
      </x:c>
      <x:c r="H257" s="384" t="str">
        <x:f>IF(A257="","",IF(E257&lt;&gt;"Yes","N/A",IF(INDEX(tblServiceEvents[Service Date],MATCH(C257,tblServiceEvents[Event #],0))=INDEX(tblLedger[Service Date],ROWS($A$202:A257)),"Yes","No")))</x:f>
        <x:v>Yes</x:v>
      </x:c>
      <x:c r="I257" s="384" t="str">
        <x:f>IF(A257="","",IF(E257&lt;&gt;"Yes","N/A",IF(D257="MULTI-WO VISIT","Yes",IF(B257=INDEX(tblServiceEvents[Work Orders],MATCH(C257,tblServiceEvents[Event #],0)),"Yes","No"))))</x:f>
        <x:v>Yes</x:v>
      </x:c>
      <x:c r="J257" s="384" t="str">
        <x:f>IF(A257="","",IF(D257="MAPPING_HOLD","QUARANTINED",IF(AND(E257="Yes",F257="Yes",G257="Yes",H257="Yes",I257="Yes"),"PASS","FAIL")))</x:f>
        <x:v>PASS</x:v>
      </x:c>
      <x:c r="K257"/>
      <x:c r="L257"/>
      <x:c r="M257"/>
      <x:c r="N257"/>
      <x:c r="O257"/>
      <x:c r="P257"/>
      <x:c r="Q257"/>
      <x:c r="R257"/>
      <x:c r="S257"/>
      <x:c r="T257"/>
      <x:c r="U257"/>
      <x:c r="V257"/>
      <x:c r="X257"/>
      <x:c r="Y257"/>
      <x:c r="Z257"/>
      <x:c r="AA257"/>
      <x:c r="AB257"/>
      <x:c r="AC257"/>
      <x:c r="AD257"/>
      <x:c r="AE257"/>
      <x:c r="AF257"/>
      <x:c r="AG257"/>
      <x:c r="AH257"/>
      <x:c r="AI257"/>
      <x:c r="AJ257"/>
      <x:c r="AK257"/>
      <x:c r="AL257"/>
      <x:c r="AM257"/>
      <x:c r="AN257"/>
      <x:c r="AO257"/>
      <x:c r="AP257"/>
      <x:c r="AQ257"/>
      <x:c r="AR257"/>
      <x:c r="AS257"/>
    </x:row>
    <x:row r="258" ht="15" hidden="0" customHeight="1">
      <x:c r="A258" s="384" t="str">
        <x:f>IFERROR(INDEX(tblLedger[Ledger Record ID],ROWS($A$202:A258)),"")</x:f>
        <x:v>LED-0057</x:v>
      </x:c>
      <x:c r="B258" s="384" t="n">
        <x:f>IFERROR(INDEX(tblLedger[Work Order #],ROWS($A$202:A258)),"")</x:f>
        <x:v>5900780</x:v>
      </x:c>
      <x:c r="C258" s="384" t="n">
        <x:f>IFERROR(INDEX(tblLedger[Event #],ROWS($A$202:A258)),"")</x:f>
        <x:v>58</x:v>
      </x:c>
      <x:c r="D258" s="384" t="str">
        <x:f>IFERROR(INDEX(tblLedger[Mapping Status],ROWS($A$202:A258)),"")</x:f>
        <x:v>Unique</x:v>
      </x:c>
      <x:c r="E258" s="384" t="str">
        <x:f>IF(A258="","",IF(D258="MAPPING_HOLD","QUARANTINED",IF(COUNTIF(tblServiceEvents[Event #],C258)=1,"Yes","No")))</x:f>
        <x:v>Yes</x:v>
      </x:c>
      <x:c r="F258" s="384" t="str">
        <x:f>IF(A258="","",IF(E258&lt;&gt;"Yes","N/A",IF(INDEX(tblServiceEvents[Client ID],MATCH(C258,tblServiceEvents[Event #],0))=INDEX(tblLedger[Client ID],ROWS($A$202:A258)),"Yes","No")))</x:f>
        <x:v>Yes</x:v>
      </x:c>
      <x:c r="G258" s="384" t="str">
        <x:f>IF(A258="","",IF(E258&lt;&gt;"Yes","N/A",IF(INDEX(tblServiceEvents[Location Key],MATCH(C258,tblServiceEvents[Event #],0))=INDEX(tblLedger[Location Key],ROWS($A$202:A258)),"Yes","No")))</x:f>
        <x:v>Yes</x:v>
      </x:c>
      <x:c r="H258" s="384" t="str">
        <x:f>IF(A258="","",IF(E258&lt;&gt;"Yes","N/A",IF(INDEX(tblServiceEvents[Service Date],MATCH(C258,tblServiceEvents[Event #],0))=INDEX(tblLedger[Service Date],ROWS($A$202:A258)),"Yes","No")))</x:f>
        <x:v>Yes</x:v>
      </x:c>
      <x:c r="I258" s="384" t="str">
        <x:f>IF(A258="","",IF(E258&lt;&gt;"Yes","N/A",IF(D258="MULTI-WO VISIT","Yes",IF(B258=INDEX(tblServiceEvents[Work Orders],MATCH(C258,tblServiceEvents[Event #],0)),"Yes","No"))))</x:f>
        <x:v>Yes</x:v>
      </x:c>
      <x:c r="J258" s="384" t="str">
        <x:f>IF(A258="","",IF(D258="MAPPING_HOLD","QUARANTINED",IF(AND(E258="Yes",F258="Yes",G258="Yes",H258="Yes",I258="Yes"),"PASS","FAIL")))</x:f>
        <x:v>PASS</x:v>
      </x:c>
      <x:c r="K258"/>
      <x:c r="L258"/>
      <x:c r="M258"/>
      <x:c r="N258"/>
      <x:c r="O258"/>
      <x:c r="P258"/>
      <x:c r="Q258"/>
      <x:c r="R258"/>
      <x:c r="S258"/>
      <x:c r="T258"/>
      <x:c r="U258"/>
      <x:c r="V258"/>
      <x:c r="X258"/>
      <x:c r="Y258"/>
      <x:c r="Z258"/>
      <x:c r="AA258"/>
      <x:c r="AB258"/>
      <x:c r="AC258"/>
      <x:c r="AD258"/>
      <x:c r="AE258"/>
      <x:c r="AF258"/>
      <x:c r="AG258"/>
      <x:c r="AH258"/>
      <x:c r="AI258"/>
      <x:c r="AJ258"/>
      <x:c r="AK258"/>
      <x:c r="AL258"/>
      <x:c r="AM258"/>
      <x:c r="AN258"/>
      <x:c r="AO258"/>
      <x:c r="AP258"/>
      <x:c r="AQ258"/>
      <x:c r="AR258"/>
      <x:c r="AS258"/>
    </x:row>
    <x:row r="259" ht="15" hidden="0" customHeight="1">
      <x:c r="A259" s="384" t="str">
        <x:f>IFERROR(INDEX(tblLedger[Ledger Record ID],ROWS($A$202:A259)),"")</x:f>
        <x:v>LED-0058</x:v>
      </x:c>
      <x:c r="B259" s="384" t="n">
        <x:f>IFERROR(INDEX(tblLedger[Work Order #],ROWS($A$202:A259)),"")</x:f>
        <x:v>5900830</x:v>
      </x:c>
      <x:c r="C259" s="384" t="n">
        <x:f>IFERROR(INDEX(tblLedger[Event #],ROWS($A$202:A259)),"")</x:f>
        <x:v>59</x:v>
      </x:c>
      <x:c r="D259" s="384" t="str">
        <x:f>IFERROR(INDEX(tblLedger[Mapping Status],ROWS($A$202:A259)),"")</x:f>
        <x:v>Unique</x:v>
      </x:c>
      <x:c r="E259" s="384" t="str">
        <x:f>IF(A259="","",IF(D259="MAPPING_HOLD","QUARANTINED",IF(COUNTIF(tblServiceEvents[Event #],C259)=1,"Yes","No")))</x:f>
        <x:v>Yes</x:v>
      </x:c>
      <x:c r="F259" s="384" t="str">
        <x:f>IF(A259="","",IF(E259&lt;&gt;"Yes","N/A",IF(INDEX(tblServiceEvents[Client ID],MATCH(C259,tblServiceEvents[Event #],0))=INDEX(tblLedger[Client ID],ROWS($A$202:A259)),"Yes","No")))</x:f>
        <x:v>Yes</x:v>
      </x:c>
      <x:c r="G259" s="384" t="str">
        <x:f>IF(A259="","",IF(E259&lt;&gt;"Yes","N/A",IF(INDEX(tblServiceEvents[Location Key],MATCH(C259,tblServiceEvents[Event #],0))=INDEX(tblLedger[Location Key],ROWS($A$202:A259)),"Yes","No")))</x:f>
        <x:v>Yes</x:v>
      </x:c>
      <x:c r="H259" s="384" t="str">
        <x:f>IF(A259="","",IF(E259&lt;&gt;"Yes","N/A",IF(INDEX(tblServiceEvents[Service Date],MATCH(C259,tblServiceEvents[Event #],0))=INDEX(tblLedger[Service Date],ROWS($A$202:A259)),"Yes","No")))</x:f>
        <x:v>Yes</x:v>
      </x:c>
      <x:c r="I259" s="384" t="str">
        <x:f>IF(A259="","",IF(E259&lt;&gt;"Yes","N/A",IF(D259="MULTI-WO VISIT","Yes",IF(B259=INDEX(tblServiceEvents[Work Orders],MATCH(C259,tblServiceEvents[Event #],0)),"Yes","No"))))</x:f>
        <x:v>Yes</x:v>
      </x:c>
      <x:c r="J259" s="384" t="str">
        <x:f>IF(A259="","",IF(D259="MAPPING_HOLD","QUARANTINED",IF(AND(E259="Yes",F259="Yes",G259="Yes",H259="Yes",I259="Yes"),"PASS","FAIL")))</x:f>
        <x:v>PASS</x:v>
      </x:c>
      <x:c r="K259"/>
      <x:c r="L259"/>
      <x:c r="M259"/>
      <x:c r="N259"/>
      <x:c r="O259"/>
      <x:c r="P259"/>
      <x:c r="Q259"/>
      <x:c r="R259"/>
      <x:c r="S259"/>
      <x:c r="T259"/>
      <x:c r="U259"/>
      <x:c r="V259"/>
      <x:c r="X259"/>
      <x:c r="Y259"/>
      <x:c r="Z259"/>
      <x:c r="AA259"/>
      <x:c r="AB259"/>
      <x:c r="AC259"/>
      <x:c r="AD259"/>
      <x:c r="AE259"/>
      <x:c r="AF259"/>
      <x:c r="AG259"/>
      <x:c r="AH259"/>
      <x:c r="AI259"/>
      <x:c r="AJ259"/>
      <x:c r="AK259"/>
      <x:c r="AL259"/>
      <x:c r="AM259"/>
      <x:c r="AN259"/>
      <x:c r="AO259"/>
      <x:c r="AP259"/>
      <x:c r="AQ259"/>
      <x:c r="AR259"/>
      <x:c r="AS259"/>
    </x:row>
    <x:row r="260" ht="15" hidden="0" customHeight="1">
      <x:c r="A260" s="384" t="str">
        <x:f>IFERROR(INDEX(tblLedger[Ledger Record ID],ROWS($A$202:A260)),"")</x:f>
        <x:v>LED-0059</x:v>
      </x:c>
      <x:c r="B260" s="384" t="n">
        <x:f>IFERROR(INDEX(tblLedger[Work Order #],ROWS($A$202:A260)),"")</x:f>
        <x:v>5912364</x:v>
      </x:c>
      <x:c r="C260" s="384" t="n">
        <x:f>IFERROR(INDEX(tblLedger[Event #],ROWS($A$202:A260)),"")</x:f>
        <x:v>60</x:v>
      </x:c>
      <x:c r="D260" s="384" t="str">
        <x:f>IFERROR(INDEX(tblLedger[Mapping Status],ROWS($A$202:A260)),"")</x:f>
        <x:v>MULTI-WO VISIT</x:v>
      </x:c>
      <x:c r="E260" s="384" t="str">
        <x:f>IF(A260="","",IF(D260="MAPPING_HOLD","QUARANTINED",IF(COUNTIF(tblServiceEvents[Event #],C260)=1,"Yes","No")))</x:f>
        <x:v>Yes</x:v>
      </x:c>
      <x:c r="F260" s="384" t="str">
        <x:f>IF(A260="","",IF(E260&lt;&gt;"Yes","N/A",IF(INDEX(tblServiceEvents[Client ID],MATCH(C260,tblServiceEvents[Event #],0))=INDEX(tblLedger[Client ID],ROWS($A$202:A260)),"Yes","No")))</x:f>
        <x:v>Yes</x:v>
      </x:c>
      <x:c r="G260" s="384" t="str">
        <x:f>IF(A260="","",IF(E260&lt;&gt;"Yes","N/A",IF(INDEX(tblServiceEvents[Location Key],MATCH(C260,tblServiceEvents[Event #],0))=INDEX(tblLedger[Location Key],ROWS($A$202:A260)),"Yes","No")))</x:f>
        <x:v>Yes</x:v>
      </x:c>
      <x:c r="H260" s="384" t="str">
        <x:f>IF(A260="","",IF(E260&lt;&gt;"Yes","N/A",IF(INDEX(tblServiceEvents[Service Date],MATCH(C260,tblServiceEvents[Event #],0))=INDEX(tblLedger[Service Date],ROWS($A$202:A260)),"Yes","No")))</x:f>
        <x:v>Yes</x:v>
      </x:c>
      <x:c r="I260" s="384" t="str">
        <x:f>IF(A260="","",IF(E260&lt;&gt;"Yes","N/A",IF(D260="MULTI-WO VISIT","Yes",IF(B260=INDEX(tblServiceEvents[Work Orders],MATCH(C260,tblServiceEvents[Event #],0)),"Yes","No"))))</x:f>
        <x:v>Yes</x:v>
      </x:c>
      <x:c r="J260" s="384" t="str">
        <x:f>IF(A260="","",IF(D260="MAPPING_HOLD","QUARANTINED",IF(AND(E260="Yes",F260="Yes",G260="Yes",H260="Yes",I260="Yes"),"PASS","FAIL")))</x:f>
        <x:v>PASS</x:v>
      </x:c>
      <x:c r="K260"/>
      <x:c r="L260"/>
      <x:c r="M260"/>
      <x:c r="N260"/>
      <x:c r="O260"/>
      <x:c r="P260"/>
      <x:c r="Q260"/>
      <x:c r="R260"/>
      <x:c r="S260"/>
      <x:c r="T260"/>
      <x:c r="U260"/>
      <x:c r="V260"/>
      <x:c r="X260"/>
      <x:c r="Y260"/>
      <x:c r="Z260"/>
      <x:c r="AA260"/>
      <x:c r="AB260"/>
      <x:c r="AC260"/>
      <x:c r="AD260"/>
      <x:c r="AE260"/>
      <x:c r="AF260"/>
      <x:c r="AG260"/>
      <x:c r="AH260"/>
      <x:c r="AI260"/>
      <x:c r="AJ260"/>
      <x:c r="AK260"/>
      <x:c r="AL260"/>
      <x:c r="AM260"/>
      <x:c r="AN260"/>
      <x:c r="AO260"/>
      <x:c r="AP260"/>
      <x:c r="AQ260"/>
      <x:c r="AR260"/>
      <x:c r="AS260"/>
    </x:row>
    <x:row r="261" ht="15" hidden="0" customHeight="1">
      <x:c r="A261" s="384" t="str">
        <x:f>IFERROR(INDEX(tblLedger[Ledger Record ID],ROWS($A$202:A261)),"")</x:f>
        <x:v>LED-0060</x:v>
      </x:c>
      <x:c r="B261" s="384" t="n">
        <x:f>IFERROR(INDEX(tblLedger[Work Order #],ROWS($A$202:A261)),"")</x:f>
        <x:v>5914049</x:v>
      </x:c>
      <x:c r="C261" s="384" t="n">
        <x:f>IFERROR(INDEX(tblLedger[Event #],ROWS($A$202:A261)),"")</x:f>
        <x:v>60</x:v>
      </x:c>
      <x:c r="D261" s="384" t="str">
        <x:f>IFERROR(INDEX(tblLedger[Mapping Status],ROWS($A$202:A261)),"")</x:f>
        <x:v>MULTI-WO VISIT</x:v>
      </x:c>
      <x:c r="E261" s="384" t="str">
        <x:f>IF(A261="","",IF(D261="MAPPING_HOLD","QUARANTINED",IF(COUNTIF(tblServiceEvents[Event #],C261)=1,"Yes","No")))</x:f>
        <x:v>Yes</x:v>
      </x:c>
      <x:c r="F261" s="384" t="str">
        <x:f>IF(A261="","",IF(E261&lt;&gt;"Yes","N/A",IF(INDEX(tblServiceEvents[Client ID],MATCH(C261,tblServiceEvents[Event #],0))=INDEX(tblLedger[Client ID],ROWS($A$202:A261)),"Yes","No")))</x:f>
        <x:v>Yes</x:v>
      </x:c>
      <x:c r="G261" s="384" t="str">
        <x:f>IF(A261="","",IF(E261&lt;&gt;"Yes","N/A",IF(INDEX(tblServiceEvents[Location Key],MATCH(C261,tblServiceEvents[Event #],0))=INDEX(tblLedger[Location Key],ROWS($A$202:A261)),"Yes","No")))</x:f>
        <x:v>Yes</x:v>
      </x:c>
      <x:c r="H261" s="384" t="str">
        <x:f>IF(A261="","",IF(E261&lt;&gt;"Yes","N/A",IF(INDEX(tblServiceEvents[Service Date],MATCH(C261,tblServiceEvents[Event #],0))=INDEX(tblLedger[Service Date],ROWS($A$202:A261)),"Yes","No")))</x:f>
        <x:v>Yes</x:v>
      </x:c>
      <x:c r="I261" s="384" t="str">
        <x:f>IF(A261="","",IF(E261&lt;&gt;"Yes","N/A",IF(D261="MULTI-WO VISIT","Yes",IF(B261=INDEX(tblServiceEvents[Work Orders],MATCH(C261,tblServiceEvents[Event #],0)),"Yes","No"))))</x:f>
        <x:v>Yes</x:v>
      </x:c>
      <x:c r="J261" s="384" t="str">
        <x:f>IF(A261="","",IF(D261="MAPPING_HOLD","QUARANTINED",IF(AND(E261="Yes",F261="Yes",G261="Yes",H261="Yes",I261="Yes"),"PASS","FAIL")))</x:f>
        <x:v>PASS</x:v>
      </x:c>
      <x:c r="K261"/>
      <x:c r="L261"/>
      <x:c r="M261"/>
      <x:c r="N261"/>
      <x:c r="O261"/>
      <x:c r="P261"/>
      <x:c r="Q261"/>
      <x:c r="R261"/>
      <x:c r="S261"/>
      <x:c r="T261"/>
      <x:c r="U261"/>
      <x:c r="V261"/>
      <x:c r="X261"/>
      <x:c r="Y261"/>
      <x:c r="Z261"/>
      <x:c r="AA261"/>
      <x:c r="AB261"/>
      <x:c r="AC261"/>
      <x:c r="AD261"/>
      <x:c r="AE261"/>
      <x:c r="AF261"/>
      <x:c r="AG261"/>
      <x:c r="AH261"/>
      <x:c r="AI261"/>
      <x:c r="AJ261"/>
      <x:c r="AK261"/>
      <x:c r="AL261"/>
      <x:c r="AM261"/>
      <x:c r="AN261"/>
      <x:c r="AO261"/>
      <x:c r="AP261"/>
      <x:c r="AQ261"/>
      <x:c r="AR261"/>
      <x:c r="AS261"/>
    </x:row>
    <x:row r="262" ht="15" hidden="0" customHeight="1">
      <x:c r="A262" s="384" t="str">
        <x:f>IFERROR(INDEX(tblLedger[Ledger Record ID],ROWS($A$202:A262)),"")</x:f>
        <x:v>LED-0061</x:v>
      </x:c>
      <x:c r="B262" s="384" t="n">
        <x:f>IFERROR(INDEX(tblLedger[Work Order #],ROWS($A$202:A262)),"")</x:f>
        <x:v>5909344</x:v>
      </x:c>
      <x:c r="C262" s="384" t="n">
        <x:f>IFERROR(INDEX(tblLedger[Event #],ROWS($A$202:A262)),"")</x:f>
        <x:v>61</x:v>
      </x:c>
      <x:c r="D262" s="384" t="str">
        <x:f>IFERROR(INDEX(tblLedger[Mapping Status],ROWS($A$202:A262)),"")</x:f>
        <x:v>Unique</x:v>
      </x:c>
      <x:c r="E262" s="384" t="str">
        <x:f>IF(A262="","",IF(D262="MAPPING_HOLD","QUARANTINED",IF(COUNTIF(tblServiceEvents[Event #],C262)=1,"Yes","No")))</x:f>
        <x:v>Yes</x:v>
      </x:c>
      <x:c r="F262" s="384" t="str">
        <x:f>IF(A262="","",IF(E262&lt;&gt;"Yes","N/A",IF(INDEX(tblServiceEvents[Client ID],MATCH(C262,tblServiceEvents[Event #],0))=INDEX(tblLedger[Client ID],ROWS($A$202:A262)),"Yes","No")))</x:f>
        <x:v>Yes</x:v>
      </x:c>
      <x:c r="G262" s="384" t="str">
        <x:f>IF(A262="","",IF(E262&lt;&gt;"Yes","N/A",IF(INDEX(tblServiceEvents[Location Key],MATCH(C262,tblServiceEvents[Event #],0))=INDEX(tblLedger[Location Key],ROWS($A$202:A262)),"Yes","No")))</x:f>
        <x:v>Yes</x:v>
      </x:c>
      <x:c r="H262" s="384" t="str">
        <x:f>IF(A262="","",IF(E262&lt;&gt;"Yes","N/A",IF(INDEX(tblServiceEvents[Service Date],MATCH(C262,tblServiceEvents[Event #],0))=INDEX(tblLedger[Service Date],ROWS($A$202:A262)),"Yes","No")))</x:f>
        <x:v>Yes</x:v>
      </x:c>
      <x:c r="I262" s="384" t="str">
        <x:f>IF(A262="","",IF(E262&lt;&gt;"Yes","N/A",IF(D262="MULTI-WO VISIT","Yes",IF(B262=INDEX(tblServiceEvents[Work Orders],MATCH(C262,tblServiceEvents[Event #],0)),"Yes","No"))))</x:f>
        <x:v>Yes</x:v>
      </x:c>
      <x:c r="J262" s="384" t="str">
        <x:f>IF(A262="","",IF(D262="MAPPING_HOLD","QUARANTINED",IF(AND(E262="Yes",F262="Yes",G262="Yes",H262="Yes",I262="Yes"),"PASS","FAIL")))</x:f>
        <x:v>PASS</x:v>
      </x:c>
      <x:c r="K262"/>
      <x:c r="L262"/>
      <x:c r="M262"/>
      <x:c r="N262"/>
      <x:c r="O262"/>
      <x:c r="P262"/>
      <x:c r="Q262"/>
      <x:c r="R262"/>
      <x:c r="S262"/>
      <x:c r="T262"/>
      <x:c r="U262"/>
      <x:c r="V262"/>
      <x:c r="X262"/>
      <x:c r="Y262"/>
      <x:c r="Z262"/>
      <x:c r="AA262"/>
      <x:c r="AB262"/>
      <x:c r="AC262"/>
      <x:c r="AD262"/>
      <x:c r="AE262"/>
      <x:c r="AF262"/>
      <x:c r="AG262"/>
      <x:c r="AH262"/>
      <x:c r="AI262"/>
      <x:c r="AJ262"/>
      <x:c r="AK262"/>
      <x:c r="AL262"/>
      <x:c r="AM262"/>
      <x:c r="AN262"/>
      <x:c r="AO262"/>
      <x:c r="AP262"/>
      <x:c r="AQ262"/>
      <x:c r="AR262"/>
      <x:c r="AS262"/>
    </x:row>
    <x:row r="263" ht="15" hidden="0" customHeight="1">
      <x:c r="A263" s="384" t="str">
        <x:f>IFERROR(INDEX(tblLedger[Ledger Record ID],ROWS($A$202:A263)),"")</x:f>
        <x:v>LED-0062</x:v>
      </x:c>
      <x:c r="B263" s="384" t="n">
        <x:f>IFERROR(INDEX(tblLedger[Work Order #],ROWS($A$202:A263)),"")</x:f>
        <x:v>5913868</x:v>
      </x:c>
      <x:c r="C263" s="384" t="n">
        <x:f>IFERROR(INDEX(tblLedger[Event #],ROWS($A$202:A263)),"")</x:f>
        <x:v>62</x:v>
      </x:c>
      <x:c r="D263" s="384" t="str">
        <x:f>IFERROR(INDEX(tblLedger[Mapping Status],ROWS($A$202:A263)),"")</x:f>
        <x:v>Unique</x:v>
      </x:c>
      <x:c r="E263" s="384" t="str">
        <x:f>IF(A263="","",IF(D263="MAPPING_HOLD","QUARANTINED",IF(COUNTIF(tblServiceEvents[Event #],C263)=1,"Yes","No")))</x:f>
        <x:v>Yes</x:v>
      </x:c>
      <x:c r="F263" s="384" t="str">
        <x:f>IF(A263="","",IF(E263&lt;&gt;"Yes","N/A",IF(INDEX(tblServiceEvents[Client ID],MATCH(C263,tblServiceEvents[Event #],0))=INDEX(tblLedger[Client ID],ROWS($A$202:A263)),"Yes","No")))</x:f>
        <x:v>Yes</x:v>
      </x:c>
      <x:c r="G263" s="384" t="str">
        <x:f>IF(A263="","",IF(E263&lt;&gt;"Yes","N/A",IF(INDEX(tblServiceEvents[Location Key],MATCH(C263,tblServiceEvents[Event #],0))=INDEX(tblLedger[Location Key],ROWS($A$202:A263)),"Yes","No")))</x:f>
        <x:v>Yes</x:v>
      </x:c>
      <x:c r="H263" s="384" t="str">
        <x:f>IF(A263="","",IF(E263&lt;&gt;"Yes","N/A",IF(INDEX(tblServiceEvents[Service Date],MATCH(C263,tblServiceEvents[Event #],0))=INDEX(tblLedger[Service Date],ROWS($A$202:A263)),"Yes","No")))</x:f>
        <x:v>Yes</x:v>
      </x:c>
      <x:c r="I263" s="384" t="str">
        <x:f>IF(A263="","",IF(E263&lt;&gt;"Yes","N/A",IF(D263="MULTI-WO VISIT","Yes",IF(B263=INDEX(tblServiceEvents[Work Orders],MATCH(C263,tblServiceEvents[Event #],0)),"Yes","No"))))</x:f>
        <x:v>Yes</x:v>
      </x:c>
      <x:c r="J263" s="384" t="str">
        <x:f>IF(A263="","",IF(D263="MAPPING_HOLD","QUARANTINED",IF(AND(E263="Yes",F263="Yes",G263="Yes",H263="Yes",I263="Yes"),"PASS","FAIL")))</x:f>
        <x:v>PASS</x:v>
      </x:c>
      <x:c r="K263"/>
      <x:c r="L263"/>
      <x:c r="M263"/>
      <x:c r="N263"/>
      <x:c r="O263"/>
      <x:c r="P263"/>
      <x:c r="Q263"/>
      <x:c r="R263"/>
      <x:c r="S263"/>
      <x:c r="T263"/>
      <x:c r="U263"/>
      <x:c r="V263"/>
      <x:c r="X263"/>
      <x:c r="Y263"/>
      <x:c r="Z263"/>
      <x:c r="AA263"/>
      <x:c r="AB263"/>
      <x:c r="AC263"/>
      <x:c r="AD263"/>
      <x:c r="AE263"/>
      <x:c r="AF263"/>
      <x:c r="AG263"/>
      <x:c r="AH263"/>
      <x:c r="AI263"/>
      <x:c r="AJ263"/>
      <x:c r="AK263"/>
      <x:c r="AL263"/>
      <x:c r="AM263"/>
      <x:c r="AN263"/>
      <x:c r="AO263"/>
      <x:c r="AP263"/>
      <x:c r="AQ263"/>
      <x:c r="AR263"/>
      <x:c r="AS263"/>
    </x:row>
    <x:row r="264">
      <x:c r="A264" t="str">
        <x:f>IFERROR(INDEX(tblLedger[Ledger Record ID],ROWS($A$202:A264)),"")</x:f>
        <x:v>LED-0063</x:v>
      </x:c>
      <x:c r="B264" t="n">
        <x:f>IFERROR(INDEX(tblLedger[Work Order #],ROWS($A$202:A264)),"")</x:f>
        <x:v>5905579</x:v>
      </x:c>
      <x:c r="C264" t="str">
        <x:f>IFERROR(INDEX(tblLedger[Event #],ROWS($A$202:A264)),"")</x:f>
      </x:c>
      <x:c r="D264" t="str">
        <x:f>IFERROR(INDEX(tblLedger[Mapping Status],ROWS($A$202:A264)),"")</x:f>
        <x:v>MAPPING_HOLD</x:v>
      </x:c>
      <x:c r="E264" t="str">
        <x:f>IF(A264="","",IF(D264="MAPPING_HOLD","QUARANTINED",IF(COUNTIF(tblServiceEvents[Event #],C264)=1,"Yes","No")))</x:f>
        <x:v>QUARANTINED</x:v>
      </x:c>
      <x:c r="F264" t="str">
        <x:f>IF(A264="","",IF(E264&lt;&gt;"Yes","N/A",IF(INDEX(tblServiceEvents[Client ID],MATCH(C264,tblServiceEvents[Event #],0))=INDEX(tblLedger[Client ID],ROWS($A$202:A264)),"Yes","No")))</x:f>
        <x:v>N/A</x:v>
      </x:c>
      <x:c r="G264" t="str">
        <x:f>IF(A264="","",IF(E264&lt;&gt;"Yes","N/A",IF(INDEX(tblServiceEvents[Location Key],MATCH(C264,tblServiceEvents[Event #],0))=INDEX(tblLedger[Location Key],ROWS($A$202:A264)),"Yes","No")))</x:f>
        <x:v>N/A</x:v>
      </x:c>
      <x:c r="H264" t="str">
        <x:f>IF(A264="","",IF(E264&lt;&gt;"Yes","N/A",IF(INDEX(tblServiceEvents[Service Date],MATCH(C264,tblServiceEvents[Event #],0))=INDEX(tblLedger[Service Date],ROWS($A$202:A264)),"Yes","No")))</x:f>
        <x:v>N/A</x:v>
      </x:c>
      <x:c r="I264" t="str">
        <x:f>IF(A264="","",IF(E264&lt;&gt;"Yes","N/A",IF(D264="MULTI-WO VISIT","Yes",IF(B264=INDEX(tblServiceEvents[Work Orders],MATCH(C264,tblServiceEvents[Event #],0)),"Yes","No"))))</x:f>
        <x:v>N/A</x:v>
      </x:c>
      <x:c r="J264" t="str">
        <x:f>IF(A264="","",IF(D264="MAPPING_HOLD","QUARANTINED",IF(AND(E264="Yes",F264="Yes",G264="Yes",H264="Yes",I264="Yes"),"PASS","FAIL")))</x:f>
        <x:v>QUARANTINED</x:v>
      </x:c>
      <x:c r="K264"/>
      <x:c r="L264"/>
      <x:c r="M264"/>
      <x:c r="N264"/>
      <x:c r="O264"/>
      <x:c r="P264"/>
      <x:c r="Q264"/>
      <x:c r="R264"/>
      <x:c r="S264"/>
      <x:c r="T264"/>
      <x:c r="U264"/>
      <x:c r="V264"/>
    </x:row>
    <x:row r="265">
      <x:c r="A265" t="str">
        <x:f>IFERROR(INDEX(tblLedger[Ledger Record ID],ROWS($A$202:A265)),"")</x:f>
        <x:v>LED-0064</x:v>
      </x:c>
      <x:c r="B265" t="n">
        <x:f>IFERROR(INDEX(tblLedger[Work Order #],ROWS($A$202:A265)),"")</x:f>
        <x:v>5909368</x:v>
      </x:c>
      <x:c r="C265" t="n">
        <x:f>IFERROR(INDEX(tblLedger[Event #],ROWS($A$202:A265)),"")</x:f>
        <x:v>63</x:v>
      </x:c>
      <x:c r="D265" t="str">
        <x:f>IFERROR(INDEX(tblLedger[Mapping Status],ROWS($A$202:A265)),"")</x:f>
        <x:v>Unique</x:v>
      </x:c>
      <x:c r="E265" t="str">
        <x:f>IF(A265="","",IF(D265="MAPPING_HOLD","QUARANTINED",IF(COUNTIF(tblServiceEvents[Event #],C265)=1,"Yes","No")))</x:f>
        <x:v>Yes</x:v>
      </x:c>
      <x:c r="F265" t="str">
        <x:f>IF(A265="","",IF(E265&lt;&gt;"Yes","N/A",IF(INDEX(tblServiceEvents[Client ID],MATCH(C265,tblServiceEvents[Event #],0))=INDEX(tblLedger[Client ID],ROWS($A$202:A265)),"Yes","No")))</x:f>
        <x:v>Yes</x:v>
      </x:c>
      <x:c r="G265" t="str">
        <x:f>IF(A265="","",IF(E265&lt;&gt;"Yes","N/A",IF(INDEX(tblServiceEvents[Location Key],MATCH(C265,tblServiceEvents[Event #],0))=INDEX(tblLedger[Location Key],ROWS($A$202:A265)),"Yes","No")))</x:f>
        <x:v>Yes</x:v>
      </x:c>
      <x:c r="H265" t="str">
        <x:f>IF(A265="","",IF(E265&lt;&gt;"Yes","N/A",IF(INDEX(tblServiceEvents[Service Date],MATCH(C265,tblServiceEvents[Event #],0))=INDEX(tblLedger[Service Date],ROWS($A$202:A265)),"Yes","No")))</x:f>
        <x:v>Yes</x:v>
      </x:c>
      <x:c r="I265" t="str">
        <x:f>IF(A265="","",IF(E265&lt;&gt;"Yes","N/A",IF(D265="MULTI-WO VISIT","Yes",IF(B265=INDEX(tblServiceEvents[Work Orders],MATCH(C265,tblServiceEvents[Event #],0)),"Yes","No"))))</x:f>
        <x:v>Yes</x:v>
      </x:c>
      <x:c r="J265" t="str">
        <x:f>IF(A265="","",IF(D265="MAPPING_HOLD","QUARANTINED",IF(AND(E265="Yes",F265="Yes",G265="Yes",H265="Yes",I265="Yes"),"PASS","FAIL")))</x:f>
        <x:v>PASS</x:v>
      </x:c>
      <x:c r="K265"/>
      <x:c r="L265"/>
      <x:c r="M265"/>
      <x:c r="N265"/>
      <x:c r="O265"/>
      <x:c r="P265"/>
      <x:c r="Q265"/>
      <x:c r="R265"/>
      <x:c r="S265"/>
      <x:c r="T265"/>
      <x:c r="U265"/>
      <x:c r="V265"/>
    </x:row>
    <x:row r="266">
      <x:c r="A266" t="str">
        <x:f>IFERROR(INDEX(tblLedger[Ledger Record ID],ROWS($A$202:A266)),"")</x:f>
        <x:v>LED-0065</x:v>
      </x:c>
      <x:c r="B266" t="n">
        <x:f>IFERROR(INDEX(tblLedger[Work Order #],ROWS($A$202:A266)),"")</x:f>
        <x:v>5916961</x:v>
      </x:c>
      <x:c r="C266" t="n">
        <x:f>IFERROR(INDEX(tblLedger[Event #],ROWS($A$202:A266)),"")</x:f>
        <x:v>64</x:v>
      </x:c>
      <x:c r="D266" t="str">
        <x:f>IFERROR(INDEX(tblLedger[Mapping Status],ROWS($A$202:A266)),"")</x:f>
        <x:v>Unique</x:v>
      </x:c>
      <x:c r="E266" t="str">
        <x:f>IF(A266="","",IF(D266="MAPPING_HOLD","QUARANTINED",IF(COUNTIF(tblServiceEvents[Event #],C266)=1,"Yes","No")))</x:f>
        <x:v>Yes</x:v>
      </x:c>
      <x:c r="F266" t="str">
        <x:f>IF(A266="","",IF(E266&lt;&gt;"Yes","N/A",IF(INDEX(tblServiceEvents[Client ID],MATCH(C266,tblServiceEvents[Event #],0))=INDEX(tblLedger[Client ID],ROWS($A$202:A266)),"Yes","No")))</x:f>
        <x:v>Yes</x:v>
      </x:c>
      <x:c r="G266" t="str">
        <x:f>IF(A266="","",IF(E266&lt;&gt;"Yes","N/A",IF(INDEX(tblServiceEvents[Location Key],MATCH(C266,tblServiceEvents[Event #],0))=INDEX(tblLedger[Location Key],ROWS($A$202:A266)),"Yes","No")))</x:f>
        <x:v>Yes</x:v>
      </x:c>
      <x:c r="H266" t="str">
        <x:f>IF(A266="","",IF(E266&lt;&gt;"Yes","N/A",IF(INDEX(tblServiceEvents[Service Date],MATCH(C266,tblServiceEvents[Event #],0))=INDEX(tblLedger[Service Date],ROWS($A$202:A266)),"Yes","No")))</x:f>
        <x:v>Yes</x:v>
      </x:c>
      <x:c r="I266" t="str">
        <x:f>IF(A266="","",IF(E266&lt;&gt;"Yes","N/A",IF(D266="MULTI-WO VISIT","Yes",IF(B266=INDEX(tblServiceEvents[Work Orders],MATCH(C266,tblServiceEvents[Event #],0)),"Yes","No"))))</x:f>
        <x:v>Yes</x:v>
      </x:c>
      <x:c r="J266" t="str">
        <x:f>IF(A266="","",IF(D266="MAPPING_HOLD","QUARANTINED",IF(AND(E266="Yes",F266="Yes",G266="Yes",H266="Yes",I266="Yes"),"PASS","FAIL")))</x:f>
        <x:v>PASS</x:v>
      </x:c>
      <x:c r="K266"/>
      <x:c r="L266"/>
      <x:c r="M266"/>
      <x:c r="N266"/>
      <x:c r="O266"/>
      <x:c r="P266"/>
      <x:c r="Q266"/>
      <x:c r="R266"/>
      <x:c r="S266"/>
      <x:c r="T266"/>
      <x:c r="U266"/>
      <x:c r="V266"/>
    </x:row>
    <x:row r="267">
      <x:c r="A267" t="str">
        <x:f>IFERROR(INDEX(tblLedger[Ledger Record ID],ROWS($A$202:A267)),"")</x:f>
        <x:v>LED-0066</x:v>
      </x:c>
      <x:c r="B267" t="n">
        <x:f>IFERROR(INDEX(tblLedger[Work Order #],ROWS($A$202:A267)),"")</x:f>
        <x:v>5917407</x:v>
      </x:c>
      <x:c r="C267" t="n">
        <x:f>IFERROR(INDEX(tblLedger[Event #],ROWS($A$202:A267)),"")</x:f>
        <x:v>65</x:v>
      </x:c>
      <x:c r="D267" t="str">
        <x:f>IFERROR(INDEX(tblLedger[Mapping Status],ROWS($A$202:A267)),"")</x:f>
        <x:v>Unique</x:v>
      </x:c>
      <x:c r="E267" t="str">
        <x:f>IF(A267="","",IF(D267="MAPPING_HOLD","QUARANTINED",IF(COUNTIF(tblServiceEvents[Event #],C267)=1,"Yes","No")))</x:f>
        <x:v>Yes</x:v>
      </x:c>
      <x:c r="F267" t="str">
        <x:f>IF(A267="","",IF(E267&lt;&gt;"Yes","N/A",IF(INDEX(tblServiceEvents[Client ID],MATCH(C267,tblServiceEvents[Event #],0))=INDEX(tblLedger[Client ID],ROWS($A$202:A267)),"Yes","No")))</x:f>
        <x:v>Yes</x:v>
      </x:c>
      <x:c r="G267" t="str">
        <x:f>IF(A267="","",IF(E267&lt;&gt;"Yes","N/A",IF(INDEX(tblServiceEvents[Location Key],MATCH(C267,tblServiceEvents[Event #],0))=INDEX(tblLedger[Location Key],ROWS($A$202:A267)),"Yes","No")))</x:f>
        <x:v>Yes</x:v>
      </x:c>
      <x:c r="H267" t="str">
        <x:f>IF(A267="","",IF(E267&lt;&gt;"Yes","N/A",IF(INDEX(tblServiceEvents[Service Date],MATCH(C267,tblServiceEvents[Event #],0))=INDEX(tblLedger[Service Date],ROWS($A$202:A267)),"Yes","No")))</x:f>
        <x:v>Yes</x:v>
      </x:c>
      <x:c r="I267" t="str">
        <x:f>IF(A267="","",IF(E267&lt;&gt;"Yes","N/A",IF(D267="MULTI-WO VISIT","Yes",IF(B267=INDEX(tblServiceEvents[Work Orders],MATCH(C267,tblServiceEvents[Event #],0)),"Yes","No"))))</x:f>
        <x:v>Yes</x:v>
      </x:c>
      <x:c r="J267" t="str">
        <x:f>IF(A267="","",IF(D267="MAPPING_HOLD","QUARANTINED",IF(AND(E267="Yes",F267="Yes",G267="Yes",H267="Yes",I267="Yes"),"PASS","FAIL")))</x:f>
        <x:v>PASS</x:v>
      </x:c>
      <x:c r="K267"/>
      <x:c r="L267"/>
      <x:c r="M267"/>
      <x:c r="N267"/>
      <x:c r="O267"/>
      <x:c r="P267"/>
      <x:c r="Q267"/>
      <x:c r="R267"/>
      <x:c r="S267"/>
      <x:c r="T267"/>
      <x:c r="U267"/>
      <x:c r="V267"/>
    </x:row>
    <x:row r="268">
      <x:c r="A268" t="str">
        <x:f>IFERROR(INDEX(tblLedger[Ledger Record ID],ROWS($A$202:A268)),"")</x:f>
        <x:v>LED-0067</x:v>
      </x:c>
      <x:c r="B268" t="n">
        <x:f>IFERROR(INDEX(tblLedger[Work Order #],ROWS($A$202:A268)),"")</x:f>
        <x:v>5909385</x:v>
      </x:c>
      <x:c r="C268" t="n">
        <x:f>IFERROR(INDEX(tblLedger[Event #],ROWS($A$202:A268)),"")</x:f>
        <x:v>66</x:v>
      </x:c>
      <x:c r="D268" t="str">
        <x:f>IFERROR(INDEX(tblLedger[Mapping Status],ROWS($A$202:A268)),"")</x:f>
        <x:v>Unique</x:v>
      </x:c>
      <x:c r="E268" t="str">
        <x:f>IF(A268="","",IF(D268="MAPPING_HOLD","QUARANTINED",IF(COUNTIF(tblServiceEvents[Event #],C268)=1,"Yes","No")))</x:f>
        <x:v>Yes</x:v>
      </x:c>
      <x:c r="F268" t="str">
        <x:f>IF(A268="","",IF(E268&lt;&gt;"Yes","N/A",IF(INDEX(tblServiceEvents[Client ID],MATCH(C268,tblServiceEvents[Event #],0))=INDEX(tblLedger[Client ID],ROWS($A$202:A268)),"Yes","No")))</x:f>
        <x:v>Yes</x:v>
      </x:c>
      <x:c r="G268" t="str">
        <x:f>IF(A268="","",IF(E268&lt;&gt;"Yes","N/A",IF(INDEX(tblServiceEvents[Location Key],MATCH(C268,tblServiceEvents[Event #],0))=INDEX(tblLedger[Location Key],ROWS($A$202:A268)),"Yes","No")))</x:f>
        <x:v>Yes</x:v>
      </x:c>
      <x:c r="H268" t="str">
        <x:f>IF(A268="","",IF(E268&lt;&gt;"Yes","N/A",IF(INDEX(tblServiceEvents[Service Date],MATCH(C268,tblServiceEvents[Event #],0))=INDEX(tblLedger[Service Date],ROWS($A$202:A268)),"Yes","No")))</x:f>
        <x:v>Yes</x:v>
      </x:c>
      <x:c r="I268" t="str">
        <x:f>IF(A268="","",IF(E268&lt;&gt;"Yes","N/A",IF(D268="MULTI-WO VISIT","Yes",IF(B268=INDEX(tblServiceEvents[Work Orders],MATCH(C268,tblServiceEvents[Event #],0)),"Yes","No"))))</x:f>
        <x:v>Yes</x:v>
      </x:c>
      <x:c r="J268" t="str">
        <x:f>IF(A268="","",IF(D268="MAPPING_HOLD","QUARANTINED",IF(AND(E268="Yes",F268="Yes",G268="Yes",H268="Yes",I268="Yes"),"PASS","FAIL")))</x:f>
        <x:v>PASS</x:v>
      </x:c>
    </x:row>
    <x:row r="269">
      <x:c r="A269" t="str">
        <x:f>IFERROR(INDEX(tblLedger[Ledger Record ID],ROWS($A$202:A269)),"")</x:f>
        <x:v>LED-0068</x:v>
      </x:c>
      <x:c r="B269" t="n">
        <x:f>IFERROR(INDEX(tblLedger[Work Order #],ROWS($A$202:A269)),"")</x:f>
        <x:v>5914898</x:v>
      </x:c>
      <x:c r="C269" t="n">
        <x:f>IFERROR(INDEX(tblLedger[Event #],ROWS($A$202:A269)),"")</x:f>
        <x:v>67</x:v>
      </x:c>
      <x:c r="D269" t="str">
        <x:f>IFERROR(INDEX(tblLedger[Mapping Status],ROWS($A$202:A269)),"")</x:f>
        <x:v>Unique</x:v>
      </x:c>
      <x:c r="E269" t="str">
        <x:f>IF(A269="","",IF(D269="MAPPING_HOLD","QUARANTINED",IF(COUNTIF(tblServiceEvents[Event #],C269)=1,"Yes","No")))</x:f>
        <x:v>Yes</x:v>
      </x:c>
      <x:c r="F269" t="str">
        <x:f>IF(A269="","",IF(E269&lt;&gt;"Yes","N/A",IF(INDEX(tblServiceEvents[Client ID],MATCH(C269,tblServiceEvents[Event #],0))=INDEX(tblLedger[Client ID],ROWS($A$202:A269)),"Yes","No")))</x:f>
        <x:v>Yes</x:v>
      </x:c>
      <x:c r="G269" t="str">
        <x:f>IF(A269="","",IF(E269&lt;&gt;"Yes","N/A",IF(INDEX(tblServiceEvents[Location Key],MATCH(C269,tblServiceEvents[Event #],0))=INDEX(tblLedger[Location Key],ROWS($A$202:A269)),"Yes","No")))</x:f>
        <x:v>Yes</x:v>
      </x:c>
      <x:c r="H269" t="str">
        <x:f>IF(A269="","",IF(E269&lt;&gt;"Yes","N/A",IF(INDEX(tblServiceEvents[Service Date],MATCH(C269,tblServiceEvents[Event #],0))=INDEX(tblLedger[Service Date],ROWS($A$202:A269)),"Yes","No")))</x:f>
        <x:v>Yes</x:v>
      </x:c>
      <x:c r="I269" t="str">
        <x:f>IF(A269="","",IF(E269&lt;&gt;"Yes","N/A",IF(D269="MULTI-WO VISIT","Yes",IF(B269=INDEX(tblServiceEvents[Work Orders],MATCH(C269,tblServiceEvents[Event #],0)),"Yes","No"))))</x:f>
        <x:v>Yes</x:v>
      </x:c>
      <x:c r="J269" t="str">
        <x:f>IF(A269="","",IF(D269="MAPPING_HOLD","QUARANTINED",IF(AND(E269="Yes",F269="Yes",G269="Yes",H269="Yes",I269="Yes"),"PASS","FAIL")))</x:f>
        <x:v>PASS</x:v>
      </x:c>
    </x:row>
  </x:sheetData>
  <x:mergeCells>
    <x:mergeCell ref="A1:V2"/>
    <x:mergeCell ref="A3:V3"/>
    <x:mergeCell ref="A5:C5"/>
    <x:mergeCell ref="A6:C7"/>
    <x:mergeCell ref="D5:F5"/>
    <x:mergeCell ref="D6:F7"/>
    <x:mergeCell ref="G5:I5"/>
    <x:mergeCell ref="G6:I7"/>
    <x:mergeCell ref="J5:L5"/>
    <x:mergeCell ref="J6:L7"/>
    <x:mergeCell ref="M5:O5"/>
    <x:mergeCell ref="M6:O7"/>
    <x:mergeCell ref="P5:R5"/>
    <x:mergeCell ref="P6:R7"/>
    <x:mergeCell ref="S5:V5"/>
    <x:mergeCell ref="S6:V7"/>
    <x:mergeCell ref="A9:L9"/>
    <x:mergeCell ref="A29:V29"/>
    <x:mergeCell ref="A96:R96"/>
  </x:mergeCells>
  <x:conditionalFormatting sqref="A31:V93">
    <x:cfRule type="expression" dxfId="13" priority="1">
      <x:formula>$S31="Critical"</x:formula>
    </x:cfRule>
  </x:conditionalFormatting>
  <x:conditionalFormatting sqref="A98:R159">
    <x:cfRule type="expression" dxfId="14" priority="2">
      <x:formula>$Q98="Critical"</x:formula>
    </x:cfRule>
  </x:conditionalFormatting>
  <x:conditionalFormatting sqref="S31:S93">
    <x:cfRule type="expression" dxfId="15" priority="3">
      <x:formula>S31="Critical"</x:formula>
    </x:cfRule>
    <x:cfRule type="expression" dxfId="16" priority="4">
      <x:formula>S31="Warning"</x:formula>
    </x:cfRule>
    <x:cfRule type="expression" dxfId="17" priority="5">
      <x:formula>S31="Informational"</x:formula>
    </x:cfRule>
  </x:conditionalFormatting>
  <x:conditionalFormatting sqref="Q98:Q159">
    <x:cfRule type="expression" dxfId="18" priority="6">
      <x:formula>Q98="Critical"</x:formula>
    </x:cfRule>
    <x:cfRule type="expression" dxfId="19" priority="7">
      <x:formula>Q98="Warning"</x:formula>
    </x:cfRule>
    <x:cfRule type="expression" dxfId="20" priority="8">
      <x:formula>Q98="Informational"</x:formula>
    </x:cfRule>
  </x:conditionalFormatting>
  <x:conditionalFormatting sqref="A6:C6">
    <x:cfRule type="expression" dxfId="95" priority="9">
      <x:formula>$A$6=0</x:formula>
    </x:cfRule>
    <x:cfRule type="expression" dxfId="96" priority="10">
      <x:formula>$A$6&gt;0</x:formula>
    </x:cfRule>
  </x:conditionalFormatting>
  <x:conditionalFormatting sqref="D6:F6">
    <x:cfRule type="expression" dxfId="97" priority="11">
      <x:formula>$D$6=0</x:formula>
    </x:cfRule>
    <x:cfRule type="expression" dxfId="98" priority="12">
      <x:formula>$D$6&gt;0</x:formula>
    </x:cfRule>
  </x:conditionalFormatting>
  <x:conditionalFormatting sqref="G6:I6">
    <x:cfRule type="expression" dxfId="99" priority="13">
      <x:formula>$G$6=0</x:formula>
    </x:cfRule>
    <x:cfRule type="expression" dxfId="100" priority="14">
      <x:formula>$G$6&gt;0</x:formula>
    </x:cfRule>
  </x:conditionalFormatting>
  <x:conditionalFormatting sqref="J6:L6">
    <x:cfRule type="expression" dxfId="101" priority="15">
      <x:formula>$J$6=0</x:formula>
    </x:cfRule>
    <x:cfRule type="expression" dxfId="102" priority="16">
      <x:formula>$J$6&gt;0</x:formula>
    </x:cfRule>
  </x:conditionalFormatting>
  <x:conditionalFormatting sqref="M6:O6">
    <x:cfRule type="expression" dxfId="103" priority="17">
      <x:formula>$M$6=0</x:formula>
    </x:cfRule>
    <x:cfRule type="expression" dxfId="104" priority="18">
      <x:formula>$M$6&gt;0</x:formula>
    </x:cfRule>
  </x:conditionalFormatting>
  <x:conditionalFormatting sqref="P6:R6">
    <x:cfRule type="expression" dxfId="105" priority="19">
      <x:formula>$P$6=0</x:formula>
    </x:cfRule>
    <x:cfRule type="expression" dxfId="106" priority="20">
      <x:formula>$P$6&gt;0</x:formula>
    </x:cfRule>
  </x:conditionalFormatting>
  <x:conditionalFormatting sqref="S6:V6">
    <x:cfRule type="expression" dxfId="107" priority="21">
      <x:formula>$S$6=0</x:formula>
    </x:cfRule>
    <x:cfRule type="expression" dxfId="108" priority="22">
      <x:formula>$S$6&gt;0</x:formula>
    </x:cfRule>
  </x:conditionalFormatting>
  <x:conditionalFormatting sqref="A11:L25">
    <x:cfRule type="expression" dxfId="109" priority="23">
      <x:formula>$A11="Critical"</x:formula>
    </x:cfRule>
    <x:cfRule type="expression" dxfId="110" priority="24">
      <x:formula>$A11="Warning"</x:formula>
    </x:cfRule>
    <x:cfRule type="expression" dxfId="111" priority="25">
      <x:formula>$A11="Informational"</x:formula>
    </x:cfRule>
  </x:conditionalFormatting>
  <x:conditionalFormatting sqref="H11:H25">
    <x:cfRule type="dataBar" priority="26">
      <x:dataBar>
        <x:cfvo type="min"/>
        <x:cfvo type="max"/>
        <x:color rgb="FFED7D31"/>
      </x:dataBar>
      <x:extLst>
        <x:ext xmlns:x14="http://schemas.microsoft.com/office/spreadsheetml/2009/9/main" uri="{B025F937-C7B1-47D3-B67F-A62EFF666E3E}">
          <x14:id>{48A1F88A-D0BA-ECDF-1718-9A4ADDB9838F}</x14:id>
        </x:ext>
      </x:extLst>
    </x:cfRule>
  </x:conditionalFormatting>
  <x:conditionalFormatting sqref="R31:V96">
    <x:cfRule type="expression" dxfId="112" priority="27">
      <x:formula>$S31="Critical"</x:formula>
    </x:cfRule>
    <x:cfRule type="expression" dxfId="113" priority="28">
      <x:formula>$S31="Warning"</x:formula>
    </x:cfRule>
    <x:cfRule type="expression" dxfId="114" priority="29">
      <x:formula>$S31="Informational"</x:formula>
    </x:cfRule>
    <x:cfRule type="expression" dxfId="115" priority="30">
      <x:formula>$S31="OK"</x:formula>
    </x:cfRule>
  </x:conditionalFormatting>
  <x:conditionalFormatting sqref="V31:V96">
    <x:cfRule type="dataBar" priority="31">
      <x:dataBar>
        <x:cfvo type="min"/>
        <x:cfvo type="max"/>
        <x:color rgb="FFC00000"/>
      </x:dataBar>
      <x:extLst>
        <x:ext xmlns:x14="http://schemas.microsoft.com/office/spreadsheetml/2009/9/main" uri="{B025F937-C7B1-47D3-B67F-A62EFF666E3E}">
          <x14:id>{F4D75A0D-32A7-6E29-5BE8-5A81C508C603}</x14:id>
        </x:ext>
      </x:extLst>
    </x:cfRule>
  </x:conditionalFormatting>
  <x:conditionalFormatting sqref="P98:R162">
    <x:cfRule type="expression" dxfId="116" priority="32">
      <x:formula>$Q98="Critical"</x:formula>
    </x:cfRule>
    <x:cfRule type="expression" dxfId="117" priority="33">
      <x:formula>$Q98="Warning"</x:formula>
    </x:cfRule>
    <x:cfRule type="expression" dxfId="118" priority="34">
      <x:formula>$Q98="Informational"</x:formula>
    </x:cfRule>
    <x:cfRule type="expression" dxfId="119" priority="35">
      <x:formula>$Q98="OK"</x:formula>
    </x:cfRule>
  </x:conditionalFormatting>
  <x:conditionalFormatting sqref="B167:B167">
    <x:cfRule type="expression" dxfId="127" priority="36">
      <x:formula>B167="PASS"</x:formula>
    </x:cfRule>
    <x:cfRule type="expression" dxfId="128" priority="37">
      <x:formula>B167="FAIL"</x:formula>
    </x:cfRule>
  </x:conditionalFormatting>
  <x:conditionalFormatting sqref="E172:E193">
    <x:cfRule type="expression" dxfId="129" priority="38">
      <x:formula>E172="PASS"</x:formula>
    </x:cfRule>
    <x:cfRule type="expression" dxfId="130" priority="39">
      <x:formula>E172="FAIL"</x:formula>
    </x:cfRule>
  </x:conditionalFormatting>
  <x:conditionalFormatting sqref="J198:J263">
    <x:cfRule type="expression" dxfId="131" priority="40">
      <x:formula>J198="PASS"</x:formula>
    </x:cfRule>
    <x:cfRule type="expression" dxfId="132" priority="41">
      <x:formula>J198="FAIL"</x:formula>
    </x:cfRule>
    <x:cfRule type="expression" dxfId="133" priority="42">
      <x:formula>J198="QUARANTINED"</x:formula>
    </x:cfRule>
  </x:conditionalFormatting>
  <x:pageMargins left="0.7" right="0.7" top="0.75" bottom="0.75" header="0.3" footer="0.3"/>
  <x:tableParts count="5">
    <x:tablePart xmlns:r="http://schemas.openxmlformats.org/officeDocument/2006/relationships" r:id="Rcc4d3723fe1144a9"/>
    <x:tablePart xmlns:r="http://schemas.openxmlformats.org/officeDocument/2006/relationships" r:id="R2da5aecfce5d439e"/>
    <x:tablePart xmlns:r="http://schemas.openxmlformats.org/officeDocument/2006/relationships" r:id="R98f0f3152373485a"/>
    <x:tablePart xmlns:r="http://schemas.openxmlformats.org/officeDocument/2006/relationships" r:id="Rb027acf53a7b475c"/>
    <x:tablePart xmlns:r="http://schemas.openxmlformats.org/officeDocument/2006/relationships" r:id="Reb8e3eb64b6444a6"/>
  </x:tableParts>
  <x:extLst>
    <x:ext xmlns:x14="http://schemas.microsoft.com/office/spreadsheetml/2009/9/main" xmlns:xm="http://schemas.microsoft.com/office/excel/2006/main" uri="{78C0D931-6437-407d-A8EE-F0AAD7539E65}">
      <x14:conditionalFormattings>
        <x14:conditionalFormatting>
          <x14:cfRule type="dataBar" priority="26" id="{48A1F88A-D0BA-ECDF-1718-9A4ADDB9838F}">
            <x14:dataBar gradient="1">
              <x14:cfvo type="min"/>
              <x14:cfvo type="max"/>
              <x14:fillColor rgb="FFED7D31"/>
            </x14:dataBar>
          </x14:cfRule>
          <xm:sqref>H11:H25</xm:sqref>
        </x14:conditionalFormatting>
        <x14:conditionalFormatting>
          <x14:cfRule type="dataBar" priority="31" id="{F4D75A0D-32A7-6E29-5BE8-5A81C508C603}">
            <x14:dataBar gradient="1">
              <x14:cfvo type="min"/>
              <x14:cfvo type="max"/>
              <x14:fillColor rgb="FFC00000"/>
            </x14:dataBar>
          </x14:cfRule>
          <xm:sqref>V31:V96</xm:sqref>
        </x14:conditionalFormatting>
      </x14:conditionalFormattings>
    </x:ext>
  </x:extLst>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42" hidden="0" customWidth="1"/>
    <x:col min="3" max="3" width="42"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s>
  <x:sheetData>
    <x:row r="1">
      <x:c r="A1" s="51" t="str">
        <x:v>Barrister Governance &amp; Migration Record</x:v>
      </x:c>
      <x:c r="B1" s="51"/>
      <x:c r="C1" s="51"/>
      <x:c r="D1" s="51"/>
      <x:c r="E1" s="51"/>
      <x:c r="F1" s="51"/>
      <x:c r="G1" s="52"/>
      <x:c r="H1" s="52"/>
      <x:c r="I1" s="52"/>
      <x:c r="J1" s="52"/>
      <x:c r="K1" s="52"/>
      <x:c r="L1" s="52"/>
      <x:c r="M1" s="52"/>
      <x:c r="N1" s="52"/>
      <x:c r="O1" s="52"/>
      <x:c r="P1" s="52"/>
      <x:c r="Q1" s="52"/>
      <x:c r="R1" s="52"/>
      <x:c r="S1" s="52"/>
      <x:c r="T1" s="52"/>
      <x:c r="U1" s="52"/>
      <x:c r="V1" s="52"/>
      <x:c r="W1" s="52"/>
      <x:c r="X1" s="52"/>
      <x:c r="Y1" s="52"/>
      <x:c r="Z1" s="52"/>
      <x:c r="AA1" s="52"/>
      <x:c r="AB1" s="52"/>
      <x:c r="AC1" s="52"/>
      <x:c r="AD1" s="52"/>
      <x:c r="AE1" s="52"/>
    </x:row>
    <x:row r="2">
      <x:c r="A2" s="39"/>
      <x:c r="B2" s="39"/>
      <x:c r="C2" s="39"/>
      <x:c r="D2" s="39"/>
      <x:c r="E2" s="39"/>
      <x:c r="F2" s="39"/>
    </x:row>
    <x:row r="4">
      <x:c r="A4" s="12" t="str">
        <x:v>Current Master Summary</x:v>
      </x:c>
      <x:c r="B4" s="12"/>
    </x:row>
    <x:row r="5">
      <x:c r="A5" t="str">
        <x:v>Purpose</x:v>
      </x:c>
      <x:c r="B5" t="str">
        <x:v>Barrister Source of Truth — July Master v1</x:v>
      </x:c>
    </x:row>
    <x:row r="6">
      <x:c r="A6" t="str">
        <x:v>Current Completed Service Events</x:v>
      </x:c>
      <x:c r="B6" t="n">
        <x:v>65</x:v>
      </x:c>
    </x:row>
    <x:row r="7">
      <x:c r="A7" t="str">
        <x:v>Current Completed Unique Clients</x:v>
      </x:c>
      <x:c r="B7" t="n">
        <x:v>27</x:v>
      </x:c>
    </x:row>
    <x:row r="8">
      <x:c r="A8" t="str">
        <x:v>Scheduled Timeline Positions</x:v>
      </x:c>
      <x:c r="B8" t="n">
        <x:v>0</x:v>
      </x:c>
    </x:row>
    <x:row r="9">
      <x:c r="A9" t="str">
        <x:v>Awarded Client Without Timeline Entry</x:v>
      </x:c>
      <x:c r="B9" t="n">
        <x:v>0</x:v>
      </x:c>
    </x:row>
    <x:row r="10">
      <x:c r="A10" t="str">
        <x:v>Core Principle</x:v>
      </x:c>
      <x:c r="B10" t="str">
        <x:v>Update the ledger; do not reconstruct from memory.</x:v>
      </x:c>
    </x:row>
    <x:row r="11">
      <x:c r="A11" t="str">
        <x:v>Latest Update</x:v>
      </x:c>
      <x:c r="B11" t="str">
        <x:v>Chronology dated through Event #65; Phase 3G self-healing formulas and Phase 3H structural integrity controls are active.</x:v>
      </x:c>
    </x:row>
    <x:row r="12">
      <x:c r="A12" t="str">
        <x:v>Integrity Rule</x:v>
      </x:c>
      <x:c r="B12" t="str">
        <x:v>Timeline tracks physical visits; ledger tracks WOs. Same-site multi-WO visits remain one event.</x:v>
      </x:c>
    </x:row>
    <x:row r="13">
      <x:c r="A13" t="str">
        <x:v>Metrics Rule</x:v>
      </x:c>
      <x:c r="B13" t="str">
        <x:v>Career chronology and financial scope are separate populations. Revenue averages use confirmed eligible events; missing-breakdown metrics use Financial Scope + Breakdown Expected.</x:v>
      </x:c>
    </x:row>
    <x:row r="14">
      <x:c r="A14" t="str">
        <x:v>Version Note</x:v>
      </x:c>
      <x:c r="B14" t="str">
        <x:v>Authoritative Phase 3G + 3H version generated from Phase 3H; deterministic fields auto-repair without reconstructing chronology.</x:v>
      </x:c>
    </x:row>
    <x:row r="15">
      <x:c r="A15" t="str">
        <x:v>Phase 0 Canonical Master</x:v>
      </x:c>
      <x:c r="B15" t="str">
        <x:v>Created from Phase2 base + Compare workbook + July 1/2 deltas.</x:v>
      </x:c>
    </x:row>
    <x:row r="16">
      <x:c r="A16" t="str">
        <x:v>Authoritative workbook</x:v>
      </x:c>
      <x:c r="B16" t="str">
        <x:v>Barrister_Master_v2_Phase3G_3H_Complete.xlsx</x:v>
      </x:c>
    </x:row>
    <x:row r="17">
      <x:c r="A17" t="str">
        <x:v>New authoritative sheets</x:v>
      </x:c>
      <x:c r="B17" t="str">
        <x:v>Service Calendar, Worked Days, Weekday Metrics</x:v>
      </x:c>
    </x:row>
    <x:row r="18">
      <x:c r="A18" t="str">
        <x:v>Critical review item</x:v>
      </x:c>
      <x:c r="B18" t="str">
        <x:v>WO 5905579 duplicate/partial ACH remains flagged; do not clean-close until resolved.</x:v>
      </x:c>
    </x:row>
    <x:row r="19">
      <x:c r="A19" t="str">
        <x:v>Current operational timeline</x:v>
      </x:c>
      <x:c r="B19" t="str">
        <x:v>65 completed events</x:v>
      </x:c>
    </x:row>
    <x:row r="20">
      <x:c r="A20" t="str">
        <x:v>Current financial-scope events</x:v>
      </x:c>
      <x:c r="B20" t="n">
        <x:v>61</x:v>
      </x:c>
    </x:row>
    <x:row r="21">
      <x:c r="A21" t="str">
        <x:v>Confirmed-breakdown revenue total</x:v>
      </x:c>
      <x:c r="B21" s="24" t="n">
        <x:v>7050.81</x:v>
      </x:c>
    </x:row>
    <x:row r="22">
      <x:c r="A22" t="str">
        <x:v>Breakdown-confirmed financial events</x:v>
      </x:c>
      <x:c r="B22" t="n">
        <x:v>57</x:v>
      </x:c>
    </x:row>
    <x:row r="24">
      <x:c r="A24" s="12" t="str">
        <x:v>Rules &amp; Governance</x:v>
      </x:c>
      <x:c r="B24" s="12"/>
      <x:c r="C24" s="12"/>
    </x:row>
    <x:row r="25">
      <x:c r="A25" s="29" t="str">
        <x:v>Rule #</x:v>
      </x:c>
      <x:c r="B25" s="29" t="str">
        <x:v>Rule</x:v>
      </x:c>
      <x:c r="C25" s="29" t="str">
        <x:v>Definition</x:v>
      </x:c>
    </x:row>
    <x:row r="26">
      <x:c r="A26" t="n">
        <x:v>1</x:v>
      </x:c>
      <x:c r="B26" t="str">
        <x:v>The Spreadsheet Is The Record</x:v>
      </x:c>
      <x:c r="C26" t="str">
        <x:v>The spreadsheet is the authoritative record. Conversation is commentary. When a discrepancy exists, update the spreadsheet. Do not recreate the spreadsheet from conversation.</x:v>
      </x:c>
    </x:row>
    <x:row r="27">
      <x:c r="A27" t="n">
        <x:v>2</x:v>
      </x:c>
      <x:c r="B27" t="str">
        <x:v>Update, Never Reconstruct</x:v>
      </x:c>
      <x:c r="C27" t="str">
        <x:v>At the end of each week, open the latest Source of Truth workbook and apply only new changes. Do not regenerate Timeline, Client List, or Scorecard from memory.</x:v>
      </x:c>
    </x:row>
    <x:row r="28">
      <x:c r="A28" t="n">
        <x:v>3</x:v>
      </x:c>
      <x:c r="B28" t="str">
        <x:v>Delta Update Method</x:v>
      </x:c>
      <x:c r="C28" t="str">
        <x:v>All updates must be treated as deltas: new visit, new client, location correction, naming correction. Apply changes directly to the existing record. Never rebuild the entire record.</x:v>
      </x:c>
    </x:row>
    <x:row r="29">
      <x:c r="A29" t="n">
        <x:v>4</x:v>
      </x:c>
      <x:c r="B29" t="str">
        <x:v>Chronology Is King</x:v>
      </x:c>
      <x:c r="C29" t="str">
        <x:v>Timeline order is determined by actual visit sequence, not client name, state, geography, or importance.</x:v>
      </x:c>
    </x:row>
    <x:row r="30">
      <x:c r="A30" t="n">
        <x:v>5</x:v>
      </x:c>
      <x:c r="B30" t="str">
        <x:v>One Visit = One Timeline Entry</x:v>
      </x:c>
      <x:c r="C30" t="str">
        <x:v>Every completed visit receives its own timeline position. Repeat visits remain separate entries.</x:v>
      </x:c>
    </x:row>
    <x:row r="31">
      <x:c r="A31" t="n">
        <x:v>6</x:v>
      </x:c>
      <x:c r="B31" t="str">
        <x:v>Client List Uses Unique Clients</x:v>
      </x:c>
      <x:c r="C31" t="str">
        <x:v>Client List is deduplicated. Timeline is not. One client may appear many times on the timeline but only once on the Client List.</x:v>
      </x:c>
    </x:row>
    <x:row r="32">
      <x:c r="A32" t="n">
        <x:v>7</x:v>
      </x:c>
      <x:c r="B32" t="str">
        <x:v>Client Count Derivation</x:v>
      </x:c>
      <x:c r="C32" t="str">
        <x:v>Unique Client Count is derived from the Client List. Never manually counted, never estimated.</x:v>
      </x:c>
    </x:row>
    <x:row r="33">
      <x:c r="A33" t="n">
        <x:v>8</x:v>
      </x:c>
      <x:c r="B33" t="str">
        <x:v>Service Event Count Derivation</x:v>
      </x:c>
      <x:c r="C33" t="str">
        <x:v>Service Event Count is derived from the Timeline. The latest completed timeline position equals completed service events.</x:v>
      </x:c>
    </x:row>
    <x:row r="34">
      <x:c r="A34" t="n">
        <x:v>9</x:v>
      </x:c>
      <x:c r="B34" t="str">
        <x:v>Barrister Authoritative Mode</x:v>
      </x:c>
      <x:c r="C34" t="str">
        <x:v>Within the Barrister project, user-provided Barrister facts are authoritative. When the user states a ticket is closed, it is closed. Do not downgrade to pending, assumed, likely, or probable unless the user explicitly indicates uncertainty.</x:v>
      </x:c>
    </x:row>
    <x:row r="35">
      <x:c r="A35" t="n">
        <x:v>10</x:v>
      </x:c>
      <x:c r="B35" t="str">
        <x:v>Scheduled vs Completed</x:v>
      </x:c>
      <x:c r="C35" t="str">
        <x:v>Timeline may contain Completed and Scheduled entries. Completed visits affect the completed scorecard. Scheduled visits are labeled and do not count as completed service events until closed.</x:v>
      </x:c>
    </x:row>
    <x:row r="36">
      <x:c r="A36" t="n">
        <x:v>11</x:v>
      </x:c>
      <x:c r="B36" t="str">
        <x:v>Awarded Clients</x:v>
      </x:c>
      <x:c r="C36" t="str">
        <x:v>A client may exist before the first visit. Awarded clients appear on the Client List, but no timeline entry is created until the first visit occurs.</x:v>
      </x:c>
    </x:row>
    <x:row r="37">
      <x:c r="A37" t="n">
        <x:v>12</x:v>
      </x:c>
      <x:c r="B37" t="str">
        <x:v>Location Standardization</x:v>
      </x:c>
      <x:c r="C37" t="str">
        <x:v>Use DC directional abbreviation format only: DC, NW / DC, NE / DC, SW / DC, SE. Do not spell out Northwest, Southwest, etc.</x:v>
      </x:c>
    </x:row>
    <x:row r="38">
      <x:c r="A38" t="n">
        <x:v>13</x:v>
      </x:c>
      <x:c r="B38" t="str">
        <x:v>Government Office Naming</x:v>
      </x:c>
      <x:c r="C38" t="str">
        <x:v>Senatorial offices are individual clients. Use Office of MD Senator Chris Van Hollen and Office of MD Senator Angela Alsobrooks.</x:v>
      </x:c>
    </x:row>
    <x:row r="39">
      <x:c r="A39" t="n">
        <x:v>14</x:v>
      </x:c>
      <x:c r="B39" t="str">
        <x:v>Client vs Technology</x:v>
      </x:c>
      <x:c r="C39" t="str">
        <x:v>Clients are organizations visited. Technologies, manufacturers, devices, and problem types are not clients.</x:v>
      </x:c>
    </x:row>
    <x:row r="40">
      <x:c r="A40" t="n">
        <x:v>15</x:v>
      </x:c>
      <x:c r="B40" t="str">
        <x:v>Weekly Closeout Procedure</x:v>
      </x:c>
      <x:c r="C40" t="str">
        <x:v>End of week procedure: update timeline, update client list, update scorecard, apply corrections, verify chronology, save new workbook version, then begin the next week.</x:v>
      </x:c>
    </x:row>
    <x:row r="41">
      <x:c r="A41" t="n">
        <x:v>16</x:v>
      </x:c>
      <x:c r="B41" t="str">
        <x:v>Structured Record System</x:v>
      </x:c>
      <x:c r="C41" t="str">
        <x:v>Barrister operates as a structured record system with conversations happening around it. The record is primary. The conversation supports the record.</x:v>
      </x:c>
    </x:row>
    <x:row r="42">
      <x:c r="A42" t="str">
        <x:v>Financial Status Rule</x:v>
      </x:c>
      <x:c r="B42" t="str">
        <x:v>Timeline Verified? column uses ☑ / ⚠ / ☐</x:v>
      </x:c>
      <x:c r="C42" t="str">
        <x:v>☑ = closed, ⚠ = follow-up, ☐ = awaiting confirmation</x:v>
      </x:c>
    </x:row>
    <x:row r="43">
      <x:c r="A43" t="str">
        <x:v>ACH Checkbox Rule</x:v>
      </x:c>
      <x:c r="B43" t="str">
        <x:v>Practical ledger mode</x:v>
      </x:c>
      <x:c r="C43" t="str">
        <x:v>☑ can reflect financially closed status, not only freshly discovered ACH</x:v>
      </x:c>
    </x:row>
    <x:row r="44">
      <x:c r="A44" t="str">
        <x:v>Current Follow-Up Rows</x:v>
      </x:c>
      <x:c r="B44" t="str">
        <x:v>#1, #11, #38</x:v>
      </x:c>
      <x:c r="C44" t="str">
        <x:v>Macy's Fairfax, Food Lion Leesburg, 7-Eleven Lanham</x:v>
      </x:c>
    </x:row>
    <x:row r="45">
      <x:c r="A45" t="str">
        <x:v>Current Awaiting Rows</x:v>
      </x:c>
      <x:c r="B45" t="str">
        <x:v>#41-#47</x:v>
      </x:c>
      <x:c r="C45" t="str">
        <x:v>Baskin Robbins through Alsobrooks</x:v>
      </x:c>
    </x:row>
    <x:row r="46">
      <x:c r="A46" t="str">
        <x:v>Accepted Deltas</x:v>
      </x:c>
      <x:c r="B46" t="str">
        <x:v>#44-#47</x:v>
      </x:c>
      <x:c r="C46" t="str">
        <x:v>Marshalls Frederick, Montpelier Liquors, Marshalls Laurel, Alsobrooks completed</x:v>
      </x:c>
    </x:row>
    <x:row r="47">
      <x:c r="A47" t="str">
        <x:v>Ledger Delta Rule</x:v>
      </x:c>
      <x:c r="B47" t="str">
        <x:v>Apply accepted financial deltas directly to master workbook</x:v>
      </x:c>
      <x:c r="C47" t="str">
        <x:v>Do not rebuild chronology; update only affected rows/notes/status.</x:v>
      </x:c>
    </x:row>
    <x:row r="48">
      <x:c r="A48" t="str">
        <x:v>Catalina Naming Rule</x:v>
      </x:c>
      <x:c r="B48" t="str">
        <x:v>Catalina is a program/ticket type, not the client name</x:v>
      </x:c>
      <x:c r="C48" t="str">
        <x:v>Use actual store as client; #49 is Weis Markets Callaway.</x:v>
      </x:c>
    </x:row>
    <x:row r="49">
      <x:c r="A49" t="str">
        <x:v>Hebrew Home 2-WO Rule</x:v>
      </x:c>
      <x:c r="B49" t="str">
        <x:v>One onsite visit, two work orders</x:v>
      </x:c>
      <x:c r="C49" t="str">
        <x:v>Timeline counts one visit; audit tracks 5905576 and 5905579 financial disposition.</x:v>
      </x:c>
    </x:row>
    <x:row r="50">
      <x:c r="A50" t="str">
        <x:v>Payment Timing Rule</x:v>
      </x:c>
      <x:c r="B50" t="str">
        <x:v>Most breakdown/ACH updates arrive morning/noon</x:v>
      </x:c>
      <x:c r="C50" t="str">
        <x:v>After Friday update, wait until Monday unless new evidence appears.</x:v>
      </x:c>
    </x:row>
    <x:row r="51">
      <x:c r="A51" t="str">
        <x:v>Practical Verified Rule</x:v>
      </x:c>
      <x:c r="B51" t="str">
        <x:v>☑ means financially updated/closed enough for current ledger</x:v>
      </x:c>
      <x:c r="C51" t="str">
        <x:v>⚠ means action/follow-up; ☐ means awaiting normal payment cycle.</x:v>
      </x:c>
    </x:row>
    <x:row r="52">
      <x:c r="A52" t="str">
        <x:v>Latest Delta</x:v>
      </x:c>
      <x:c r="B52" t="str">
        <x:v>#43, #47, #48, #49</x:v>
      </x:c>
      <x:c r="C52" t="str">
        <x:v>Verizon Lanham $50; Alsobrooks $130; Hebrew warning; Weis Callaway added.</x:v>
      </x:c>
    </x:row>
    <x:row r="53">
      <x:c r="A53" t="str">
        <x:v>Rule 0 — Engine Gate</x:v>
      </x:c>
      <x:c r="B53" t="str">
        <x:v>No ledger update may be applied unless the Work Order uniquely maps to exactly one authoritative Timeline event through the Work Order Index / WO Alias Index.</x:v>
      </x:c>
      <x:c r="C53" t="str">
        <x:v>If mapping is missing, duplicated, or flagged review, stop and classify as VERIFY / Mapping Review.</x:v>
      </x:c>
    </x:row>
    <x:row r="54">
      <x:c r="A54" t="str">
        <x:v>Same-Site Multi-WO Visit Rule</x:v>
      </x:c>
      <x:c r="B54" t="str">
        <x:v>One physical visit can contain multiple work orders</x:v>
      </x:c>
      <x:c r="C54" t="str">
        <x:v>One drive / one arrival / one facility / one departure = one chronological event. Multiple WOs completed during that visit roll up to the same event.</x:v>
      </x:c>
    </x:row>
    <x:row r="55">
      <x:c r="A55" t="str">
        <x:v>Carvana Application</x:v>
      </x:c>
      <x:c r="B55" t="str">
        <x:v>Event #60 is one Carvana visit</x:v>
      </x:c>
      <x:c r="C55" t="str">
        <x:v>WO 5914049 and WO 5912364 are both tracked financially but do not create a second timeline event or repeat-client status.</x:v>
      </x:c>
    </x:row>
    <x:row r="56">
      <x:c r="A56" t="str">
        <x:v>Ledger Rollup Rule</x:v>
      </x:c>
      <x:c r="B56" t="str">
        <x:v>Financial ledger tracks WOs; timeline tracks visits</x:v>
      </x:c>
      <x:c r="C56" t="str">
        <x:v>For same-site multi-WO visits, keep WO-level aliases for ACH/breakdown matching and roll up confirmed revenue to one timeline event.</x:v>
      </x:c>
    </x:row>
    <x:row r="57">
      <x:c r="A57" t="n">
        <x:v>17</x:v>
      </x:c>
      <x:c r="B57" t="str">
        <x:v>Calendar Date Assignment Rule</x:v>
      </x:c>
      <x:c r="C57" t="str">
        <x:v>The chronological Timeline fixes event identity and order. Calendar/ICS evidence assigns dates and weekdays to those existing events; it must never reorder, insert, remove, or invent clients.</x:v>
      </x:c>
    </x:row>
    <x:row r="58">
      <x:c r="A58" t="n">
        <x:v>18</x:v>
      </x:c>
      <x:c r="B58" t="str">
        <x:v>Calendar Dot Interpretation Rule</x:v>
      </x:c>
      <x:c r="C58" t="str">
        <x:v>Calendar marks show work presence and event count. Selected-day work-order listings are direct evidence for dates, locations, and multi-event days.</x:v>
      </x:c>
    </x:row>
    <x:row r="59">
      <x:c r="A59" t="n">
        <x:v>19</x:v>
      </x:c>
      <x:c r="B59" t="str">
        <x:v>Confirmed Revenue Eligibility Rule</x:v>
      </x:c>
      <x:c r="C59" t="str">
        <x:v>Weekday revenue totals and average revenue per event include only completed events whose Canonical Ledger field Breakdown Confirmed equals Yes and whose Confirmed Revenue is numeric.</x:v>
      </x:c>
    </x:row>
    <x:row r="60">
      <x:c r="A60" t="n">
        <x:v>20</x:v>
      </x:c>
      <x:c r="B60" t="str">
        <x:v>TBD / Partial Exclusion Rule</x:v>
      </x:c>
      <x:c r="C60" t="str">
        <x:v>Events with breakdown status No, Partial, Pending, TBD, N/A, or missing are excluded from both the numerator and denominator of confirmed-revenue averages.</x:v>
      </x:c>
    </x:row>
    <x:row r="61">
      <x:c r="A61" t="n">
        <x:v>21</x:v>
      </x:c>
      <x:c r="B61" t="str">
        <x:v>Weekday Activity Rule</x:v>
      </x:c>
      <x:c r="C61" t="str">
        <x:v>Weekday activity measures whether at least one Barrister visit occurred on that weekday in a workweek. Multiple events on the same date count as one active weekday.</x:v>
      </x:c>
    </x:row>
    <x:row r="62">
      <x:c r="A62" t="n">
        <x:v>22</x:v>
      </x:c>
      <x:c r="B62" t="str">
        <x:v>Twelve-Week Baseline</x:v>
      </x:c>
      <x:c r="C62" t="str">
        <x:v>The initial weekday activity baseline covers 12 complete Monday-through-Friday weeks from 2026-04-20 through 2026-07-10.</x:v>
      </x:c>
    </x:row>
    <x:row r="63">
      <x:c r="A63" t="n">
        <x:v>23</x:v>
      </x:c>
      <x:c r="B63" t="str">
        <x:v>Weekday Metrics Governance</x:v>
      </x:c>
      <x:c r="C63" t="str">
        <x:v>Keep two separate metrics: confirmed revenue per eligible event, and activity rate based on actual worked weekdays. Payment eligibility never filters the activity-rate calculation.</x:v>
      </x:c>
    </x:row>
    <x:row r="66">
      <x:c r="A66" s="12" t="str">
        <x:v>Engine Rules</x:v>
      </x:c>
      <x:c r="B66" s="12"/>
      <x:c r="C66" s="12"/>
      <x:c r="D66" s="12"/>
      <x:c r="E66" s="12"/>
    </x:row>
    <x:row r="67">
      <x:c r="A67" s="29" t="str">
        <x:v>Barrister Engine Rules</x:v>
      </x:c>
      <x:c r="B67" s="29"/>
      <x:c r="C67" s="29"/>
      <x:c r="D67" s="29"/>
      <x:c r="E67" s="29"/>
    </x:row>
    <x:row r="68">
      <x:c r="A68" t="str">
        <x:v>Rule ID</x:v>
      </x:c>
      <x:c r="B68" t="str">
        <x:v>Rule Name</x:v>
      </x:c>
      <x:c r="C68" t="str">
        <x:v>Requirement</x:v>
      </x:c>
      <x:c r="D68" t="str">
        <x:v>Pass Condition</x:v>
      </x:c>
      <x:c r="E68" t="str">
        <x:v>Fail Action</x:v>
      </x:c>
    </x:row>
    <x:row r="69">
      <x:c r="A69" t="str">
        <x:v>Rule 0</x:v>
      </x:c>
      <x:c r="B69" t="str">
        <x:v>Unique Work Order Mapping</x:v>
      </x:c>
      <x:c r="C69" t="str">
        <x:v>No ledger update may be applied unless the Work Order maps to exactly one authoritative Timeline event through the Work Order Index / WO Alias Index.</x:v>
      </x:c>
      <x:c r="D69" t="str">
        <x:v>WO appears once, maps to one Event #, and is not flagged as Duplicate / Review / Missing.</x:v>
      </x:c>
      <x:c r="E69" t="str">
        <x:v>Stop update; classify as VERIFY / Mapping Review; log to Exception Review; do not change ACH/Breakdown status.</x:v>
      </x:c>
    </x:row>
    <x:row r="70">
      <x:c r="A70" t="str">
        <x:v>Rule 1</x:v>
      </x:c>
      <x:c r="B70" t="str">
        <x:v>Breakdown Comparison</x:v>
      </x:c>
      <x:c r="C70" t="str">
        <x:v>A new payment breakdown must be compared against the existing recorded breakdown before updating the ledger.</x:v>
      </x:c>
      <x:c r="D70" t="str">
        <x:v>New amount matches existing blank or same amount.</x:v>
      </x:c>
      <x:c r="E70" t="str">
        <x:v>If amount differs: classify as UPDATE; record previous vs new amount.</x:v>
      </x:c>
    </x:row>
    <x:row r="71">
      <x:c r="A71" t="str">
        <x:v>Rule 2</x:v>
      </x:c>
      <x:c r="B71" t="str">
        <x:v>ACH Comparison</x:v>
      </x:c>
      <x:c r="C71" t="str">
        <x:v>Every ACH line item must be compared against the recorded payment breakdown for the mapped Work Order.</x:v>
      </x:c>
      <x:c r="D71" t="str">
        <x:v>ACH amount equals payment breakdown amount.</x:v>
      </x:c>
      <x:c r="E71" t="str">
        <x:v>If amount differs: classify as ACH MISMATCH / Partial; log unresolved variance.</x:v>
      </x:c>
    </x:row>
    <x:row r="72">
      <x:c r="A72" t="str">
        <x:v>Rule 3</x:v>
      </x:c>
      <x:c r="B72" t="str">
        <x:v>Duplicate Breakdown</x:v>
      </x:c>
      <x:c r="C72" t="str">
        <x:v>Repeated payment breakdown emails with the same amount are verification notes, not new revenue.</x:v>
      </x:c>
      <x:c r="D72" t="str">
        <x:v>Previous amount equals new amount.</x:v>
      </x:c>
      <x:c r="E72" t="str">
        <x:v>Classify as VERIFY; note reissued/verified email date.</x:v>
      </x:c>
    </x:row>
    <x:row r="73">
      <x:c r="A73" t="str">
        <x:v>Rule 4</x:v>
      </x:c>
      <x:c r="B73" t="str">
        <x:v>Hold Queue</x:v>
      </x:c>
      <x:c r="C73" t="str">
        <x:v>$0, missing WO, unmapped WO, or duplicate WO records must not update financial totals.</x:v>
      </x:c>
      <x:c r="D73" t="str">
        <x:v>WO is valid and uniquely mapped with nonzero relevant amount.</x:v>
      </x:c>
      <x:c r="E73" t="str">
        <x:v>Classify as HOLD; add to Exception Review.</x:v>
      </x:c>
    </x:row>
    <x:row r="74">
      <x:c r="A74" t="str">
        <x:v>Rule 5</x:v>
      </x:c>
      <x:c r="B74" t="str">
        <x:v>Audit Trail</x:v>
      </x:c>
      <x:c r="C74" t="str">
        <x:v>Every applied update must create an audit-row record describing source, mapping, amount comparison, and action taken.</x:v>
      </x:c>
      <x:c r="D74" t="str">
        <x:v>Delta Log row is populated with source type, WO, Event #, amount, classification, and note.</x:v>
      </x:c>
      <x:c r="E74" t="str">
        <x:v>Stop export until audit row is added.</x:v>
      </x:c>
    </x:row>
    <x:row r="75">
      <x:c r="A75" t="str">
        <x:v>Rule 6</x:v>
      </x:c>
      <x:c r="B75" t="str">
        <x:v>Workbook Authority</x:v>
      </x:c>
      <x:c r="C75" t="str">
        <x:v>The workbook, not conversation memory, remains the authoritative record after updates are applied.</x:v>
      </x:c>
      <x:c r="D75" t="str">
        <x:v>Updated workbook saved as new version with date/version identifier.</x:v>
      </x:c>
      <x:c r="E75" t="str">
        <x:v>Do not overwrite source silently; output a versioned workbook.</x:v>
      </x:c>
    </x:row>
    <x:row r="78">
      <x:c r="A78" s="12" t="str">
        <x:v>Migration Map — 29 Legacy Tabs to 6 Production Tabs</x:v>
      </x:c>
      <x:c r="B78" s="12"/>
      <x:c r="C78" s="12"/>
    </x:row>
    <x:row r="79">
      <x:c r="A79" s="29" t="str">
        <x:v>Legacy Tab</x:v>
      </x:c>
      <x:c r="B79" s="29" t="str">
        <x:v>Production Destination</x:v>
      </x:c>
      <x:c r="C79" s="29" t="str">
        <x:v>Treatment</x:v>
      </x:c>
    </x:row>
    <x:row r="80">
      <x:c r="A80" t="str">
        <x:v>README</x:v>
      </x:c>
      <x:c r="B80" t="str">
        <x:v>Governance / Dashboard</x:v>
      </x:c>
      <x:c r="C80" t="str">
        <x:v>Merged</x:v>
      </x:c>
    </x:row>
    <x:row r="81">
      <x:c r="A81" t="str">
        <x:v>Scorecard</x:v>
      </x:c>
      <x:c r="B81" t="str">
        <x:v>Dashboard</x:v>
      </x:c>
      <x:c r="C81" t="str">
        <x:v>Merged</x:v>
      </x:c>
    </x:row>
    <x:row r="82">
      <x:c r="A82" t="str">
        <x:v>Timeline</x:v>
      </x:c>
      <x:c r="B82" t="str">
        <x:v>Service Events</x:v>
      </x:c>
      <x:c r="C82" t="str">
        <x:v>Merged</x:v>
      </x:c>
    </x:row>
    <x:row r="83">
      <x:c r="A83" t="str">
        <x:v>Client List</x:v>
      </x:c>
      <x:c r="B83" t="str">
        <x:v>Analytics</x:v>
      </x:c>
      <x:c r="C83" t="str">
        <x:v>Derived / migrated snapshot</x:v>
      </x:c>
    </x:row>
    <x:row r="84">
      <x:c r="A84" t="str">
        <x:v>Repeat Clients</x:v>
      </x:c>
      <x:c r="B84" t="str">
        <x:v>Analytics</x:v>
      </x:c>
      <x:c r="C84" t="str">
        <x:v>Derived / migrated snapshot</x:v>
      </x:c>
    </x:row>
    <x:row r="85">
      <x:c r="A85" t="str">
        <x:v>State Coverage</x:v>
      </x:c>
      <x:c r="B85" t="str">
        <x:v>Analytics</x:v>
      </x:c>
      <x:c r="C85" t="str">
        <x:v>Derived / migrated snapshot</x:v>
      </x:c>
    </x:row>
    <x:row r="86">
      <x:c r="A86" t="str">
        <x:v>Pipeline</x:v>
      </x:c>
      <x:c r="B86" t="str">
        <x:v>Dashboard / Exceptions &amp; Audit</x:v>
      </x:c>
      <x:c r="C86" t="str">
        <x:v>Merged</x:v>
      </x:c>
    </x:row>
    <x:row r="87">
      <x:c r="A87" t="str">
        <x:v>Rules &amp; Governance</x:v>
      </x:c>
      <x:c r="B87" t="str">
        <x:v>Governance</x:v>
      </x:c>
      <x:c r="C87" t="str">
        <x:v>Merged</x:v>
      </x:c>
    </x:row>
    <x:row r="88">
      <x:c r="A88" t="str">
        <x:v>Validation</x:v>
      </x:c>
      <x:c r="B88" t="str">
        <x:v>Exceptions &amp; Audit</x:v>
      </x:c>
      <x:c r="C88" t="str">
        <x:v>Merged</x:v>
      </x:c>
    </x:row>
    <x:row r="89">
      <x:c r="A89" t="str">
        <x:v>Financial Status</x:v>
      </x:c>
      <x:c r="B89" t="str">
        <x:v>Dashboard / Exceptions &amp; Audit</x:v>
      </x:c>
      <x:c r="C89" t="str">
        <x:v>Merged</x:v>
      </x:c>
    </x:row>
    <x:row r="90">
      <x:c r="A90" t="str">
        <x:v>State Efficiency</x:v>
      </x:c>
      <x:c r="B90" t="str">
        <x:v>Analytics</x:v>
      </x:c>
      <x:c r="C90" t="str">
        <x:v>Merged</x:v>
      </x:c>
    </x:row>
    <x:row r="91">
      <x:c r="A91" t="str">
        <x:v>Client Financials</x:v>
      </x:c>
      <x:c r="B91" t="str">
        <x:v>Analytics</x:v>
      </x:c>
      <x:c r="C91" t="str">
        <x:v>Merged snapshot</x:v>
      </x:c>
    </x:row>
    <x:row r="92">
      <x:c r="A92" t="str">
        <x:v>State Rankings</x:v>
      </x:c>
      <x:c r="B92" t="str">
        <x:v>Analytics</x:v>
      </x:c>
      <x:c r="C92" t="str">
        <x:v>Merged snapshot</x:v>
      </x:c>
    </x:row>
    <x:row r="93">
      <x:c r="A93" t="str">
        <x:v>Hour Analysis</x:v>
      </x:c>
      <x:c r="B93" t="str">
        <x:v>Analytics</x:v>
      </x:c>
      <x:c r="C93" t="str">
        <x:v>Reserved for Phase 3 formulas</x:v>
      </x:c>
    </x:row>
    <x:row r="94">
      <x:c r="A94" t="str">
        <x:v>Dashboard Feed</x:v>
      </x:c>
      <x:c r="B94" t="str">
        <x:v>Dashboard</x:v>
      </x:c>
      <x:c r="C94" t="str">
        <x:v>Merged</x:v>
      </x:c>
    </x:row>
    <x:row r="95">
      <x:c r="A95" t="str">
        <x:v>Analytics Input</x:v>
      </x:c>
      <x:c r="B95" t="str">
        <x:v>Service Events / Analytics</x:v>
      </x:c>
      <x:c r="C95" t="str">
        <x:v>Normalize in Phase 2</x:v>
      </x:c>
    </x:row>
    <x:row r="96">
      <x:c r="A96" t="str">
        <x:v>Canonical Ledger</x:v>
      </x:c>
      <x:c r="B96" t="str">
        <x:v>Work Orders &amp; Ledger</x:v>
      </x:c>
      <x:c r="C96" t="str">
        <x:v>Merged</x:v>
      </x:c>
    </x:row>
    <x:row r="97">
      <x:c r="A97" t="str">
        <x:v>Delta Log</x:v>
      </x:c>
      <x:c r="B97" t="str">
        <x:v>Exceptions &amp; Audit</x:v>
      </x:c>
      <x:c r="C97" t="str">
        <x:v>Merged</x:v>
      </x:c>
    </x:row>
    <x:row r="98">
      <x:c r="A98" t="str">
        <x:v>Missing Queues</x:v>
      </x:c>
      <x:c r="B98" t="str">
        <x:v>Exceptions &amp; Audit</x:v>
      </x:c>
      <x:c r="C98" t="str">
        <x:v>Merged</x:v>
      </x:c>
    </x:row>
    <x:row r="99">
      <x:c r="A99" t="str">
        <x:v>Exception Review</x:v>
      </x:c>
      <x:c r="B99" t="str">
        <x:v>Exceptions &amp; Audit</x:v>
      </x:c>
      <x:c r="C99" t="str">
        <x:v>Merged</x:v>
      </x:c>
    </x:row>
    <x:row r="100">
      <x:c r="A100" t="str">
        <x:v>Phase0 Merge Report</x:v>
      </x:c>
      <x:c r="B100" t="str">
        <x:v>Governance</x:v>
      </x:c>
      <x:c r="C100" t="str">
        <x:v>Archived</x:v>
      </x:c>
    </x:row>
    <x:row r="101">
      <x:c r="A101" t="str">
        <x:v>Canonical Summary</x:v>
      </x:c>
      <x:c r="B101" t="str">
        <x:v>Dashboard</x:v>
      </x:c>
      <x:c r="C101" t="str">
        <x:v>Merged</x:v>
      </x:c>
    </x:row>
    <x:row r="102">
      <x:c r="A102" t="str">
        <x:v>Phase 1 Roadmap</x:v>
      </x:c>
      <x:c r="B102" t="str">
        <x:v>Governance</x:v>
      </x:c>
      <x:c r="C102" t="str">
        <x:v>Archived</x:v>
      </x:c>
    </x:row>
    <x:row r="103">
      <x:c r="A103" t="str">
        <x:v>Work Order Index</x:v>
      </x:c>
      <x:c r="B103" t="str">
        <x:v>Work Orders &amp; Ledger</x:v>
      </x:c>
      <x:c r="C103" t="str">
        <x:v>Merged</x:v>
      </x:c>
    </x:row>
    <x:row r="104">
      <x:c r="A104" t="str">
        <x:v>WO Alias Index</x:v>
      </x:c>
      <x:c r="B104" t="str">
        <x:v>Work Orders &amp; Ledger</x:v>
      </x:c>
      <x:c r="C104" t="str">
        <x:v>Primary migration source</x:v>
      </x:c>
    </x:row>
    <x:row r="105">
      <x:c r="A105" t="str">
        <x:v>Engine Rules</x:v>
      </x:c>
      <x:c r="B105" t="str">
        <x:v>Governance</x:v>
      </x:c>
      <x:c r="C105" t="str">
        <x:v>Merged</x:v>
      </x:c>
    </x:row>
    <x:row r="106">
      <x:c r="A106" t="str">
        <x:v>Service Calendar</x:v>
      </x:c>
      <x:c r="B106" t="str">
        <x:v>Service Events</x:v>
      </x:c>
      <x:c r="C106" t="str">
        <x:v>Merged</x:v>
      </x:c>
    </x:row>
    <x:row r="107">
      <x:c r="A107" t="str">
        <x:v>Worked Days</x:v>
      </x:c>
      <x:c r="B107" t="str">
        <x:v>Analytics</x:v>
      </x:c>
      <x:c r="C107" t="str">
        <x:v>Derived</x:v>
      </x:c>
    </x:row>
    <x:row r="108">
      <x:c r="A108" t="str">
        <x:v>Weekday Metrics</x:v>
      </x:c>
      <x:c r="B108" t="str">
        <x:v>Dashboard / Analytics</x:v>
      </x:c>
      <x:c r="C108" t="str">
        <x:v>Merged</x:v>
      </x:c>
    </x:row>
    <x:row r="111">
      <x:c r="A111" s="12" t="str">
        <x:v>Audit Backup Policy</x:v>
      </x:c>
      <x:c r="B111" s="12"/>
      <x:c r="C111" s="12"/>
      <x:c r="D111" s="12"/>
      <x:c r="E111" s="12"/>
      <x:c r="F111" s="12"/>
    </x:row>
    <x:row r="112">
      <x:c r="A112" t="str">
        <x:v>The untouched source workbook Barrister_Master_July_v1.xlsx remains the authoritative legacy backup for Phase 1 validation.</x:v>
      </x:c>
      <x:c r="B112"/>
      <x:c r="C112"/>
      <x:c r="D112"/>
      <x:c r="E112"/>
      <x:c r="F112"/>
    </x:row>
    <x:row r="113">
      <x:c r="A113" t="str">
        <x:v>The Phase 1 production workbook contains only the six visible production tabs; legacy source data was migrated and documented here.</x:v>
      </x:c>
      <x:c r="B113"/>
      <x:c r="C113"/>
      <x:c r="D113"/>
      <x:c r="E113"/>
      <x:c r="F113"/>
    </x:row>
    <x:row r="114">
      <x:c r="A114" t="str">
        <x:v>No chronology or client order was reconstructed from memory.</x:v>
      </x:c>
      <x:c r="B114"/>
      <x:c r="C114"/>
      <x:c r="D114"/>
      <x:c r="E114"/>
      <x:c r="F114"/>
    </x:row>
    <x:row r="118">
      <x:c r="A118" s="68" t="str">
        <x:v>Phase 2 Normalization Summary</x:v>
      </x:c>
      <x:c r="B118" s="68"/>
      <x:c r="C118" s="68"/>
      <x:c r="D118" s="68"/>
      <x:c r="E118" s="68"/>
      <x:c r="F118" s="68"/>
    </x:row>
    <x:row r="119">
      <x:c r="A119" t="str">
        <x:v>Phase</x:v>
      </x:c>
      <x:c r="B119" t="str">
        <x:v>2 — Normalize Data</x:v>
      </x:c>
      <x:c r="C119"/>
      <x:c r="D119"/>
      <x:c r="E119"/>
      <x:c r="F119"/>
    </x:row>
    <x:row r="120">
      <x:c r="A120" t="str">
        <x:v>Authoritative tables</x:v>
      </x:c>
      <x:c r="B120" t="str">
        <x:v>tblServiceEvents and tblLedger</x:v>
      </x:c>
      <x:c r="C120"/>
      <x:c r="D120"/>
      <x:c r="E120"/>
      <x:c r="F120"/>
    </x:row>
    <x:row r="121">
      <x:c r="A121" t="str">
        <x:v>Event key</x:v>
      </x:c>
      <x:c r="B121" t="str">
        <x:v>Event # / Physical Visit ID</x:v>
      </x:c>
      <x:c r="C121"/>
      <x:c r="D121"/>
      <x:c r="E121"/>
      <x:c r="F121"/>
    </x:row>
    <x:row r="122">
      <x:c r="A122" t="str">
        <x:v>Ledger key</x:v>
      </x:c>
      <x:c r="B122" t="str">
        <x:v>Ledger Record ID + Work Order #</x:v>
      </x:c>
      <x:c r="C122"/>
      <x:c r="D122"/>
      <x:c r="E122"/>
      <x:c r="F122"/>
    </x:row>
    <x:row r="123">
      <x:c r="A123" t="str">
        <x:v>Placeholder normalization</x:v>
      </x:c>
      <x:c r="B123" t="str">
        <x:v>TBD and USDA Special converted to unique non-colliding IDs</x:v>
      </x:c>
      <x:c r="C123"/>
      <x:c r="D123"/>
      <x:c r="E123"/>
      <x:c r="F123"/>
    </x:row>
    <x:row r="124">
      <x:c r="A124" t="str">
        <x:v>Duplicate WO rule</x:v>
      </x:c>
      <x:c r="B124" t="str">
        <x:v>5905579 consolidated into one MAPPING_HOLD row; no guessing</x:v>
      </x:c>
      <x:c r="C124"/>
      <x:c r="D124"/>
      <x:c r="E124"/>
      <x:c r="F124"/>
    </x:row>
    <x:row r="125">
      <x:c r="A125" t="str">
        <x:v>Client normalization</x:v>
      </x:c>
      <x:c r="B125" t="str">
        <x:v>Canonical Client ID assigned in chronological first-appearance order</x:v>
      </x:c>
      <x:c r="C125"/>
      <x:c r="D125"/>
      <x:c r="E125"/>
      <x:c r="F125"/>
    </x:row>
    <x:row r="126">
      <x:c r="A126" t="str">
        <x:v>Location normalization</x:v>
      </x:c>
      <x:c r="B126" t="str">
        <x:v>City, State, Jurisdiction, Location Key separated</x:v>
      </x:c>
      <x:c r="C126"/>
      <x:c r="D126"/>
      <x:c r="E126"/>
      <x:c r="F126"/>
    </x:row>
    <x:row r="127">
      <x:c r="A127" t="str">
        <x:v>Latest financial delta</x:v>
      </x:c>
      <x:c r="B127" t="str">
        <x:v>WO 5913868 breakdown $100.83 vs negotiated $150; variance -$49.17</x:v>
      </x:c>
      <x:c r="C127"/>
      <x:c r="D127"/>
      <x:c r="E127"/>
      <x:c r="F127"/>
    </x:row>
    <x:row r="128">
      <x:c r="A128" t="str">
        <x:v>Phase 2 output</x:v>
      </x:c>
      <x:c r="B128" t="str">
        <x:v>Barrister_Master_v2_Phase2.xlsx</x:v>
      </x:c>
      <x:c r="C128"/>
      <x:c r="D128"/>
      <x:c r="E128"/>
      <x:c r="F128"/>
    </x:row>
    <x:row r="129">
      <x:c r="A129" s="74" t="str">
        <x:v>Metric Eligibility vs ACH Mapping</x:v>
      </x:c>
      <x:c r="B129" t="str">
        <x:v>A confirmed payment breakdown remains eligible for revenue metrics even when ACH mapping or variance is under review.</x:v>
      </x:c>
      <x:c r="C129"/>
      <x:c r="D129"/>
      <x:c r="E129"/>
      <x:c r="F129"/>
    </x:row>
    <x:row r="130">
      <x:c r="A130" s="74" t="str">
        <x:v>Event #51 Application</x:v>
      </x:c>
      <x:c r="B130" t="str">
        <x:v>Event #51 remains $60 eligible revenue; the $35 ACH and duplicate-WO mapping remain an audit exception.</x:v>
      </x:c>
      <x:c r="C130"/>
      <x:c r="D130"/>
      <x:c r="E130"/>
      <x:c r="F130"/>
    </x:row>
    <x:row r="131">
      <x:c r="A131" s="74" t="str">
        <x:v>Client Normalization Rule</x:v>
      </x:c>
      <x:c r="B131" t="str">
        <x:v>Client identity is canonical; project day/store variants belong in Site Name.</x:v>
      </x:c>
      <x:c r="C131"/>
      <x:c r="D131"/>
      <x:c r="E131"/>
      <x:c r="F131"/>
    </x:row>
    <x:row r="132">
      <x:c r="A132" s="74" t="str">
        <x:v>USDA</x:v>
      </x:c>
      <x:c r="B132" t="str">
        <x:v>USDA Day 1–6 normalized to one client: USDA.</x:v>
      </x:c>
      <x:c r="C132"/>
      <x:c r="D132"/>
      <x:c r="E132"/>
      <x:c r="F132"/>
    </x:row>
    <x:row r="133">
      <x:c r="A133" s="74" t="str">
        <x:v>Under Armour</x:v>
      </x:c>
      <x:c r="B133" t="str">
        <x:v>Under Armour Day 1–2 normalized to one client: Under Armour.</x:v>
      </x:c>
      <x:c r="C133"/>
      <x:c r="D133"/>
      <x:c r="E133"/>
      <x:c r="F133"/>
    </x:row>
    <x:row r="134">
      <x:c r="A134" s="74" t="str">
        <x:v>Giant</x:v>
      </x:c>
      <x:c r="B134" t="str">
        <x:v>Giant / Martin's normalized to Giant Food Stores.</x:v>
      </x:c>
      <x:c r="C134"/>
      <x:c r="D134"/>
      <x:c r="E134"/>
      <x:c r="F134"/>
    </x:row>
    <x:row r="135">
      <x:c r="A135" s="74" t="str">
        <x:v>Hilton</x:v>
      </x:c>
      <x:c r="B135" t="str">
        <x:v>Hilton Garden Inn DC normalized to Hilton Garden Inn.</x:v>
      </x:c>
      <x:c r="C135"/>
      <x:c r="D135"/>
      <x:c r="E135"/>
      <x:c r="F135"/>
    </x:row>
    <x:row r="136">
      <x:c r="A136" s="74" t="str">
        <x:v>Canonical Unique Clients</x:v>
      </x:c>
      <x:c r="B136" t="n">
        <x:v>27</x:v>
      </x:c>
      <x:c r="C136" t="str">
        <x:v>Derived from first chronological appearance after normalization.</x:v>
      </x:c>
      <x:c r="D136"/>
      <x:c r="E136"/>
      <x:c r="F136"/>
    </x:row>
    <x:row r="138">
      <x:c r="A138" s="100" t="str">
        <x:v>Phase 3A</x:v>
      </x:c>
      <x:c r="B138" t="str">
        <x:v>Analytics Tables</x:v>
      </x:c>
      <x:c r="C138"/>
      <x:c r="D138"/>
      <x:c r="E138"/>
      <x:c r="F138"/>
    </x:row>
    <x:row r="139">
      <x:c r="A139" s="100" t="str">
        <x:v>Client Summary</x:v>
      </x:c>
      <x:c r="B139" t="str">
        <x:v>Formula-driven from tblServiceEvents and tblLedger.</x:v>
      </x:c>
      <x:c r="C139"/>
      <x:c r="D139"/>
      <x:c r="E139"/>
      <x:c r="F139"/>
    </x:row>
    <x:row r="140">
      <x:c r="A140" s="100" t="str">
        <x:v>State Summary</x:v>
      </x:c>
      <x:c r="B140" t="str">
        <x:v>Formula-driven event, client, revenue, and share metrics.</x:v>
      </x:c>
      <x:c r="C140"/>
      <x:c r="D140"/>
      <x:c r="E140"/>
      <x:c r="F140"/>
    </x:row>
    <x:row r="141">
      <x:c r="A141" s="100" t="str">
        <x:v>Weekday Summary</x:v>
      </x:c>
      <x:c r="B141" t="str">
        <x:v>Formula-driven revenue, eligibility, activity, high/low event, and rank.</x:v>
      </x:c>
      <x:c r="C141"/>
      <x:c r="D141"/>
      <x:c r="E141"/>
      <x:c r="F141"/>
    </x:row>
    <x:row r="142">
      <x:c r="A142" s="100" t="str">
        <x:v>MY_MONTH Summary</x:v>
      </x:c>
      <x:c r="B142" t="str">
        <x:v>Formula-driven event, client, jurisdiction, and revenue metrics.</x:v>
      </x:c>
      <x:c r="C142"/>
      <x:c r="D142"/>
      <x:c r="E142"/>
      <x:c r="F142"/>
    </x:row>
    <x:row r="143">
      <x:c r="A143" s="100" t="str">
        <x:v>Maintenance Rule</x:v>
      </x:c>
      <x:c r="B143" t="str">
        <x:v>Only tblServiceEvents and tblLedger are editable sources; analytics tables are derived.</x:v>
      </x:c>
      <x:c r="C143"/>
      <x:c r="D143"/>
      <x:c r="E143"/>
      <x:c r="F143"/>
    </x:row>
    <x:row r="144">
      <x:c r="A144" s="100" t="str">
        <x:v>Phase 3A Dimensional Counts</x:v>
      </x:c>
      <x:c r="B144" t="str">
        <x:v>Unique state/city/client/workweek counts are materialized from the authoritative event table during this phase.</x:v>
      </x:c>
      <x:c r="C144"/>
      <x:c r="D144"/>
      <x:c r="E144"/>
      <x:c r="F144"/>
    </x:row>
    <x:row r="145">
      <x:c r="A145" s="100" t="str">
        <x:v>Phase 3B Upgrade Path</x:v>
      </x:c>
      <x:c r="B145" t="str">
        <x:v>Dashboard automation may replace these materialized counts with refreshed helper logic when new event rows are added.</x:v>
      </x:c>
      <x:c r="C145"/>
      <x:c r="D145"/>
      <x:c r="E145"/>
      <x:c r="F145"/>
    </x:row>
    <x:row r="147">
      <x:c r="A147" s="198" t="str">
        <x:v>Phase 3B</x:v>
      </x:c>
      <x:c r="B147" t="str">
        <x:v>Dashboard</x:v>
      </x:c>
      <x:c r="C147"/>
      <x:c r="D147"/>
      <x:c r="E147"/>
      <x:c r="F147"/>
    </x:row>
    <x:row r="148">
      <x:c r="A148" s="198" t="str">
        <x:v>Dashboard Source Rule</x:v>
      </x:c>
      <x:c r="B148" t="str">
        <x:v>All KPI cards reference tblServiceEvents, tblLedger, or Phase 3A summary tables.</x:v>
      </x:c>
      <x:c r="C148"/>
      <x:c r="D148"/>
      <x:c r="E148"/>
      <x:c r="F148"/>
    </x:row>
    <x:row r="149">
      <x:c r="A149" s="198" t="str">
        <x:v>Executive KPIs</x:v>
      </x:c>
      <x:c r="B149" t="str">
        <x:v>Completed events, clients, WOs, confirmed revenue, pending breakdown, pending ACH, and exceptions.</x:v>
      </x:c>
      <x:c r="C149"/>
      <x:c r="D149"/>
      <x:c r="E149"/>
      <x:c r="F149"/>
    </x:row>
    <x:row r="150">
      <x:c r="A150" s="198" t="str">
        <x:v>Financial KPIs</x:v>
      </x:c>
      <x:c r="B150" t="str">
        <x:v>Average/event, average/week, worked days, average/worked day, completion rates, and outstanding confirmed revenue.</x:v>
      </x:c>
      <x:c r="C150"/>
      <x:c r="D150"/>
      <x:c r="E150"/>
      <x:c r="F150"/>
    </x:row>
    <x:row r="151">
      <x:c r="A151" s="198" t="str">
        <x:v>Operational KPIs</x:v>
      </x:c>
      <x:c r="B151" t="str">
        <x:v>Current workweek, current MY_MONTH, utilization, events/week, revenue/week, mapping holds, and variance exposure.</x:v>
      </x:c>
      <x:c r="C151"/>
      <x:c r="D151"/>
      <x:c r="E151"/>
      <x:c r="F151"/>
    </x:row>
    <x:row r="152">
      <x:c r="A152" s="198" t="str">
        <x:v>Weekday Panel</x:v>
      </x:c>
      <x:c r="B152" t="str">
        <x:v>References tblWeekdaySummary.</x:v>
      </x:c>
      <x:c r="C152"/>
      <x:c r="D152"/>
      <x:c r="E152"/>
      <x:c r="F152"/>
    </x:row>
    <x:row r="153">
      <x:c r="A153" s="198" t="str">
        <x:v>Client Panel</x:v>
      </x:c>
      <x:c r="B153" t="str">
        <x:v>Ranks tblClientSummary by confirmed revenue.</x:v>
      </x:c>
      <x:c r="C153"/>
      <x:c r="D153"/>
      <x:c r="E153"/>
      <x:c r="F153"/>
    </x:row>
    <x:row r="154">
      <x:c r="A154" s="198" t="str">
        <x:v>Jurisdiction Panel</x:v>
      </x:c>
      <x:c r="B154" t="str">
        <x:v>References tblStateSummary.</x:v>
      </x:c>
      <x:c r="C154"/>
      <x:c r="D154"/>
      <x:c r="E154"/>
      <x:c r="F154"/>
    </x:row>
    <x:row r="155">
      <x:c r="A155" s="198" t="str">
        <x:v>MY_MONTH Panel</x:v>
      </x:c>
      <x:c r="B155" t="str">
        <x:v>References tblMonthSummary.</x:v>
      </x:c>
      <x:c r="C155"/>
      <x:c r="D155"/>
      <x:c r="E155"/>
      <x:c r="F155"/>
    </x:row>
    <x:row r="156">
      <x:c r="A156" s="198" t="str">
        <x:v>Recent Events</x:v>
      </x:c>
      <x:c r="B156" t="str">
        <x:v>Uses INDEX/MATCH against tblServiceEvents and updates from the latest Event #.</x:v>
      </x:c>
      <x:c r="C156"/>
      <x:c r="D156"/>
      <x:c r="E156"/>
      <x:c r="F156"/>
    </x:row>
    <x:row r="157">
      <x:c r="A157" s="198" t="str">
        <x:v>Worked-Day Dashboard Rule</x:v>
      </x:c>
      <x:c r="B157" t="str">
        <x:v>Worked Days equals the sum of active weekday occurrences in tblWeekdaySummary across the 12 complete weeks.</x:v>
      </x:c>
      <x:c r="C157"/>
      <x:c r="D157"/>
      <x:c r="E157"/>
      <x:c r="F157"/>
    </x:row>
    <x:row r="158">
      <x:c r="A158" s="198" t="str">
        <x:v>Current Worked Days</x:v>
      </x:c>
      <x:c r="B158" t="n">
        <x:v>44</x:v>
      </x:c>
      <x:c r="C158" t="str">
        <x:v>8 Mondays + 10 Tuesdays + 11 Wednesdays + 10 Thursdays + 5 Fridays.</x:v>
      </x:c>
      <x:c r="D158"/>
      <x:c r="E158"/>
      <x:c r="F158"/>
    </x:row>
    <x:row r="160">
      <x:c r="A160" s="241" t="str">
        <x:v>Phase 3C</x:v>
      </x:c>
      <x:c r="B160" t="str">
        <x:v>Leaderboards</x:v>
      </x:c>
      <x:c r="C160"/>
      <x:c r="D160"/>
      <x:c r="E160"/>
      <x:c r="F160"/>
    </x:row>
    <x:row r="161">
      <x:c r="A161" s="241" t="str">
        <x:v>Client Revenue</x:v>
      </x:c>
      <x:c r="B161" t="str">
        <x:v>Top 10 clients ranked by confirmed revenue.</x:v>
      </x:c>
      <x:c r="C161"/>
      <x:c r="D161"/>
      <x:c r="E161"/>
      <x:c r="F161"/>
    </x:row>
    <x:row r="162">
      <x:c r="A162" s="241" t="str">
        <x:v>Repeat Clients</x:v>
      </x:c>
      <x:c r="B162" t="str">
        <x:v>Top clients ranked by completed event count, with revenue tie-break.</x:v>
      </x:c>
      <x:c r="C162"/>
      <x:c r="D162"/>
      <x:c r="E162"/>
      <x:c r="F162"/>
    </x:row>
    <x:row r="163">
      <x:c r="A163" s="241" t="str">
        <x:v>Client Average</x:v>
      </x:c>
      <x:c r="B163" t="str">
        <x:v>Top clients by average revenue per event; requires at least two events.</x:v>
      </x:c>
      <x:c r="C163"/>
      <x:c r="D163"/>
      <x:c r="E163"/>
      <x:c r="F163"/>
    </x:row>
    <x:row r="164">
      <x:c r="A164" s="241" t="str">
        <x:v>Jurisdictions</x:v>
      </x:c>
      <x:c r="B164" t="str">
        <x:v>All jurisdictions ranked by confirmed revenue.</x:v>
      </x:c>
      <x:c r="C164"/>
      <x:c r="D164"/>
      <x:c r="E164"/>
      <x:c r="F164"/>
    </x:row>
    <x:row r="165">
      <x:c r="A165" s="241" t="str">
        <x:v>Cities</x:v>
      </x:c>
      <x:c r="B165" t="str">
        <x:v>Top 10 service cities by confirmed revenue.</x:v>
      </x:c>
      <x:c r="C165"/>
      <x:c r="D165"/>
      <x:c r="E165"/>
      <x:c r="F165"/>
    </x:row>
    <x:row r="166">
      <x:c r="A166" s="241" t="str">
        <x:v>Events</x:v>
      </x:c>
      <x:c r="B166" t="str">
        <x:v>Top 10 eligible events by confirmed revenue.</x:v>
      </x:c>
      <x:c r="C166"/>
      <x:c r="D166"/>
      <x:c r="E166"/>
      <x:c r="F166"/>
    </x:row>
    <x:row r="167">
      <x:c r="A167" s="241" t="str">
        <x:v>Workweeks</x:v>
      </x:c>
      <x:c r="B167" t="str">
        <x:v>All 12 career workweeks ranked by confirmed revenue.</x:v>
      </x:c>
      <x:c r="C167"/>
      <x:c r="D167"/>
      <x:c r="E167"/>
      <x:c r="F167"/>
    </x:row>
    <x:row r="168">
      <x:c r="A168" s="241" t="str">
        <x:v>MY_MONTH</x:v>
      </x:c>
      <x:c r="B168" t="str">
        <x:v>Three Barrister career months ranked by confirmed revenue.</x:v>
      </x:c>
      <x:c r="C168"/>
      <x:c r="D168"/>
      <x:c r="E168"/>
      <x:c r="F168"/>
    </x:row>
    <x:row r="169">
      <x:c r="A169" s="241" t="str">
        <x:v>Worked Dates</x:v>
      </x:c>
      <x:c r="B169" t="str">
        <x:v>Top 12 service dates ranked by confirmed revenue.</x:v>
      </x:c>
      <x:c r="C169"/>
      <x:c r="D169"/>
      <x:c r="E169"/>
      <x:c r="F169"/>
    </x:row>
    <x:row r="170">
      <x:c r="A170" s="241" t="str">
        <x:v>Leaderboard Source Rule</x:v>
      </x:c>
      <x:c r="B170" t="str">
        <x:v>All ranking values derive from tblServiceEvents, tblLedger, or Phase 3A summary tables.</x:v>
      </x:c>
      <x:c r="C170"/>
      <x:c r="D170"/>
      <x:c r="E170"/>
      <x:c r="F170"/>
    </x:row>
    <x:row r="172">
      <x:c r="A172" s="297" t="str">
        <x:v>Phase 3D</x:v>
      </x:c>
      <x:c r="B172" t="str">
        <x:v>Exception Engine</x:v>
      </x:c>
      <x:c r="C172"/>
      <x:c r="D172"/>
      <x:c r="E172"/>
      <x:c r="F172"/>
    </x:row>
    <x:row r="173">
      <x:c r="A173" s="297" t="str">
        <x:v>Ledger Matrix</x:v>
      </x:c>
      <x:c r="B173" t="str">
        <x:v>One formula-driven control row per tblLedger record.</x:v>
      </x:c>
      <x:c r="C173"/>
      <x:c r="D173"/>
      <x:c r="E173"/>
      <x:c r="F173"/>
    </x:row>
    <x:row r="174">
      <x:c r="A174" s="297" t="str">
        <x:v>Event Matrix</x:v>
      </x:c>
      <x:c r="B174" t="str">
        <x:v>One formula-driven control row per tblServiceEvents record.</x:v>
      </x:c>
      <x:c r="C174"/>
      <x:c r="D174"/>
      <x:c r="E174"/>
      <x:c r="F174"/>
    </x:row>
    <x:row r="175">
      <x:c r="A175" s="297" t="str">
        <x:v>Critical Logic</x:v>
      </x:c>
      <x:c r="B175" t="str">
        <x:v>Mapping holds, duplicate WOs, duplicate events, and missing event links.</x:v>
      </x:c>
      <x:c r="C175"/>
      <x:c r="D175"/>
      <x:c r="E175"/>
      <x:c r="F175"/>
    </x:row>
    <x:row r="176">
      <x:c r="A176" s="297" t="str">
        <x:v>Warning Logic</x:v>
      </x:c>
      <x:c r="B176" t="str">
        <x:v>Revenue variances, partial breakdowns, missing client/location/date, and invalid dimensions.</x:v>
      </x:c>
      <x:c r="C176"/>
      <x:c r="D176"/>
      <x:c r="E176"/>
      <x:c r="F176"/>
    </x:row>
    <x:row r="177">
      <x:c r="A177" s="297" t="str">
        <x:v>Informational Logic</x:v>
      </x:c>
      <x:c r="B177" t="str">
        <x:v>Pending breakdowns, pending ACHs, and events with no linked WO.</x:v>
      </x:c>
      <x:c r="C177"/>
      <x:c r="D177"/>
      <x:c r="E177"/>
      <x:c r="F177"/>
    </x:row>
    <x:row r="178">
      <x:c r="A178" s="297" t="str">
        <x:v>Snapshot</x:v>
      </x:c>
      <x:c r="B178" t="str">
        <x:v>Current Open Exceptions table provides a readable point-in-time operational queue.</x:v>
      </x:c>
      <x:c r="C178"/>
      <x:c r="D178"/>
      <x:c r="E178"/>
      <x:c r="F178"/>
    </x:row>
    <x:row r="179">
      <x:c r="A179" s="297" t="str">
        <x:v>Dynamic KPI Rule</x:v>
      </x:c>
      <x:c r="B179" t="str">
        <x:v>Exception KPI cards count the two formula-driven matrices.</x:v>
      </x:c>
      <x:c r="C179"/>
      <x:c r="D179"/>
      <x:c r="E179"/>
      <x:c r="F179"/>
    </x:row>
    <x:row r="180">
      <x:c r="A180" s="297" t="str">
        <x:v>Dashboard Integration</x:v>
      </x:c>
      <x:c r="B180" t="str">
        <x:v>Dashboard Open Exceptions now reads from the Phase 3D matrices.</x:v>
      </x:c>
      <x:c r="C180"/>
      <x:c r="D180"/>
      <x:c r="E180"/>
      <x:c r="F180"/>
    </x:row>
    <x:row r="181">
      <x:c r="A181" s="297" t="str">
        <x:v>Mapping Hold Rule</x:v>
      </x:c>
      <x:c r="B181" t="str">
        <x:v>No automatic financial reassignment or closure while Mapping Status = MAPPING_HOLD.</x:v>
      </x:c>
      <x:c r="C181"/>
      <x:c r="D181"/>
      <x:c r="E181"/>
      <x:c r="F181"/>
    </x:row>
    <x:row r="182">
      <x:c r="A182" s="297" t="str">
        <x:v>Duplicate Rule</x:v>
      </x:c>
      <x:c r="B182" t="str">
        <x:v>Duplicate identifiers are surfaced; the engine never resolves them by guessing.</x:v>
      </x:c>
      <x:c r="C182"/>
      <x:c r="D182"/>
      <x:c r="E182"/>
      <x:c r="F182"/>
    </x:row>
    <x:row r="183">
      <x:c r="A183" s="297" t="str">
        <x:v>Variance Rule</x:v>
      </x:c>
      <x:c r="B183" t="str">
        <x:v>Any nonzero variance or mismatch classification remains open until reconciled.</x:v>
      </x:c>
      <x:c r="C183"/>
      <x:c r="D183"/>
      <x:c r="E183"/>
      <x:c r="F183"/>
    </x:row>
    <x:row r="184">
      <x:c r="A184" s="297" t="str">
        <x:v>Source Rule</x:v>
      </x:c>
      <x:c r="B184" t="str">
        <x:v>Exception logic derives only from tblLedger and tblServiceEvents.</x:v>
      </x:c>
      <x:c r="C184"/>
      <x:c r="D184"/>
      <x:c r="E184"/>
      <x:c r="F184"/>
    </x:row>
    <x:row r="186">
      <x:c r="A186" s="321" t="str">
        <x:v>Phase 3E</x:v>
      </x:c>
      <x:c r="B186" t="str">
        <x:v>Charts</x:v>
      </x:c>
      <x:c r="C186"/>
      <x:c r="D186"/>
      <x:c r="E186"/>
      <x:c r="F186"/>
    </x:row>
    <x:row r="187">
      <x:c r="A187" s="321" t="str">
        <x:v>Dashboard Charts</x:v>
      </x:c>
      <x:c r="B187" t="str">
        <x:v>Eight production charts added to the Dashboard.</x:v>
      </x:c>
      <x:c r="C187"/>
      <x:c r="D187"/>
      <x:c r="E187"/>
      <x:c r="F187"/>
    </x:row>
    <x:row r="188">
      <x:c r="A188" s="321" t="str">
        <x:v>Weekday Revenue</x:v>
      </x:c>
      <x:c r="B188" t="str">
        <x:v>Confirmed revenue by weekday.</x:v>
      </x:c>
      <x:c r="C188"/>
      <x:c r="D188"/>
      <x:c r="E188"/>
      <x:c r="F188"/>
    </x:row>
    <x:row r="189">
      <x:c r="A189" s="321" t="str">
        <x:v>Jurisdiction Revenue</x:v>
      </x:c>
      <x:c r="B189" t="str">
        <x:v>Confirmed revenue by jurisdiction.</x:v>
      </x:c>
      <x:c r="C189"/>
      <x:c r="D189"/>
      <x:c r="E189"/>
      <x:c r="F189"/>
    </x:row>
    <x:row r="190">
      <x:c r="A190" s="321" t="str">
        <x:v>MY_MONTH Revenue</x:v>
      </x:c>
      <x:c r="B190" t="str">
        <x:v>Confirmed revenue across the three Barrister career months.</x:v>
      </x:c>
      <x:c r="C190"/>
      <x:c r="D190"/>
      <x:c r="E190"/>
      <x:c r="F190"/>
    </x:row>
    <x:row r="191">
      <x:c r="A191" s="321" t="str">
        <x:v>Top Clients</x:v>
      </x:c>
      <x:c r="B191" t="str">
        <x:v>Top 10 clients by confirmed revenue.</x:v>
      </x:c>
      <x:c r="C191"/>
      <x:c r="D191"/>
      <x:c r="E191"/>
      <x:c r="F191"/>
    </x:row>
    <x:row r="192">
      <x:c r="A192" s="321" t="str">
        <x:v>Running Revenue</x:v>
      </x:c>
      <x:c r="B192" t="str">
        <x:v>Cumulative confirmed revenue across worked dates.</x:v>
      </x:c>
      <x:c r="C192"/>
      <x:c r="D192"/>
      <x:c r="E192"/>
      <x:c r="F192"/>
    </x:row>
    <x:row r="193">
      <x:c r="A193" s="321" t="str">
        <x:v>Rolling Trend</x:v>
      </x:c>
      <x:c r="B193" t="str">
        <x:v>Daily revenue compared with a five-worked-day rolling average.</x:v>
      </x:c>
      <x:c r="C193"/>
      <x:c r="D193"/>
      <x:c r="E193"/>
      <x:c r="F193"/>
    </x:row>
    <x:row r="194">
      <x:c r="A194" s="321" t="str">
        <x:v>Weekly Trend</x:v>
      </x:c>
      <x:c r="B194" t="str">
        <x:v>Confirmed revenue by career workweek.</x:v>
      </x:c>
      <x:c r="C194"/>
      <x:c r="D194"/>
      <x:c r="E194"/>
      <x:c r="F194"/>
    </x:row>
    <x:row r="195">
      <x:c r="A195" s="321" t="str">
        <x:v>Client Mix</x:v>
      </x:c>
      <x:c r="B195" t="str">
        <x:v>Repeat versus one-time client distribution.</x:v>
      </x:c>
      <x:c r="C195"/>
      <x:c r="D195"/>
      <x:c r="E195"/>
      <x:c r="F195"/>
    </x:row>
    <x:row r="196">
      <x:c r="A196" s="321" t="str">
        <x:v>Analytics Gallery</x:v>
      </x:c>
      <x:c r="B196" t="str">
        <x:v>Four additional charts added below the leaderboard tables.</x:v>
      </x:c>
      <x:c r="C196"/>
      <x:c r="D196"/>
      <x:c r="E196"/>
      <x:c r="F196"/>
    </x:row>
    <x:row r="197">
      <x:c r="A197" s="321" t="str">
        <x:v>Chart Source Rule</x:v>
      </x:c>
      <x:c r="B197" t="str">
        <x:v>Charts derive from Phase 3A/3C summaries or helper tables generated from tblServiceEvents.</x:v>
      </x:c>
      <x:c r="C197"/>
      <x:c r="D197"/>
      <x:c r="E197"/>
      <x:c r="F197"/>
    </x:row>
    <x:row r="198">
      <x:c r="A198" s="321" t="str">
        <x:v>Chart Maintenance</x:v>
      </x:c>
      <x:c r="B198" t="str">
        <x:v>Refresh helper trend tables when the authoritative event table receives new dates.</x:v>
      </x:c>
      <x:c r="C198"/>
      <x:c r="D198"/>
      <x:c r="E198"/>
      <x:c r="F198"/>
    </x:row>
    <x:row r="200">
      <x:c r="A200" s="328" t="str">
        <x:v>2026-07-13 Ledger Delta</x:v>
      </x:c>
      <x:c r="B200" s="329" t="str">
        <x:v>Authoritative Monday update</x:v>
      </x:c>
      <x:c r="C200" s="329"/>
      <x:c r="D200" s="329"/>
      <x:c r="E200" s="329"/>
      <x:c r="F200" s="329"/>
    </x:row>
    <x:row r="201">
      <x:c r="A201" s="328" t="str">
        <x:v>Event 63</x:v>
      </x:c>
      <x:c r="B201" s="329" t="str">
        <x:v>Marshalls — Cockeysville</x:v>
      </x:c>
      <x:c r="C201" s="329" t="str">
        <x:v>WO 5909368</x:v>
      </x:c>
      <x:c r="D201" s="329" t="str">
        <x:v>Completed</x:v>
      </x:c>
      <x:c r="E201" s="329" t="str">
        <x:v>$40/hour; breakdown pending</x:v>
      </x:c>
      <x:c r="F201" s="329" t="str">
        <x:v>Added to tblServiceEvents and tblLedger</x:v>
      </x:c>
    </x:row>
    <x:row r="202">
      <x:c r="A202" s="328" t="str">
        <x:v>Event 64</x:v>
      </x:c>
      <x:c r="B202" s="329" t="str">
        <x:v>Marshalls — Hagerstown</x:v>
      </x:c>
      <x:c r="C202" s="329" t="str">
        <x:v>WO 5916961</x:v>
      </x:c>
      <x:c r="D202" s="329" t="str">
        <x:v>Completed</x:v>
      </x:c>
      <x:c r="E202" s="329" t="str">
        <x:v>$55/hour; breakdown pending</x:v>
      </x:c>
      <x:c r="F202" s="329" t="str">
        <x:v>Added to tblServiceEvents and tblLedger</x:v>
      </x:c>
    </x:row>
    <x:row r="203">
      <x:c r="A203" s="328" t="str">
        <x:v>Hagerstown Protection</x:v>
      </x:c>
      <x:c r="B203" s="329" t="str">
        <x:v>Extended onsite time documented</x:v>
      </x:c>
      <x:c r="C203" s="329"/>
      <x:c r="D203" s="329" t="str">
        <x:v>Support delay + incorrect ticket IP/gateway</x:v>
      </x:c>
      <x:c r="E203" s="329" t="str">
        <x:v>Barrister guaranteed documented hours</x:v>
      </x:c>
      <x:c r="F203" s="329" t="str">
        <x:v>No agreed total entered; prevents false variance</x:v>
      </x:c>
    </x:row>
    <x:row r="204">
      <x:c r="A204" s="328" t="str">
        <x:v>Hebrew Home</x:v>
      </x:c>
      <x:c r="B204" s="329" t="str">
        <x:v>WO 5913115</x:v>
      </x:c>
      <x:c r="C204" s="329"/>
      <x:c r="D204" s="329" t="str">
        <x:v>Dispatched/reassigned</x:v>
      </x:c>
      <x:c r="E204" s="329" t="str">
        <x:v>No event created</x:v>
      </x:c>
      <x:c r="F204" s="329" t="str">
        <x:v>Off user's active radar</x:v>
      </x:c>
    </x:row>
    <x:row r="205">
      <x:c r="A205" s="328" t="str">
        <x:v>Event 65</x:v>
      </x:c>
      <x:c r="B205" s="329" t="str">
        <x:v>HomeGoods — Gaithersburg</x:v>
      </x:c>
      <x:c r="C205" s="329" t="str">
        <x:v>WO 5917407</x:v>
      </x:c>
      <x:c r="D205" s="329" t="str">
        <x:v>Completed</x:v>
      </x:c>
      <x:c r="E205" s="329" t="str">
        <x:v>$50/hour; breakdown pending</x:v>
      </x:c>
      <x:c r="F205" s="329" t="str">
        <x:v>Power cable and pin pad replaced; Verifone delays documented; test transaction passed</x:v>
      </x:c>
    </x:row>
    <x:row r="206">
      <x:c r="A206" s="328" t="str">
        <x:v>Chronology Rule</x:v>
      </x:c>
      <x:c r="B206" s="329" t="str">
        <x:v>Latest completed physical visit is Event 65</x:v>
      </x:c>
      <x:c r="C206" s="329"/>
      <x:c r="D206" s="329"/>
      <x:c r="E206" s="329"/>
      <x:c r="F206" s="329" t="str">
        <x:v>Next completed physical visit becomes Event 66</x:v>
      </x:c>
    </x:row>
    <x:row r="207">
      <x:c r="A207" s="328" t="str">
        <x:v>Financial Rule</x:v>
      </x:c>
      <x:c r="B207" s="329" t="str">
        <x:v>Hourly rates remain in Notes until breakdown confirms payable total</x:v>
      </x:c>
      <x:c r="C207" s="329"/>
      <x:c r="D207" s="329"/>
      <x:c r="E207" s="329"/>
      <x:c r="F207" s="329" t="str">
        <x:v>Prevents rate-vs-total variance errors</x:v>
      </x:c>
    </x:row>
    <x:row r="208">
      <x:c r="A208" s="328" t="str">
        <x:v>Source</x:v>
      </x:c>
      <x:c r="B208" s="329" t="str">
        <x:v>User-authoritative completion statements + ticket documents + Gmail + Slack/photo evidence</x:v>
      </x:c>
      <x:c r="C208" s="329"/>
      <x:c r="D208" s="329"/>
      <x:c r="E208" s="329"/>
      <x:c r="F208" s="329"/>
    </x:row>
    <x:row r="210">
      <x:c r="A210" s="333" t="str">
        <x:v>2026-07-13 Financial Ledger Update</x:v>
      </x:c>
      <x:c r="B210" s="329" t="str">
        <x:v>Email reconciliation</x:v>
      </x:c>
      <x:c r="C210" s="329"/>
      <x:c r="D210" s="329"/>
      <x:c r="E210" s="329"/>
      <x:c r="F210" s="329"/>
    </x:row>
    <x:row r="211">
      <x:c r="A211" s="333" t="str">
        <x:v>WO 5909344</x:v>
      </x:c>
      <x:c r="B211" s="329" t="str">
        <x:v>TJ Maxx — Germantown</x:v>
      </x:c>
      <x:c r="C211" s="329" t="str">
        <x:v>Event 61</x:v>
      </x:c>
      <x:c r="D211" s="329" t="str">
        <x:v>$194.99 final breakdown</x:v>
      </x:c>
      <x:c r="E211" s="329" t="str">
        <x:v>Expected 2026-07-23</x:v>
      </x:c>
      <x:c r="F211" s="329" t="str">
        <x:v>ACH pending</x:v>
      </x:c>
    </x:row>
    <x:row r="212">
      <x:c r="A212" s="333" t="str">
        <x:v>Breakdown Email</x:v>
      </x:c>
      <x:c r="B212" s="329" t="str">
        <x:v>Received 2026-07-11</x:v>
      </x:c>
      <x:c r="C212" s="329" t="str">
        <x:v>$194.99 base</x:v>
      </x:c>
      <x:c r="D212" s="329" t="str">
        <x:v>$0.00 deductions</x:v>
      </x:c>
      <x:c r="E212" s="329" t="str">
        <x:v>$194.99 final</x:v>
      </x:c>
      <x:c r="F212" s="329" t="str">
        <x:v>BAM Alerts</x:v>
      </x:c>
    </x:row>
    <x:row r="213">
      <x:c r="A213" s="333" t="str">
        <x:v>Financial Effect</x:v>
      </x:c>
      <x:c r="B213" s="329" t="str">
        <x:v>Confirmed eligible revenue +$194.99</x:v>
      </x:c>
      <x:c r="C213" s="329" t="str">
        <x:v>Pending breakdown -1</x:v>
      </x:c>
      <x:c r="D213" s="329" t="str">
        <x:v>Pending ACH +1</x:v>
      </x:c>
      <x:c r="E213" s="329" t="str">
        <x:v>Open exceptions unchanged</x:v>
      </x:c>
      <x:c r="F213" s="329"/>
    </x:row>
    <x:row r="214">
      <x:c r="A214" s="333" t="str">
        <x:v>No New ACH</x:v>
      </x:c>
      <x:c r="B214" s="329" t="str">
        <x:v>No new Barrister ACH confirmation email found in the reviewed period</x:v>
      </x:c>
      <x:c r="C214" s="329"/>
      <x:c r="D214" s="329"/>
      <x:c r="E214" s="329"/>
      <x:c r="F214" s="329"/>
    </x:row>
    <x:row r="215">
      <x:c r="A215" s="333" t="str">
        <x:v>Source Rule</x:v>
      </x:c>
      <x:c r="B215" s="329" t="str">
        <x:v>Email payment breakdown controls financial state</x:v>
      </x:c>
      <x:c r="C215" s="329"/>
      <x:c r="D215" s="329"/>
      <x:c r="E215" s="329"/>
      <x:c r="F215" s="329"/>
    </x:row>
    <x:row r="216">
      <x:c r="A216" s="333" t="str">
        <x:v>Workbook Basis</x:v>
      </x:c>
      <x:c r="B216" s="329" t="str">
        <x:v>Latest Phase 3E operational update retained; this pass performs the financial reconciliation originally requested</x:v>
      </x:c>
      <x:c r="C216" s="329"/>
      <x:c r="D216" s="329"/>
      <x:c r="E216" s="329"/>
      <x:c r="F216" s="329"/>
    </x:row>
    <x:row r="218">
      <x:c r="A218" s="345" t="str">
        <x:v>PHASE 3F — Conditional Formatting</x:v>
      </x:c>
      <x:c r="B218" s="345" t="str">
        <x:v>Completed</x:v>
      </x:c>
      <x:c r="C218" s="345" t="str">
        <x:v>2026-07-13</x:v>
      </x:c>
      <x:c r="D218" s="345"/>
      <x:c r="E218" s="345"/>
      <x:c r="F218" s="345"/>
    </x:row>
    <x:row r="219">
      <x:c r="A219" s="347" t="str">
        <x:v>Scope</x:v>
      </x:c>
      <x:c r="B219" s="347" t="str">
        <x:v>Dashboard</x:v>
      </x:c>
      <x:c r="C219" s="347" t="str">
        <x:v>Service Events</x:v>
      </x:c>
      <x:c r="D219" s="347" t="str">
        <x:v>Work Orders &amp; Ledger</x:v>
      </x:c>
      <x:c r="E219" s="347" t="str">
        <x:v>Analytics</x:v>
      </x:c>
      <x:c r="F219" s="347" t="str">
        <x:v>Exceptions &amp; Audit</x:v>
      </x:c>
    </x:row>
    <x:row r="220">
      <x:c r="A220" s="329" t="str">
        <x:v>Green</x:v>
      </x:c>
      <x:c r="B220" s="329" t="str">
        <x:v>Healthy / complete / confirmed</x:v>
      </x:c>
      <x:c r="C220" s="329" t="str">
        <x:v>Completed or financially eligible</x:v>
      </x:c>
      <x:c r="D220" s="329" t="str">
        <x:v>Confirmed / reconciled</x:v>
      </x:c>
      <x:c r="E220" s="329" t="str">
        <x:v>Stronger performance</x:v>
      </x:c>
      <x:c r="F220" s="329" t="str">
        <x:v>OK / closed</x:v>
      </x:c>
    </x:row>
    <x:row r="221">
      <x:c r="A221" s="329" t="str">
        <x:v>Yellow</x:v>
      </x:c>
      <x:c r="B221" s="329" t="str">
        <x:v>Attention / normal pending</x:v>
      </x:c>
      <x:c r="C221" s="329" t="str">
        <x:v>Included event awaiting breakdown</x:v>
      </x:c>
      <x:c r="D221" s="329" t="str">
        <x:v>Pending breakdown or ACH</x:v>
      </x:c>
      <x:c r="E221" s="329" t="str">
        <x:v>Middle-range performance</x:v>
      </x:c>
      <x:c r="F221" s="329" t="str">
        <x:v>Informational / pending</x:v>
      </x:c>
    </x:row>
    <x:row r="222">
      <x:c r="A222" s="329" t="str">
        <x:v>Orange</x:v>
      </x:c>
      <x:c r="B222" s="329" t="str">
        <x:v>Elevated review</x:v>
      </x:c>
      <x:c r="C222" s="329" t="str">
        <x:v>Partial or unusual status</x:v>
      </x:c>
      <x:c r="D222" s="329" t="str">
        <x:v>Partial breakdown / multi-WO review</x:v>
      </x:c>
      <x:c r="E222" s="329" t="str">
        <x:v>Lower-middle performance</x:v>
      </x:c>
      <x:c r="F222" s="329" t="str">
        <x:v>Warning</x:v>
      </x:c>
    </x:row>
    <x:row r="223">
      <x:c r="A223" s="329" t="str">
        <x:v>Red</x:v>
      </x:c>
      <x:c r="B223" s="329" t="str">
        <x:v>Critical action</x:v>
      </x:c>
      <x:c r="C223" s="329" t="str">
        <x:v>Invalid or failed status</x:v>
      </x:c>
      <x:c r="D223" s="329" t="str">
        <x:v>Variance / mapping hold / overdue</x:v>
      </x:c>
      <x:c r="E223" s="329" t="str">
        <x:v>Material underperformance</x:v>
      </x:c>
      <x:c r="F223" s="329" t="str">
        <x:v>Critical / open</x:v>
      </x:c>
    </x:row>
    <x:row r="224">
      <x:c r="A224" s="329" t="str">
        <x:v>Gray</x:v>
      </x:c>
      <x:c r="B224" s="329" t="str">
        <x:v>Financially excluded / inactive</x:v>
      </x:c>
      <x:c r="C224" s="329" t="str">
        <x:v>Chronology-only legacy event</x:v>
      </x:c>
      <x:c r="D224" s="329" t="str">
        <x:v>Operationally complete but financially excluded</x:v>
      </x:c>
      <x:c r="E224" s="329" t="str">
        <x:v>N/A / zero activity</x:v>
      </x:c>
      <x:c r="F224" s="329" t="str">
        <x:v>Closed or excluded</x:v>
      </x:c>
    </x:row>
    <x:row r="225">
      <x:c r="A225" s="329" t="str">
        <x:v>Financial Scope Fields</x:v>
      </x:c>
      <x:c r="B225" s="329" t="str">
        <x:v>Financial Scope</x:v>
      </x:c>
      <x:c r="C225" s="329" t="str">
        <x:v>Financial Exclusion Reason</x:v>
      </x:c>
      <x:c r="D225" s="329" t="str">
        <x:v>Breakdown Expected</x:v>
      </x:c>
      <x:c r="E225" s="329"/>
      <x:c r="F225" s="329"/>
    </x:row>
    <x:row r="226">
      <x:c r="A226" s="329" t="str">
        <x:v>Chronology-Only Events</x:v>
      </x:c>
      <x:c r="B226" s="329" t="str">
        <x:v>9, 14, 23, 25</x:v>
      </x:c>
      <x:c r="C226" s="329" t="str">
        <x:v>Remain in career chronology</x:v>
      </x:c>
      <x:c r="D226" s="329" t="str">
        <x:v>Excluded from financial denominators</x:v>
      </x:c>
      <x:c r="E226" s="329" t="str">
        <x:v>Breakdown Expected = No</x:v>
      </x:c>
      <x:c r="F226" s="329" t="str">
        <x:v>No false missing-breakdown alerts</x:v>
      </x:c>
    </x:row>
    <x:row r="227">
      <x:c r="A227" s="329" t="str">
        <x:v>Current Career Events</x:v>
      </x:c>
      <x:c r="B227" s="329" t="n">
        <x:v>65</x:v>
      </x:c>
      <x:c r="C227" s="329" t="str">
        <x:v>Current Financial-Scope Events</x:v>
      </x:c>
      <x:c r="D227" s="329" t="n">
        <x:v>61</x:v>
      </x:c>
      <x:c r="E227" s="329" t="str">
        <x:v>Current Missing Breakdowns</x:v>
      </x:c>
      <x:c r="F227" s="329" t="n">
        <x:v>4</x:v>
      </x:c>
    </x:row>
    <x:row r="228">
      <x:c r="A228" s="329" t="str">
        <x:v>Event 65</x:v>
      </x:c>
      <x:c r="B228" s="329" t="str">
        <x:v>HomeGoods — Gaithersburg</x:v>
      </x:c>
      <x:c r="C228" s="329" t="str">
        <x:v>WO 5917407</x:v>
      </x:c>
      <x:c r="D228" s="329" t="str">
        <x:v>Completed</x:v>
      </x:c>
      <x:c r="E228" s="329" t="str">
        <x:v>Breakdown pending</x:v>
      </x:c>
      <x:c r="F228" s="329" t="str">
        <x:v>Included in financial scope</x:v>
      </x:c>
    </x:row>
    <x:row r="229">
      <x:c r="A229" s="329" t="str">
        <x:v>3F Rule</x:v>
      </x:c>
      <x:c r="B229" s="329" t="str">
        <x:v>Formatting visualizes status only</x:v>
      </x:c>
      <x:c r="C229" s="329" t="str">
        <x:v>No chronology is changed</x:v>
      </x:c>
      <x:c r="D229" s="329" t="str">
        <x:v>No payment is inferred</x:v>
      </x:c>
      <x:c r="E229" s="329" t="str">
        <x:v>No exception is silently cleared</x:v>
      </x:c>
      <x:c r="F229" s="329" t="str">
        <x:v>Workbook remains authoritative</x:v>
      </x:c>
    </x:row>
    <x:row r="230">
      <x:c r="A230" s="388" t="str">
        <x:v>Sequence Note</x:v>
      </x:c>
      <x:c r="B230" s="349" t="str">
        <x:v>Phase 3H completed ahead of Phase 3G at the user's direction</x:v>
      </x:c>
      <x:c r="C230" s="349"/>
      <x:c r="D230" s="349"/>
      <x:c r="E230" s="349"/>
      <x:c r="F230" s="349"/>
    </x:row>
    <x:row r="231">
      <x:c r="A231" s="349" t="str">
        <x:v>Remaining Phase</x:v>
      </x:c>
      <x:c r="B231" s="349" t="str">
        <x:v>PHASE 3G — Self-Healing Rules</x:v>
      </x:c>
      <x:c r="C231" s="349"/>
      <x:c r="D231" s="349"/>
      <x:c r="E231" s="349"/>
      <x:c r="F231" s="349"/>
    </x:row>
    <x:row r="232" ht="28" customHeight="1">
      <x:c r="A232" s="446" t="str">
        <x:v>PHASE 3G — Self-Healing Rules</x:v>
      </x:c>
      <x:c r="B232" s="446" t="str">
        <x:v>Completed</x:v>
      </x:c>
      <x:c r="C232" s="446" t="str">
        <x:v>2026-07-14</x:v>
      </x:c>
      <x:c r="D232" s="446"/>
      <x:c r="E232" s="446"/>
      <x:c r="F232" s="446"/>
    </x:row>
    <x:row r="233" ht="28" customHeight="1">
      <x:c r="A233" s="449" t="str">
        <x:v>Design Principle</x:v>
      </x:c>
      <x:c r="B233" s="329" t="str">
        <x:v>Non-destructive automatic repair</x:v>
      </x:c>
      <x:c r="C233" s="329"/>
      <x:c r="D233" s="329"/>
      <x:c r="E233" s="329"/>
      <x:c r="F233" s="329"/>
    </x:row>
    <x:row r="234" ht="28" customHeight="1">
      <x:c r="A234" s="449" t="str">
        <x:v>Auto-Managed Service Fields</x:v>
      </x:c>
      <x:c r="B234" s="329" t="str">
        <x:v>Physical Visit ID</x:v>
      </x:c>
      <x:c r="C234" s="329" t="str">
        <x:v>Weekday</x:v>
      </x:c>
      <x:c r="D234" s="329" t="str">
        <x:v>Location Key</x:v>
      </x:c>
      <x:c r="E234" s="329" t="str">
        <x:v>Revenue Eligibility</x:v>
      </x:c>
      <x:c r="F234" s="329" t="str">
        <x:v>Breakdown Expected</x:v>
      </x:c>
    </x:row>
    <x:row r="235" ht="28" customHeight="1">
      <x:c r="A235" s="448" t="str">
        <x:v>Auto-Managed Ledger Fields</x:v>
      </x:c>
      <x:c r="B235" s="329" t="str">
        <x:v>Weekday</x:v>
      </x:c>
      <x:c r="C235" s="329" t="str">
        <x:v>Location Key</x:v>
      </x:c>
      <x:c r="D235" s="329" t="str">
        <x:v>Variance</x:v>
      </x:c>
      <x:c r="E235" s="329"/>
      <x:c r="F235" s="329"/>
    </x:row>
    <x:row r="236" ht="28" customHeight="1">
      <x:c r="A236" s="448" t="str">
        <x:v>Formula Ownership</x:v>
      </x:c>
      <x:c r="B236" s="329" t="str">
        <x:v>Derived fields recalculate from authoritative inputs</x:v>
      </x:c>
      <x:c r="C236" s="329" t="str">
        <x:v>Future table rows inherit calculated-column behavior in Excel</x:v>
      </x:c>
      <x:c r="D236" s="329"/>
      <x:c r="E236" s="329"/>
      <x:c r="F236" s="329"/>
    </x:row>
    <x:row r="237" ht="28" customHeight="1">
      <x:c r="A237" s="448" t="str">
        <x:v>Protected Identity Fields</x:v>
      </x:c>
      <x:c r="B237" s="329" t="str">
        <x:v>Event #</x:v>
      </x:c>
      <x:c r="C237" s="329" t="str">
        <x:v>Service Date</x:v>
      </x:c>
      <x:c r="D237" s="329" t="str">
        <x:v>Client / Site / Location</x:v>
      </x:c>
      <x:c r="E237" s="329" t="str">
        <x:v>Work Order #</x:v>
      </x:c>
      <x:c r="F237" s="329" t="str">
        <x:v>Source / Evidence</x:v>
      </x:c>
    </x:row>
    <x:row r="238" ht="28" customHeight="1">
      <x:c r="A238" s="448" t="str">
        <x:v>Protected Financial Fields</x:v>
      </x:c>
      <x:c r="B238" s="329" t="str">
        <x:v>Agreed Amount</x:v>
      </x:c>
      <x:c r="C238" s="329" t="str">
        <x:v>Breakdown Amount / Date</x:v>
      </x:c>
      <x:c r="D238" s="329" t="str">
        <x:v>ACH Amount / Date</x:v>
      </x:c>
      <x:c r="E238" s="329" t="str">
        <x:v>Expected Payment Date</x:v>
      </x:c>
      <x:c r="F238" s="329" t="str">
        <x:v>Never inferred</x:v>
      </x:c>
    </x:row>
    <x:row r="239" ht="28" customHeight="1">
      <x:c r="A239" s="448" t="str">
        <x:v>Protected Mapping Fields</x:v>
      </x:c>
      <x:c r="B239" s="329" t="str">
        <x:v>Event-to-WO ownership</x:v>
      </x:c>
      <x:c r="C239" s="329" t="str">
        <x:v>Duplicate resolution</x:v>
      </x:c>
      <x:c r="D239" s="329" t="str">
        <x:v>Mapping Holds</x:v>
      </x:c>
      <x:c r="E239" s="329" t="str">
        <x:v>Human review only</x:v>
      </x:c>
      <x:c r="F239" s="329"/>
    </x:row>
    <x:row r="240" ht="28" customHeight="1">
      <x:c r="A240" s="448" t="str">
        <x:v>Advisory Rule</x:v>
      </x:c>
      <x:c r="B240" s="329" t="str">
        <x:v>Pending breakdown, ACH, partial, and variance states remain visible</x:v>
      </x:c>
      <x:c r="C240" s="329" t="str">
        <x:v>No silent closure</x:v>
      </x:c>
      <x:c r="D240" s="329"/>
      <x:c r="E240" s="329"/>
      <x:c r="F240" s="329"/>
    </x:row>
    <x:row r="241" ht="28" customHeight="1">
      <x:c r="A241" s="448" t="str">
        <x:v>Safety Model</x:v>
      </x:c>
      <x:c r="B241" s="329" t="str">
        <x:v>Phase 3G repairs deterministic fields</x:v>
      </x:c>
      <x:c r="C241" s="329" t="str">
        <x:v>Phase 3H validates all structural relationships</x:v>
      </x:c>
      <x:c r="D241" s="329" t="str">
        <x:v>Unsafe changes fail the Integrity Gate</x:v>
      </x:c>
      <x:c r="E241" s="329"/>
      <x:c r="F241" s="329"/>
    </x:row>
    <x:row r="242" ht="28" customHeight="1">
      <x:c r="A242" s="448" t="str">
        <x:v>Current Auto Exceptions</x:v>
      </x:c>
      <x:c r="B242" s="329" t="n">
        <x:f>'Self-Healing Rules'!C6</x:f>
        <x:v>1</x:v>
      </x:c>
      <x:c r="C242" s="329"/>
      <x:c r="D242" s="329"/>
      <x:c r="E242" s="329"/>
      <x:c r="F242" s="329"/>
    </x:row>
    <x:row r="243" ht="28" customHeight="1">
      <x:c r="A243" s="448" t="str">
        <x:v>Current Quarantined Holds</x:v>
      </x:c>
      <x:c r="B243" s="329" t="n">
        <x:f>'Self-Healing Rules'!G6</x:f>
        <x:v>1</x:v>
      </x:c>
      <x:c r="C243" s="329"/>
      <x:c r="D243" s="329"/>
      <x:c r="E243" s="329"/>
      <x:c r="F243" s="329"/>
    </x:row>
    <x:row r="244" ht="28" customHeight="1">
      <x:c r="A244" s="448" t="str">
        <x:v>Version Note</x:v>
      </x:c>
      <x:c r="B244" s="329" t="str">
        <x:v>Phase 3G added after Phase 3H without altering chronology or financial evidence</x:v>
      </x:c>
      <x:c r="C244" s="329"/>
      <x:c r="D244" s="329"/>
      <x:c r="E244" s="329"/>
      <x:c r="F244" s="329"/>
    </x:row>
    <x:row r="245" ht="28" customHeight="1">
      <x:c r="A245" s="448" t="str">
        <x:v>Output Version</x:v>
      </x:c>
      <x:c r="B245" s="329" t="str">
        <x:v>Barrister_Master_v2_Phase3G_3H_Complete.xlsx</x:v>
      </x:c>
      <x:c r="C245" s="329"/>
      <x:c r="D245" s="329"/>
      <x:c r="E245" s="329"/>
      <x:c r="F245" s="329"/>
    </x:row>
    <x:row r="246">
      <x:c r="A246" s="485" t="str">
        <x:v>2026-07-15 Authoritative Delta &amp; Promotion</x:v>
      </x:c>
      <x:c r="B246" s="329" t="str">
        <x:v>Completed</x:v>
      </x:c>
      <x:c r="C246" s="329"/>
      <x:c r="D246" s="329"/>
      <x:c r="E246" s="329"/>
      <x:c r="F246" s="329"/>
      <x:c r="G246" s="329"/>
      <x:c r="H246" s="329"/>
    </x:row>
    <x:row r="247">
      <x:c r="A247" s="485" t="str">
        <x:v>Event 66</x:v>
      </x:c>
      <x:c r="B247" s="329" t="str">
        <x:v>TJ Maxx — Bel Air</x:v>
      </x:c>
      <x:c r="C247" s="329" t="str">
        <x:v>WO 5909385</x:v>
      </x:c>
      <x:c r="D247" s="329" t="str">
        <x:v>Completed</x:v>
      </x:c>
      <x:c r="E247" s="329" t="str">
        <x:v>$45/hour; breakdown pending</x:v>
      </x:c>
      <x:c r="F247" s="329" t="str">
        <x:v>NextGen 11 installed; VH1 decommissioned and prepared for return</x:v>
      </x:c>
      <x:c r="G247" s="329"/>
      <x:c r="H247" s="329"/>
    </x:row>
    <x:row r="248">
      <x:c r="A248" s="485" t="str">
        <x:v>Event 67</x:v>
      </x:c>
      <x:c r="B248" s="329" t="str">
        <x:v>Dunkin — Aberdeen</x:v>
      </x:c>
      <x:c r="C248" s="329" t="str">
        <x:v>WO 5914898</x:v>
      </x:c>
      <x:c r="D248" s="329" t="str">
        <x:v>Completed</x:v>
      </x:c>
      <x:c r="E248" s="329" t="str">
        <x:v>$183.74 breakdown confirmed</x:v>
      </x:c>
      <x:c r="F248" s="329" t="str">
        <x:v>Expected 2026-07-28; ACH pending</x:v>
      </x:c>
      <x:c r="G248" s="329"/>
      <x:c r="H248" s="329"/>
    </x:row>
    <x:row r="249">
      <x:c r="A249" s="485" t="str">
        <x:v>ACH Delta</x:v>
      </x:c>
      <x:c r="B249" s="329" t="str">
        <x:v>Event 54 — 7-Eleven Owings Mills</x:v>
      </x:c>
      <x:c r="C249" s="329" t="str">
        <x:v>WO 5910094</x:v>
      </x:c>
      <x:c r="D249" s="329" t="str">
        <x:v>$120.00 ACH processed</x:v>
      </x:c>
      <x:c r="E249" s="329" t="str">
        <x:v>ACH date 2026-07-14</x:v>
      </x:c>
      <x:c r="F249" s="329" t="str">
        <x:v>Removed from Pending ACH</x:v>
      </x:c>
      <x:c r="G249" s="329"/>
      <x:c r="H249" s="329"/>
    </x:row>
    <x:row r="250">
      <x:c r="A250" s="485" t="str">
        <x:v>Chronology</x:v>
      </x:c>
      <x:c r="B250" s="329" t="str">
        <x:v>Career event count</x:v>
      </x:c>
      <x:c r="C250" s="329" t="n">
        <x:v>67</x:v>
      </x:c>
      <x:c r="D250" s="329" t="str">
        <x:v>Latest completed event</x:v>
      </x:c>
      <x:c r="E250" s="329" t="str">
        <x:v>Event 67</x:v>
      </x:c>
      <x:c r="F250" s="329"/>
      <x:c r="G250" s="329"/>
      <x:c r="H250" s="329"/>
    </x:row>
    <x:row r="251">
      <x:c r="A251" s="485" t="str">
        <x:v>Financial Scope</x:v>
      </x:c>
      <x:c r="B251" s="329" t="str">
        <x:v>Included events</x:v>
      </x:c>
      <x:c r="C251" s="329" t="n">
        <x:v>63</x:v>
      </x:c>
      <x:c r="D251" s="329" t="str">
        <x:v>Chronology-only exclusions</x:v>
      </x:c>
      <x:c r="E251" s="329" t="n">
        <x:v>4</x:v>
      </x:c>
      <x:c r="F251" s="329" t="str">
        <x:v>Events 9, 14, 23, 25</x:v>
      </x:c>
      <x:c r="G251" s="329"/>
      <x:c r="H251" s="329"/>
    </x:row>
    <x:row r="252">
      <x:c r="A252" s="485" t="str">
        <x:v>Missing Breakdown Control</x:v>
      </x:c>
      <x:c r="B252" s="329" t="str">
        <x:v>Expected current count</x:v>
      </x:c>
      <x:c r="C252" s="329" t="n">
        <x:v>5</x:v>
      </x:c>
      <x:c r="D252" s="329" t="str">
        <x:v>Carvana companion + Events 63–66</x:v>
      </x:c>
      <x:c r="E252" s="329"/>
      <x:c r="F252" s="329"/>
      <x:c r="G252" s="329"/>
      <x:c r="H252" s="329"/>
    </x:row>
    <x:row r="253">
      <x:c r="A253" s="488" t="str">
        <x:v>Pending ACH Control</x:v>
      </x:c>
      <x:c r="B253" s="329" t="str">
        <x:v>Expected current count</x:v>
      </x:c>
      <x:c r="C253" s="329" t="n">
        <x:v>9</x:v>
      </x:c>
      <x:c r="D253" s="329" t="str">
        <x:v>Event 54 removed; Event 67 added</x:v>
      </x:c>
      <x:c r="E253" s="329"/>
      <x:c r="F253" s="329"/>
      <x:c r="G253" s="329"/>
      <x:c r="H253" s="329"/>
    </x:row>
    <x:row r="254">
      <x:c r="A254" s="488" t="str">
        <x:v>Confirmed Revenue</x:v>
      </x:c>
      <x:c r="B254" s="329" t="str">
        <x:v>Expected total</x:v>
      </x:c>
      <x:c r="C254" s="329" t="str">
        <x:v>$7,234.55</x:v>
      </x:c>
      <x:c r="D254" s="329" t="str">
        <x:v>Delta</x:v>
      </x:c>
      <x:c r="E254" s="329" t="str">
        <x:v>+ $183.74</x:v>
      </x:c>
      <x:c r="F254" s="329"/>
      <x:c r="G254" s="329"/>
      <x:c r="H254" s="329"/>
    </x:row>
    <x:row r="255">
      <x:c r="A255" s="488" t="str">
        <x:v>Scheduled Hold</x:v>
      </x:c>
      <x:c r="B255" s="329" t="str">
        <x:v>Dunkin — Fallston</x:v>
      </x:c>
      <x:c r="C255" s="329" t="str">
        <x:v>WO 5900854</x:v>
      </x:c>
      <x:c r="D255" s="329" t="str">
        <x:v>Not event-numbered</x:v>
      </x:c>
      <x:c r="E255" s="329" t="str">
        <x:v>Create Event 68 only after completed physical visit</x:v>
      </x:c>
      <x:c r="F255" s="329"/>
      <x:c r="G255" s="329"/>
      <x:c r="H255" s="329"/>
    </x:row>
    <x:row r="256">
      <x:c r="A256" s="488" t="str">
        <x:v>Promotion</x:v>
      </x:c>
      <x:c r="B256" s="329" t="str">
        <x:v>This workbook supersedes Phase 3G_3H_Complete</x:v>
      </x:c>
      <x:c r="C256" s="329" t="str">
        <x:v>Authoritative master effective 2026-07-15</x:v>
      </x:c>
      <x:c r="D256" s="329" t="str">
        <x:v>Delta-only governance preserved</x:v>
      </x:c>
      <x:c r="E256" s="329"/>
      <x:c r="F256" s="329"/>
      <x:c r="G256" s="329"/>
      <x:c r="H256" s="329"/>
    </x:row>
    <x:row r="257">
      <x:c r="A257" s="488" t="str">
        <x:v>Source Basis</x:v>
      </x:c>
      <x:c r="B257" s="329" t="str">
        <x:v>User-authoritative completion statements</x:v>
      </x:c>
      <x:c r="C257" s="329" t="str">
        <x:v>RFS documents</x:v>
      </x:c>
      <x:c r="D257" s="329" t="str">
        <x:v>Gmail breakdown/ACH confirmations</x:v>
      </x:c>
      <x:c r="E257" s="329" t="str">
        <x:v>FastField/photo evidence</x:v>
      </x:c>
      <x:c r="F257" s="329"/>
      <x:c r="G257" s="329"/>
      <x:c r="H257" s="329"/>
    </x:row>
    <x:row r="259">
      <x:c r="A259" t="str">
        <x:v>2026-07-17 Month 3 Closeout &amp; Month 4 Handoff</x:v>
      </x:c>
      <x:c r="B259"/>
      <x:c r="C259"/>
      <x:c r="D259"/>
      <x:c r="E259"/>
      <x:c r="F259"/>
    </x:row>
    <x:row r="260">
      <x:c r="A260" t="str">
        <x:v>Chronology</x:v>
      </x:c>
      <x:c r="B260" t="str">
        <x:v>Completed Events</x:v>
      </x:c>
      <x:c r="C260" t="n">
        <x:v>72</x:v>
      </x:c>
      <x:c r="D260" t="str">
        <x:v>Latest completed Event</x:v>
      </x:c>
      <x:c r="E260" t="str">
        <x:v>Event 72 — Miramar / Hebrew Home</x:v>
      </x:c>
      <x:c r="F260" t="str">
        <x:v>WO 5913115</x:v>
      </x:c>
    </x:row>
    <x:row r="261">
      <x:c r="A261" t="str">
        <x:v>Event 68</x:v>
      </x:c>
      <x:c r="B261" t="str">
        <x:v>Dunkin — Fallston</x:v>
      </x:c>
      <x:c r="C261" t="str">
        <x:v>WO 5900854</x:v>
      </x:c>
      <x:c r="D261" t="str">
        <x:v>Completed</x:v>
      </x:c>
      <x:c r="E261" t="str">
        <x:v>$350 breakdown confirmed</x:v>
      </x:c>
      <x:c r="F261" t="str">
        <x:v>Speed ACH expected 2026-07-29</x:v>
      </x:c>
    </x:row>
    <x:row r="262">
      <x:c r="A262" t="str">
        <x:v>Event 69</x:v>
      </x:c>
      <x:c r="B262" t="str">
        <x:v>TJ Maxx — Columbia</x:v>
      </x:c>
      <x:c r="C262" t="str">
        <x:v>WO 5909418</x:v>
      </x:c>
      <x:c r="D262" t="str">
        <x:v>Completed</x:v>
      </x:c>
      <x:c r="E262" t="str">
        <x:v>$40/hour</x:v>
      </x:c>
      <x:c r="F262" t="str">
        <x:v>Breakdown pending</x:v>
      </x:c>
    </x:row>
    <x:row r="263">
      <x:c r="A263" t="str">
        <x:v>Event 70</x:v>
      </x:c>
      <x:c r="B263" t="str">
        <x:v>Giant Food — Olney</x:v>
      </x:c>
      <x:c r="C263" t="str">
        <x:v>WO 5918899</x:v>
      </x:c>
      <x:c r="D263" t="str">
        <x:v>Completed</x:v>
      </x:c>
      <x:c r="E263" t="str">
        <x:v>HCL network troubleshooting</x:v>
      </x:c>
      <x:c r="F263" t="str">
        <x:v>Breakdown pending</x:v>
      </x:c>
    </x:row>
    <x:row r="264">
      <x:c r="A264" t="str">
        <x:v>Event 71</x:v>
      </x:c>
      <x:c r="B264" t="str">
        <x:v>WeWork DC18</x:v>
      </x:c>
      <x:c r="C264" t="str">
        <x:v>WO 5918348</x:v>
      </x:c>
      <x:c r="D264" t="str">
        <x:v>Completed</x:v>
      </x:c>
      <x:c r="E264" t="str">
        <x:v>$45/hour ACH</x:v>
      </x:c>
      <x:c r="F264" t="str">
        <x:v>Breakdown pending</x:v>
      </x:c>
    </x:row>
    <x:row r="265">
      <x:c r="A265" t="str">
        <x:v>Event 72</x:v>
      </x:c>
      <x:c r="B265" t="str">
        <x:v>Miramar / Hebrew Home</x:v>
      </x:c>
      <x:c r="C265" t="str">
        <x:v>WO 5913115</x:v>
      </x:c>
      <x:c r="D265" t="str">
        <x:v>Completed / ticket closed</x:v>
      </x:c>
      <x:c r="E265" t="str">
        <x:v>Promised $50 Speed ACH</x:v>
      </x:c>
      <x:c r="F265" t="str">
        <x:v>Compensation classification unresolved</x:v>
      </x:c>
    </x:row>
    <x:row r="266">
      <x:c r="A266" t="str">
        <x:v>CONTROL RULE</x:v>
      </x:c>
      <x:c r="B266" t="str">
        <x:v>BARRISTER CONTROL CHECK</x:v>
      </x:c>
      <x:c r="C266" t="str">
        <x:v>Read the attached authoritative workbook before reporting counts or totals</x:v>
      </x:c>
      <x:c r="D266" t="str">
        <x:v>State filename, highest Event, confirmed revenue, and open exceptions</x:v>
      </x:c>
      <x:c r="E266" t="str">
        <x:v>Stop if source cannot be read</x:v>
      </x:c>
      <x:c r="F266" t="str">
        <x:v>Never reconstruct from memory</x:v>
      </x:c>
    </x:row>
    <x:row r="267">
      <x:c r="A267" t="str">
        <x:v>CONTROL RULE</x:v>
      </x:c>
      <x:c r="B267" t="str">
        <x:v>DELTA UPDATE</x:v>
      </x:c>
      <x:c r="C267" t="str">
        <x:v>Gmail-only financial delta search</x:v>
      </x:c>
      <x:c r="D267" t="str">
        <x:v>ACHs, deposits, payment breakdowns, deductions</x:v>
      </x:c>
      <x:c r="E267" t="str">
        <x:v>Map every result to WO and Event</x:v>
      </x:c>
      <x:c r="F267" t="str">
        <x:v>Do not search unrelated areas</x:v>
      </x:c>
    </x:row>
    <x:row r="268">
      <x:c r="A268" t="str">
        <x:v>CONTROL RULE</x:v>
      </x:c>
      <x:c r="B268" t="str">
        <x:v>Chronology</x:v>
      </x:c>
      <x:c r="C268" t="str">
        <x:v>One physical visit equals one Event</x:v>
      </x:c>
      <x:c r="D268" t="str">
        <x:v>Never skip or invent Event numbers</x:v>
      </x:c>
      <x:c r="E268" t="str">
        <x:v>User-authoritative completion controls event status</x:v>
      </x:c>
      <x:c r="F268" t="str">
        <x:v>Keep chronology separate from finance</x:v>
      </x:c>
    </x:row>
    <x:row r="269">
      <x:c r="A269" t="str">
        <x:v>CONTROL RULE</x:v>
      </x:c>
      <x:c r="B269" t="str">
        <x:v>Financial evidence</x:v>
      </x:c>
      <x:c r="C269" t="str">
        <x:v>Never mark payment confirmed without documentary evidence</x:v>
      </x:c>
      <x:c r="D269" t="str">
        <x:v>Promised rate is not a confirmed breakdown</x:v>
      </x:c>
      <x:c r="E269" t="str">
        <x:v>Closed ticket does not prove payment</x:v>
      </x:c>
      <x:c r="F269" t="str">
        <x:v>Keep unresolved items open</x:v>
      </x:c>
    </x:row>
    <x:row r="270">
      <x:c r="A270" t="str">
        <x:v>2026-07-17</x:v>
      </x:c>
      <x:c r="B270" t="str">
        <x:v>Month 4 Career Analytics</x:v>
      </x:c>
      <x:c r="C270" t="str">
        <x:v>Added Career Analytics sheet with 12 career metrics, streaks, rolling records, revenue/client/territory/dispatch analytics, weekly and weekday summaries, Hall of Fame milestones, scorecard, baseball card, and metric definitions.</x:v>
      </x:c>
      <x:c r="D270" t="str">
        <x:v>Derived from authoritative Service Events and Work Orders &amp; Ledger only.</x:v>
      </x:c>
      <x:c r="E270" t="str">
        <x:v>Chronology and financial reconciliation preserved separately.</x:v>
      </x:c>
      <x:c r="F270" t="str">
        <x:v>Implemented</x:v>
      </x:c>
    </x:row>
    <x:row r="271">
      <x:c r="A271" t="str">
        <x:v>Promotion</x:v>
      </x:c>
      <x:c r="B271" t="str">
        <x:v>Month 3 closeout workbook</x:v>
      </x:c>
      <x:c r="C271" t="str">
        <x:v>Supersedes 2026-07-15 promoted master for Month 4 handoff</x:v>
      </x:c>
      <x:c r="D271" t="str">
        <x:v>Events 68–72 added</x:v>
      </x:c>
      <x:c r="E271" t="str">
        <x:v>Control rules updated</x:v>
      </x:c>
      <x:c r="F271" t="str">
        <x:v>2026-07-17</x:v>
      </x:c>
    </x:row>
  </x:sheetData>
  <x:mergeCells>
    <x:mergeCell ref="A1:F2"/>
    <x:mergeCell ref="A4:B4"/>
    <x:mergeCell ref="A24:C24"/>
    <x:mergeCell ref="A66:E66"/>
    <x:mergeCell ref="A78:C78"/>
    <x:mergeCell ref="A118:F118"/>
  </x:mergeCells>
  <x:conditionalFormatting sqref="B218:B231">
    <x:cfRule type="expression" dxfId="120" priority="1">
      <x:formula>$B218="Completed"</x:formula>
    </x:cfRule>
    <x:cfRule type="expression" dxfId="121" priority="2">
      <x:formula>OR($B218="Pending",$B218="Planned")</x:formula>
    </x:cfRule>
  </x:conditionalFormatting>
  <x:conditionalFormatting sqref="A220:F224">
    <x:cfRule type="expression" dxfId="122" priority="3">
      <x:formula>$A220="Green"</x:formula>
    </x:cfRule>
    <x:cfRule type="expression" dxfId="123" priority="4">
      <x:formula>$A220="Yellow"</x:formula>
    </x:cfRule>
    <x:cfRule type="expression" dxfId="124" priority="5">
      <x:formula>$A220="Orange"</x:formula>
    </x:cfRule>
    <x:cfRule type="expression" dxfId="125" priority="6">
      <x:formula>$A220="Red"</x:formula>
    </x:cfRule>
    <x:cfRule type="expression" dxfId="126" priority="7">
      <x:formula>$A220="Gray"</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8" hidden="0" customWidth="1"/>
    <x:col min="5" max="5" width="20" hidden="0" customWidth="1"/>
    <x:col min="6" max="6" width="20" hidden="0" customWidth="1"/>
    <x:col min="7" max="7" width="18" hidden="0" customWidth="1"/>
    <x:col min="8" max="8" width="22" hidden="0" customWidth="1"/>
  </x:cols>
  <x:sheetData>
    <x:row r="1" ht="28" customHeight="1">
      <x:c r="A1" s="408" t="str">
        <x:v>Barrister Phase 3G — Self-Healing Rules</x:v>
      </x:c>
      <x:c r="B1" s="408"/>
      <x:c r="C1" s="408"/>
      <x:c r="D1" s="408"/>
      <x:c r="E1" s="408"/>
      <x:c r="F1" s="408"/>
      <x:c r="G1" s="408"/>
      <x:c r="H1" s="408"/>
    </x:row>
    <x:row r="3" ht="32" customHeight="1">
      <x:c r="A3" s="413" t="str">
        <x:v>Non-destructive repair layer: deterministic fields heal automatically; chronology, identity, mapping, and payment facts remain human-controlled.</x:v>
      </x:c>
      <x:c r="B3" s="413"/>
      <x:c r="C3" s="413"/>
      <x:c r="D3" s="413"/>
      <x:c r="E3" s="413"/>
      <x:c r="F3" s="413"/>
      <x:c r="G3" s="413"/>
      <x:c r="H3" s="413"/>
    </x:row>
    <x:row r="5">
      <x:c r="A5" s="416" t="str">
        <x:v>Automatic Fields</x:v>
      </x:c>
      <x:c r="B5" s="416"/>
      <x:c r="C5" s="416" t="str">
        <x:v>Auto Exceptions</x:v>
      </x:c>
      <x:c r="D5" s="416"/>
      <x:c r="E5" s="416" t="str">
        <x:v>Advisory Items</x:v>
      </x:c>
      <x:c r="F5" s="416"/>
      <x:c r="G5" s="416" t="str">
        <x:v>Quarantined Holds</x:v>
      </x:c>
      <x:c r="H5" s="416"/>
    </x:row>
    <x:row r="6" ht="34" customHeight="1">
      <x:c r="A6" s="420" t="n">
        <x:v>8</x:v>
      </x:c>
      <x:c r="B6" s="421"/>
      <x:c r="C6" s="420" t="n">
        <x:f>SUM(F12:F19)</x:f>
        <x:v>1</x:v>
      </x:c>
      <x:c r="D6" s="421"/>
      <x:c r="E6" s="422" t="n">
        <x:f>COUNTA(tblCurrentExceptions[Issue])-COUNTIF(tblCurrentExceptions[Issue],"Mapping Hold")</x:f>
        <x:v>15</x:v>
      </x:c>
      <x:c r="F6" s="423"/>
      <x:c r="G6" s="424" t="n">
        <x:f>COUNTIF(tblLedger[Mapping Status],"MAPPING_HOLD")</x:f>
        <x:v>1</x:v>
      </x:c>
      <x:c r="H6" s="425"/>
    </x:row>
    <x:row r="9">
      <x:c r="A9" s="428" t="str">
        <x:v>Self-Healing Rule Register</x:v>
      </x:c>
      <x:c r="B9" s="428"/>
      <x:c r="C9" s="428"/>
      <x:c r="D9" s="428"/>
      <x:c r="E9" s="428"/>
      <x:c r="F9" s="428"/>
      <x:c r="G9" s="428"/>
      <x:c r="H9" s="428"/>
    </x:row>
    <x:row r="10">
      <x:c r="A10" s="431" t="str">
        <x:v>Rule ID</x:v>
      </x:c>
      <x:c r="B10" s="431" t="str">
        <x:v>Mode</x:v>
      </x:c>
      <x:c r="C10" s="431" t="str">
        <x:v>Scope</x:v>
      </x:c>
      <x:c r="D10" s="431" t="str">
        <x:v>Managed Field / Control</x:v>
      </x:c>
      <x:c r="E10" s="431" t="str">
        <x:v>Healing Logic</x:v>
      </x:c>
      <x:c r="F10" s="431" t="str">
        <x:v>Current Exceptions</x:v>
      </x:c>
      <x:c r="G10" s="431" t="str">
        <x:v>Status</x:v>
      </x:c>
      <x:c r="H10" s="431" t="str">
        <x:v>Protection Boundary</x:v>
      </x:c>
    </x:row>
    <x:row r="11" ht="34" customHeight="1">
      <x:c r="A11" s="432" t="str">
        <x:v>G01</x:v>
      </x:c>
      <x:c r="B11" s="432" t="str">
        <x:v>AUTO</x:v>
      </x:c>
      <x:c r="C11" s="432" t="str">
        <x:v>Service Events</x:v>
      </x:c>
      <x:c r="D11" s="432" t="str">
        <x:v>Physical Visit ID</x:v>
      </x:c>
      <x:c r="E11" s="432" t="str">
        <x:v>Derive EVT-nnnn from Event #</x:v>
      </x:c>
      <x:c r="F11" s="482" t="n">
        <x:f>SUMPRODUCT(--(tblServiceEvents[Physical Visit ID]&lt;&gt;"EVT-"&amp;TEXT(tblServiceEvents[Event #],"0000")))</x:f>
        <x:v>0</x:v>
      </x:c>
      <x:c r="G11" s="482" t="str">
        <x:f>IF(F11=0,IF(B11="AUTO","ACTIVE","PASS"),IF(B11="BLOCK","QUARANTINED",IF(B11="ADVISORY","MONITORED","REVIEW")))</x:f>
        <x:v>ACTIVE</x:v>
      </x:c>
      <x:c r="H11" s="432" t="str">
        <x:v>Never renumbers Event #</x:v>
      </x:c>
    </x:row>
    <x:row r="12" ht="34" customHeight="1">
      <x:c r="A12" s="432" t="str">
        <x:v>G02</x:v>
      </x:c>
      <x:c r="B12" s="432" t="str">
        <x:v>AUTO</x:v>
      </x:c>
      <x:c r="C12" s="432" t="str">
        <x:v>Service Events</x:v>
      </x:c>
      <x:c r="D12" s="432" t="str">
        <x:v>Weekday</x:v>
      </x:c>
      <x:c r="E12" s="432" t="str">
        <x:v>Derive weekday from Service Date</x:v>
      </x:c>
      <x:c r="F12" s="482" t="n">
        <x:f>SUMPRODUCT(--(tblServiceEvents[Weekday]&lt;&gt;TEXT(tblServiceEvents[Service Date],"dddd")))</x:f>
        <x:v>0</x:v>
      </x:c>
      <x:c r="G12" s="482" t="str">
        <x:f>IF(F12=0,IF(B12="AUTO","ACTIVE","PASS"),IF(B12="BLOCK","QUARANTINED",IF(B12="ADVISORY","MONITORED","REVIEW")))</x:f>
        <x:v>ACTIVE</x:v>
      </x:c>
      <x:c r="H12" s="432" t="str">
        <x:v>Never changes Service Date</x:v>
      </x:c>
    </x:row>
    <x:row r="13" ht="34" customHeight="1">
      <x:c r="A13" s="432" t="str">
        <x:v>G03</x:v>
      </x:c>
      <x:c r="B13" s="432" t="str">
        <x:v>AUTO</x:v>
      </x:c>
      <x:c r="C13" s="432" t="str">
        <x:v>Service Events</x:v>
      </x:c>
      <x:c r="D13" s="432" t="str">
        <x:v>Location Key</x:v>
      </x:c>
      <x:c r="E13" s="432" t="str">
        <x:v>Derive City|Jurisdiction</x:v>
      </x:c>
      <x:c r="F13" s="482" t="n">
        <x:f>SUMPRODUCT(--(tblServiceEvents[Location Key]&lt;&gt;tblServiceEvents[City]&amp;"|"&amp;tblServiceEvents[Jurisdiction]))</x:f>
        <x:v>0</x:v>
      </x:c>
      <x:c r="G13" s="482" t="str">
        <x:f>IF(F13=0,IF(B13="AUTO","ACTIVE","PASS"),IF(B13="BLOCK","QUARANTINED",IF(B13="ADVISORY","MONITORED","REVIEW")))</x:f>
        <x:v>ACTIVE</x:v>
      </x:c>
      <x:c r="H13" s="432" t="str">
        <x:v>Never changes location facts</x:v>
      </x:c>
    </x:row>
    <x:row r="14" ht="34" customHeight="1">
      <x:c r="A14" s="432" t="str">
        <x:v>G04</x:v>
      </x:c>
      <x:c r="B14" s="432" t="str">
        <x:v>AUTO</x:v>
      </x:c>
      <x:c r="C14" s="432" t="str">
        <x:v>Service Events</x:v>
      </x:c>
      <x:c r="D14" s="432" t="str">
        <x:v>Breakdown Expected</x:v>
      </x:c>
      <x:c r="E14" s="432" t="str">
        <x:v>Excluded = No; Included = Yes</x:v>
      </x:c>
      <x:c r="F14" s="482" t="n">
        <x:f>COUNTIFS(tblServiceEvents[Financial Scope],"Excluded",tblServiceEvents[Breakdown Expected],"&lt;&gt;No")+COUNTIFS(tblServiceEvents[Financial Scope],"Included",tblServiceEvents[Breakdown Expected],"&lt;&gt;Yes")</x:f>
        <x:v>0</x:v>
      </x:c>
      <x:c r="G14" s="482" t="str">
        <x:f>IF(F14=0,IF(B14="AUTO","ACTIVE","PASS"),IF(B14="BLOCK","QUARANTINED",IF(B14="ADVISORY","MONITORED","REVIEW")))</x:f>
        <x:v>ACTIVE</x:v>
      </x:c>
      <x:c r="H14" s="432" t="str">
        <x:v>Never changes Financial Scope</x:v>
      </x:c>
    </x:row>
    <x:row r="15" ht="34" customHeight="1">
      <x:c r="A15" s="432" t="str">
        <x:v>G05</x:v>
      </x:c>
      <x:c r="B15" s="432" t="str">
        <x:v>AUTO</x:v>
      </x:c>
      <x:c r="C15" s="432" t="str">
        <x:v>Service Events</x:v>
      </x:c>
      <x:c r="D15" s="432" t="str">
        <x:v>Revenue Eligibility</x:v>
      </x:c>
      <x:c r="E15" s="432" t="str">
        <x:v>Excluded scope or no confirmed revenue = Excluded; positive confirmed revenue = Eligible</x:v>
      </x:c>
      <x:c r="F15" s="482" t="n">
        <x:f>SUMPRODUCT(--(tblServiceEvents[Revenue Eligibility]&lt;&gt;IF(tblServiceEvents[Financial Scope]="Excluded","Excluded",IF(tblServiceEvents[Confirmed Revenue]&gt;0,"Eligible","Excluded"))))</x:f>
        <x:v>0</x:v>
      </x:c>
      <x:c r="G15" s="482" t="str">
        <x:f>IF(F15=0,IF(B15="AUTO","ACTIVE","PASS"),IF(B15="BLOCK","QUARANTINED",IF(B15="ADVISORY","MONITORED","REVIEW")))</x:f>
        <x:v>ACTIVE</x:v>
      </x:c>
      <x:c r="H15" s="432" t="str">
        <x:v>Never invents revenue</x:v>
      </x:c>
    </x:row>
    <x:row r="16" ht="34" customHeight="1">
      <x:c r="A16" s="432" t="str">
        <x:v>G06</x:v>
      </x:c>
      <x:c r="B16" s="432" t="str">
        <x:v>AUTO</x:v>
      </x:c>
      <x:c r="C16" s="432" t="str">
        <x:v>Ledger</x:v>
      </x:c>
      <x:c r="D16" s="432" t="str">
        <x:v>Weekday</x:v>
      </x:c>
      <x:c r="E16" s="432" t="str">
        <x:v>Derive weekday from Service Date</x:v>
      </x:c>
      <x:c r="F16" s="482" t="n">
        <x:f>SUMPRODUCT(--(tblLedger[Weekday]&lt;&gt;TEXT(tblLedger[Service Date],"dddd")))</x:f>
        <x:v>0</x:v>
      </x:c>
      <x:c r="G16" s="482" t="str">
        <x:f>IF(F16=0,IF(B16="AUTO","ACTIVE","PASS"),IF(B16="BLOCK","QUARANTINED",IF(B16="ADVISORY","MONITORED","REVIEW")))</x:f>
        <x:v>ACTIVE</x:v>
      </x:c>
      <x:c r="H16" s="432" t="str">
        <x:v>Never changes Service Date</x:v>
      </x:c>
    </x:row>
    <x:row r="17" ht="34" customHeight="1">
      <x:c r="A17" s="432" t="str">
        <x:v>G07</x:v>
      </x:c>
      <x:c r="B17" s="432" t="str">
        <x:v>AUTO</x:v>
      </x:c>
      <x:c r="C17" s="432" t="str">
        <x:v>Ledger</x:v>
      </x:c>
      <x:c r="D17" s="432" t="str">
        <x:v>Location Key</x:v>
      </x:c>
      <x:c r="E17" s="432" t="str">
        <x:v>Derive City|Jurisdiction</x:v>
      </x:c>
      <x:c r="F17" s="482" t="n">
        <x:f>SUMPRODUCT(--(tblLedger[Location Key]&lt;&gt;tblLedger[City]&amp;"|"&amp;tblLedger[Jurisdiction]))</x:f>
        <x:v>0</x:v>
      </x:c>
      <x:c r="G17" s="482" t="str">
        <x:f>IF(F17=0,IF(B17="AUTO","ACTIVE","PASS"),IF(B17="BLOCK","QUARANTINED",IF(B17="ADVISORY","MONITORED","REVIEW")))</x:f>
        <x:v>ACTIVE</x:v>
      </x:c>
      <x:c r="H17" s="432" t="str">
        <x:v>Never changes location facts</x:v>
      </x:c>
    </x:row>
    <x:row r="18" ht="34" customHeight="1">
      <x:c r="A18" s="432" t="str">
        <x:v>G08</x:v>
      </x:c>
      <x:c r="B18" s="432" t="str">
        <x:v>AUTO</x:v>
      </x:c>
      <x:c r="C18" s="432" t="str">
        <x:v>Ledger</x:v>
      </x:c>
      <x:c r="D18" s="432" t="str">
        <x:v>Variance</x:v>
      </x:c>
      <x:c r="E18" s="432" t="str">
        <x:v>Breakdown Amount minus Agreed Amount when both are numeric</x:v>
      </x:c>
      <x:c r="F18" s="482" t="n">
        <x:f>SUMPRODUCT(--ISNUMBER(tblLedger[Agreed Amount]),--ISNUMBER(tblLedger[Breakdown Amount]),--(IFERROR(ABS(tblLedger[Variance]-(tblLedger[Breakdown Amount]-tblLedger[Agreed Amount])),0)&gt;0.01))</x:f>
        <x:v>0</x:v>
      </x:c>
      <x:c r="G18" s="482" t="str">
        <x:f>IF(F18=0,IF(B18="AUTO","ACTIVE","PASS"),IF(B18="BLOCK","QUARANTINED",IF(B18="ADVISORY","MONITORED","REVIEW")))</x:f>
        <x:v>ACTIVE</x:v>
      </x:c>
      <x:c r="H18" s="432" t="str">
        <x:v>Never invents agreed or paid amounts</x:v>
      </x:c>
    </x:row>
    <x:row r="19" ht="34" customHeight="1">
      <x:c r="A19" s="432" t="str">
        <x:v>G09</x:v>
      </x:c>
      <x:c r="B19" s="432" t="str">
        <x:v>MONITOR</x:v>
      </x:c>
      <x:c r="C19" s="432" t="str">
        <x:v>Dashboard</x:v>
      </x:c>
      <x:c r="D19" s="432" t="str">
        <x:v>KPI refresh</x:v>
      </x:c>
      <x:c r="E19" s="432" t="str">
        <x:v>Dashboard formulas reconcile directly to authoritative tables</x:v>
      </x:c>
      <x:c r="F19" s="482" t="n">
        <x:f>SUM('Exceptions &amp; Audit'!D192:D196)</x:f>
        <x:v>1</x:v>
      </x:c>
      <x:c r="G19" s="482" t="str">
        <x:f>IF(F19=0,IF(B19="AUTO","ACTIVE","PASS"),IF(B19="BLOCK","QUARANTINED",IF(B19="ADVISORY","MONITORED","REVIEW")))</x:f>
        <x:v>REVIEW</x:v>
      </x:c>
      <x:c r="H19" s="432" t="str">
        <x:v>No manual KPI entry</x:v>
      </x:c>
    </x:row>
    <x:row r="20" ht="34" customHeight="1">
      <x:c r="A20" s="432" t="str">
        <x:v>G10</x:v>
      </x:c>
      <x:c r="B20" s="432" t="str">
        <x:v>ADVISORY</x:v>
      </x:c>
      <x:c r="C20" s="432" t="str">
        <x:v>Service Events</x:v>
      </x:c>
      <x:c r="D20" s="432" t="str">
        <x:v>Financial Exclusion Reason</x:v>
      </x:c>
      <x:c r="E20" s="432" t="str">
        <x:v>Flag excluded rows with missing rationale</x:v>
      </x:c>
      <x:c r="F20" s="482" t="n">
        <x:f>COUNTIFS(tblServiceEvents[Financial Scope],"Excluded",tblServiceEvents[Financial Exclusion Reason],"")</x:f>
        <x:v>0</x:v>
      </x:c>
      <x:c r="G20" s="482" t="str">
        <x:f>IF(F20=0,IF(B20="AUTO","ACTIVE","PASS"),IF(B20="BLOCK","QUARANTINED",IF(B20="ADVISORY","MONITORED","REVIEW")))</x:f>
        <x:v>PASS</x:v>
      </x:c>
      <x:c r="H20" s="432" t="str">
        <x:v>Reason requires human evidence</x:v>
      </x:c>
    </x:row>
    <x:row r="21" ht="34" customHeight="1">
      <x:c r="A21" s="432" t="str">
        <x:v>G11</x:v>
      </x:c>
      <x:c r="B21" s="432" t="str">
        <x:v>ADVISORY</x:v>
      </x:c>
      <x:c r="C21" s="432" t="str">
        <x:v>Business State</x:v>
      </x:c>
      <x:c r="D21" s="432" t="str">
        <x:v>Open financial actions</x:v>
      </x:c>
      <x:c r="E21" s="432" t="str">
        <x:v>Keep pending breakdown, ACH, variance, and partial items visible</x:v>
      </x:c>
      <x:c r="F21" s="482" t="n">
        <x:f>COUNTA(tblCurrentExceptions[Issue])-COUNTIF(tblCurrentExceptions[Issue],"Mapping Hold")</x:f>
        <x:v>15</x:v>
      </x:c>
      <x:c r="G21" s="482" t="str">
        <x:f>IF(F21=0,"CLEAR","MONITORED")</x:f>
        <x:v>MONITORED</x:v>
      </x:c>
      <x:c r="H21" s="432" t="str">
        <x:v>Never silently closes an exception</x:v>
      </x:c>
    </x:row>
    <x:row r="22" ht="34" customHeight="1">
      <x:c r="A22" s="432" t="str">
        <x:v>G12</x:v>
      </x:c>
      <x:c r="B22" s="432" t="str">
        <x:v>BLOCK</x:v>
      </x:c>
      <x:c r="C22" s="432" t="str">
        <x:v>Ledger Mapping</x:v>
      </x:c>
      <x:c r="D22" s="432" t="str">
        <x:v>Mapping Hold</x:v>
      </x:c>
      <x:c r="E22" s="432" t="str">
        <x:v>Quarantine ambiguous WO-to-event ownership</x:v>
      </x:c>
      <x:c r="F22" s="482" t="n">
        <x:f>COUNTIF(tblLedger[Mapping Status],"MAPPING_HOLD")</x:f>
        <x:v>1</x:v>
      </x:c>
      <x:c r="G22" s="482" t="str">
        <x:f>IF(F22=0,"CLEAR","QUARANTINED")</x:f>
        <x:v>QUARANTINED</x:v>
      </x:c>
      <x:c r="H22" s="432" t="str">
        <x:v>Never guesses event ownership</x:v>
      </x:c>
    </x:row>
    <x:row r="25">
      <x:c r="A25" s="428" t="str">
        <x:v>Field Ownership &amp; Update Boundaries</x:v>
      </x:c>
      <x:c r="B25" s="428"/>
      <x:c r="C25" s="428"/>
      <x:c r="D25" s="428"/>
      <x:c r="E25" s="428"/>
      <x:c r="F25" s="428"/>
      <x:c r="G25" s="428"/>
      <x:c r="H25" s="428"/>
    </x:row>
    <x:row r="26">
      <x:c r="A26" s="467" t="str">
        <x:v>Field Class</x:v>
      </x:c>
      <x:c r="B26" s="467"/>
      <x:c r="C26" s="467" t="str">
        <x:v>Examples</x:v>
      </x:c>
      <x:c r="D26" s="467"/>
      <x:c r="E26" s="467" t="str">
        <x:v>3G Behavior</x:v>
      </x:c>
      <x:c r="F26" s="467"/>
      <x:c r="G26" s="467" t="str">
        <x:v>Authoritative Owner</x:v>
      </x:c>
      <x:c r="H26" s="467"/>
    </x:row>
    <x:row r="27" ht="38" customHeight="1">
      <x:c r="A27" s="473" t="str">
        <x:v>Auto-managed derived</x:v>
      </x:c>
      <x:c r="B27" s="473"/>
      <x:c r="C27" s="473" t="str">
        <x:v>Event ID, Weekday, Location Key, Variance, eligibility flags</x:v>
      </x:c>
      <x:c r="D27" s="473"/>
      <x:c r="E27" s="473" t="str">
        <x:v>Formula-controlled and recalculates automatically</x:v>
      </x:c>
      <x:c r="F27" s="473"/>
      <x:c r="G27" s="473" t="str">
        <x:v>Workbook formulas</x:v>
      </x:c>
      <x:c r="H27" s="473"/>
    </x:row>
    <x:row r="28" ht="38" customHeight="1">
      <x:c r="A28" s="478" t="str">
        <x:v>Human-controlled identity</x:v>
      </x:c>
      <x:c r="B28" s="478"/>
      <x:c r="C28" s="478" t="str">
        <x:v>Event #, date, client, site, city/state, WO #</x:v>
      </x:c>
      <x:c r="D28" s="478"/>
      <x:c r="E28" s="478" t="str">
        <x:v>Never changed automatically</x:v>
      </x:c>
      <x:c r="F28" s="478"/>
      <x:c r="G28" s="478" t="str">
        <x:v>User-authoritative evidence</x:v>
      </x:c>
      <x:c r="H28" s="478"/>
    </x:row>
    <x:row r="29" ht="38" customHeight="1">
      <x:c r="A29" s="473" t="str">
        <x:v>Human-controlled financial facts</x:v>
      </x:c>
      <x:c r="B29" s="473"/>
      <x:c r="C29" s="473" t="str">
        <x:v>Agreed amount, breakdown amount/date, ACH amount/date</x:v>
      </x:c>
      <x:c r="D29" s="473"/>
      <x:c r="E29" s="473" t="str">
        <x:v>Never inferred or estimated</x:v>
      </x:c>
      <x:c r="F29" s="473"/>
      <x:c r="G29" s="473" t="str">
        <x:v>Barrister email / portal evidence</x:v>
      </x:c>
      <x:c r="H29" s="473"/>
    </x:row>
    <x:row r="30" ht="38" customHeight="1">
      <x:c r="A30" s="478" t="str">
        <x:v>Human-controlled mapping</x:v>
      </x:c>
      <x:c r="B30" s="478"/>
      <x:c r="C30" s="478" t="str">
        <x:v>Event-to-WO ownership, duplicate resolution, mapping holds</x:v>
      </x:c>
      <x:c r="D30" s="478"/>
      <x:c r="E30" s="478" t="str">
        <x:v>Blocked from automatic repair</x:v>
      </x:c>
      <x:c r="F30" s="478"/>
      <x:c r="G30" s="478" t="str">
        <x:v>Verified chronology + human review</x:v>
      </x:c>
      <x:c r="H30" s="478"/>
    </x:row>
    <x:row r="31" ht="38" customHeight="1">
      <x:c r="A31" s="473" t="str">
        <x:v>Advisory status</x:v>
      </x:c>
      <x:c r="B31" s="473"/>
      <x:c r="C31" s="473" t="str">
        <x:v>Pending breakdown, pending ACH, variance, partial breakdown</x:v>
      </x:c>
      <x:c r="D31" s="473"/>
      <x:c r="E31" s="473" t="str">
        <x:v>Remains visible until evidence changes the record</x:v>
      </x:c>
      <x:c r="F31" s="473"/>
      <x:c r="G31" s="473" t="str">
        <x:v>Exception engine</x:v>
      </x:c>
      <x:c r="H31" s="473"/>
    </x:row>
    <x:row r="34">
      <x:c r="A34" s="436" t="str">
        <x:v>3G Operating Policy</x:v>
      </x:c>
      <x:c r="B34" s="436"/>
      <x:c r="C34" s="436"/>
      <x:c r="D34" s="436"/>
      <x:c r="E34" s="436"/>
      <x:c r="F34" s="436"/>
      <x:c r="G34" s="436"/>
      <x:c r="H34" s="436"/>
    </x:row>
    <x:row r="35" ht="30" customHeight="1">
      <x:c r="A35" s="440" t="str">
        <x:v>Automatic repair is permitted only when the correct value is mathematically deterministic from authoritative fields.</x:v>
      </x:c>
      <x:c r="B35" s="440"/>
      <x:c r="C35" s="440"/>
      <x:c r="D35" s="440"/>
      <x:c r="E35" s="440"/>
      <x:c r="F35" s="440"/>
      <x:c r="G35" s="440"/>
      <x:c r="H35" s="440"/>
    </x:row>
    <x:row r="36" ht="30" customHeight="1">
      <x:c r="A36" s="443" t="str">
        <x:v>No self-healing rule may invent chronology, client identity, work-order ownership, payment amounts, dates, or evidence.</x:v>
      </x:c>
      <x:c r="B36" s="443"/>
      <x:c r="C36" s="443"/>
      <x:c r="D36" s="443"/>
      <x:c r="E36" s="443"/>
      <x:c r="F36" s="443"/>
      <x:c r="G36" s="443"/>
      <x:c r="H36" s="443"/>
    </x:row>
    <x:row r="37" ht="30" customHeight="1">
      <x:c r="A37" s="440" t="str">
        <x:v>Business exceptions remain open until new authoritative evidence is entered; formatting or formulas never mark them paid.</x:v>
      </x:c>
      <x:c r="B37" s="440"/>
      <x:c r="C37" s="440"/>
      <x:c r="D37" s="440"/>
      <x:c r="E37" s="440"/>
      <x:c r="F37" s="440"/>
      <x:c r="G37" s="440"/>
      <x:c r="H37" s="440"/>
    </x:row>
    <x:row r="38" ht="30" customHeight="1">
      <x:c r="A38" s="443" t="str">
        <x:v>Phase 3H remains the enforcement layer. Phase 3G repairs safe fields; Phase 3H stops unsafe or contradictory updates.</x:v>
      </x:c>
      <x:c r="B38" s="443"/>
      <x:c r="C38" s="443"/>
      <x:c r="D38" s="443"/>
      <x:c r="E38" s="443"/>
      <x:c r="F38" s="443"/>
      <x:c r="G38" s="443"/>
      <x:c r="H38" s="443"/>
    </x:row>
    <x:row r="40">
      <x:c r="A40" t="str">
        <x:v>Month 4 Conversation Control Rules</x:v>
      </x:c>
      <x:c r="B40"/>
      <x:c r="C40"/>
      <x:c r="D40"/>
      <x:c r="E40"/>
      <x:c r="F40"/>
      <x:c r="G40"/>
      <x:c r="H40"/>
    </x:row>
    <x:row r="41">
      <x:c r="A41" t="str">
        <x:v>Rule ID</x:v>
      </x:c>
      <x:c r="B41" t="str">
        <x:v>Mode</x:v>
      </x:c>
      <x:c r="C41" t="str">
        <x:v>Scope</x:v>
      </x:c>
      <x:c r="D41" t="str">
        <x:v>Managed Field / Control</x:v>
      </x:c>
      <x:c r="E41" t="str">
        <x:v>Required Logic</x:v>
      </x:c>
      <x:c r="F41" t="str">
        <x:v>Current Exceptions</x:v>
      </x:c>
      <x:c r="G41" t="str">
        <x:v>Status</x:v>
      </x:c>
      <x:c r="H41" t="str">
        <x:v>Protection Boundary</x:v>
      </x:c>
    </x:row>
    <x:row r="42">
      <x:c r="A42" t="str">
        <x:v>M01</x:v>
      </x:c>
      <x:c r="B42" t="str">
        <x:v>BLOCK</x:v>
      </x:c>
      <x:c r="C42" t="str">
        <x:v>Conversation Initialization</x:v>
      </x:c>
      <x:c r="D42" t="str">
        <x:v>BARRISTER CONTROL CHECK</x:v>
      </x:c>
      <x:c r="E42" t="str">
        <x:v>Open and verify the supplied authoritative workbook; report filename, highest Event, confirmed revenue, and open exceptions before operational work.</x:v>
      </x:c>
      <x:c r="F42" t="n">
        <x:v>0</x:v>
      </x:c>
      <x:c r="G42" t="str">
        <x:v>ACTIVE</x:v>
      </x:c>
      <x:c r="H42" t="str">
        <x:v>Never substitute memory or stale summaries</x:v>
      </x:c>
    </x:row>
    <x:row r="43">
      <x:c r="A43" t="str">
        <x:v>M02</x:v>
      </x:c>
      <x:c r="B43" t="str">
        <x:v>COMMAND</x:v>
      </x:c>
      <x:c r="C43" t="str">
        <x:v>Gmail Financial Reconciliation</x:v>
      </x:c>
      <x:c r="D43" t="str">
        <x:v>DELTA UPDATE</x:v>
      </x:c>
      <x:c r="E43" t="str">
        <x:v>Search Gmail only for ACHs, deposits, payment breakdowns, and deductions; map each delta to the correct WO and Event.</x:v>
      </x:c>
      <x:c r="F43" t="n">
        <x:v>0</x:v>
      </x:c>
      <x:c r="G43" t="str">
        <x:v>ACTIVE</x:v>
      </x:c>
      <x:c r="H43" t="str">
        <x:v>Never search unrelated systems or redefine the command</x:v>
      </x:c>
    </x:row>
    <x:row r="44">
      <x:c r="A44" t="str">
        <x:v>M03</x:v>
      </x:c>
      <x:c r="B44" t="str">
        <x:v>BLOCK</x:v>
      </x:c>
      <x:c r="C44" t="str">
        <x:v>Chronology</x:v>
      </x:c>
      <x:c r="D44" t="str">
        <x:v>Event creation</x:v>
      </x:c>
      <x:c r="E44" t="str">
        <x:v>One physical site visit equals one Event; completion requires user-authoritative evidence; never skip, merge, or invent Event numbers.</x:v>
      </x:c>
      <x:c r="F44" t="n">
        <x:v>0</x:v>
      </x:c>
      <x:c r="G44" t="str">
        <x:v>ACTIVE</x:v>
      </x:c>
      <x:c r="H44" t="str">
        <x:v>Chronology remains human-controlled</x:v>
      </x:c>
    </x:row>
    <x:row r="45">
      <x:c r="A45" t="str">
        <x:v>M04</x:v>
      </x:c>
      <x:c r="B45" t="str">
        <x:v>BLOCK</x:v>
      </x:c>
      <x:c r="C45" t="str">
        <x:v>Financial Status</x:v>
      </x:c>
      <x:c r="D45" t="str">
        <x:v>Payment confirmation</x:v>
      </x:c>
      <x:c r="E45" t="str">
        <x:v>Promised rates, ticket closure, and estimates do not equal confirmed payment. Keep breakdown and ACH states unresolved until evidence exists.</x:v>
      </x:c>
      <x:c r="F45" t="n">
        <x:v>0</x:v>
      </x:c>
      <x:c r="G45" t="str">
        <x:v>ACTIVE</x:v>
      </x:c>
      <x:c r="H45" t="str">
        <x:v>Never invent financial facts</x:v>
      </x:c>
    </x:row>
  </x:sheetData>
  <x:mergeCells>
    <x:mergeCell ref="A1:H1"/>
    <x:mergeCell ref="A3:H3"/>
    <x:mergeCell ref="A6:B6"/>
    <x:mergeCell ref="C6:D6"/>
    <x:mergeCell ref="E6:F6"/>
    <x:mergeCell ref="G6:H6"/>
    <x:mergeCell ref="A9:H9"/>
    <x:mergeCell ref="A25:H25"/>
    <x:mergeCell ref="A34:H34"/>
    <x:mergeCell ref="A35:H35"/>
    <x:mergeCell ref="A36:H36"/>
    <x:mergeCell ref="A37:H37"/>
    <x:mergeCell ref="A38:H38"/>
    <x:mergeCell ref="A26:B26"/>
    <x:mergeCell ref="C26:D26"/>
    <x:mergeCell ref="E26:F26"/>
    <x:mergeCell ref="G26:H26"/>
    <x:mergeCell ref="A27:B27"/>
    <x:mergeCell ref="C27:D27"/>
    <x:mergeCell ref="E27:F27"/>
    <x:mergeCell ref="G27:H27"/>
    <x:mergeCell ref="A28:B28"/>
    <x:mergeCell ref="C28:D28"/>
    <x:mergeCell ref="E28:F28"/>
    <x:mergeCell ref="G28:H28"/>
    <x:mergeCell ref="A29:B29"/>
    <x:mergeCell ref="C29:D29"/>
    <x:mergeCell ref="E29:F29"/>
    <x:mergeCell ref="G29:H29"/>
    <x:mergeCell ref="A30:B30"/>
    <x:mergeCell ref="C30:D30"/>
    <x:mergeCell ref="E30:F30"/>
    <x:mergeCell ref="G30:H30"/>
    <x:mergeCell ref="A31:B31"/>
    <x:mergeCell ref="C31:D31"/>
    <x:mergeCell ref="E31:F31"/>
    <x:mergeCell ref="G31:H31"/>
  </x:mergeCells>
  <x:conditionalFormatting sqref="G11:G22">
    <x:cfRule type="expression" dxfId="136" priority="1">
      <x:formula>OR(G11="ACTIVE",G11="PASS",G11="CLEAR")</x:formula>
    </x:cfRule>
    <x:cfRule type="expression" dxfId="137" priority="2">
      <x:formula>G11="MONITORED"</x:formula>
    </x:cfRule>
    <x:cfRule type="expression" dxfId="138" priority="3">
      <x:formula>OR(G11="REVIEW",G11="QUARANTINED")</x:formula>
    </x:cfRule>
  </x:conditionalFormatting>
  <x:conditionalFormatting sqref="F11:F22">
    <x:cfRule type="expression" dxfId="139" priority="4">
      <x:formula>F11=0</x:formula>
    </x:cfRule>
    <x:cfRule type="expression" dxfId="140" priority="5">
      <x:formula>F11&gt;0</x:formula>
    </x:cfRule>
  </x:conditionalFormatting>
  <x:pageMargins left="0.7" right="0.7" top="0.75" bottom="0.75" header="0.3" footer="0.3"/>
  <x:tableParts count="1">
    <x:tablePart xmlns:r="http://schemas.openxmlformats.org/officeDocument/2006/relationships" r:id="Rd4c1c9f4ef4347dc"/>
  </x:tableParts>
</x:worksheet>
</file>

<file path=xl/worksheets/sheet8.xml><?xml version="1.0" encoding="utf-8"?>
<x:worksheet xmlns:x="http://schemas.openxmlformats.org/spreadsheetml/2006/main">
  <x:sheetFormatPr defaultRowHeight="15"/>
  <x:cols>
    <x:col min="1" max="1" width="30" hidden="0" customWidth="1"/>
    <x:col min="2" max="2" width="16" hidden="0" customWidth="1"/>
    <x:col min="3" max="3" width="24" hidden="0" customWidth="1"/>
    <x:col min="4" max="4" width="22" hidden="0" customWidth="1"/>
    <x:col min="5" max="5" width="12" hidden="0" customWidth="1"/>
    <x:col min="6" max="6" width="14" hidden="0" customWidth="1"/>
    <x:col min="7" max="7" width="34" hidden="0" customWidth="1"/>
    <x:col min="8" max="8" width="18" hidden="0" customWidth="1"/>
    <x:col min="9" max="9" width="28" hidden="0" customWidth="1"/>
    <x:col min="10" max="10" width="16" hidden="0" customWidth="1"/>
    <x:col min="11" max="11" width="18" hidden="0" customWidth="1"/>
    <x:col min="12" max="12" width="14" hidden="0" customWidth="1"/>
    <x:col min="13" max="13" width="18" hidden="0" customWidth="1"/>
    <x:col min="14" max="14" width="18" hidden="0" customWidth="1"/>
  </x:cols>
  <x:sheetData>
    <x:row r="1" ht="30" customHeight="1">
      <x:c r="A1" s="493" t="str">
        <x:v>BARRISTER CAREER ANALYTICS | AGENT EINI</x:v>
      </x:c>
      <x:c r="B1" s="493"/>
      <x:c r="C1" s="493"/>
      <x:c r="D1" s="493"/>
      <x:c r="E1" s="493"/>
      <x:c r="F1" s="493"/>
      <x:c r="G1" s="493"/>
      <x:c r="H1" s="493"/>
      <x:c r="I1" s="493"/>
      <x:c r="J1" s="493"/>
      <x:c r="K1" s="493"/>
      <x:c r="L1" s="493"/>
      <x:c r="M1" s="493"/>
      <x:c r="N1" s="493"/>
    </x:row>
    <x:row r="2" ht="30" customHeight="1">
      <x:c r="A2" s="493"/>
      <x:c r="B2" s="493"/>
      <x:c r="C2" s="493"/>
      <x:c r="D2" s="493"/>
      <x:c r="E2" s="493"/>
      <x:c r="F2" s="493"/>
      <x:c r="G2" s="493"/>
      <x:c r="H2" s="493"/>
      <x:c r="I2" s="493"/>
      <x:c r="J2" s="493"/>
      <x:c r="K2" s="493"/>
      <x:c r="L2" s="493"/>
      <x:c r="M2" s="493"/>
      <x:c r="N2" s="493"/>
    </x:row>
    <x:row r="3">
      <x:c r="A3" s="496" t="str">
        <x:v>Authoritative career snapshot through 2026-07-17 | Event #72 | Payment breakdowns treated as earned revenue for analytics</x:v>
      </x:c>
      <x:c r="B3" s="496"/>
      <x:c r="C3" s="496"/>
      <x:c r="D3" s="496"/>
      <x:c r="E3" s="496"/>
      <x:c r="F3" s="496"/>
      <x:c r="G3" s="496"/>
      <x:c r="H3" s="496"/>
      <x:c r="I3" s="496"/>
      <x:c r="J3" s="496"/>
      <x:c r="K3" s="496"/>
      <x:c r="L3" s="496"/>
      <x:c r="M3" s="496"/>
      <x:c r="N3" s="496"/>
    </x:row>
    <x:row r="4">
      <x:c r="A4" s="490"/>
      <x:c r="B4" s="490"/>
      <x:c r="C4" s="490"/>
      <x:c r="D4" s="490"/>
      <x:c r="E4" s="490"/>
      <x:c r="F4" s="490"/>
      <x:c r="G4" s="490"/>
      <x:c r="H4" s="490"/>
      <x:c r="I4" s="490"/>
      <x:c r="J4" s="490"/>
      <x:c r="K4" s="490"/>
      <x:c r="L4" s="490"/>
      <x:c r="M4" s="490"/>
      <x:c r="N4" s="490"/>
    </x:row>
    <x:row r="5">
      <x:c r="A5" s="499" t="str">
        <x:v>BARRISTER BASEBALL CARD</x:v>
      </x:c>
      <x:c r="B5" s="499"/>
      <x:c r="C5" s="499"/>
      <x:c r="D5" s="499"/>
      <x:c r="E5" s="490"/>
      <x:c r="F5" s="499" t="str">
        <x:v>THE 12 CAREER METRICS</x:v>
      </x:c>
      <x:c r="G5" s="499"/>
      <x:c r="H5" s="499"/>
      <x:c r="I5" s="499"/>
      <x:c r="J5" s="499"/>
      <x:c r="K5" s="499"/>
      <x:c r="L5" s="499"/>
      <x:c r="M5" s="499"/>
      <x:c r="N5" s="499"/>
    </x:row>
    <x:row r="6">
      <x:c r="A6" s="501" t="str">
        <x:v>Career Events</x:v>
      </x:c>
      <x:c r="B6" s="502" t="n">
        <x:v>72</x:v>
      </x:c>
      <x:c r="C6" s="501" t="str">
        <x:v>Career Revenue</x:v>
      </x:c>
      <x:c r="D6" s="503" t="n">
        <x:v>7584.55</x:v>
      </x:c>
      <x:c r="E6" s="490"/>
      <x:c r="F6" s="510" t="n">
        <x:v>1</x:v>
      </x:c>
      <x:c r="G6" s="501" t="str">
        <x:v>Longest Business-Day Streak</x:v>
      </x:c>
      <x:c r="H6" s="511" t="n">
        <x:v>11</x:v>
      </x:c>
      <x:c r="I6" s="512" t="str">
        <x:v>Current: 5</x:v>
      </x:c>
      <x:c r="J6" s="490"/>
      <x:c r="K6" s="490"/>
      <x:c r="L6" s="490"/>
      <x:c r="M6" s="490"/>
      <x:c r="N6" s="490"/>
    </x:row>
    <x:row r="7">
      <x:c r="A7" s="501" t="str">
        <x:v>Unique Clients</x:v>
      </x:c>
      <x:c r="B7" s="502" t="n">
        <x:v>29</x:v>
      </x:c>
      <x:c r="C7" s="501" t="str">
        <x:v>Worked Days</x:v>
      </x:c>
      <x:c r="D7" s="502" t="n">
        <x:v>49</x:v>
      </x:c>
      <x:c r="E7" s="490"/>
      <x:c r="F7" s="510" t="n">
        <x:v>2</x:v>
      </x:c>
      <x:c r="G7" s="501" t="str">
        <x:v>Most Events / Rolling 3 Days</x:v>
      </x:c>
      <x:c r="H7" s="511" t="n">
        <x:v>7</x:v>
      </x:c>
      <x:c r="I7" s="512" t="str">
        <x:v>2026-06-09 to 2026-06-11</x:v>
      </x:c>
      <x:c r="J7" s="490"/>
      <x:c r="K7" s="490"/>
      <x:c r="L7" s="490"/>
      <x:c r="M7" s="490"/>
      <x:c r="N7" s="490"/>
    </x:row>
    <x:row r="8">
      <x:c r="A8" s="501" t="str">
        <x:v>Jurisdictions</x:v>
      </x:c>
      <x:c r="B8" s="502" t="n">
        <x:v>5</x:v>
      </x:c>
      <x:c r="C8" s="501" t="str">
        <x:v>Work Orders</x:v>
      </x:c>
      <x:c r="D8" s="502" t="n">
        <x:v>73</x:v>
      </x:c>
      <x:c r="E8" s="490"/>
      <x:c r="F8" s="510" t="n">
        <x:v>3</x:v>
      </x:c>
      <x:c r="G8" s="501" t="str">
        <x:v>Most Events / Rolling 7 Days</x:v>
      </x:c>
      <x:c r="H8" s="511" t="n">
        <x:v>11</x:v>
      </x:c>
      <x:c r="I8" s="512" t="str">
        <x:v>2026-06-05 to 2026-06-11</x:v>
      </x:c>
      <x:c r="J8" s="490"/>
      <x:c r="K8" s="490"/>
      <x:c r="L8" s="490"/>
      <x:c r="M8" s="490"/>
      <x:c r="N8" s="490"/>
    </x:row>
    <x:row r="9">
      <x:c r="A9" s="501" t="str">
        <x:v>Longest B-Day Streak</x:v>
      </x:c>
      <x:c r="B9" s="502" t="n">
        <x:v>11</x:v>
      </x:c>
      <x:c r="C9" s="501" t="str">
        <x:v>Current Streak</x:v>
      </x:c>
      <x:c r="D9" s="502" t="n">
        <x:v>5</x:v>
      </x:c>
      <x:c r="E9" s="490"/>
      <x:c r="F9" s="510" t="n">
        <x:v>4</x:v>
      </x:c>
      <x:c r="G9" s="501" t="str">
        <x:v>Highest-Grossing Workweek</x:v>
      </x:c>
      <x:c r="H9" s="513" t="n">
        <x:v>1221.6599999999999</x:v>
      </x:c>
      <x:c r="I9" s="512" t="str">
        <x:v>Workweek 7</x:v>
      </x:c>
      <x:c r="J9" s="490"/>
      <x:c r="K9" s="490"/>
      <x:c r="L9" s="490"/>
      <x:c r="M9" s="490"/>
      <x:c r="N9" s="490"/>
    </x:row>
    <x:row r="10">
      <x:c r="A10" s="501" t="str">
        <x:v>Career Avg / Paid Event</x:v>
      </x:c>
      <x:c r="B10" s="503" t="n">
        <x:v>128.55169491525425</x:v>
      </x:c>
      <x:c r="C10" s="501" t="str">
        <x:v>MVP Client</x:v>
      </x:c>
      <x:c r="D10" s="502" t="str">
        <x:v>USDA</x:v>
      </x:c>
      <x:c r="E10" s="490"/>
      <x:c r="F10" s="510" t="n">
        <x:v>5</x:v>
      </x:c>
      <x:c r="G10" s="501" t="str">
        <x:v>Highest-Grossing Workday</x:v>
      </x:c>
      <x:c r="H10" s="513" t="n">
        <x:v>390</x:v>
      </x:c>
      <x:c r="I10" s="512" t="str">
        <x:v>2026-06-10</x:v>
      </x:c>
      <x:c r="J10" s="490"/>
      <x:c r="K10" s="490"/>
      <x:c r="L10" s="490"/>
      <x:c r="M10" s="490"/>
      <x:c r="N10" s="490"/>
    </x:row>
    <x:row r="11">
      <x:c r="A11" s="501" t="str">
        <x:v>Career Grade</x:v>
      </x:c>
      <x:c r="B11" s="502" t="str">
        <x:v>B</x:v>
      </x:c>
      <x:c r="C11" s="501" t="str">
        <x:v>Overall Score</x:v>
      </x:c>
      <x:c r="D11" s="504" t="n">
        <x:v>0.8180011367880486</x:v>
      </x:c>
      <x:c r="E11" s="490"/>
      <x:c r="F11" s="510" t="n">
        <x:v>6</x:v>
      </x:c>
      <x:c r="G11" s="501" t="str">
        <x:v>Average Revenue / Paid Event</x:v>
      </x:c>
      <x:c r="H11" s="513" t="n">
        <x:v>128.55169491525425</x:v>
      </x:c>
      <x:c r="I11" s="512" t="str">
        <x:v>Confirmed breakdown basis</x:v>
      </x:c>
      <x:c r="J11" s="490"/>
      <x:c r="K11" s="490"/>
      <x:c r="L11" s="490"/>
      <x:c r="M11" s="490"/>
      <x:c r="N11" s="490"/>
    </x:row>
    <x:row r="12">
      <x:c r="A12" s="490"/>
      <x:c r="B12" s="490"/>
      <x:c r="C12" s="490"/>
      <x:c r="D12" s="490"/>
      <x:c r="E12" s="490"/>
      <x:c r="F12" s="510" t="n">
        <x:v>7</x:v>
      </x:c>
      <x:c r="G12" s="501" t="str">
        <x:v>Unique Clients</x:v>
      </x:c>
      <x:c r="H12" s="511" t="n">
        <x:v>29</x:v>
      </x:c>
      <x:c r="I12" s="512" t="str">
        <x:v>19 repeat clients</x:v>
      </x:c>
      <x:c r="J12" s="490"/>
      <x:c r="K12" s="490"/>
      <x:c r="L12" s="490"/>
      <x:c r="M12" s="490"/>
      <x:c r="N12" s="490"/>
    </x:row>
    <x:row r="13">
      <x:c r="A13" s="490"/>
      <x:c r="B13" s="490"/>
      <x:c r="C13" s="490"/>
      <x:c r="D13" s="490"/>
      <x:c r="E13" s="490"/>
      <x:c r="F13" s="510" t="n">
        <x:v>8</x:v>
      </x:c>
      <x:c r="G13" s="501" t="str">
        <x:v>Repeat Client Rate</x:v>
      </x:c>
      <x:c r="H13" s="514" t="n">
        <x:v>0.6551724137931034</x:v>
      </x:c>
      <x:c r="I13" s="512" t="str">
        <x:v>10 one-time clients</x:v>
      </x:c>
      <x:c r="J13" s="490"/>
      <x:c r="K13" s="490"/>
      <x:c r="L13" s="490"/>
      <x:c r="M13" s="490"/>
      <x:c r="N13" s="490"/>
    </x:row>
    <x:row r="14">
      <x:c r="A14" s="490"/>
      <x:c r="B14" s="490"/>
      <x:c r="C14" s="490"/>
      <x:c r="D14" s="490"/>
      <x:c r="E14" s="490"/>
      <x:c r="F14" s="510" t="n">
        <x:v>9</x:v>
      </x:c>
      <x:c r="G14" s="501" t="str">
        <x:v>Territory Footprint</x:v>
      </x:c>
      <x:c r="H14" s="511" t="n">
        <x:v>5</x:v>
      </x:c>
      <x:c r="I14" s="512" t="str">
        <x:v>DC, MD, PA, VA, WV</x:v>
      </x:c>
      <x:c r="J14" s="490"/>
      <x:c r="K14" s="490"/>
      <x:c r="L14" s="490"/>
      <x:c r="M14" s="490"/>
      <x:c r="N14" s="490"/>
    </x:row>
    <x:row r="15">
      <x:c r="A15" s="490"/>
      <x:c r="B15" s="490"/>
      <x:c r="C15" s="490"/>
      <x:c r="D15" s="490"/>
      <x:c r="E15" s="490"/>
      <x:c r="F15" s="510" t="n">
        <x:v>10</x:v>
      </x:c>
      <x:c r="G15" s="501" t="str">
        <x:v>Career MVP Client</x:v>
      </x:c>
      <x:c r="H15" s="511" t="str">
        <x:v>USDA</x:v>
      </x:c>
      <x:c r="I15" s="512" t="str">
        <x:v>$1,355.00 | 6 Events</x:v>
      </x:c>
      <x:c r="J15" s="490"/>
      <x:c r="K15" s="490"/>
      <x:c r="L15" s="490"/>
      <x:c r="M15" s="490"/>
      <x:c r="N15" s="490"/>
    </x:row>
    <x:row r="16">
      <x:c r="A16" s="490"/>
      <x:c r="B16" s="490"/>
      <x:c r="C16" s="490"/>
      <x:c r="D16" s="490"/>
      <x:c r="E16" s="490"/>
      <x:c r="F16" s="510" t="n">
        <x:v>11</x:v>
      </x:c>
      <x:c r="G16" s="501" t="str">
        <x:v>Career High-Water Marks</x:v>
      </x:c>
      <x:c r="H16" s="511" t="str">
        <x:v>72 / $7,584.55</x:v>
      </x:c>
      <x:c r="I16" s="512" t="str">
        <x:v>29 clients | 49 days</x:v>
      </x:c>
      <x:c r="J16" s="490"/>
      <x:c r="K16" s="490"/>
      <x:c r="L16" s="490"/>
      <x:c r="M16" s="490"/>
      <x:c r="N16" s="490"/>
    </x:row>
    <x:row r="17">
      <x:c r="A17" s="490"/>
      <x:c r="B17" s="490"/>
      <x:c r="C17" s="490"/>
      <x:c r="D17" s="490"/>
      <x:c r="E17" s="490"/>
      <x:c r="F17" s="510" t="n">
        <x:v>12</x:v>
      </x:c>
      <x:c r="G17" s="501" t="str">
        <x:v>Iron Man Index</x:v>
      </x:c>
      <x:c r="H17" s="514" t="n">
        <x:v>0.7333333333333333</x:v>
      </x:c>
      <x:c r="I17" s="512" t="str">
        <x:v>Career-best streak ÷ 15-day benchmark</x:v>
      </x:c>
      <x:c r="J17" s="490"/>
      <x:c r="K17" s="490"/>
      <x:c r="L17" s="490"/>
      <x:c r="M17" s="490"/>
      <x:c r="N17" s="490"/>
    </x:row>
    <x:row r="18">
      <x:c r="A18" s="490"/>
      <x:c r="B18" s="490"/>
      <x:c r="C18" s="490"/>
      <x:c r="D18" s="490"/>
      <x:c r="E18" s="490"/>
      <x:c r="F18" s="490"/>
      <x:c r="G18" s="490"/>
      <x:c r="H18" s="490"/>
      <x:c r="I18" s="490"/>
      <x:c r="J18" s="490"/>
      <x:c r="K18" s="490"/>
      <x:c r="L18" s="490"/>
      <x:c r="M18" s="490"/>
      <x:c r="N18" s="490"/>
    </x:row>
    <x:row r="19">
      <x:c r="A19" s="516" t="str">
        <x:v>STREAKS &amp; PRODUCTION RECORDS</x:v>
      </x:c>
      <x:c r="B19" s="516"/>
      <x:c r="C19" s="516"/>
      <x:c r="D19" s="516"/>
      <x:c r="E19" s="516"/>
      <x:c r="F19" s="516"/>
      <x:c r="G19" s="516"/>
      <x:c r="H19" s="516"/>
      <x:c r="I19" s="516"/>
      <x:c r="J19" s="516"/>
      <x:c r="K19" s="516"/>
      <x:c r="L19" s="516"/>
      <x:c r="M19" s="516"/>
      <x:c r="N19" s="516"/>
    </x:row>
    <x:row r="20">
      <x:c r="A20" s="517" t="str">
        <x:v>Record</x:v>
      </x:c>
      <x:c r="B20" s="517" t="str">
        <x:v>Value</x:v>
      </x:c>
      <x:c r="C20" s="517" t="str">
        <x:v>Record Window / Definition</x:v>
      </x:c>
      <x:c r="D20" s="490"/>
      <x:c r="E20" s="490"/>
      <x:c r="F20" s="490"/>
      <x:c r="G20" s="490"/>
      <x:c r="H20" s="490"/>
      <x:c r="I20" s="490"/>
      <x:c r="J20" s="490"/>
      <x:c r="K20" s="490"/>
      <x:c r="L20" s="490"/>
      <x:c r="M20" s="490"/>
      <x:c r="N20" s="490"/>
    </x:row>
    <x:row r="21">
      <x:c r="A21" s="501" t="str">
        <x:v>Longest business-day streak</x:v>
      </x:c>
      <x:c r="B21" s="502" t="n">
        <x:v>11</x:v>
      </x:c>
      <x:c r="C21" s="500" t="str">
        <x:v>Weekends skipped; workbook service dates only</x:v>
      </x:c>
      <x:c r="D21" s="490"/>
      <x:c r="E21" s="490"/>
      <x:c r="F21" s="490"/>
      <x:c r="G21" s="490"/>
      <x:c r="H21" s="490"/>
      <x:c r="I21" s="490"/>
      <x:c r="J21" s="490"/>
      <x:c r="K21" s="490"/>
      <x:c r="L21" s="490"/>
      <x:c r="M21" s="490"/>
      <x:c r="N21" s="490"/>
    </x:row>
    <x:row r="22">
      <x:c r="A22" s="501" t="str">
        <x:v>Current business-day streak</x:v>
      </x:c>
      <x:c r="B22" s="502" t="n">
        <x:v>5</x:v>
      </x:c>
      <x:c r="C22" s="500" t="str">
        <x:v>Ending 2026-07-17</x:v>
      </x:c>
      <x:c r="D22" s="490"/>
      <x:c r="E22" s="490"/>
      <x:c r="F22" s="490"/>
      <x:c r="G22" s="490"/>
      <x:c r="H22" s="490"/>
      <x:c r="I22" s="490"/>
      <x:c r="J22" s="490"/>
      <x:c r="K22" s="490"/>
      <x:c r="L22" s="490"/>
      <x:c r="M22" s="490"/>
      <x:c r="N22" s="490"/>
    </x:row>
    <x:row r="23">
      <x:c r="A23" s="501" t="str">
        <x:v>Longest calendar-day streak</x:v>
      </x:c>
      <x:c r="B23" s="502" t="n">
        <x:v>5</x:v>
      </x:c>
      <x:c r="C23" s="500" t="str">
        <x:v>Consecutive calendar dates worked</x:v>
      </x:c>
      <x:c r="D23" s="490"/>
      <x:c r="E23" s="490"/>
      <x:c r="F23" s="490"/>
      <x:c r="G23" s="490"/>
      <x:c r="H23" s="490"/>
      <x:c r="I23" s="490"/>
      <x:c r="J23" s="490"/>
      <x:c r="K23" s="490"/>
      <x:c r="L23" s="490"/>
      <x:c r="M23" s="490"/>
      <x:c r="N23" s="490"/>
    </x:row>
    <x:row r="24">
      <x:c r="A24" s="501" t="str">
        <x:v>Longest revenue streak</x:v>
      </x:c>
      <x:c r="B24" s="502" t="n">
        <x:v>11</x:v>
      </x:c>
      <x:c r="C24" s="500" t="str">
        <x:v>Consecutive business workdays with confirmed revenue</x:v>
      </x:c>
      <x:c r="D24" s="490"/>
      <x:c r="E24" s="490"/>
      <x:c r="F24" s="490"/>
      <x:c r="G24" s="490"/>
      <x:c r="H24" s="490"/>
      <x:c r="I24" s="490"/>
      <x:c r="J24" s="490"/>
      <x:c r="K24" s="490"/>
      <x:c r="L24" s="490"/>
      <x:c r="M24" s="490"/>
      <x:c r="N24" s="490"/>
    </x:row>
    <x:row r="25">
      <x:c r="A25" s="501" t="str">
        <x:v>Most consecutive paid Events</x:v>
      </x:c>
      <x:c r="B25" s="502" t="n">
        <x:v>34</x:v>
      </x:c>
      <x:c r="C25" s="500" t="str">
        <x:v>Event-number sequence with positive confirmed revenue</x:v>
      </x:c>
      <x:c r="D25" s="490"/>
      <x:c r="E25" s="490"/>
      <x:c r="F25" s="490"/>
      <x:c r="G25" s="490"/>
      <x:c r="H25" s="490"/>
      <x:c r="I25" s="490"/>
      <x:c r="J25" s="490"/>
      <x:c r="K25" s="490"/>
      <x:c r="L25" s="490"/>
      <x:c r="M25" s="490"/>
      <x:c r="N25" s="490"/>
    </x:row>
    <x:row r="26">
      <x:c r="A26" s="501" t="str">
        <x:v>Most Events in one day</x:v>
      </x:c>
      <x:c r="B26" s="502" t="n">
        <x:v>3</x:v>
      </x:c>
      <x:c r="C26" s="500" t="str">
        <x:v>2026-06-10</x:v>
      </x:c>
      <x:c r="D26" s="490"/>
      <x:c r="E26" s="490"/>
      <x:c r="F26" s="490"/>
      <x:c r="G26" s="490"/>
      <x:c r="H26" s="490"/>
      <x:c r="I26" s="490"/>
      <x:c r="J26" s="490"/>
      <x:c r="K26" s="490"/>
      <x:c r="L26" s="490"/>
      <x:c r="M26" s="490"/>
      <x:c r="N26" s="490"/>
    </x:row>
    <x:row r="27">
      <x:c r="A27" s="501" t="str">
        <x:v>Most Events in rolling 3 days</x:v>
      </x:c>
      <x:c r="B27" s="502" t="n">
        <x:v>7</x:v>
      </x:c>
      <x:c r="C27" s="500" t="str">
        <x:v>2026-06-09 to 2026-06-11</x:v>
      </x:c>
      <x:c r="D27" s="490"/>
      <x:c r="E27" s="490"/>
      <x:c r="F27" s="490"/>
      <x:c r="G27" s="490"/>
      <x:c r="H27" s="490"/>
      <x:c r="I27" s="490"/>
      <x:c r="J27" s="490"/>
      <x:c r="K27" s="490"/>
      <x:c r="L27" s="490"/>
      <x:c r="M27" s="490"/>
      <x:c r="N27" s="490"/>
    </x:row>
    <x:row r="28">
      <x:c r="A28" s="501" t="str">
        <x:v>Most Events in rolling 5 days</x:v>
      </x:c>
      <x:c r="B28" s="502" t="n">
        <x:v>10</x:v>
      </x:c>
      <x:c r="C28" s="500" t="str">
        <x:v>2026-07-13 to 2026-07-17</x:v>
      </x:c>
      <x:c r="D28" s="490"/>
      <x:c r="E28" s="490"/>
      <x:c r="F28" s="490"/>
      <x:c r="G28" s="490"/>
      <x:c r="H28" s="490"/>
      <x:c r="I28" s="490"/>
      <x:c r="J28" s="490"/>
      <x:c r="K28" s="490"/>
      <x:c r="L28" s="490"/>
      <x:c r="M28" s="490"/>
      <x:c r="N28" s="490"/>
    </x:row>
    <x:row r="29">
      <x:c r="A29" s="501" t="str">
        <x:v>Most Events in rolling 7 days</x:v>
      </x:c>
      <x:c r="B29" s="502" t="n">
        <x:v>11</x:v>
      </x:c>
      <x:c r="C29" s="500" t="str">
        <x:v>2026-06-05 to 2026-06-11</x:v>
      </x:c>
      <x:c r="D29" s="490"/>
      <x:c r="E29" s="490"/>
      <x:c r="F29" s="490"/>
      <x:c r="G29" s="490"/>
      <x:c r="H29" s="490"/>
      <x:c r="I29" s="490"/>
      <x:c r="J29" s="490"/>
      <x:c r="K29" s="490"/>
      <x:c r="L29" s="490"/>
      <x:c r="M29" s="490"/>
      <x:c r="N29" s="490"/>
    </x:row>
    <x:row r="30">
      <x:c r="A30" s="501" t="str">
        <x:v>Most Events in one workweek</x:v>
      </x:c>
      <x:c r="B30" s="502" t="n">
        <x:v>10</x:v>
      </x:c>
      <x:c r="C30" s="500" t="str">
        <x:v>Workweek 13</x:v>
      </x:c>
      <x:c r="D30" s="490"/>
      <x:c r="E30" s="490"/>
      <x:c r="F30" s="490"/>
      <x:c r="G30" s="490"/>
      <x:c r="H30" s="490"/>
      <x:c r="I30" s="490"/>
      <x:c r="J30" s="490"/>
      <x:c r="K30" s="490"/>
      <x:c r="L30" s="490"/>
      <x:c r="M30" s="490"/>
      <x:c r="N30" s="490"/>
    </x:row>
    <x:row r="31">
      <x:c r="A31" s="501" t="str">
        <x:v>Most Events in one MY_MONTH</x:v>
      </x:c>
      <x:c r="B31" s="502" t="n">
        <x:v>30</x:v>
      </x:c>
      <x:c r="C31" s="500" t="str">
        <x:v>MY_MONTH 2</x:v>
      </x:c>
      <x:c r="D31" s="490"/>
      <x:c r="E31" s="490"/>
      <x:c r="F31" s="490"/>
      <x:c r="G31" s="490"/>
      <x:c r="H31" s="490"/>
      <x:c r="I31" s="490"/>
      <x:c r="J31" s="490"/>
      <x:c r="K31" s="490"/>
      <x:c r="L31" s="490"/>
      <x:c r="M31" s="490"/>
      <x:c r="N31" s="490"/>
    </x:row>
    <x:row r="32">
      <x:c r="A32" s="490"/>
      <x:c r="B32" s="490"/>
      <x:c r="C32" s="490"/>
      <x:c r="D32" s="490"/>
      <x:c r="E32" s="490"/>
      <x:c r="F32" s="490"/>
      <x:c r="G32" s="490"/>
      <x:c r="H32" s="490"/>
      <x:c r="I32" s="490"/>
      <x:c r="J32" s="490"/>
      <x:c r="K32" s="490"/>
      <x:c r="L32" s="490"/>
      <x:c r="M32" s="490"/>
      <x:c r="N32" s="490"/>
    </x:row>
    <x:row r="33">
      <x:c r="A33" s="516" t="str">
        <x:v>REVENUE RECORDS</x:v>
      </x:c>
      <x:c r="B33" s="516"/>
      <x:c r="C33" s="516"/>
      <x:c r="D33" s="516"/>
      <x:c r="E33" s="516"/>
      <x:c r="F33" s="516"/>
      <x:c r="G33" s="516"/>
      <x:c r="H33" s="516"/>
      <x:c r="I33" s="516"/>
      <x:c r="J33" s="516"/>
      <x:c r="K33" s="516"/>
      <x:c r="L33" s="516"/>
      <x:c r="M33" s="516"/>
      <x:c r="N33" s="516"/>
    </x:row>
    <x:row r="34">
      <x:c r="A34" s="517" t="str">
        <x:v>Record</x:v>
      </x:c>
      <x:c r="B34" s="517" t="str">
        <x:v>Value</x:v>
      </x:c>
      <x:c r="C34" s="517" t="str">
        <x:v>Context</x:v>
      </x:c>
      <x:c r="D34" s="490"/>
      <x:c r="E34" s="490"/>
      <x:c r="F34" s="490"/>
      <x:c r="G34" s="490"/>
      <x:c r="H34" s="490"/>
      <x:c r="I34" s="490"/>
      <x:c r="J34" s="490"/>
      <x:c r="K34" s="490"/>
      <x:c r="L34" s="490"/>
      <x:c r="M34" s="490"/>
      <x:c r="N34" s="490"/>
    </x:row>
    <x:row r="35">
      <x:c r="A35" s="501" t="str">
        <x:v>Career revenue</x:v>
      </x:c>
      <x:c r="B35" s="519" t="n">
        <x:v>7584.55</x:v>
      </x:c>
      <x:c r="C35" s="500" t="str">
        <x:v>Through Event #72</x:v>
      </x:c>
      <x:c r="D35" s="490"/>
      <x:c r="E35" s="490"/>
      <x:c r="F35" s="490"/>
      <x:c r="G35" s="490"/>
      <x:c r="H35" s="490"/>
      <x:c r="I35" s="490"/>
      <x:c r="J35" s="490"/>
      <x:c r="K35" s="490"/>
      <x:c r="L35" s="490"/>
      <x:c r="M35" s="490"/>
      <x:c r="N35" s="490"/>
    </x:row>
    <x:row r="36">
      <x:c r="A36" s="501" t="str">
        <x:v>Highest revenue day</x:v>
      </x:c>
      <x:c r="B36" s="519" t="n">
        <x:v>390</x:v>
      </x:c>
      <x:c r="C36" s="500" t="str">
        <x:v>2026-06-10</x:v>
      </x:c>
      <x:c r="D36" s="490"/>
      <x:c r="E36" s="490"/>
      <x:c r="F36" s="490"/>
      <x:c r="G36" s="490"/>
      <x:c r="H36" s="490"/>
      <x:c r="I36" s="490"/>
      <x:c r="J36" s="490"/>
      <x:c r="K36" s="490"/>
      <x:c r="L36" s="490"/>
      <x:c r="M36" s="490"/>
      <x:c r="N36" s="490"/>
    </x:row>
    <x:row r="37">
      <x:c r="A37" s="501" t="str">
        <x:v>Highest revenue workweek</x:v>
      </x:c>
      <x:c r="B37" s="519" t="n">
        <x:v>1221.6599999999999</x:v>
      </x:c>
      <x:c r="C37" s="500" t="str">
        <x:v>Workweek 7</x:v>
      </x:c>
      <x:c r="D37" s="490"/>
      <x:c r="E37" s="490"/>
      <x:c r="F37" s="490"/>
      <x:c r="G37" s="490"/>
      <x:c r="H37" s="490"/>
      <x:c r="I37" s="490"/>
      <x:c r="J37" s="490"/>
      <x:c r="K37" s="490"/>
      <x:c r="L37" s="490"/>
      <x:c r="M37" s="490"/>
      <x:c r="N37" s="490"/>
    </x:row>
    <x:row r="38">
      <x:c r="A38" s="501" t="str">
        <x:v>Highest revenue MY_MONTH</x:v>
      </x:c>
      <x:c r="B38" s="519" t="n">
        <x:v>3186.3199999999997</x:v>
      </x:c>
      <x:c r="C38" s="500" t="str">
        <x:v>MY_MONTH 2</x:v>
      </x:c>
      <x:c r="D38" s="490"/>
      <x:c r="E38" s="490"/>
      <x:c r="F38" s="490"/>
      <x:c r="G38" s="490"/>
      <x:c r="H38" s="490"/>
      <x:c r="I38" s="490"/>
      <x:c r="J38" s="490"/>
      <x:c r="K38" s="490"/>
      <x:c r="L38" s="490"/>
      <x:c r="M38" s="490"/>
      <x:c r="N38" s="490"/>
    </x:row>
    <x:row r="39">
      <x:c r="A39" s="501" t="str">
        <x:v>Average revenue / paid Event</x:v>
      </x:c>
      <x:c r="B39" s="519" t="n">
        <x:v>128.55169491525425</x:v>
      </x:c>
      <x:c r="C39" s="500" t="str">
        <x:v>Events with confirmed revenue &gt; $0</x:v>
      </x:c>
      <x:c r="D39" s="490"/>
      <x:c r="E39" s="490"/>
      <x:c r="F39" s="490"/>
      <x:c r="G39" s="490"/>
      <x:c r="H39" s="490"/>
      <x:c r="I39" s="490"/>
      <x:c r="J39" s="490"/>
      <x:c r="K39" s="490"/>
      <x:c r="L39" s="490"/>
      <x:c r="M39" s="490"/>
      <x:c r="N39" s="490"/>
    </x:row>
    <x:row r="40">
      <x:c r="A40" s="501" t="str">
        <x:v>Average revenue / worked day</x:v>
      </x:c>
      <x:c r="B40" s="519" t="n">
        <x:v>154.78673469387755</x:v>
      </x:c>
      <x:c r="C40" s="500" t="str">
        <x:v>49 distinct service dates</x:v>
      </x:c>
      <x:c r="D40" s="490"/>
      <x:c r="E40" s="490"/>
      <x:c r="F40" s="490"/>
      <x:c r="G40" s="490"/>
      <x:c r="H40" s="490"/>
      <x:c r="I40" s="490"/>
      <x:c r="J40" s="490"/>
      <x:c r="K40" s="490"/>
      <x:c r="L40" s="490"/>
      <x:c r="M40" s="490"/>
      <x:c r="N40" s="490"/>
    </x:row>
    <x:row r="41">
      <x:c r="A41" s="501" t="str">
        <x:v>Highest-paying client</x:v>
      </x:c>
      <x:c r="B41" s="519" t="n">
        <x:v>1355</x:v>
      </x:c>
      <x:c r="C41" s="500" t="str">
        <x:v>USDA</x:v>
      </x:c>
      <x:c r="D41" s="490"/>
      <x:c r="E41" s="490"/>
      <x:c r="F41" s="490"/>
      <x:c r="G41" s="490"/>
      <x:c r="H41" s="490"/>
      <x:c r="I41" s="490"/>
      <x:c r="J41" s="490"/>
      <x:c r="K41" s="490"/>
      <x:c r="L41" s="490"/>
      <x:c r="M41" s="490"/>
      <x:c r="N41" s="490"/>
    </x:row>
    <x:row r="42">
      <x:c r="A42" s="490"/>
      <x:c r="B42" s="490"/>
      <x:c r="C42" s="490"/>
      <x:c r="D42" s="490"/>
      <x:c r="E42" s="490"/>
      <x:c r="F42" s="490"/>
      <x:c r="G42" s="490"/>
      <x:c r="H42" s="490"/>
      <x:c r="I42" s="490"/>
      <x:c r="J42" s="490"/>
      <x:c r="K42" s="490"/>
      <x:c r="L42" s="490"/>
      <x:c r="M42" s="490"/>
      <x:c r="N42" s="490"/>
    </x:row>
    <x:row r="43">
      <x:c r="A43" s="516" t="str">
        <x:v>CLIENT, TERRITORY &amp; DISPATCH METRICS</x:v>
      </x:c>
      <x:c r="B43" s="516"/>
      <x:c r="C43" s="516"/>
      <x:c r="D43" s="516"/>
      <x:c r="E43" s="516"/>
      <x:c r="F43" s="516"/>
      <x:c r="G43" s="516"/>
      <x:c r="H43" s="516"/>
      <x:c r="I43" s="516"/>
      <x:c r="J43" s="516"/>
      <x:c r="K43" s="516"/>
      <x:c r="L43" s="516"/>
      <x:c r="M43" s="516"/>
      <x:c r="N43" s="516"/>
    </x:row>
    <x:row r="44">
      <x:c r="A44" s="517" t="str">
        <x:v>Metric</x:v>
      </x:c>
      <x:c r="B44" s="517" t="str">
        <x:v>Value</x:v>
      </x:c>
      <x:c r="C44" s="517" t="str">
        <x:v>Detail</x:v>
      </x:c>
      <x:c r="D44" s="517" t="str">
        <x:v>Sector</x:v>
      </x:c>
      <x:c r="E44" s="517" t="str">
        <x:v>Events</x:v>
      </x:c>
      <x:c r="F44" s="517" t="str">
        <x:v>Career Share</x:v>
      </x:c>
      <x:c r="G44" s="517"/>
      <x:c r="H44" s="490"/>
      <x:c r="I44" s="490"/>
      <x:c r="J44" s="490"/>
      <x:c r="K44" s="490"/>
      <x:c r="L44" s="490"/>
      <x:c r="M44" s="490"/>
      <x:c r="N44" s="490"/>
    </x:row>
    <x:row r="45">
      <x:c r="A45" s="501" t="str">
        <x:v>Total clients</x:v>
      </x:c>
      <x:c r="B45" s="500" t="n">
        <x:v>29</x:v>
      </x:c>
      <x:c r="C45" s="500" t="str"/>
      <x:c r="D45" s="500" t="str">
        <x:v>Retail</x:v>
      </x:c>
      <x:c r="E45" s="500" t="n">
        <x:v>45</x:v>
      </x:c>
      <x:c r="F45" s="523" t="n">
        <x:v>0.625</x:v>
      </x:c>
      <x:c r="G45" s="523"/>
      <x:c r="H45" s="490"/>
      <x:c r="I45" s="490"/>
      <x:c r="J45" s="490"/>
      <x:c r="K45" s="490"/>
      <x:c r="L45" s="490"/>
      <x:c r="M45" s="490"/>
      <x:c r="N45" s="490"/>
    </x:row>
    <x:row r="46">
      <x:c r="A46" s="501" t="str">
        <x:v>Repeat clients</x:v>
      </x:c>
      <x:c r="B46" s="500" t="n">
        <x:v>19</x:v>
      </x:c>
      <x:c r="C46" s="500" t="str">
        <x:v>65.5% of clients</x:v>
      </x:c>
      <x:c r="D46" s="500" t="str">
        <x:v>Commercial/Other</x:v>
      </x:c>
      <x:c r="E46" s="500" t="n">
        <x:v>11</x:v>
      </x:c>
      <x:c r="F46" s="523" t="n">
        <x:v>0.1527777777777778</x:v>
      </x:c>
      <x:c r="G46" s="523"/>
      <x:c r="H46" s="490"/>
      <x:c r="I46" s="490"/>
      <x:c r="J46" s="490"/>
      <x:c r="K46" s="490"/>
      <x:c r="L46" s="490"/>
      <x:c r="M46" s="490"/>
      <x:c r="N46" s="490"/>
    </x:row>
    <x:row r="47">
      <x:c r="A47" s="501" t="str">
        <x:v>One-time clients</x:v>
      </x:c>
      <x:c r="B47" s="500" t="n">
        <x:v>10</x:v>
      </x:c>
      <x:c r="C47" s="500" t="str"/>
      <x:c r="D47" s="500" t="str">
        <x:v>Government</x:v>
      </x:c>
      <x:c r="E47" s="500" t="n">
        <x:v>9</x:v>
      </x:c>
      <x:c r="F47" s="523" t="n">
        <x:v>0.125</x:v>
      </x:c>
      <x:c r="G47" s="523"/>
      <x:c r="H47" s="490"/>
      <x:c r="I47" s="490"/>
      <x:c r="J47" s="490"/>
      <x:c r="K47" s="490"/>
      <x:c r="L47" s="490"/>
      <x:c r="M47" s="490"/>
      <x:c r="N47" s="490"/>
    </x:row>
    <x:row r="48">
      <x:c r="A48" s="501" t="str">
        <x:v>Average visits / client</x:v>
      </x:c>
      <x:c r="B48" s="521" t="n">
        <x:v>2.4827586206896552</x:v>
      </x:c>
      <x:c r="C48" s="500" t="str"/>
      <x:c r="D48" s="500" t="str">
        <x:v>Hospitality</x:v>
      </x:c>
      <x:c r="E48" s="500" t="n">
        <x:v>4</x:v>
      </x:c>
      <x:c r="F48" s="523" t="n">
        <x:v>0.05555555555555555</x:v>
      </x:c>
      <x:c r="G48" s="523"/>
      <x:c r="H48" s="490"/>
      <x:c r="I48" s="490"/>
      <x:c r="J48" s="490"/>
      <x:c r="K48" s="490"/>
      <x:c r="L48" s="490"/>
      <x:c r="M48" s="490"/>
      <x:c r="N48" s="490"/>
    </x:row>
    <x:row r="49">
      <x:c r="A49" s="501" t="str">
        <x:v>Largest client by Events</x:v>
      </x:c>
      <x:c r="B49" s="500" t="str">
        <x:v>TJ Maxx</x:v>
      </x:c>
      <x:c r="C49" s="500" t="str">
        <x:v>7 Events</x:v>
      </x:c>
      <x:c r="D49" s="500" t="str">
        <x:v>Residential</x:v>
      </x:c>
      <x:c r="E49" s="500" t="n">
        <x:v>2</x:v>
      </x:c>
      <x:c r="F49" s="523" t="n">
        <x:v>0.027777777777777776</x:v>
      </x:c>
      <x:c r="G49" s="523"/>
      <x:c r="H49" s="490"/>
      <x:c r="I49" s="490"/>
      <x:c r="J49" s="490"/>
      <x:c r="K49" s="490"/>
      <x:c r="L49" s="490"/>
      <x:c r="M49" s="490"/>
      <x:c r="N49" s="490"/>
    </x:row>
    <x:row r="50">
      <x:c r="A50" s="501" t="str">
        <x:v>Fastest-growing client (latest 30 days)</x:v>
      </x:c>
      <x:c r="B50" s="500" t="str">
        <x:v>Dunkin</x:v>
      </x:c>
      <x:c r="C50" s="500" t="str">
        <x:v>5 Events</x:v>
      </x:c>
      <x:c r="D50" s="500" t="str">
        <x:v>Military</x:v>
      </x:c>
      <x:c r="E50" s="500" t="n">
        <x:v>1</x:v>
      </x:c>
      <x:c r="F50" s="523" t="n">
        <x:v>0.013888888888888888</x:v>
      </x:c>
      <x:c r="G50" s="523"/>
      <x:c r="H50" s="490"/>
      <x:c r="I50" s="490"/>
      <x:c r="J50" s="490"/>
      <x:c r="K50" s="490"/>
      <x:c r="L50" s="490"/>
      <x:c r="M50" s="490"/>
      <x:c r="N50" s="490"/>
    </x:row>
    <x:row r="51">
      <x:c r="A51" s="501" t="str">
        <x:v>Jurisdictions worked</x:v>
      </x:c>
      <x:c r="B51" s="500" t="n">
        <x:v>5</x:v>
      </x:c>
      <x:c r="C51" s="500" t="str">
        <x:v>DC, MD, PA, VA, WV</x:v>
      </x:c>
      <x:c r="D51" s="490"/>
      <x:c r="E51" s="490"/>
      <x:c r="F51" s="490"/>
      <x:c r="G51" s="490"/>
      <x:c r="H51" s="490"/>
      <x:c r="I51" s="490"/>
      <x:c r="J51" s="490"/>
      <x:c r="K51" s="490"/>
      <x:c r="L51" s="490"/>
      <x:c r="M51" s="490"/>
      <x:c r="N51" s="490"/>
    </x:row>
    <x:row r="52">
      <x:c r="A52" s="501" t="str">
        <x:v>Cities worked</x:v>
      </x:c>
      <x:c r="B52" s="500" t="n">
        <x:v>41</x:v>
      </x:c>
      <x:c r="C52" s="500" t="str"/>
      <x:c r="D52" s="490"/>
      <x:c r="E52" s="490"/>
      <x:c r="F52" s="490"/>
      <x:c r="G52" s="490"/>
      <x:c r="H52" s="490"/>
      <x:c r="I52" s="490"/>
      <x:c r="J52" s="490"/>
      <x:c r="K52" s="490"/>
      <x:c r="L52" s="490"/>
      <x:c r="M52" s="490"/>
      <x:c r="N52" s="490"/>
    </x:row>
    <x:row r="53">
      <x:c r="A53" s="501" t="str">
        <x:v>Most-visited city</x:v>
      </x:c>
      <x:c r="B53" s="500" t="str">
        <x:v>Washington</x:v>
      </x:c>
      <x:c r="C53" s="500" t="str">
        <x:v>11 Events</x:v>
      </x:c>
      <x:c r="D53" s="490"/>
      <x:c r="E53" s="490"/>
      <x:c r="F53" s="490"/>
      <x:c r="G53" s="490"/>
      <x:c r="H53" s="490"/>
      <x:c r="I53" s="490"/>
      <x:c r="J53" s="490"/>
      <x:c r="K53" s="490"/>
      <x:c r="L53" s="490"/>
      <x:c r="M53" s="490"/>
      <x:c r="N53" s="490"/>
    </x:row>
    <x:row r="54">
      <x:c r="A54" s="501" t="str">
        <x:v>Most-visited jurisdiction</x:v>
      </x:c>
      <x:c r="B54" s="500" t="str">
        <x:v>MD</x:v>
      </x:c>
      <x:c r="C54" s="500" t="str">
        <x:v>50 Events</x:v>
      </x:c>
      <x:c r="D54" s="490"/>
      <x:c r="E54" s="490"/>
      <x:c r="F54" s="490"/>
      <x:c r="G54" s="490"/>
      <x:c r="H54" s="490"/>
      <x:c r="I54" s="490"/>
      <x:c r="J54" s="490"/>
      <x:c r="K54" s="490"/>
      <x:c r="L54" s="490"/>
      <x:c r="M54" s="490"/>
      <x:c r="N54" s="490"/>
    </x:row>
    <x:row r="55">
      <x:c r="A55" s="501" t="str">
        <x:v>Average jobs / dispatch day</x:v>
      </x:c>
      <x:c r="B55" s="521" t="n">
        <x:v>1.469387755102041</x:v>
      </x:c>
      <x:c r="C55" s="500" t="str">
        <x:v>72 Events / 49 worked days</x:v>
      </x:c>
      <x:c r="D55" s="490"/>
      <x:c r="E55" s="490"/>
      <x:c r="F55" s="490"/>
      <x:c r="G55" s="490"/>
      <x:c r="H55" s="490"/>
      <x:c r="I55" s="490"/>
      <x:c r="J55" s="490"/>
      <x:c r="K55" s="490"/>
      <x:c r="L55" s="490"/>
      <x:c r="M55" s="490"/>
      <x:c r="N55" s="490"/>
    </x:row>
    <x:row r="56">
      <x:c r="A56" s="490"/>
      <x:c r="B56" s="490"/>
      <x:c r="C56" s="490"/>
      <x:c r="D56" s="490"/>
      <x:c r="E56" s="490"/>
      <x:c r="F56" s="490"/>
      <x:c r="G56" s="490"/>
      <x:c r="H56" s="490"/>
      <x:c r="I56" s="490"/>
      <x:c r="J56" s="490"/>
      <x:c r="K56" s="490"/>
      <x:c r="L56" s="490"/>
      <x:c r="M56" s="490"/>
      <x:c r="N56" s="490"/>
    </x:row>
    <x:row r="57">
      <x:c r="A57" s="516" t="str">
        <x:v>WEEKLY SEASON GRAPH</x:v>
      </x:c>
      <x:c r="B57" s="516"/>
      <x:c r="C57" s="516"/>
      <x:c r="D57" s="516"/>
      <x:c r="E57" s="516"/>
      <x:c r="F57" s="516"/>
      <x:c r="G57" s="516"/>
      <x:c r="H57" s="516"/>
      <x:c r="I57" s="516"/>
      <x:c r="J57" s="516"/>
      <x:c r="K57" s="516"/>
      <x:c r="L57" s="516"/>
      <x:c r="M57" s="516"/>
      <x:c r="N57" s="516"/>
    </x:row>
    <x:row r="58">
      <x:c r="A58" s="517" t="str">
        <x:v>Workweek</x:v>
      </x:c>
      <x:c r="B58" s="517" t="str">
        <x:v>Events</x:v>
      </x:c>
      <x:c r="C58" s="517" t="str">
        <x:v>Revenue</x:v>
      </x:c>
      <x:c r="D58" s="517" t="str">
        <x:v>Avg / Event</x:v>
      </x:c>
      <x:c r="E58" s="490"/>
      <x:c r="F58" s="517" t="str">
        <x:v>Weekday</x:v>
      </x:c>
      <x:c r="G58" s="517" t="str">
        <x:v>Events</x:v>
      </x:c>
      <x:c r="H58" s="517" t="str">
        <x:v>Revenue</x:v>
      </x:c>
      <x:c r="I58" s="517" t="str">
        <x:v>Avg / Event</x:v>
      </x:c>
      <x:c r="J58" s="490"/>
      <x:c r="K58" s="517" t="str">
        <x:v>MY_MONTH</x:v>
      </x:c>
      <x:c r="L58" s="517" t="str">
        <x:v>Events</x:v>
      </x:c>
      <x:c r="M58" s="517" t="str">
        <x:v>Revenue</x:v>
      </x:c>
      <x:c r="N58" s="517" t="str">
        <x:v>Avg / Event</x:v>
      </x:c>
    </x:row>
    <x:row r="59">
      <x:c r="A59" s="500" t="n">
        <x:v>1</x:v>
      </x:c>
      <x:c r="B59" s="500" t="n">
        <x:v>5</x:v>
      </x:c>
      <x:c r="C59" s="519" t="n">
        <x:v>1008</x:v>
      </x:c>
      <x:c r="D59" s="519" t="n">
        <x:v>201.6</x:v>
      </x:c>
      <x:c r="E59" s="490"/>
      <x:c r="F59" s="500" t="str">
        <x:v>Monday</x:v>
      </x:c>
      <x:c r="G59" s="500" t="n">
        <x:v>12</x:v>
      </x:c>
      <x:c r="H59" s="519" t="n">
        <x:v>1270.49</x:v>
      </x:c>
      <x:c r="I59" s="519" t="n">
        <x:v>105.87416666666667</x:v>
      </x:c>
      <x:c r="J59" s="490"/>
      <x:c r="K59" s="500" t="str">
        <x:v>MY_MONTH 1</x:v>
      </x:c>
      <x:c r="L59" s="500" t="n">
        <x:v>20</x:v>
      </x:c>
      <x:c r="M59" s="519" t="n">
        <x:v>2330.5</x:v>
      </x:c>
      <x:c r="N59" s="519" t="n">
        <x:v>116.525</x:v>
      </x:c>
    </x:row>
    <x:row r="60">
      <x:c r="A60" s="500" t="n">
        <x:v>2</x:v>
      </x:c>
      <x:c r="B60" s="500" t="n">
        <x:v>4</x:v>
      </x:c>
      <x:c r="C60" s="519" t="n">
        <x:v>275</x:v>
      </x:c>
      <x:c r="D60" s="519" t="n">
        <x:v>68.75</x:v>
      </x:c>
      <x:c r="E60" s="490"/>
      <x:c r="F60" s="500" t="str">
        <x:v>Tuesday</x:v>
      </x:c>
      <x:c r="G60" s="500" t="n">
        <x:v>14</x:v>
      </x:c>
      <x:c r="H60" s="519" t="n">
        <x:v>1984.3899999999999</x:v>
      </x:c>
      <x:c r="I60" s="519" t="n">
        <x:v>141.74214285714285</x:v>
      </x:c>
      <x:c r="J60" s="490"/>
      <x:c r="K60" s="500" t="str">
        <x:v>MY_MONTH 2</x:v>
      </x:c>
      <x:c r="L60" s="500" t="n">
        <x:v>30</x:v>
      </x:c>
      <x:c r="M60" s="519" t="n">
        <x:v>3186.3199999999997</x:v>
      </x:c>
      <x:c r="N60" s="519" t="n">
        <x:v>106.21066666666665</x:v>
      </x:c>
    </x:row>
    <x:row r="61">
      <x:c r="A61" s="500" t="n">
        <x:v>3</x:v>
      </x:c>
      <x:c r="B61" s="500" t="n">
        <x:v>1</x:v>
      </x:c>
      <x:c r="C61" s="519" t="n">
        <x:v>212.5</x:v>
      </x:c>
      <x:c r="D61" s="519" t="n">
        <x:v>212.5</x:v>
      </x:c>
      <x:c r="E61" s="490"/>
      <x:c r="F61" s="500" t="str">
        <x:v>Wednesday</x:v>
      </x:c>
      <x:c r="G61" s="500" t="n">
        <x:v>19</x:v>
      </x:c>
      <x:c r="H61" s="519" t="n">
        <x:v>2302.3599999999997</x:v>
      </x:c>
      <x:c r="I61" s="519" t="n">
        <x:v>121.17684210526313</x:v>
      </x:c>
      <x:c r="J61" s="490"/>
      <x:c r="K61" s="500" t="str">
        <x:v>MY_MONTH 3</x:v>
      </x:c>
      <x:c r="L61" s="500" t="n">
        <x:v>22</x:v>
      </x:c>
      <x:c r="M61" s="519" t="n">
        <x:v>2067.73</x:v>
      </x:c>
      <x:c r="N61" s="519" t="n">
        <x:v>93.98772727272727</x:v>
      </x:c>
    </x:row>
    <x:row r="62">
      <x:c r="A62" s="500" t="n">
        <x:v>4</x:v>
      </x:c>
      <x:c r="B62" s="500" t="n">
        <x:v>6</x:v>
      </x:c>
      <x:c r="C62" s="519" t="n">
        <x:v>412.5</x:v>
      </x:c>
      <x:c r="D62" s="519" t="n">
        <x:v>68.75</x:v>
      </x:c>
      <x:c r="E62" s="490"/>
      <x:c r="F62" s="500" t="str">
        <x:v>Thursday</x:v>
      </x:c>
      <x:c r="G62" s="500" t="n">
        <x:v>17</x:v>
      </x:c>
      <x:c r="H62" s="519" t="n">
        <x:v>1597.31</x:v>
      </x:c>
      <x:c r="I62" s="519" t="n">
        <x:v>93.95941176470588</x:v>
      </x:c>
      <x:c r="J62" s="490"/>
      <x:c r="K62" s="490"/>
      <x:c r="L62" s="490"/>
      <x:c r="M62" s="490"/>
      <x:c r="N62" s="490"/>
    </x:row>
    <x:row r="63">
      <x:c r="A63" s="500" t="n">
        <x:v>5</x:v>
      </x:c>
      <x:c r="B63" s="500" t="n">
        <x:v>4</x:v>
      </x:c>
      <x:c r="C63" s="519" t="n">
        <x:v>422.5</x:v>
      </x:c>
      <x:c r="D63" s="519" t="n">
        <x:v>105.625</x:v>
      </x:c>
      <x:c r="E63" s="490"/>
      <x:c r="F63" s="500" t="str">
        <x:v>Friday</x:v>
      </x:c>
      <x:c r="G63" s="500" t="n">
        <x:v>10</x:v>
      </x:c>
      <x:c r="H63" s="519" t="n">
        <x:v>430</x:v>
      </x:c>
      <x:c r="I63" s="519" t="n">
        <x:v>43</x:v>
      </x:c>
      <x:c r="J63" s="490"/>
      <x:c r="K63" s="490"/>
      <x:c r="L63" s="490"/>
      <x:c r="M63" s="490"/>
      <x:c r="N63" s="490"/>
    </x:row>
    <x:row r="64">
      <x:c r="A64" s="500" t="n">
        <x:v>6</x:v>
      </x:c>
      <x:c r="B64" s="500" t="n">
        <x:v>6</x:v>
      </x:c>
      <x:c r="C64" s="519" t="n">
        <x:v>522.91</x:v>
      </x:c>
      <x:c r="D64" s="519" t="n">
        <x:v>87.15166666666666</x:v>
      </x:c>
      <x:c r="E64" s="490"/>
      <x:c r="F64" s="490"/>
      <x:c r="G64" s="490"/>
      <x:c r="H64" s="490"/>
      <x:c r="I64" s="490"/>
      <x:c r="J64" s="490"/>
      <x:c r="K64" s="490"/>
      <x:c r="L64" s="490"/>
      <x:c r="M64" s="490"/>
      <x:c r="N64" s="490"/>
    </x:row>
    <x:row r="65">
      <x:c r="A65" s="500" t="n">
        <x:v>7</x:v>
      </x:c>
      <x:c r="B65" s="500" t="n">
        <x:v>8</x:v>
      </x:c>
      <x:c r="C65" s="519" t="n">
        <x:v>1221.6599999999999</x:v>
      </x:c>
      <x:c r="D65" s="519" t="n">
        <x:v>152.70749999999998</x:v>
      </x:c>
      <x:c r="E65" s="490"/>
      <x:c r="F65" s="490"/>
      <x:c r="G65" s="490"/>
      <x:c r="H65" s="490"/>
      <x:c r="I65" s="490"/>
      <x:c r="J65" s="490"/>
      <x:c r="K65" s="490"/>
      <x:c r="L65" s="490"/>
      <x:c r="M65" s="490"/>
      <x:c r="N65" s="490"/>
    </x:row>
    <x:row r="66">
      <x:c r="A66" s="500" t="n">
        <x:v>8</x:v>
      </x:c>
      <x:c r="B66" s="500" t="n">
        <x:v>9</x:v>
      </x:c>
      <x:c r="C66" s="519" t="n">
        <x:v>760</x:v>
      </x:c>
      <x:c r="D66" s="519" t="n">
        <x:v>84.44444444444444</x:v>
      </x:c>
      <x:c r="E66" s="490"/>
      <x:c r="F66" s="490"/>
      <x:c r="G66" s="490"/>
      <x:c r="H66" s="490"/>
      <x:c r="I66" s="490"/>
      <x:c r="J66" s="490"/>
      <x:c r="K66" s="490"/>
      <x:c r="L66" s="490"/>
      <x:c r="M66" s="490"/>
      <x:c r="N66" s="490"/>
    </x:row>
    <x:row r="67">
      <x:c r="A67" s="500" t="n">
        <x:v>9</x:v>
      </x:c>
      <x:c r="B67" s="500" t="n">
        <x:v>7</x:v>
      </x:c>
      <x:c r="C67" s="519" t="n">
        <x:v>681.75</x:v>
      </x:c>
      <x:c r="D67" s="519" t="n">
        <x:v>97.39285714285714</x:v>
      </x:c>
      <x:c r="E67" s="490"/>
      <x:c r="F67" s="490"/>
      <x:c r="G67" s="490"/>
      <x:c r="H67" s="490"/>
      <x:c r="I67" s="490"/>
      <x:c r="J67" s="490"/>
      <x:c r="K67" s="490"/>
      <x:c r="L67" s="490"/>
      <x:c r="M67" s="490"/>
      <x:c r="N67" s="490"/>
    </x:row>
    <x:row r="68">
      <x:c r="A68" s="500" t="n">
        <x:v>10</x:v>
      </x:c>
      <x:c r="B68" s="500" t="n">
        <x:v>3</x:v>
      </x:c>
      <x:c r="C68" s="519" t="n">
        <x:v>308.27</x:v>
      </x:c>
      <x:c r="D68" s="519" t="n">
        <x:v>102.75666666666666</x:v>
      </x:c>
      <x:c r="E68" s="490"/>
      <x:c r="F68" s="490"/>
      <x:c r="G68" s="490"/>
      <x:c r="H68" s="490"/>
      <x:c r="I68" s="490"/>
      <x:c r="J68" s="490"/>
      <x:c r="K68" s="490"/>
      <x:c r="L68" s="490"/>
      <x:c r="M68" s="490"/>
      <x:c r="N68" s="490"/>
    </x:row>
    <x:row r="69">
      <x:c r="A69" s="500" t="n">
        <x:v>11</x:v>
      </x:c>
      <x:c r="B69" s="500" t="n">
        <x:v>3</x:v>
      </x:c>
      <x:c r="C69" s="519" t="n">
        <x:v>410.65999999999997</x:v>
      </x:c>
      <x:c r="D69" s="519" t="n">
        <x:v>136.88666666666666</x:v>
      </x:c>
      <x:c r="E69" s="490"/>
      <x:c r="F69" s="490"/>
      <x:c r="G69" s="490"/>
      <x:c r="H69" s="490"/>
      <x:c r="I69" s="490"/>
      <x:c r="J69" s="490"/>
      <x:c r="K69" s="490"/>
      <x:c r="L69" s="490"/>
      <x:c r="M69" s="490"/>
      <x:c r="N69" s="490"/>
    </x:row>
    <x:row r="70">
      <x:c r="A70" s="500" t="n">
        <x:v>12</x:v>
      </x:c>
      <x:c r="B70" s="500" t="n">
        <x:v>6</x:v>
      </x:c>
      <x:c r="C70" s="519" t="n">
        <x:v>815.0600000000001</x:v>
      </x:c>
      <x:c r="D70" s="519" t="n">
        <x:v>135.84333333333333</x:v>
      </x:c>
      <x:c r="E70" s="490"/>
      <x:c r="F70" s="490"/>
      <x:c r="G70" s="490"/>
      <x:c r="H70" s="490"/>
      <x:c r="I70" s="490"/>
      <x:c r="J70" s="490"/>
      <x:c r="K70" s="490"/>
      <x:c r="L70" s="490"/>
      <x:c r="M70" s="490"/>
      <x:c r="N70" s="490"/>
    </x:row>
    <x:row r="71">
      <x:c r="A71" s="500" t="n">
        <x:v>13</x:v>
      </x:c>
      <x:c r="B71" s="500" t="n">
        <x:v>10</x:v>
      </x:c>
      <x:c r="C71" s="519" t="n">
        <x:v>533.74</x:v>
      </x:c>
      <x:c r="D71" s="519" t="n">
        <x:v>53.374</x:v>
      </x:c>
      <x:c r="E71" s="490"/>
      <x:c r="F71" s="490"/>
      <x:c r="G71" s="490"/>
      <x:c r="H71" s="490"/>
      <x:c r="I71" s="490"/>
      <x:c r="J71" s="490"/>
      <x:c r="K71" s="490"/>
      <x:c r="L71" s="490"/>
      <x:c r="M71" s="490"/>
      <x:c r="N71" s="490"/>
    </x:row>
    <x:row r="72">
      <x:c r="A72" s="490"/>
      <x:c r="B72" s="490"/>
      <x:c r="C72" s="490"/>
      <x:c r="D72" s="490"/>
      <x:c r="E72" s="490"/>
      <x:c r="F72" s="490"/>
      <x:c r="G72" s="490"/>
      <x:c r="H72" s="490"/>
      <x:c r="I72" s="490"/>
      <x:c r="J72" s="490"/>
      <x:c r="K72" s="490"/>
      <x:c r="L72" s="490"/>
      <x:c r="M72" s="490"/>
      <x:c r="N72" s="490"/>
    </x:row>
    <x:row r="73">
      <x:c r="A73" s="516" t="str">
        <x:v>HALL OF FAME &amp; CAREER RECORD LOG</x:v>
      </x:c>
      <x:c r="B73" s="516"/>
      <x:c r="C73" s="516"/>
      <x:c r="D73" s="516"/>
      <x:c r="E73" s="516"/>
      <x:c r="F73" s="516"/>
      <x:c r="G73" s="516"/>
      <x:c r="H73" s="516"/>
      <x:c r="I73" s="516"/>
      <x:c r="J73" s="516"/>
      <x:c r="K73" s="516"/>
      <x:c r="L73" s="516"/>
      <x:c r="M73" s="516"/>
      <x:c r="N73" s="516"/>
    </x:row>
    <x:row r="74">
      <x:c r="A74" s="517" t="str">
        <x:v>Milestone</x:v>
      </x:c>
      <x:c r="B74" s="517" t="str">
        <x:v>Status</x:v>
      </x:c>
      <x:c r="C74" s="517" t="str">
        <x:v>Date / Detail</x:v>
      </x:c>
      <x:c r="D74" s="490"/>
      <x:c r="E74" s="490"/>
      <x:c r="F74" s="490"/>
      <x:c r="G74" s="490"/>
      <x:c r="H74" s="517" t="str">
        <x:v>Dimension</x:v>
      </x:c>
      <x:c r="I74" s="517" t="str">
        <x:v>Score</x:v>
      </x:c>
      <x:c r="J74" s="517" t="str">
        <x:v>Benchmark</x:v>
      </x:c>
      <x:c r="K74" s="490"/>
      <x:c r="L74" s="490"/>
      <x:c r="M74" s="490"/>
      <x:c r="N74" s="490"/>
    </x:row>
    <x:row r="75">
      <x:c r="A75" s="501" t="str">
        <x:v>First Client</x:v>
      </x:c>
      <x:c r="B75" s="500" t="str">
        <x:v>ACHIEVED</x:v>
      </x:c>
      <x:c r="C75" s="500" t="str">
        <x:v>2026-04-20 — Macy's</x:v>
      </x:c>
      <x:c r="D75" s="490"/>
      <x:c r="E75" s="490"/>
      <x:c r="F75" s="490"/>
      <x:c r="G75" s="490"/>
      <x:c r="H75" s="501" t="str">
        <x:v>Events Completed</x:v>
      </x:c>
      <x:c r="I75" s="523" t="n">
        <x:v>0.72</x:v>
      </x:c>
      <x:c r="J75" s="500" t="str">
        <x:v>100 Events</x:v>
      </x:c>
      <x:c r="K75" s="490"/>
      <x:c r="L75" s="490"/>
      <x:c r="M75" s="490"/>
      <x:c r="N75" s="490"/>
    </x:row>
    <x:row r="76">
      <x:c r="A76" s="501" t="str">
        <x:v>First Hotel</x:v>
      </x:c>
      <x:c r="B76" s="500" t="str">
        <x:v>ACHIEVED</x:v>
      </x:c>
      <x:c r="C76" s="500" t="str">
        <x:v>2026-04-24</x:v>
      </x:c>
      <x:c r="D76" s="490"/>
      <x:c r="E76" s="490"/>
      <x:c r="F76" s="490"/>
      <x:c r="G76" s="490"/>
      <x:c r="H76" s="501" t="str">
        <x:v>Revenue</x:v>
      </x:c>
      <x:c r="I76" s="523" t="n">
        <x:v>0.758455</x:v>
      </x:c>
      <x:c r="J76" s="500" t="str">
        <x:v>$10,000</x:v>
      </x:c>
      <x:c r="K76" s="490"/>
      <x:c r="L76" s="490"/>
      <x:c r="M76" s="490"/>
      <x:c r="N76" s="490"/>
    </x:row>
    <x:row r="77">
      <x:c r="A77" s="501" t="str">
        <x:v>First Government Client</x:v>
      </x:c>
      <x:c r="B77" s="500" t="str">
        <x:v>ACHIEVED</x:v>
      </x:c>
      <x:c r="C77" s="500" t="str">
        <x:v>2026-05-13</x:v>
      </x:c>
      <x:c r="D77" s="490"/>
      <x:c r="E77" s="490"/>
      <x:c r="F77" s="490"/>
      <x:c r="G77" s="490"/>
      <x:c r="H77" s="501" t="str">
        <x:v>Client Growth</x:v>
      </x:c>
      <x:c r="I77" s="523" t="n">
        <x:v>0.8285714285714286</x:v>
      </x:c>
      <x:c r="J77" s="500" t="str">
        <x:v>35 clients</x:v>
      </x:c>
      <x:c r="K77" s="490"/>
      <x:c r="L77" s="490"/>
      <x:c r="M77" s="490"/>
      <x:c r="N77" s="490"/>
    </x:row>
    <x:row r="78">
      <x:c r="A78" s="501" t="str">
        <x:v>First Military Base</x:v>
      </x:c>
      <x:c r="B78" s="500" t="str">
        <x:v>ACHIEVED</x:v>
      </x:c>
      <x:c r="C78" s="500" t="str">
        <x:v>2026-05-27</x:v>
      </x:c>
      <x:c r="D78" s="490"/>
      <x:c r="E78" s="490"/>
      <x:c r="F78" s="490"/>
      <x:c r="G78" s="490"/>
      <x:c r="H78" s="501" t="str">
        <x:v>Territory</x:v>
      </x:c>
      <x:c r="I78" s="523" t="n">
        <x:v>1</x:v>
      </x:c>
      <x:c r="J78" s="500" t="str">
        <x:v>5 jurisdictions</x:v>
      </x:c>
      <x:c r="K78" s="490"/>
      <x:c r="L78" s="490"/>
      <x:c r="M78" s="490"/>
      <x:c r="N78" s="490"/>
    </x:row>
    <x:row r="79">
      <x:c r="A79" s="501" t="str">
        <x:v>10 Career Events</x:v>
      </x:c>
      <x:c r="B79" s="500" t="str">
        <x:v>ACHIEVED</x:v>
      </x:c>
      <x:c r="C79" s="500" t="str">
        <x:v>2026-05-05</x:v>
      </x:c>
      <x:c r="D79" s="490"/>
      <x:c r="E79" s="490"/>
      <x:c r="F79" s="490"/>
      <x:c r="G79" s="490"/>
      <x:c r="H79" s="501" t="str">
        <x:v>Consistency</x:v>
      </x:c>
      <x:c r="I79" s="523" t="n">
        <x:v>0.7333333333333333</x:v>
      </x:c>
      <x:c r="J79" s="500" t="str">
        <x:v>15-business-day streak</x:v>
      </x:c>
      <x:c r="K79" s="490"/>
      <x:c r="L79" s="490"/>
      <x:c r="M79" s="490"/>
      <x:c r="N79" s="490"/>
    </x:row>
    <x:row r="80">
      <x:c r="A80" s="501" t="str">
        <x:v>25 Career Events</x:v>
      </x:c>
      <x:c r="B80" s="500" t="str">
        <x:v>ACHIEVED</x:v>
      </x:c>
      <x:c r="C80" s="500" t="str">
        <x:v>2026-05-28</x:v>
      </x:c>
      <x:c r="D80" s="490"/>
      <x:c r="E80" s="490"/>
      <x:c r="F80" s="490"/>
      <x:c r="G80" s="490"/>
      <x:c r="H80" s="501" t="str">
        <x:v>Financial Completion</x:v>
      </x:c>
      <x:c r="I80" s="523" t="n">
        <x:v>0.8676470588235294</x:v>
      </x:c>
      <x:c r="J80" s="500" t="str">
        <x:v>Positive-revenue financial-scope Events</x:v>
      </x:c>
      <x:c r="K80" s="490"/>
      <x:c r="L80" s="490"/>
      <x:c r="M80" s="490"/>
      <x:c r="N80" s="490"/>
    </x:row>
    <x:row r="81">
      <x:c r="A81" s="501" t="str">
        <x:v>50 Career Events</x:v>
      </x:c>
      <x:c r="B81" s="500" t="str">
        <x:v>ACHIEVED</x:v>
      </x:c>
      <x:c r="C81" s="500" t="str">
        <x:v>2026-06-19</x:v>
      </x:c>
      <x:c r="D81" s="490"/>
      <x:c r="E81" s="490"/>
      <x:c r="F81" s="490"/>
      <x:c r="G81" s="490"/>
      <x:c r="H81" s="528" t="str">
        <x:v>OVERALL CAREER SCORE</x:v>
      </x:c>
      <x:c r="I81" s="529" t="n">
        <x:v>0.8180011367880486</x:v>
      </x:c>
      <x:c r="J81" s="528" t="str">
        <x:v>Equal-weight composite</x:v>
      </x:c>
      <x:c r="K81" s="490"/>
      <x:c r="L81" s="490"/>
      <x:c r="M81" s="490"/>
      <x:c r="N81" s="490"/>
    </x:row>
    <x:row r="82">
      <x:c r="A82" s="501" t="str">
        <x:v>25 Unique Clients</x:v>
      </x:c>
      <x:c r="B82" s="500" t="str">
        <x:v>ACHIEVED</x:v>
      </x:c>
      <x:c r="C82" s="500" t="str">
        <x:v>2026-06-18</x:v>
      </x:c>
      <x:c r="D82" s="490"/>
      <x:c r="E82" s="490"/>
      <x:c r="F82" s="490"/>
      <x:c r="G82" s="490"/>
      <x:c r="H82" s="490"/>
      <x:c r="I82" s="490"/>
      <x:c r="J82" s="490"/>
      <x:c r="K82" s="490"/>
      <x:c r="L82" s="490"/>
      <x:c r="M82" s="490"/>
      <x:c r="N82" s="490"/>
    </x:row>
    <x:row r="83">
      <x:c r="A83" s="501" t="str">
        <x:v>First $1,000 Revenue</x:v>
      </x:c>
      <x:c r="B83" s="500" t="str">
        <x:v>ACHIEVED</x:v>
      </x:c>
      <x:c r="C83" s="500" t="str">
        <x:v>2026-04-24</x:v>
      </x:c>
      <x:c r="D83" s="490"/>
      <x:c r="E83" s="490"/>
      <x:c r="F83" s="490"/>
      <x:c r="G83" s="490"/>
      <x:c r="H83" s="490"/>
      <x:c r="I83" s="490"/>
      <x:c r="J83" s="490"/>
      <x:c r="K83" s="490"/>
      <x:c r="L83" s="490"/>
      <x:c r="M83" s="490"/>
      <x:c r="N83" s="490"/>
    </x:row>
    <x:row r="84">
      <x:c r="A84" s="501" t="str">
        <x:v>First 10-Event Workweek</x:v>
      </x:c>
      <x:c r="B84" s="500" t="str">
        <x:v>ACHIEVED</x:v>
      </x:c>
      <x:c r="C84" s="500" t="str">
        <x:v>Workweek 13</x:v>
      </x:c>
      <x:c r="D84" s="490"/>
      <x:c r="E84" s="490"/>
      <x:c r="F84" s="490"/>
      <x:c r="G84" s="490"/>
      <x:c r="H84" s="490"/>
      <x:c r="I84" s="490"/>
      <x:c r="J84" s="490"/>
      <x:c r="K84" s="490"/>
      <x:c r="L84" s="490"/>
      <x:c r="M84" s="490"/>
      <x:c r="N84" s="490"/>
    </x:row>
    <x:row r="85">
      <x:c r="A85" s="501" t="str">
        <x:v>100 Career Events</x:v>
      </x:c>
      <x:c r="B85" s="500" t="str">
        <x:v>OPEN</x:v>
      </x:c>
      <x:c r="C85" s="500" t="str">
        <x:v>28 Events remaining</x:v>
      </x:c>
      <x:c r="D85" s="490"/>
      <x:c r="E85" s="490"/>
      <x:c r="F85" s="490"/>
      <x:c r="G85" s="490"/>
      <x:c r="H85" s="490"/>
      <x:c r="I85" s="490"/>
      <x:c r="J85" s="490"/>
      <x:c r="K85" s="490"/>
      <x:c r="L85" s="490"/>
      <x:c r="M85" s="490"/>
      <x:c r="N85" s="490"/>
    </x:row>
    <x:row r="86">
      <x:c r="A86" s="501" t="str">
        <x:v>$10,000 Career Revenue</x:v>
      </x:c>
      <x:c r="B86" s="500" t="str">
        <x:v>OPEN</x:v>
      </x:c>
      <x:c r="C86" s="500" t="str">
        <x:v>$2,415.45 remaining</x:v>
      </x:c>
      <x:c r="D86" s="490"/>
      <x:c r="E86" s="490"/>
      <x:c r="F86" s="490"/>
      <x:c r="G86" s="490"/>
      <x:c r="H86" s="490"/>
      <x:c r="I86" s="490"/>
      <x:c r="J86" s="490"/>
      <x:c r="K86" s="490"/>
      <x:c r="L86" s="490"/>
      <x:c r="M86" s="490"/>
      <x:c r="N86" s="490"/>
    </x:row>
    <x:row r="87">
      <x:c r="A87" s="490"/>
      <x:c r="B87" s="490"/>
      <x:c r="C87" s="490"/>
      <x:c r="D87" s="490"/>
      <x:c r="E87" s="490"/>
      <x:c r="F87" s="490"/>
      <x:c r="G87" s="490"/>
      <x:c r="H87" s="490"/>
      <x:c r="I87" s="490"/>
      <x:c r="J87" s="490"/>
      <x:c r="K87" s="490"/>
      <x:c r="L87" s="490"/>
      <x:c r="M87" s="490"/>
      <x:c r="N87" s="490"/>
    </x:row>
    <x:row r="88">
      <x:c r="A88" s="516" t="str">
        <x:v>METRIC DEFINITIONS &amp; GOVERNANCE</x:v>
      </x:c>
      <x:c r="B88" s="516"/>
      <x:c r="C88" s="516"/>
      <x:c r="D88" s="516"/>
      <x:c r="E88" s="516"/>
      <x:c r="F88" s="516"/>
      <x:c r="G88" s="516"/>
      <x:c r="H88" s="516"/>
      <x:c r="I88" s="516"/>
      <x:c r="J88" s="516"/>
      <x:c r="K88" s="516"/>
      <x:c r="L88" s="516"/>
      <x:c r="M88" s="516"/>
      <x:c r="N88" s="516"/>
    </x:row>
    <x:row r="89">
      <x:c r="A89" s="517" t="str">
        <x:v>Metric</x:v>
      </x:c>
      <x:c r="B89" s="517" t="str">
        <x:v>Definition</x:v>
      </x:c>
      <x:c r="C89" s="500"/>
      <x:c r="D89" s="500"/>
      <x:c r="E89" s="500"/>
      <x:c r="F89" s="500"/>
      <x:c r="G89" s="500"/>
      <x:c r="H89" s="500"/>
      <x:c r="I89" s="500"/>
      <x:c r="J89" s="500"/>
      <x:c r="K89" s="500"/>
      <x:c r="L89" s="500"/>
      <x:c r="M89" s="500"/>
      <x:c r="N89" s="500"/>
    </x:row>
    <x:row r="90" ht="34" customHeight="1">
      <x:c r="A90" s="501" t="str">
        <x:v>Business-day streak</x:v>
      </x:c>
      <x:c r="B90" s="531" t="str">
        <x:v>Distinct service dates with weekends skipped; holidays are not removed unless explicitly tracked.</x:v>
      </x:c>
      <x:c r="C90" s="531"/>
      <x:c r="D90" s="531"/>
      <x:c r="E90" s="531"/>
      <x:c r="F90" s="531"/>
      <x:c r="G90" s="531"/>
      <x:c r="H90" s="531"/>
      <x:c r="I90" s="531"/>
      <x:c r="J90" s="531"/>
      <x:c r="K90" s="531"/>
      <x:c r="L90" s="531"/>
      <x:c r="M90" s="531"/>
      <x:c r="N90" s="531"/>
    </x:row>
    <x:row r="91" ht="34" customHeight="1">
      <x:c r="A91" s="501" t="str">
        <x:v>Rolling windows</x:v>
      </x:c>
      <x:c r="B91" s="531" t="str">
        <x:v>Calendar-day windows inclusive of start and end dates.</x:v>
      </x:c>
      <x:c r="C91" s="531"/>
      <x:c r="D91" s="531"/>
      <x:c r="E91" s="531"/>
      <x:c r="F91" s="531"/>
      <x:c r="G91" s="531"/>
      <x:c r="H91" s="531"/>
      <x:c r="I91" s="531"/>
      <x:c r="J91" s="531"/>
      <x:c r="K91" s="531"/>
      <x:c r="L91" s="531"/>
      <x:c r="M91" s="531"/>
      <x:c r="N91" s="531"/>
    </x:row>
    <x:row r="92" ht="34" customHeight="1">
      <x:c r="A92" s="501" t="str">
        <x:v>Analytics revenue</x:v>
      </x:c>
      <x:c r="B92" s="531" t="str">
        <x:v>Confirmed Event revenue; a confirmed payment breakdown is treated as earned/complete for this analytics page.</x:v>
      </x:c>
      <x:c r="C92" s="531"/>
      <x:c r="D92" s="531"/>
      <x:c r="E92" s="531"/>
      <x:c r="F92" s="531"/>
      <x:c r="G92" s="531"/>
      <x:c r="H92" s="531"/>
      <x:c r="I92" s="531"/>
      <x:c r="J92" s="531"/>
      <x:c r="K92" s="531"/>
      <x:c r="L92" s="531"/>
      <x:c r="M92" s="531"/>
      <x:c r="N92" s="531"/>
    </x:row>
    <x:row r="93" ht="34" customHeight="1">
      <x:c r="A93" s="501" t="str">
        <x:v>Repeat client</x:v>
      </x:c>
      <x:c r="B93" s="531" t="str">
        <x:v>A unique client with two or more completed Events.</x:v>
      </x:c>
      <x:c r="C93" s="531"/>
      <x:c r="D93" s="531"/>
      <x:c r="E93" s="531"/>
      <x:c r="F93" s="531"/>
      <x:c r="G93" s="531"/>
      <x:c r="H93" s="531"/>
      <x:c r="I93" s="531"/>
      <x:c r="J93" s="531"/>
      <x:c r="K93" s="531"/>
      <x:c r="L93" s="531"/>
      <x:c r="M93" s="531"/>
      <x:c r="N93" s="531"/>
    </x:row>
    <x:row r="94" ht="34" customHeight="1">
      <x:c r="A94" s="501" t="str">
        <x:v>Fastest-growing client</x:v>
      </x:c>
      <x:c r="B94" s="531" t="str">
        <x:v>Client with the most completed Events in the latest 30-calendar-day window.</x:v>
      </x:c>
      <x:c r="C94" s="531"/>
      <x:c r="D94" s="531"/>
      <x:c r="E94" s="531"/>
      <x:c r="F94" s="531"/>
      <x:c r="G94" s="531"/>
      <x:c r="H94" s="531"/>
      <x:c r="I94" s="531"/>
      <x:c r="J94" s="531"/>
      <x:c r="K94" s="531"/>
      <x:c r="L94" s="531"/>
      <x:c r="M94" s="531"/>
      <x:c r="N94" s="531"/>
    </x:row>
    <x:row r="95" ht="34" customHeight="1">
      <x:c r="A95" s="501" t="str">
        <x:v>Financial completion score</x:v>
      </x:c>
      <x:c r="B95" s="531" t="str">
        <x:v>Share of financial-scope Events with positive confirmed revenue; payment breakdowns are treated as earned for this analytics snapshot.</x:v>
      </x:c>
      <x:c r="C95" s="531"/>
      <x:c r="D95" s="531"/>
      <x:c r="E95" s="531"/>
      <x:c r="F95" s="531"/>
      <x:c r="G95" s="531"/>
      <x:c r="H95" s="531"/>
      <x:c r="I95" s="531"/>
      <x:c r="J95" s="531"/>
      <x:c r="K95" s="531"/>
      <x:c r="L95" s="531"/>
      <x:c r="M95" s="531"/>
      <x:c r="N95" s="531"/>
    </x:row>
    <x:row r="96" ht="34" customHeight="1">
      <x:c r="A96" s="501" t="str">
        <x:v>Territory extremes</x:v>
      </x:c>
      <x:c r="B96" s="531" t="str">
        <x:v>Not calculated: the authoritative workbook does not contain latitude/longitude fields.</x:v>
      </x:c>
      <x:c r="C96" s="531"/>
      <x:c r="D96" s="531"/>
      <x:c r="E96" s="531"/>
      <x:c r="F96" s="531"/>
      <x:c r="G96" s="531"/>
      <x:c r="H96" s="531"/>
      <x:c r="I96" s="531"/>
      <x:c r="J96" s="531"/>
      <x:c r="K96" s="531"/>
      <x:c r="L96" s="531"/>
      <x:c r="M96" s="531"/>
      <x:c r="N96" s="531"/>
    </x:row>
    <x:row r="97" ht="34" customHeight="1">
      <x:c r="A97" s="501" t="str">
        <x:v>Source of truth</x:v>
      </x:c>
      <x:c r="B97" s="531" t="str">
        <x:v>All values derive from Service Events and Work Orders &amp; Ledger in this workbook; chronology and finance remain separate.</x:v>
      </x:c>
      <x:c r="C97" s="531"/>
      <x:c r="D97" s="531"/>
      <x:c r="E97" s="531"/>
      <x:c r="F97" s="531"/>
      <x:c r="G97" s="531"/>
      <x:c r="H97" s="531"/>
      <x:c r="I97" s="531"/>
      <x:c r="J97" s="531"/>
      <x:c r="K97" s="531"/>
      <x:c r="L97" s="531"/>
      <x:c r="M97" s="531"/>
      <x:c r="N97" s="531"/>
    </x:row>
    <x:row r="98">
      <x:c r="A98" s="490"/>
      <x:c r="B98" s="490"/>
      <x:c r="C98" s="490"/>
      <x:c r="D98" s="490"/>
      <x:c r="E98" s="490"/>
      <x:c r="F98" s="490"/>
      <x:c r="G98" s="490"/>
      <x:c r="H98" s="490"/>
      <x:c r="I98" s="490"/>
      <x:c r="J98" s="490"/>
      <x:c r="K98" s="490"/>
      <x:c r="L98" s="490"/>
      <x:c r="M98" s="490"/>
      <x:c r="N98" s="490"/>
    </x:row>
    <x:row r="99">
      <x:c r="A99" s="490"/>
      <x:c r="B99" s="490"/>
      <x:c r="C99" s="490"/>
      <x:c r="D99" s="490"/>
      <x:c r="E99" s="490"/>
      <x:c r="F99" s="490"/>
      <x:c r="G99" s="490"/>
      <x:c r="H99" s="490"/>
      <x:c r="I99" s="490"/>
      <x:c r="J99" s="490"/>
      <x:c r="K99" s="490"/>
      <x:c r="L99" s="490"/>
      <x:c r="M99" s="490"/>
      <x:c r="N99" s="490"/>
    </x:row>
    <x:row r="100">
      <x:c r="A100" s="490"/>
      <x:c r="B100" s="490"/>
      <x:c r="C100" s="490"/>
      <x:c r="D100" s="490"/>
      <x:c r="E100" s="490"/>
      <x:c r="F100" s="490"/>
      <x:c r="G100" s="490"/>
      <x:c r="H100" s="490"/>
      <x:c r="I100" s="490"/>
      <x:c r="J100" s="490"/>
      <x:c r="K100" s="490"/>
      <x:c r="L100" s="490"/>
      <x:c r="M100" s="490"/>
      <x:c r="N100" s="490"/>
    </x:row>
    <x:row r="101">
      <x:c r="A101" s="490"/>
      <x:c r="B101" s="490"/>
      <x:c r="C101" s="490"/>
      <x:c r="D101" s="490"/>
      <x:c r="E101" s="490"/>
      <x:c r="F101" s="490"/>
      <x:c r="G101" s="490"/>
      <x:c r="H101" s="490"/>
      <x:c r="I101" s="490"/>
      <x:c r="J101" s="490"/>
      <x:c r="K101" s="490"/>
      <x:c r="L101" s="490"/>
      <x:c r="M101" s="490"/>
      <x:c r="N101" s="490"/>
    </x:row>
    <x:row r="102">
      <x:c r="A102" s="490"/>
      <x:c r="B102" s="490"/>
      <x:c r="C102" s="490"/>
      <x:c r="D102" s="490"/>
      <x:c r="E102" s="490"/>
      <x:c r="F102" s="490"/>
      <x:c r="G102" s="490"/>
      <x:c r="H102" s="490"/>
      <x:c r="I102" s="490"/>
      <x:c r="J102" s="490"/>
      <x:c r="K102" s="490"/>
      <x:c r="L102" s="490"/>
      <x:c r="M102" s="490"/>
      <x:c r="N102" s="490"/>
    </x:row>
    <x:row r="103">
      <x:c r="A103" s="490"/>
      <x:c r="B103" s="490"/>
      <x:c r="C103" s="490"/>
      <x:c r="D103" s="490"/>
      <x:c r="E103" s="490"/>
      <x:c r="F103" s="490"/>
      <x:c r="G103" s="490"/>
      <x:c r="H103" s="490"/>
      <x:c r="I103" s="490"/>
      <x:c r="J103" s="490"/>
      <x:c r="K103" s="490"/>
      <x:c r="L103" s="490"/>
      <x:c r="M103" s="490"/>
      <x:c r="N103" s="490"/>
    </x:row>
    <x:row r="104">
      <x:c r="A104" s="490"/>
      <x:c r="B104" s="490"/>
      <x:c r="C104" s="490"/>
      <x:c r="D104" s="490"/>
      <x:c r="E104" s="490"/>
      <x:c r="F104" s="490"/>
      <x:c r="G104" s="490"/>
      <x:c r="H104" s="490"/>
      <x:c r="I104" s="490"/>
      <x:c r="J104" s="490"/>
      <x:c r="K104" s="490"/>
      <x:c r="L104" s="490"/>
      <x:c r="M104" s="490"/>
      <x:c r="N104" s="490"/>
    </x:row>
    <x:row r="105">
      <x:c r="A105" s="490"/>
      <x:c r="B105" s="490"/>
      <x:c r="C105" s="490"/>
      <x:c r="D105" s="490"/>
      <x:c r="E105" s="490"/>
      <x:c r="F105" s="490"/>
      <x:c r="G105" s="490"/>
      <x:c r="H105" s="490"/>
      <x:c r="I105" s="490"/>
      <x:c r="J105" s="490"/>
      <x:c r="K105" s="490"/>
      <x:c r="L105" s="490"/>
      <x:c r="M105" s="490"/>
      <x:c r="N105" s="490"/>
    </x:row>
    <x:row r="106">
      <x:c r="A106" s="490"/>
      <x:c r="B106" s="490"/>
      <x:c r="C106" s="490"/>
      <x:c r="D106" s="490"/>
      <x:c r="E106" s="490"/>
      <x:c r="F106" s="490"/>
      <x:c r="G106" s="490"/>
      <x:c r="H106" s="490"/>
      <x:c r="I106" s="490"/>
      <x:c r="J106" s="490"/>
      <x:c r="K106" s="490"/>
      <x:c r="L106" s="490"/>
      <x:c r="M106" s="490"/>
      <x:c r="N106" s="490"/>
    </x:row>
    <x:row r="107">
      <x:c r="A107" s="490"/>
      <x:c r="B107" s="490"/>
      <x:c r="C107" s="490"/>
      <x:c r="D107" s="490"/>
      <x:c r="E107" s="490"/>
      <x:c r="F107" s="490"/>
      <x:c r="G107" s="490"/>
      <x:c r="H107" s="490"/>
      <x:c r="I107" s="490"/>
      <x:c r="J107" s="490"/>
      <x:c r="K107" s="490"/>
      <x:c r="L107" s="490"/>
      <x:c r="M107" s="490"/>
      <x:c r="N107" s="490"/>
    </x:row>
    <x:row r="108">
      <x:c r="A108" s="490"/>
      <x:c r="B108" s="490"/>
      <x:c r="C108" s="490"/>
      <x:c r="D108" s="490"/>
      <x:c r="E108" s="490"/>
      <x:c r="F108" s="490"/>
      <x:c r="G108" s="490"/>
      <x:c r="H108" s="490"/>
      <x:c r="I108" s="490"/>
      <x:c r="J108" s="490"/>
      <x:c r="K108" s="490"/>
      <x:c r="L108" s="490"/>
      <x:c r="M108" s="490"/>
      <x:c r="N108" s="490"/>
    </x:row>
    <x:row r="109">
      <x:c r="A109" s="490"/>
      <x:c r="B109" s="490"/>
      <x:c r="C109" s="490"/>
      <x:c r="D109" s="490"/>
      <x:c r="E109" s="490"/>
      <x:c r="F109" s="490"/>
      <x:c r="G109" s="490"/>
      <x:c r="H109" s="490"/>
      <x:c r="I109" s="490"/>
      <x:c r="J109" s="490"/>
      <x:c r="K109" s="490"/>
      <x:c r="L109" s="490"/>
      <x:c r="M109" s="490"/>
      <x:c r="N109" s="490"/>
    </x:row>
    <x:row r="110">
      <x:c r="A110" s="490"/>
      <x:c r="B110" s="490"/>
      <x:c r="C110" s="490"/>
      <x:c r="D110" s="490"/>
      <x:c r="E110" s="490"/>
      <x:c r="F110" s="490"/>
      <x:c r="G110" s="490"/>
      <x:c r="H110" s="490"/>
      <x:c r="I110" s="490"/>
      <x:c r="J110" s="490"/>
      <x:c r="K110" s="490"/>
      <x:c r="L110" s="490"/>
      <x:c r="M110" s="490"/>
      <x:c r="N110" s="490"/>
    </x:row>
    <x:row r="111">
      <x:c r="A111" s="490"/>
      <x:c r="B111" s="490"/>
      <x:c r="C111" s="490"/>
      <x:c r="D111" s="490"/>
      <x:c r="E111" s="490"/>
      <x:c r="F111" s="490"/>
      <x:c r="G111" s="490"/>
      <x:c r="H111" s="490"/>
      <x:c r="I111" s="490"/>
      <x:c r="J111" s="490"/>
      <x:c r="K111" s="490"/>
      <x:c r="L111" s="490"/>
      <x:c r="M111" s="490"/>
      <x:c r="N111" s="490"/>
    </x:row>
    <x:row r="112">
      <x:c r="A112" s="490"/>
      <x:c r="B112" s="490"/>
      <x:c r="C112" s="490"/>
      <x:c r="D112" s="490"/>
      <x:c r="E112" s="490"/>
      <x:c r="F112" s="490"/>
      <x:c r="G112" s="490"/>
      <x:c r="H112" s="490"/>
      <x:c r="I112" s="490"/>
      <x:c r="J112" s="490"/>
      <x:c r="K112" s="490"/>
      <x:c r="L112" s="490"/>
      <x:c r="M112" s="490"/>
      <x:c r="N112" s="490"/>
    </x:row>
    <x:row r="113">
      <x:c r="A113" s="490"/>
      <x:c r="B113" s="490"/>
      <x:c r="C113" s="490"/>
      <x:c r="D113" s="490"/>
      <x:c r="E113" s="490"/>
      <x:c r="F113" s="490"/>
      <x:c r="G113" s="490"/>
      <x:c r="H113" s="490"/>
      <x:c r="I113" s="490"/>
      <x:c r="J113" s="490"/>
      <x:c r="K113" s="490"/>
      <x:c r="L113" s="490"/>
      <x:c r="M113" s="490"/>
      <x:c r="N113" s="490"/>
    </x:row>
    <x:row r="114">
      <x:c r="A114" s="490"/>
      <x:c r="B114" s="490"/>
      <x:c r="C114" s="490"/>
      <x:c r="D114" s="490"/>
      <x:c r="E114" s="490"/>
      <x:c r="F114" s="490"/>
      <x:c r="G114" s="490"/>
      <x:c r="H114" s="490"/>
      <x:c r="I114" s="490"/>
      <x:c r="J114" s="490"/>
      <x:c r="K114" s="490"/>
      <x:c r="L114" s="490"/>
      <x:c r="M114" s="490"/>
      <x:c r="N114" s="490"/>
    </x:row>
    <x:row r="115">
      <x:c r="A115" s="490"/>
      <x:c r="B115" s="490"/>
      <x:c r="C115" s="490"/>
      <x:c r="D115" s="490"/>
      <x:c r="E115" s="490"/>
      <x:c r="F115" s="490"/>
      <x:c r="G115" s="490"/>
      <x:c r="H115" s="490"/>
      <x:c r="I115" s="490"/>
      <x:c r="J115" s="490"/>
      <x:c r="K115" s="490"/>
      <x:c r="L115" s="490"/>
      <x:c r="M115" s="490"/>
      <x:c r="N115" s="490"/>
    </x:row>
    <x:row r="116">
      <x:c r="A116" s="490"/>
      <x:c r="B116" s="490"/>
      <x:c r="C116" s="490"/>
      <x:c r="D116" s="490"/>
      <x:c r="E116" s="490"/>
      <x:c r="F116" s="490"/>
      <x:c r="G116" s="490"/>
      <x:c r="H116" s="490"/>
      <x:c r="I116" s="490"/>
      <x:c r="J116" s="490"/>
      <x:c r="K116" s="490"/>
      <x:c r="L116" s="490"/>
      <x:c r="M116" s="490"/>
      <x:c r="N116" s="490"/>
    </x:row>
    <x:row r="117">
      <x:c r="A117" s="490"/>
      <x:c r="B117" s="490"/>
      <x:c r="C117" s="490"/>
      <x:c r="D117" s="490"/>
      <x:c r="E117" s="490"/>
      <x:c r="F117" s="490"/>
      <x:c r="G117" s="490"/>
      <x:c r="H117" s="490"/>
      <x:c r="I117" s="490"/>
      <x:c r="J117" s="490"/>
      <x:c r="K117" s="490"/>
      <x:c r="L117" s="490"/>
      <x:c r="M117" s="490"/>
      <x:c r="N117" s="490"/>
    </x:row>
    <x:row r="118">
      <x:c r="A118" s="490"/>
      <x:c r="B118" s="490"/>
      <x:c r="C118" s="490"/>
      <x:c r="D118" s="490"/>
      <x:c r="E118" s="490"/>
      <x:c r="F118" s="490"/>
      <x:c r="G118" s="490"/>
      <x:c r="H118" s="490"/>
      <x:c r="I118" s="490"/>
      <x:c r="J118" s="490"/>
      <x:c r="K118" s="490"/>
      <x:c r="L118" s="490"/>
      <x:c r="M118" s="490"/>
      <x:c r="N118" s="490"/>
    </x:row>
    <x:row r="119">
      <x:c r="A119" s="490"/>
      <x:c r="B119" s="490"/>
      <x:c r="C119" s="490"/>
      <x:c r="D119" s="490"/>
      <x:c r="E119" s="490"/>
      <x:c r="F119" s="490"/>
      <x:c r="G119" s="490"/>
      <x:c r="H119" s="490"/>
      <x:c r="I119" s="490"/>
      <x:c r="J119" s="490"/>
      <x:c r="K119" s="490"/>
      <x:c r="L119" s="490"/>
      <x:c r="M119" s="490"/>
      <x:c r="N119" s="490"/>
    </x:row>
    <x:row r="120">
      <x:c r="A120" s="490"/>
      <x:c r="B120" s="490"/>
      <x:c r="C120" s="490"/>
      <x:c r="D120" s="490"/>
      <x:c r="E120" s="490"/>
      <x:c r="F120" s="490"/>
      <x:c r="G120" s="490"/>
      <x:c r="H120" s="490"/>
      <x:c r="I120" s="490"/>
      <x:c r="J120" s="490"/>
      <x:c r="K120" s="490"/>
      <x:c r="L120" s="490"/>
      <x:c r="M120" s="490"/>
      <x:c r="N120" s="490"/>
    </x:row>
  </x:sheetData>
  <x:mergeCells>
    <x:mergeCell ref="A1:N2"/>
    <x:mergeCell ref="A3:N3"/>
    <x:mergeCell ref="A5:D5"/>
    <x:mergeCell ref="F5:N5"/>
    <x:mergeCell ref="A19:N19"/>
    <x:mergeCell ref="A33:N33"/>
    <x:mergeCell ref="A43:N43"/>
    <x:mergeCell ref="A57:N57"/>
    <x:mergeCell ref="A73:N73"/>
    <x:mergeCell ref="A88:N88"/>
    <x:mergeCell ref="B90:N90"/>
    <x:mergeCell ref="B91:N91"/>
    <x:mergeCell ref="B92:N92"/>
    <x:mergeCell ref="B93:N93"/>
    <x:mergeCell ref="B94:N94"/>
    <x:mergeCell ref="B95:N95"/>
    <x:mergeCell ref="B96:N96"/>
    <x:mergeCell ref="B97:N97"/>
  </x:mergeCells>
  <x:conditionalFormatting sqref="B75:B86">
    <x:cfRule type="expression" dxfId="141" priority="1">
      <x:formula>B75="ACHIEVED"</x:formula>
    </x:cfRule>
    <x:cfRule type="expression" dxfId="142" priority="2">
      <x:formula>B75="OPEN"</x:formula>
    </x:cfRule>
  </x:conditionalFormatting>
  <x:conditionalFormatting sqref="I75:I81">
    <x:cfRule type="dataBar" priority="3">
      <x:dataBar>
        <x:cfvo type="min"/>
        <x:cfvo type="max"/>
        <x:color rgb="FFD4AF37"/>
      </x:dataBar>
      <x:extLst>
        <x:ext xmlns:x14="http://schemas.microsoft.com/office/spreadsheetml/2009/9/main" uri="{B025F937-C7B1-47D3-B67F-A62EFF666E3E}">
          <x14:id>{86720B76-4408-B300-3DD1-C8575EF4A7D2}</x14:id>
        </x:ext>
      </x:extLst>
    </x:cfRule>
  </x:conditionalFormatting>
  <x:pageMargins left="0.7" right="0.7" top="0.75" bottom="0.75" header="0.3" footer="0.3"/>
  <x:drawing xmlns:r="http://schemas.openxmlformats.org/officeDocument/2006/relationships" r:id="Rc2401c34a5394133"/>
  <x:extLst>
    <x:ext xmlns:x14="http://schemas.microsoft.com/office/spreadsheetml/2009/9/main" xmlns:xm="http://schemas.microsoft.com/office/excel/2006/main" uri="{78C0D931-6437-407d-A8EE-F0AAD7539E65}">
      <x14:conditionalFormattings>
        <x14:conditionalFormatting>
          <x14:cfRule type="dataBar" priority="3" id="{86720B76-4408-B300-3DD1-C8575EF4A7D2}">
            <x14:dataBar gradient="1">
              <x14:cfvo type="min"/>
              <x14:cfvo type="max"/>
              <x14:fillColor rgb="FFD4AF37"/>
            </x14:dataBar>
          </x14:cfRule>
          <xm:sqref>I75:I81</xm:sqref>
        </x14:conditionalFormatting>
      </x14:conditionalFormattings>
    </x:ext>
  </x:extLst>
</x:worksheet>
</file>
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drawings/charts/chart8.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drawings/drawing2.xml" ContentType="application/vnd.openxmlformats-officedocument.drawing+xml"/>
  <Override PartName="/xl/drawings/charts/chart9.xml" ContentType="application/vnd.openxmlformats-officedocument.drawingml.chart+xml"/>
  <Override PartName="/xl/drawings/charts/chart10.xml" ContentType="application/vnd.openxmlformats-officedocument.drawingml.chart+xml"/>
  <Override PartName="/xl/drawings/charts/chart11.xml" ContentType="application/vnd.openxmlformats-officedocument.drawingml.chart+xml"/>
  <Override PartName="/xl/drawings/charts/chart12.xml" ContentType="application/vnd.openxmlformats-officedocument.drawingml.char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worksheets/sheet5.xml" ContentType="application/vnd.openxmlformats-officedocument.spreadsheetml.worksheet+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20.xml" ContentType="application/vnd.openxmlformats-officedocument.spreadsheetml.table+xml"/>
  <Override PartName="/xl/worksheets/sheet8.xml" ContentType="application/vnd.openxmlformats-officedocument.spreadsheetml.worksheet+xml"/>
  <Override PartName="/xl/drawings/drawing3.xml" ContentType="application/vnd.openxmlformats-officedocument.drawing+xml"/>
  <Override PartName="/xl/drawings/charts/chart13.xml" ContentType="application/vnd.openxmlformats-officedocument.drawingml.chart+xml"/>
  <Override PartName="/xl/drawings/charts/chart14.xml" ContentType="application/vnd.openxmlformats-officedocument.drawingml.char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f3a8417cbb4687" /></Relationships>
</file>

<file path=xl/workbook.xml><?xml version="1.0" encoding="utf-8"?>
<x:workbook xmlns:x="http://schemas.openxmlformats.org/spreadsheetml/2006/main">
  <x:sheets>
    <x:sheet xmlns:r="http://schemas.openxmlformats.org/officeDocument/2006/relationships" name="Dashboard" sheetId="1" r:id="Rd1533cda9b4245c9"/>
    <x:sheet xmlns:r="http://schemas.openxmlformats.org/officeDocument/2006/relationships" name="Service Events" sheetId="2" r:id="R62271d85f3804d76"/>
    <x:sheet xmlns:r="http://schemas.openxmlformats.org/officeDocument/2006/relationships" name="Work Orders &amp; Ledger" sheetId="3" r:id="Rb98a994489524539"/>
    <x:sheet xmlns:r="http://schemas.openxmlformats.org/officeDocument/2006/relationships" name="Analytics" sheetId="4" r:id="R32e2c37cad0347d1"/>
    <x:sheet xmlns:r="http://schemas.openxmlformats.org/officeDocument/2006/relationships" name="Exceptions &amp; Audit" sheetId="5" r:id="R18f3c5bdba3a438b"/>
    <x:sheet xmlns:r="http://schemas.openxmlformats.org/officeDocument/2006/relationships" name="Governance" sheetId="6" r:id="R3ae81f2802d3457a"/>
    <x:sheet xmlns:r="http://schemas.openxmlformats.org/officeDocument/2006/relationships" name="Self-Healing Rules" sheetId="7" r:id="Rac6e01348e6d4cac"/>
    <x:sheet xmlns:r="http://schemas.openxmlformats.org/officeDocument/2006/relationships" name="Career Analytics" sheetId="8" r:id="R13e52fab8d5b4fb7"/>
    <x:sheet xmlns:r="http://schemas.openxmlformats.org/officeDocument/2006/relationships" name="Career Eras" sheetId="9" r:id="R733bbf68c82a4dea"/>
    <x:sheet xmlns:r="http://schemas.openxmlformats.org/officeDocument/2006/relationships" name="Month 4 Updates" sheetId="10" r:id="R029cc272018c45ae"/>
    <x:sheet xmlns:r="http://schemas.openxmlformats.org/officeDocument/2006/relationships" name="Month 4 Closeout 2026-07-24" sheetId="11" r:id="Rb27464da4ee547e3"/>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
    <x:numFmt numFmtId="201" formatCode="0.0%"/>
    <x:numFmt numFmtId="202" formatCode="yyyy-mm-dd"/>
    <x:numFmt numFmtId="203" formatCode="0.00"/>
    <x:numFmt numFmtId="204" formatCode="0"/>
    <x:numFmt numFmtId="205" formatCode="mm/dd/yyyy"/>
  </x:numFmts>
  <x:fonts count="42">
    <x:font>
      <x:sz val="11"/>
      <x:name val="Carlito"/>
    </x:font>
    <x:font>
      <x:b/>
      <x:sz val="20"/>
      <x:color rgb="FFFFFFFF"/>
      <x:name val="Carlito"/>
    </x:font>
    <x:font>
      <x:b/>
      <x:sz val="11"/>
      <x:color rgb="FFFFFFFF"/>
      <x:name val="Carlito"/>
    </x:font>
    <x:font>
      <x:b/>
      <x:sz val="11"/>
      <x:color rgb="FF1F2937"/>
      <x:name val="Carlito"/>
    </x:font>
    <x:font>
      <x:b/>
      <x:sz val="18"/>
      <x:color rgb="FFFFFFFF"/>
      <x:name val="Carlito"/>
    </x:font>
    <x:font>
      <x:b/>
      <x:sz val="10"/>
      <x:color rgb="FFFFFFFF"/>
      <x:name val="Aptos"/>
    </x:font>
    <x:font>
      <x:sz val="10"/>
      <x:name val="Aptos"/>
    </x:font>
    <x:font>
      <x:b/>
      <x:sz val="18"/>
      <x:color rgb="FFFFFFFF"/>
      <x:name val="Aptos"/>
    </x:font>
    <x:font>
      <x:b/>
      <x:sz val="11"/>
      <x:name val="Carlito"/>
    </x:font>
    <x:font>
      <x:b/>
      <x:sz val="19"/>
      <x:color rgb="FFFFFFFF"/>
      <x:name val="Aptos"/>
    </x:font>
    <x:font>
      <x:b/>
      <x:sz val="19"/>
      <x:color rgb="FFFFFFFF"/>
      <x:name val="Carlito"/>
    </x:font>
    <x:font>
      <x:b/>
      <x:sz val="22"/>
      <x:color rgb="FFFFFFFF"/>
      <x:name val="Aptos"/>
    </x:font>
    <x:font>
      <x:b/>
      <x:sz val="22"/>
      <x:color rgb="FFFFFFFF"/>
      <x:name val="Carlito"/>
    </x:font>
    <x:font>
      <x:i/>
      <x:sz val="10"/>
      <x:color rgb="FF1F2937"/>
      <x:name val="Carlito"/>
    </x:font>
    <x:font>
      <x:b/>
      <x:sz val="10"/>
      <x:color rgb="FF1F2937"/>
      <x:name val="Carlito"/>
    </x:font>
    <x:font>
      <x:b/>
      <x:sz val="18"/>
      <x:color rgb="FF17365D"/>
      <x:name val="Carlito"/>
    </x:font>
    <x:font>
      <x:b/>
      <x:sz val="17"/>
      <x:color rgb="FFFFFFFF"/>
      <x:name val="Carlito"/>
    </x:font>
    <x:font>
      <x:i/>
      <x:sz val="11"/>
      <x:color rgb="FF1F2937"/>
      <x:name val="Carlito"/>
    </x:font>
    <x:font>
      <x:b/>
      <x:sz val="16"/>
      <x:color rgb="FF17365D"/>
      <x:name val="Carlito"/>
    </x:font>
    <x:font>
      <x:b/>
      <x:sz val="12"/>
      <x:color rgb="FFFFFFFF"/>
      <x:name val="Carlito"/>
    </x:font>
    <x:font>
      <x:b/>
      <x:sz val="15"/>
      <x:color rgb="FFFFFFFF"/>
      <x:name val="Carlito"/>
    </x:font>
    <x:font>
      <x:b/>
      <x:sz val="10"/>
      <x:color rgb="FF1F4E78"/>
      <x:name val="Carlito"/>
    </x:font>
    <x:font>
      <x:b/>
      <x:sz val="11"/>
      <x:color rgb="FF1F4E78"/>
      <x:name val="Carlito"/>
    </x:font>
    <x:font>
      <x:b/>
      <x:sz val="11"/>
      <x:color rgb="FF17365D"/>
      <x:name val="Carlito"/>
    </x:font>
    <x:font>
      <x:i/>
      <x:sz val="11"/>
      <x:color rgb="FF404040"/>
      <x:name val="Carlito"/>
    </x:font>
    <x:font>
      <x:b/>
      <x:sz val="9"/>
      <x:color rgb="FFFFFFFF"/>
      <x:name val="Carlito"/>
    </x:font>
    <x:font>
      <x:sz val="9"/>
      <x:name val="Carlito"/>
    </x:font>
    <x:font>
      <x:b/>
      <x:sz val="14"/>
      <x:color rgb="FFFFFFFF"/>
      <x:name val="Carlito"/>
    </x:font>
    <x:font>
      <x:sz val="11"/>
      <x:color rgb="FF1F2937"/>
      <x:name val="Carlito"/>
    </x:font>
    <x:font>
      <x:sz val="10"/>
      <x:color rgb="FF0B132B"/>
      <x:name val="Aptos"/>
    </x:font>
    <x:font>
      <x:b/>
      <x:sz val="20"/>
      <x:color rgb="FFFFFFFF"/>
      <x:name val="Aptos"/>
    </x:font>
    <x:font>
      <x:b/>
      <x:sz val="13"/>
      <x:color rgb="FFFFFFFF"/>
      <x:name val="Aptos"/>
    </x:font>
    <x:font>
      <x:b/>
      <x:sz val="10"/>
      <x:color rgb="FF14213D"/>
      <x:name val="Aptos"/>
    </x:font>
    <x:font>
      <x:b/>
      <x:sz val="10"/>
      <x:color rgb="FFB8860B"/>
      <x:name val="Aptos"/>
    </x:font>
    <x:font>
      <x:b/>
      <x:sz val="11"/>
      <x:color rgb="FF0B132B"/>
      <x:name val="Aptos"/>
    </x:font>
    <x:font>
      <x:i/>
      <x:sz val="10"/>
      <x:color rgb="FF5F6368"/>
      <x:name val="Aptos"/>
    </x:font>
    <x:font>
      <x:b/>
      <x:sz val="12"/>
      <x:color rgb="FFFFFFFF"/>
      <x:name val="Aptos"/>
    </x:font>
    <x:font>
      <x:b/>
      <x:sz val="16"/>
      <x:color rgb="FFFFFFFF"/>
      <x:name val="Carlito"/>
    </x:font>
    <x:font>
      <x:i/>
      <x:sz val="11"/>
      <x:color rgb="FF1F1F1F"/>
      <x:name val="Carlito"/>
    </x:font>
    <x:font>
      <x:b/>
      <x:sz val="11"/>
      <x:color rgb="FF7F6000"/>
      <x:name val="Carlito"/>
    </x:font>
    <x:font>
      <x:b/>
      <x:sz val="11"/>
      <x:color rgb="FF274E13"/>
      <x:name val="Carlito"/>
    </x:font>
    <x:font>
      <x:b/>
      <x:sz val="10"/>
      <x:color rgb="FF274E13"/>
      <x:name val="Aptos"/>
    </x:font>
  </x:fonts>
  <x:fills count="67">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17365D"/>
      </x:patternFill>
    </x:fill>
    <x:fill>
      <x:patternFill patternType="solid">
        <x:fgColor rgb="FFD9E2F3"/>
      </x:patternFill>
    </x:fill>
    <x:fill>
      <x:patternFill patternType="solid">
        <x:fgColor rgb="FFD9EAF7"/>
      </x:patternFill>
    </x:fill>
    <x:fill>
      <x:patternFill patternType="solid">
        <x:fgColor rgb="FFFFFFFF"/>
      </x:patternFill>
    </x:fill>
    <x:fill>
      <x:patternFill patternType="solid">
        <x:fgColor rgb="FFE2F0D9"/>
      </x:patternFill>
    </x:fill>
    <x:fill>
      <x:patternFill patternType="solid">
        <x:fgColor rgb="FFFFF2CC"/>
      </x:patternFill>
    </x:fill>
    <x:fill>
      <x:patternFill patternType="solid">
        <x:fgColor rgb="FFFCE8E6"/>
      </x:patternFill>
    </x:fill>
    <x:fill>
      <x:patternFill patternType="solid">
        <x:fgColor rgb="FF1F4E78"/>
      </x:patternFill>
    </x:fill>
    <x:fill>
      <x:patternFill patternType="solid">
        <x:fgColor rgb="FF17365D"/>
      </x:patternFill>
    </x:fill>
    <x:fill>
      <x:patternFill patternType="solid">
        <x:fgColor rgb="FF0F6B78"/>
      </x:patternFill>
    </x:fill>
    <x:fill>
      <x:patternFill patternType="solid">
        <x:fgColor rgb="FF1F4E78"/>
      </x:patternFill>
    </x:fill>
    <x:fill>
      <x:patternFill patternType="solid">
        <x:fgColor rgb="FFD9EAF7"/>
      </x:patternFill>
    </x:fill>
    <x:fill>
      <x:patternFill patternType="solid">
        <x:fgColor rgb="FF17365D"/>
      </x:patternFill>
    </x:fill>
    <x:fill>
      <x:patternFill patternType="solid">
        <x:fgColor rgb="FFD9E2F3"/>
      </x:patternFill>
    </x:fill>
    <x:fill>
      <x:patternFill patternType="solid">
        <x:fgColor rgb="FFD9EAF7"/>
      </x:patternFill>
    </x:fill>
    <x:fill>
      <x:patternFill patternType="solid">
        <x:fgColor rgb="FFF4CCCC"/>
      </x:patternFill>
    </x:fill>
    <x:fill>
      <x:patternFill patternType="solid">
        <x:fgColor rgb="FFFCE4D6"/>
      </x:patternFill>
    </x:fill>
    <x:fill>
      <x:patternFill patternType="solid">
        <x:fgColor rgb="FFFFF2CC"/>
      </x:patternFill>
    </x:fill>
    <x:fill>
      <x:patternFill patternType="solid">
        <x:fgColor rgb="FF1F4E78"/>
      </x:patternFill>
    </x:fill>
    <x:fill>
      <x:patternFill patternType="solid">
        <x:fgColor rgb="FF17365D"/>
      </x:patternFill>
    </x:fill>
    <x:fill>
      <x:patternFill patternType="solid">
        <x:fgColor rgb="FF1F4E78"/>
      </x:patternFill>
    </x:fill>
    <x:fill>
      <x:patternFill patternType="solid">
        <x:fgColor rgb="FF0F6B78"/>
      </x:patternFill>
    </x:fill>
    <x:fill>
      <x:patternFill patternType="solid">
        <x:fgColor rgb="FFD9EAF7"/>
      </x:patternFill>
    </x:fill>
    <x:fill>
      <x:patternFill patternType="solid">
        <x:fgColor rgb="FFD9EAF7"/>
      </x:patternFill>
    </x:fill>
    <x:fill>
      <x:patternFill patternType="solid">
        <x:fgColor rgb="FFD9EAF7"/>
      </x:patternFill>
    </x:fill>
    <x:fill>
      <x:patternFill patternType="solid">
        <x:fgColor rgb="FFEAF2F8"/>
      </x:patternFill>
    </x:fill>
    <x:fill>
      <x:patternFill patternType="solid">
        <x:fgColor rgb="FFD9EAF7"/>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F2F2F2"/>
      </x:patternFill>
    </x:fill>
    <x:fill>
      <x:patternFill patternType="solid">
        <x:fgColor rgb="FF1F4E78"/>
      </x:patternFill>
    </x:fill>
    <x:fill>
      <x:patternFill patternType="solid">
        <x:fgColor rgb="FFEAF3F8"/>
      </x:patternFill>
    </x:fill>
    <x:fill>
      <x:patternFill patternType="solid">
        <x:fgColor rgb="FF17365D"/>
      </x:patternFill>
    </x:fill>
    <x:fill>
      <x:patternFill patternType="solid">
        <x:fgColor rgb="FFD9E2F3"/>
      </x:patternFill>
    </x:fill>
    <x:fill>
      <x:patternFill patternType="solid">
        <x:fgColor rgb="FFD9EAF7"/>
      </x:patternFill>
    </x:fill>
    <x:fill>
      <x:patternFill patternType="solid">
        <x:fgColor rgb="FFE2F0D9"/>
      </x:patternFill>
    </x:fill>
    <x:fill>
      <x:patternFill patternType="solid">
        <x:fgColor rgb="FFFFF2CC"/>
      </x:patternFill>
    </x:fill>
    <x:fill>
      <x:patternFill patternType="solid">
        <x:fgColor rgb="FFFCE4D6"/>
      </x:patternFill>
    </x:fill>
    <x:fill>
      <x:patternFill patternType="solid">
        <x:fgColor rgb="FF24557A"/>
      </x:patternFill>
    </x:fill>
    <x:fill>
      <x:patternFill patternType="solid">
        <x:fgColor rgb="FFF3F6FA"/>
      </x:patternFill>
    </x:fill>
    <x:fill>
      <x:patternFill patternType="solid">
        <x:fgColor rgb="FFD9EAF7"/>
      </x:patternFill>
    </x:fill>
    <x:fill>
      <x:patternFill patternType="solid">
        <x:fgColor rgb="FFF7FAFC"/>
      </x:patternFill>
    </x:fill>
    <x:fill>
      <x:patternFill patternType="solid">
        <x:fgColor rgb="FFEAF3F8"/>
      </x:patternFill>
    </x:fill>
    <x:fill>
      <x:patternFill patternType="solid">
        <x:fgColor rgb="FFD9EAF7"/>
      </x:patternFill>
    </x:fill>
    <x:fill>
      <x:patternFill patternType="solid">
        <x:fgColor rgb="FF14213D"/>
      </x:patternFill>
    </x:fill>
    <x:fill>
      <x:patternFill patternType="solid">
        <x:fgColor rgb="FFB8860B"/>
      </x:patternFill>
    </x:fill>
    <x:fill>
      <x:patternFill patternType="solid">
        <x:fgColor rgb="FF0B132B"/>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FCE5CD"/>
      </x:patternFill>
    </x:fill>
    <x:fill>
      <x:patternFill patternType="solid">
        <x:fgColor rgb="FFD9EAD3"/>
      </x:patternFill>
    </x:fill>
    <x:fill>
      <x:patternFill patternType="solid">
        <x:fgColor rgb="FF1F4E78"/>
      </x:patternFill>
    </x:fill>
    <x:fill>
      <x:patternFill patternType="solid">
        <x:fgColor rgb="FFD9EAF7"/>
      </x:patternFill>
    </x:fill>
    <x:fill>
      <x:patternFill patternType="solid">
        <x:fgColor rgb="FF5B9BD5"/>
      </x:patternFill>
    </x:fill>
  </x:fills>
  <x:borders count="2">
    <x:border/>
    <x:border/>
  </x:borders>
  <x:cellStyleXfs count="1">
    <x:xf numFmtId="0" fontId="0" fillId="0" borderId="0"/>
  </x:cellStyleXfs>
  <x:cellXfs count="64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center"/>
    </x:xf>
    <x:xf numFmtId="0" fontId="0" fillId="0" borderId="0" xfId="0" applyNumberFormat="1" applyFont="1" applyFill="1" applyBorder="1"/>
    <x:xf numFmtId="200" fontId="3" fillId="4" borderId="0" xfId="0" applyNumberFormat="1" applyFont="1" applyFill="1" applyBorder="1" applyAlignment="1">
      <x:alignment vertical="center"/>
    </x:xf>
    <x:xf numFmtId="200" fontId="0" fillId="0" borderId="0" xfId="0" applyNumberFormat="1" applyFont="1" applyFill="1" applyBorder="1"/>
    <x:xf numFmtId="200" fontId="3" fillId="4" borderId="1" xfId="0" applyNumberFormat="1" applyFont="1" applyFill="1" applyBorder="1" applyAlignment="1">
      <x:alignment vertical="center"/>
    </x:xf>
    <x:xf numFmtId="200" fontId="0" fillId="0" borderId="1"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4" fillId="2" borderId="1" xfId="0" applyNumberFormat="1" applyFont="1" applyFill="1" applyBorder="1" applyAlignment="1">
      <x:alignment horizontal="center" vertical="center"/>
    </x:xf>
    <x:xf numFmtId="0" fontId="5" fillId="2" borderId="0" xfId="0" applyNumberFormat="1" applyFont="1" applyFill="1" applyBorder="1" applyAlignment="1">
      <x:alignment horizontal="center" vertical="center"/>
    </x:xf>
    <x:xf numFmtId="0" fontId="6" fillId="0" borderId="0" xfId="0" applyNumberFormat="1" applyFont="1" applyFill="1" applyBorder="1"/>
    <x:xf numFmtId="0" fontId="5" fillId="2" borderId="1" xfId="0" applyNumberFormat="1" applyFont="1" applyFill="1" applyBorder="1" applyAlignment="1">
      <x:alignment horizontal="center" vertical="center"/>
    </x:xf>
    <x:xf numFmtId="0" fontId="6" fillId="0" borderId="1" xfId="0" applyNumberFormat="1" applyFont="1" applyFill="1" applyBorder="1"/>
    <x:xf numFmtId="0" fontId="5" fillId="2" borderId="0" xfId="0" applyNumberFormat="1" applyFont="1" applyFill="1" applyBorder="1" applyAlignment="1">
      <x:alignment horizontal="center" vertical="top"/>
    </x:xf>
    <x:xf numFmtId="0" fontId="6" fillId="0" borderId="0" xfId="0" applyNumberFormat="1" applyFont="1" applyFill="1" applyBorder="1" applyAlignment="1">
      <x:alignment vertical="top"/>
    </x:xf>
    <x:xf numFmtId="0" fontId="5" fillId="2" borderId="1" xfId="0" applyNumberFormat="1" applyFont="1" applyFill="1" applyBorder="1" applyAlignment="1">
      <x:alignment horizontal="center" vertical="top"/>
    </x:xf>
    <x:xf numFmtId="0" fontId="6" fillId="0" borderId="1" xfId="0" applyNumberFormat="1" applyFont="1" applyFill="1" applyBorder="1" applyAlignment="1">
      <x:alignment vertical="top"/>
    </x:xf>
    <x:xf numFmtId="0" fontId="5" fillId="2" borderId="0" xfId="0" applyNumberFormat="1" applyFont="1" applyFill="1" applyBorder="1" applyAlignment="1">
      <x:alignment horizontal="center" vertical="top" wrapText="1"/>
    </x:xf>
    <x:xf numFmtId="0" fontId="6" fillId="0" borderId="0" xfId="0" applyNumberFormat="1" applyFont="1" applyFill="1" applyBorder="1" applyAlignment="1">
      <x:alignment vertical="top" wrapText="1"/>
    </x:xf>
    <x:xf numFmtId="0" fontId="5" fillId="2" borderId="1" xfId="0" applyNumberFormat="1" applyFont="1" applyFill="1" applyBorder="1" applyAlignment="1">
      <x:alignment horizontal="center" vertical="top" wrapText="1"/>
    </x:xf>
    <x:xf numFmtId="0" fontId="6" fillId="0" borderId="1" xfId="0" applyNumberFormat="1" applyFont="1" applyFill="1" applyBorder="1" applyAlignment="1">
      <x:alignment vertical="top" wrapText="1"/>
    </x:xf>
    <x:xf numFmtId="0" fontId="5" fillId="5" borderId="0" xfId="0" applyNumberFormat="1" applyFont="1" applyFill="1" applyBorder="1" applyAlignment="1">
      <x:alignment horizontal="center" vertical="top" wrapText="1"/>
    </x:xf>
    <x:xf numFmtId="0" fontId="6" fillId="5" borderId="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5" fillId="5" borderId="0" xfId="0" applyNumberFormat="1" applyFont="1" applyFill="1" applyBorder="1" applyAlignment="1">
      <x:alignment horizontal="center" vertical="center"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2" fillId="5" borderId="0" xfId="0" applyNumberFormat="1" applyFont="1" applyFill="1" applyBorder="1" applyAlignment="1">
      <x:alignment horizontal="center" vertical="center"/>
    </x:xf>
    <x:xf numFmtId="0" fontId="4" fillId="5" borderId="0" xfId="0" applyNumberFormat="1" applyFont="1" applyFill="1" applyBorder="1" applyAlignment="1">
      <x:alignment horizontal="center" vertical="center"/>
    </x:xf>
    <x:xf numFmtId="0" fontId="7" fillId="5" borderId="0" xfId="0" applyNumberFormat="1" applyFont="1" applyFill="1" applyBorder="1" applyAlignment="1">
      <x:alignment horizontal="center" vertical="top" wrapText="1"/>
    </x:xf>
    <x:xf numFmtId="0" fontId="7" fillId="5" borderId="0" xfId="0" applyNumberFormat="1" applyFont="1" applyFill="1" applyBorder="1" applyAlignment="1">
      <x:alignment horizontal="center" vertical="center" wrapText="1"/>
    </x:xf>
    <x:xf numFmtId="0" fontId="2" fillId="6" borderId="0" xfId="0" applyNumberFormat="1" applyFont="1" applyFill="1" applyBorder="1" applyAlignment="1">
      <x:alignment vertical="center"/>
    </x:xf>
    <x:xf numFmtId="0" fontId="0" fillId="6" borderId="0" xfId="0" applyNumberFormat="1" applyFont="1" applyFill="1" applyBorder="1"/>
    <x:xf numFmtId="0" fontId="2" fillId="6" borderId="0" xfId="0" applyNumberFormat="1" applyFont="1" applyFill="1" applyBorder="1"/>
    <x:xf numFmtId="200" fontId="2" fillId="3" borderId="0" xfId="0" applyNumberFormat="1" applyFont="1" applyFill="1" applyBorder="1" applyAlignment="1">
      <x:alignment vertical="center"/>
    </x:xf>
    <x:xf numFmtId="200" fontId="2" fillId="2" borderId="0" xfId="0" applyNumberFormat="1" applyFont="1" applyFill="1" applyBorder="1" applyAlignment="1">
      <x:alignment horizontal="center" vertical="center"/>
    </x:xf>
    <x:xf numFmtId="0" fontId="5" fillId="5" borderId="0" xfId="0" applyNumberFormat="1" applyFont="1" applyFill="1" applyBorder="1" applyAlignment="1">
      <x:alignment horizontal="center" vertical="center"/>
    </x:xf>
    <x:xf numFmtId="0" fontId="5" fillId="5" borderId="0" xfId="0" applyNumberFormat="1" applyFont="1" applyFill="1" applyBorder="1" applyAlignment="1">
      <x:alignment horizontal="center" vertical="top"/>
    </x:xf>
    <x:xf numFmtId="0" fontId="0" fillId="7" borderId="0" xfId="0" applyNumberFormat="1" applyFont="1" applyFill="1" applyBorder="1"/>
    <x:xf numFmtId="0" fontId="8" fillId="7" borderId="0" xfId="0" applyNumberFormat="1" applyFont="1" applyFill="1" applyBorder="1"/>
    <x:xf numFmtId="0" fontId="6" fillId="2" borderId="0" xfId="0" applyNumberFormat="1" applyFont="1" applyFill="1" applyBorder="1" applyAlignment="1">
      <x:alignment vertical="top" wrapText="1"/>
    </x:xf>
    <x:xf numFmtId="0" fontId="5" fillId="2" borderId="0" xfId="0" applyNumberFormat="1" applyFont="1" applyFill="1" applyBorder="1" applyAlignment="1">
      <x:alignment vertical="top" wrapText="1"/>
    </x:xf>
    <x:xf numFmtId="0" fontId="5" fillId="2" borderId="0" xfId="0" applyNumberFormat="1" applyFont="1" applyFill="1" applyBorder="1" applyAlignment="1">
      <x:alignment horizontal="center" vertical="center" wrapText="1"/>
    </x:xf>
    <x:xf numFmtId="0" fontId="7" fillId="2" borderId="0" xfId="0" applyNumberFormat="1" applyFont="1" applyFill="1" applyBorder="1" applyAlignment="1">
      <x:alignment horizontal="center" vertical="top" wrapText="1"/>
    </x:xf>
    <x:xf numFmtId="0" fontId="7" fillId="2" borderId="0" xfId="0" applyNumberFormat="1" applyFont="1" applyFill="1" applyBorder="1" applyAlignment="1">
      <x:alignment horizontal="center" vertical="center" wrapText="1"/>
    </x:xf>
    <x:xf numFmtId="0" fontId="8" fillId="4" borderId="0" xfId="0" applyNumberFormat="1" applyFont="1" applyFill="1" applyBorder="1"/>
    <x:xf numFmtId="0" fontId="5" fillId="8" borderId="0" xfId="0" applyNumberFormat="1" applyFont="1" applyFill="1" applyBorder="1" applyAlignment="1">
      <x:alignment horizontal="center" vertical="top" wrapText="1"/>
    </x:xf>
    <x:xf numFmtId="0" fontId="6" fillId="8" borderId="0" xfId="0" applyNumberFormat="1" applyFont="1" applyFill="1" applyBorder="1" applyAlignment="1">
      <x:alignment vertical="top" wrapText="1"/>
    </x:xf>
    <x:xf numFmtId="0" fontId="4" fillId="8" borderId="0" xfId="0" applyNumberFormat="1" applyFont="1" applyFill="1" applyBorder="1" applyAlignment="1">
      <x:alignment horizontal="center" vertical="center"/>
    </x:xf>
    <x:xf numFmtId="0" fontId="0" fillId="8" borderId="0" xfId="0" applyNumberFormat="1" applyFont="1" applyFill="1" applyBorder="1"/>
    <x:xf numFmtId="0" fontId="9" fillId="8" borderId="0" xfId="0" applyNumberFormat="1" applyFont="1" applyFill="1" applyBorder="1" applyAlignment="1">
      <x:alignment horizontal="center" vertical="top" wrapText="1"/>
    </x:xf>
    <x:xf numFmtId="0" fontId="9" fillId="8" borderId="0" xfId="0" applyNumberFormat="1" applyFont="1" applyFill="1" applyBorder="1" applyAlignment="1">
      <x:alignment vertical="top" wrapText="1"/>
    </x:xf>
    <x:xf numFmtId="0" fontId="10" fillId="8" borderId="0" xfId="0" applyNumberFormat="1" applyFont="1" applyFill="1" applyBorder="1" applyAlignment="1">
      <x:alignment horizontal="center" vertical="center"/>
    </x:xf>
    <x:xf numFmtId="0" fontId="10" fillId="8" borderId="0" xfId="0" applyNumberFormat="1" applyFont="1" applyFill="1" applyBorder="1"/>
    <x:xf numFmtId="0" fontId="10" fillId="8" borderId="0" xfId="0" applyNumberFormat="1" applyFont="1" applyFill="1" applyBorder="1" applyAlignment="1">
      <x:alignment horizontal="center"/>
    </x:xf>
    <x:xf numFmtId="0" fontId="9" fillId="8" borderId="0" xfId="0" applyNumberFormat="1" applyFont="1" applyFill="1" applyBorder="1" applyAlignment="1">
      <x:alignment horizontal="center" vertical="center" wrapText="1"/>
    </x:xf>
    <x:xf numFmtId="0" fontId="2" fillId="9" borderId="0" xfId="0" applyNumberFormat="1" applyFont="1" applyFill="1" applyBorder="1" applyAlignment="1">
      <x:alignment horizontal="center" vertical="center"/>
    </x:xf>
    <x:xf numFmtId="0" fontId="0" fillId="10" borderId="0" xfId="0" applyNumberFormat="1" applyFont="1" applyFill="1" applyBorder="1"/>
    <x:xf numFmtId="0" fontId="3" fillId="10" borderId="0" xfId="0" applyNumberFormat="1" applyFont="1" applyFill="1" applyBorder="1"/>
    <x:xf numFmtId="0" fontId="0" fillId="9" borderId="0" xfId="0" applyNumberFormat="1" applyFont="1" applyFill="1" applyBorder="1"/>
    <x:xf numFmtId="0" fontId="2" fillId="9"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horizontal="center"/>
    </x:xf>
    <x:xf numFmtId="0" fontId="2" fillId="8" borderId="0" xfId="0" applyNumberFormat="1" applyFont="1" applyFill="1" applyBorder="1" applyAlignment="1">
      <x:alignment horizontal="center" vertical="center"/>
    </x:xf>
    <x:xf numFmtId="0" fontId="2" fillId="9" borderId="0" xfId="0" applyNumberFormat="1" applyFont="1" applyFill="1" applyBorder="1" applyAlignment="1">
      <x:alignment vertical="center"/>
    </x:xf>
    <x:xf numFmtId="0" fontId="8" fillId="10" borderId="0" xfId="0" applyNumberFormat="1" applyFont="1" applyFill="1" applyBorder="1"/>
    <x:xf numFmtId="0" fontId="5" fillId="8" borderId="0" xfId="0" applyNumberFormat="1" applyFont="1" applyFill="1" applyBorder="1" applyAlignment="1">
      <x:alignment horizontal="center" vertical="center" wrapText="1"/>
    </x:xf>
    <x:xf numFmtId="0" fontId="9" fillId="2" borderId="0" xfId="0" applyNumberFormat="1" applyFont="1" applyFill="1" applyBorder="1" applyAlignment="1">
      <x:alignment horizontal="center" vertical="top" wrapText="1"/>
    </x:xf>
    <x:xf numFmtId="0" fontId="9" fillId="2" borderId="0" xfId="0" applyNumberFormat="1" applyFont="1" applyFill="1" applyBorder="1" applyAlignment="1">
      <x:alignment vertical="top" wrapText="1"/>
    </x:xf>
    <x:xf numFmtId="0" fontId="10" fillId="2" borderId="0" xfId="0" applyNumberFormat="1" applyFont="1" applyFill="1" applyBorder="1" applyAlignment="1">
      <x:alignment horizontal="center" vertical="center"/>
    </x:xf>
    <x:xf numFmtId="0" fontId="10" fillId="2" borderId="0" xfId="0" applyNumberFormat="1" applyFont="1" applyFill="1" applyBorder="1"/>
    <x:xf numFmtId="0" fontId="10" fillId="2" borderId="0" xfId="0" applyNumberFormat="1" applyFont="1" applyFill="1" applyBorder="1" applyAlignment="1">
      <x:alignment horizontal="center"/>
    </x:xf>
    <x:xf numFmtId="0" fontId="9"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x:xf>
    <x:xf numFmtId="0" fontId="5" fillId="11" borderId="0" xfId="0" applyNumberFormat="1" applyFont="1" applyFill="1" applyBorder="1" applyAlignment="1">
      <x:alignment horizontal="center" vertical="top" wrapText="1"/>
    </x:xf>
    <x:xf numFmtId="0" fontId="6" fillId="11" borderId="0" xfId="0" applyNumberFormat="1" applyFont="1" applyFill="1" applyBorder="1" applyAlignment="1">
      <x:alignment vertical="top" wrapText="1"/>
    </x:xf>
    <x:xf numFmtId="0" fontId="1" fillId="11" borderId="0" xfId="0" applyNumberFormat="1" applyFont="1" applyFill="1" applyBorder="1" applyAlignment="1">
      <x:alignment horizontal="center" vertical="center"/>
    </x:xf>
    <x:xf numFmtId="0" fontId="0" fillId="11" borderId="0" xfId="0" applyNumberFormat="1" applyFont="1" applyFill="1" applyBorder="1"/>
    <x:xf numFmtId="0" fontId="11" fillId="11" borderId="0" xfId="0" applyNumberFormat="1" applyFont="1" applyFill="1" applyBorder="1" applyAlignment="1">
      <x:alignment horizontal="center" vertical="top" wrapText="1"/>
    </x:xf>
    <x:xf numFmtId="0" fontId="11" fillId="11" borderId="0" xfId="0" applyNumberFormat="1" applyFont="1" applyFill="1" applyBorder="1" applyAlignment="1">
      <x:alignment vertical="top" wrapText="1"/>
    </x:xf>
    <x:xf numFmtId="0" fontId="12" fillId="11" borderId="0" xfId="0" applyNumberFormat="1" applyFont="1" applyFill="1" applyBorder="1" applyAlignment="1">
      <x:alignment horizontal="center" vertical="center"/>
    </x:xf>
    <x:xf numFmtId="0" fontId="12" fillId="11" borderId="0" xfId="0" applyNumberFormat="1" applyFont="1" applyFill="1" applyBorder="1"/>
    <x:xf numFmtId="0" fontId="12" fillId="11" borderId="0" xfId="0" applyNumberFormat="1" applyFont="1" applyFill="1" applyBorder="1" applyAlignment="1">
      <x:alignment horizontal="center"/>
    </x:xf>
    <x:xf numFmtId="0" fontId="11" fillId="11" borderId="0" xfId="0" applyNumberFormat="1" applyFont="1" applyFill="1" applyBorder="1" applyAlignment="1">
      <x:alignment horizontal="center" vertical="center" wrapText="1"/>
    </x:xf>
    <x:xf numFmtId="0" fontId="0" fillId="12" borderId="0" xfId="0" applyNumberFormat="1" applyFont="1" applyFill="1" applyBorder="1"/>
    <x:xf numFmtId="0" fontId="13" fillId="12" borderId="0" xfId="0" applyNumberFormat="1" applyFont="1" applyFill="1" applyBorder="1"/>
    <x:xf numFmtId="0" fontId="13" fillId="12" borderId="0" xfId="0" applyNumberFormat="1" applyFont="1" applyFill="1" applyBorder="1" applyAlignment="1">
      <x:alignment horizontal="center"/>
    </x:xf>
    <x:xf numFmtId="0" fontId="3" fillId="13" borderId="0" xfId="0" applyNumberFormat="1" applyFont="1" applyFill="1" applyBorder="1" applyAlignment="1">
      <x:alignment vertical="center"/>
    </x:xf>
    <x:xf numFmtId="0" fontId="0" fillId="13" borderId="0" xfId="0" applyNumberFormat="1" applyFont="1" applyFill="1" applyBorder="1"/>
    <x:xf numFmtId="0" fontId="14" fillId="13" borderId="0" xfId="0" applyNumberFormat="1" applyFont="1" applyFill="1" applyBorder="1" applyAlignment="1">
      <x:alignment vertical="center"/>
    </x:xf>
    <x:xf numFmtId="0" fontId="14" fillId="13" borderId="0" xfId="0" applyNumberFormat="1" applyFont="1" applyFill="1" applyBorder="1"/>
    <x:xf numFmtId="0" fontId="14" fillId="13" borderId="0" xfId="0" applyNumberFormat="1" applyFont="1" applyFill="1" applyBorder="1" applyAlignment="1">
      <x:alignment horizontal="center" vertical="center"/>
    </x:xf>
    <x:xf numFmtId="0" fontId="14" fillId="13" borderId="0" xfId="0" applyNumberFormat="1" applyFont="1" applyFill="1" applyBorder="1" applyAlignment="1">
      <x:alignment horizontal="center"/>
    </x:xf>
    <x:xf numFmtId="0" fontId="3" fillId="14" borderId="0" xfId="0" applyNumberFormat="1" applyFont="1" applyFill="1" applyBorder="1" applyAlignment="1">
      <x:alignment vertical="center"/>
    </x:xf>
    <x:xf numFmtId="0" fontId="0" fillId="14" borderId="0" xfId="0" applyNumberFormat="1" applyFont="1" applyFill="1" applyBorder="1"/>
    <x:xf numFmtId="0" fontId="15" fillId="14" borderId="0" xfId="0" applyNumberFormat="1" applyFont="1" applyFill="1" applyBorder="1" applyAlignment="1">
      <x:alignment vertical="center"/>
    </x:xf>
    <x:xf numFmtId="0" fontId="15" fillId="14" borderId="0" xfId="0" applyNumberFormat="1" applyFont="1" applyFill="1" applyBorder="1"/>
    <x:xf numFmtId="0" fontId="15" fillId="14" xfId="0" applyNumberFormat="1" applyFont="1" applyFill="1" applyBorder="0" applyAlignment="1">
      <x:alignment vertical="center"/>
    </x:xf>
    <x:xf numFmtId="0" fontId="15" fillId="14" xfId="0" applyNumberFormat="1" applyFont="1" applyFill="1" applyBorder="0"/>
    <x:xf numFmtId="0" fontId="15" fillId="14" xfId="0" applyNumberFormat="1" applyFont="1" applyFill="1" applyBorder="0" applyAlignment="1">
      <x:alignment horizontal="center" vertical="center"/>
    </x:xf>
    <x:xf numFmtId="0" fontId="15" fillId="14" xfId="0" applyNumberFormat="1" applyFont="1" applyFill="1" applyBorder="0" applyAlignment="1">
      <x:alignment horizontal="center"/>
    </x:xf>
    <x:xf numFmtId="200" fontId="3" fillId="13" borderId="0" xfId="0" applyNumberFormat="1" applyFont="1" applyFill="1" applyBorder="1" applyAlignment="1">
      <x:alignment vertical="center"/>
    </x:xf>
    <x:xf numFmtId="200" fontId="0" fillId="13" borderId="0" xfId="0" applyNumberFormat="1" applyFont="1" applyFill="1" applyBorder="1"/>
    <x:xf numFmtId="200" fontId="14" fillId="13" borderId="0" xfId="0" applyNumberFormat="1" applyFont="1" applyFill="1" applyBorder="1" applyAlignment="1">
      <x:alignment vertical="center"/>
    </x:xf>
    <x:xf numFmtId="200" fontId="14" fillId="13" borderId="0" xfId="0" applyNumberFormat="1" applyFont="1" applyFill="1" applyBorder="1"/>
    <x:xf numFmtId="200" fontId="14" fillId="13" borderId="0" xfId="0" applyNumberFormat="1" applyFont="1" applyFill="1" applyBorder="1" applyAlignment="1">
      <x:alignment horizontal="center" vertical="center"/>
    </x:xf>
    <x:xf numFmtId="200" fontId="14" fillId="13" borderId="0" xfId="0" applyNumberFormat="1" applyFont="1" applyFill="1" applyBorder="1" applyAlignment="1">
      <x:alignment horizontal="center"/>
    </x:xf>
    <x:xf numFmtId="0" fontId="3" fillId="15" borderId="0" xfId="0" applyNumberFormat="1" applyFont="1" applyFill="1" applyBorder="1" applyAlignment="1">
      <x:alignment vertical="center"/>
    </x:xf>
    <x:xf numFmtId="0" fontId="0" fillId="15" borderId="0" xfId="0" applyNumberFormat="1" applyFont="1" applyFill="1" applyBorder="1"/>
    <x:xf numFmtId="0" fontId="15" fillId="15" borderId="0" xfId="0" applyNumberFormat="1" applyFont="1" applyFill="1" applyBorder="1" applyAlignment="1">
      <x:alignment vertical="center"/>
    </x:xf>
    <x:xf numFmtId="0" fontId="15" fillId="15" borderId="0" xfId="0" applyNumberFormat="1" applyFont="1" applyFill="1" applyBorder="1"/>
    <x:xf numFmtId="0" fontId="15" fillId="15" xfId="0" applyNumberFormat="1" applyFont="1" applyFill="1" applyBorder="0" applyAlignment="1">
      <x:alignment vertical="center"/>
    </x:xf>
    <x:xf numFmtId="0" fontId="15" fillId="15" xfId="0" applyNumberFormat="1" applyFont="1" applyFill="1" applyBorder="0"/>
    <x:xf numFmtId="0" fontId="15" fillId="15" xfId="0" applyNumberFormat="1" applyFont="1" applyFill="1" applyBorder="0" applyAlignment="1">
      <x:alignment horizontal="center" vertical="center"/>
    </x:xf>
    <x:xf numFmtId="0" fontId="15" fillId="15" xfId="0" applyNumberFormat="1" applyFont="1" applyFill="1" applyBorder="0" applyAlignment="1">
      <x:alignment horizontal="center"/>
    </x:xf>
    <x:xf numFmtId="200" fontId="15" fillId="15" xfId="0" applyNumberFormat="1" applyFont="1" applyFill="1" applyBorder="0" applyAlignment="1">
      <x:alignment horizontal="center" vertical="center"/>
    </x:xf>
    <x:xf numFmtId="0" fontId="0" fillId="16" borderId="0" xfId="0" applyNumberFormat="1" applyFont="1" applyFill="1" applyBorder="1"/>
    <x:xf numFmtId="0" fontId="15" fillId="16" borderId="0" xfId="0" applyNumberFormat="1" applyFont="1" applyFill="1" applyBorder="1"/>
    <x:xf numFmtId="0" fontId="15" fillId="16" xfId="0" applyNumberFormat="1" applyFont="1" applyFill="1" applyBorder="0"/>
    <x:xf numFmtId="0" fontId="15" fillId="16" xfId="0" applyNumberFormat="1" applyFont="1" applyFill="1" applyBorder="0" applyAlignment="1">
      <x:alignment horizontal="center"/>
    </x:xf>
    <x:xf numFmtId="0" fontId="15" fillId="16" xfId="0" applyNumberFormat="1" applyFont="1" applyFill="1" applyBorder="0" applyAlignment="1">
      <x:alignment horizontal="center" vertical="center"/>
    </x:xf>
    <x:xf numFmtId="0" fontId="0" fillId="17" borderId="0" xfId="0" applyNumberFormat="1" applyFont="1" applyFill="1" applyBorder="1"/>
    <x:xf numFmtId="0" fontId="15" fillId="17" borderId="0" xfId="0" applyNumberFormat="1" applyFont="1" applyFill="1" applyBorder="1"/>
    <x:xf numFmtId="0" fontId="15" fillId="17" xfId="0" applyNumberFormat="1" applyFont="1" applyFill="1" applyBorder="0"/>
    <x:xf numFmtId="0" fontId="15" fillId="17" xfId="0" applyNumberFormat="1" applyFont="1" applyFill="1" applyBorder="0" applyAlignment="1">
      <x:alignment horizontal="center"/>
    </x:xf>
    <x:xf numFmtId="0" fontId="15" fillId="17" xfId="0" applyNumberFormat="1" applyFont="1" applyFill="1" applyBorder="0" applyAlignment="1">
      <x:alignment horizontal="center" vertical="center"/>
    </x:xf>
    <x:xf numFmtId="0" fontId="2" fillId="18" borderId="0" xfId="0" applyNumberFormat="1" applyFont="1" applyFill="1" applyBorder="1" applyAlignment="1">
      <x:alignment horizontal="center" vertical="center"/>
    </x:xf>
    <x:xf numFmtId="0" fontId="0" fillId="18" borderId="0" xfId="0" applyNumberFormat="1" applyFont="1" applyFill="1" applyBorder="1"/>
    <x:xf numFmtId="0" fontId="2" fillId="18" borderId="0" xfId="0" applyNumberFormat="1" applyFont="1" applyFill="1" applyBorder="1"/>
    <x:xf numFmtId="0" fontId="2" fillId="18" borderId="0" xfId="0" applyNumberFormat="1" applyFont="1" applyFill="1" applyBorder="1" applyAlignment="1">
      <x:alignment vertical="center"/>
    </x:xf>
    <x:xf numFmtId="200" fontId="0" fillId="14" borderId="0" xfId="0" applyNumberFormat="1" applyFont="1" applyFill="1" applyBorder="1"/>
    <x:xf numFmtId="200" fontId="15" fillId="14" borderId="0" xfId="0" applyNumberFormat="1" applyFont="1" applyFill="1" applyBorder="1"/>
    <x:xf numFmtId="200" fontId="15" fillId="14" xfId="0" applyNumberFormat="1" applyFont="1" applyFill="1" applyBorder="0"/>
    <x:xf numFmtId="200" fontId="15" fillId="14" xfId="0" applyNumberFormat="1" applyFont="1" applyFill="1" applyBorder="0" applyAlignment="1">
      <x:alignment horizontal="center"/>
    </x:xf>
    <x:xf numFmtId="200" fontId="15" fillId="14" xfId="0" applyNumberFormat="1" applyFont="1" applyFill="1" applyBorder="0" applyAlignment="1">
      <x:alignment horizontal="center" vertical="center"/>
    </x:xf>
    <x:xf numFmtId="201" fontId="0" fillId="13" borderId="0" xfId="0" applyNumberFormat="1" applyFont="1" applyFill="1" applyBorder="1"/>
    <x:xf numFmtId="201" fontId="14" fillId="13" borderId="0" xfId="0" applyNumberFormat="1" applyFont="1" applyFill="1" applyBorder="1"/>
    <x:xf numFmtId="201" fontId="14" fillId="13" borderId="0" xfId="0" applyNumberFormat="1" applyFont="1" applyFill="1" applyBorder="1" applyAlignment="1">
      <x:alignment horizontal="center"/>
    </x:xf>
    <x:xf numFmtId="201" fontId="14" fillId="13" borderId="0" xfId="0" applyNumberFormat="1" applyFont="1" applyFill="1" applyBorder="1" applyAlignment="1">
      <x:alignment horizontal="center" vertical="center"/>
    </x:xf>
    <x:xf numFmtId="201" fontId="0" fillId="14" borderId="0" xfId="0" applyNumberFormat="1" applyFont="1" applyFill="1" applyBorder="1"/>
    <x:xf numFmtId="201" fontId="15" fillId="14" borderId="0" xfId="0" applyNumberFormat="1" applyFont="1" applyFill="1" applyBorder="1"/>
    <x:xf numFmtId="201" fontId="15" fillId="14" xfId="0" applyNumberFormat="1" applyFont="1" applyFill="1" applyBorder="0"/>
    <x:xf numFmtId="201" fontId="15" fillId="14" xfId="0" applyNumberFormat="1" applyFont="1" applyFill="1" applyBorder="0" applyAlignment="1">
      <x:alignment horizontal="center"/>
    </x:xf>
    <x:xf numFmtId="201" fontId="15" fillId="14" xfId="0" applyNumberFormat="1" applyFont="1" applyFill="1" applyBorder="0" applyAlignment="1">
      <x:alignment horizontal="center" vertical="center"/>
    </x:xf>
    <x:xf numFmtId="200" fontId="15" fillId="16" xfId="0" applyNumberFormat="1" applyFont="1" applyFill="1" applyBorder="0" applyAlignment="1">
      <x:alignment horizontal="center" vertical="center"/>
    </x:xf>
    <x:xf numFmtId="200" fontId="0" fillId="18" borderId="0" xfId="0" applyNumberFormat="1" applyFont="1" applyFill="1" applyBorder="1"/>
    <x:xf numFmtId="201" fontId="0" fillId="18" borderId="0" xfId="0" applyNumberFormat="1" applyFont="1" applyFill="1" applyBorder="1"/>
    <x:xf numFmtId="200" fontId="2" fillId="18" borderId="0" xfId="0" applyNumberFormat="1" applyFont="1" applyFill="1" applyBorder="1"/>
    <x:xf numFmtId="201" fontId="2" fillId="18" borderId="0" xfId="0" applyNumberFormat="1" applyFont="1" applyFill="1" applyBorder="1"/>
    <x:xf numFmtId="200" fontId="2" fillId="18" borderId="0" xfId="0" applyNumberFormat="1" applyFont="1" applyFill="1" applyBorder="1" applyAlignment="1">
      <x:alignment vertical="center"/>
    </x:xf>
    <x:xf numFmtId="201" fontId="2" fillId="18" borderId="0" xfId="0" applyNumberFormat="1" applyFont="1" applyFill="1" applyBorder="1" applyAlignment="1">
      <x:alignment vertical="center"/>
    </x:xf>
    <x:xf numFmtId="0" fontId="2" fillId="14" borderId="0" xfId="0" applyNumberFormat="1" applyFont="1" applyFill="1" applyBorder="1" applyAlignment="1">
      <x:alignment vertical="center"/>
    </x:xf>
    <x:xf numFmtId="0" fontId="2" fillId="14" borderId="0" xfId="0" applyNumberFormat="1" applyFont="1" applyFill="1" applyBorder="1" applyAlignment="1">
      <x:alignment horizontal="center" vertical="center"/>
    </x:xf>
    <x:xf numFmtId="0" fontId="15" fillId="14" borderId="0" xfId="0" applyNumberFormat="1" applyFont="1" applyFill="1" applyBorder="1" applyAlignment="1">
      <x:alignment horizontal="center" vertical="center"/>
    </x:xf>
    <x:xf numFmtId="203" fontId="15" fillId="14" xfId="0" applyNumberFormat="1" applyFont="1" applyFill="1" applyBorder="0" applyAlignment="1">
      <x:alignment horizontal="center" vertical="center"/>
    </x:xf>
    <x:xf numFmtId="200" fontId="15" fillId="17" xfId="0" applyNumberFormat="1" applyFont="1" applyFill="1" applyBorder="0" applyAlignment="1">
      <x:alignment horizontal="center" vertical="center"/>
    </x:xf>
    <x:xf numFmtId="0" fontId="14" fillId="13" xfId="0" applyNumberFormat="1" applyFont="1" applyFill="1" applyBorder="0" applyAlignment="1">
      <x:alignment horizontal="center" vertical="center"/>
    </x:xf>
    <x:xf numFmtId="0" fontId="0" fillId="0" xfId="0" applyNumberFormat="1" applyFont="1" applyFill="1" applyBorder="0"/>
    <x:xf numFmtId="200" fontId="0" fillId="0" xfId="0" applyNumberFormat="1" applyFont="1" applyFill="1" applyBorder="0"/>
    <x:xf numFmtId="201" fontId="0" fillId="0" xfId="0" applyNumberFormat="1" applyFont="1" applyFill="1" applyBorder="0"/>
    <x:xf numFmtId="202" fontId="0" fillId="0" xfId="0" applyNumberFormat="1" applyFont="1" applyFill="1" applyBorder="0"/>
    <x:xf numFmtId="0" fontId="0" fillId="0" xfId="0" applyNumberFormat="1" applyFont="1" applyFill="1" applyBorder="0" applyAlignment="1">
      <x:alignment wrapText="1"/>
    </x:xf>
    <x:xf numFmtId="0" fontId="5" fillId="11" borderId="0" xfId="0" applyNumberFormat="1" applyFont="1" applyFill="1" applyBorder="1" applyAlignment="1">
      <x:alignment horizontal="center" vertical="center" wrapText="1"/>
    </x:xf>
    <x:xf numFmtId="0" fontId="8" fillId="13" borderId="0" xfId="0" applyNumberFormat="1" applyFont="1" applyFill="1" applyBorder="1"/>
    <x:xf numFmtId="0" fontId="11" fillId="2" borderId="0" xfId="0" applyNumberFormat="1" applyFont="1" applyFill="1" applyBorder="1" applyAlignment="1">
      <x:alignment horizontal="center" vertical="top" wrapText="1"/>
    </x:xf>
    <x:xf numFmtId="0" fontId="11" fillId="2" borderId="0" xfId="0" applyNumberFormat="1" applyFont="1" applyFill="1" applyBorder="1" applyAlignment="1">
      <x:alignment vertical="top" wrapText="1"/>
    </x:xf>
    <x:xf numFmtId="0" fontId="12" fillId="2" borderId="0" xfId="0" applyNumberFormat="1" applyFont="1" applyFill="1" applyBorder="1" applyAlignment="1">
      <x:alignment horizontal="center" vertical="center"/>
    </x:xf>
    <x:xf numFmtId="0" fontId="12" fillId="2" borderId="0" xfId="0" applyNumberFormat="1" applyFont="1" applyFill="1" applyBorder="1"/>
    <x:xf numFmtId="0" fontId="12" fillId="2" borderId="0" xfId="0" applyNumberFormat="1" applyFont="1" applyFill="1" applyBorder="1" applyAlignment="1">
      <x:alignment horizontal="center"/>
    </x:xf>
    <x:xf numFmtId="0" fontId="11" fillId="2" borderId="0" xfId="0" applyNumberFormat="1" applyFont="1" applyFill="1" applyBorder="1" applyAlignment="1">
      <x:alignment horizontal="center" vertical="center" wrapText="1"/>
    </x:xf>
    <x:xf numFmtId="0" fontId="14" fillId="4" borderId="0" xfId="0" applyNumberFormat="1" applyFont="1" applyFill="1" applyBorder="1" applyAlignment="1">
      <x:alignment vertical="center"/>
    </x:xf>
    <x:xf numFmtId="0" fontId="14" fillId="4" borderId="0" xfId="0" applyNumberFormat="1" applyFont="1" applyFill="1" applyBorder="1"/>
    <x:xf numFmtId="0" fontId="14" fillId="4" borderId="0" xfId="0" applyNumberFormat="1" applyFont="1" applyFill="1" applyBorder="1" applyAlignment="1">
      <x:alignment horizontal="center" vertical="center"/>
    </x:xf>
    <x:xf numFmtId="0" fontId="14" fillId="4" borderId="0" xfId="0" applyNumberFormat="1" applyFont="1" applyFill="1" applyBorder="1" applyAlignment="1">
      <x:alignment horizontal="center"/>
    </x:xf>
    <x:xf numFmtId="200" fontId="0" fillId="4" borderId="0" xfId="0" applyNumberFormat="1" applyFont="1" applyFill="1" applyBorder="1"/>
    <x:xf numFmtId="200" fontId="14" fillId="4" borderId="0" xfId="0" applyNumberFormat="1" applyFont="1" applyFill="1" applyBorder="1" applyAlignment="1">
      <x:alignment vertical="center"/>
    </x:xf>
    <x:xf numFmtId="200" fontId="14" fillId="4" borderId="0" xfId="0" applyNumberFormat="1" applyFont="1" applyFill="1" applyBorder="1"/>
    <x:xf numFmtId="200" fontId="14" fillId="4" borderId="0" xfId="0" applyNumberFormat="1" applyFont="1" applyFill="1" applyBorder="1" applyAlignment="1">
      <x:alignment horizontal="center" vertical="center"/>
    </x:xf>
    <x:xf numFmtId="200" fontId="14" fillId="4" borderId="0" xfId="0" applyNumberFormat="1" applyFont="1" applyFill="1" applyBorder="1" applyAlignment="1">
      <x:alignment horizontal="center"/>
    </x:xf>
    <x:xf numFmtId="201" fontId="0" fillId="4" borderId="0" xfId="0" applyNumberFormat="1" applyFont="1" applyFill="1" applyBorder="1"/>
    <x:xf numFmtId="201" fontId="14" fillId="4" borderId="0" xfId="0" applyNumberFormat="1" applyFont="1" applyFill="1" applyBorder="1"/>
    <x:xf numFmtId="201" fontId="14" fillId="4" borderId="0" xfId="0" applyNumberFormat="1" applyFont="1" applyFill="1" applyBorder="1" applyAlignment="1">
      <x:alignment horizontal="center"/>
    </x:xf>
    <x:xf numFmtId="201" fontId="14" fillId="4" borderId="0" xfId="0" applyNumberFormat="1" applyFont="1" applyFill="1" applyBorder="1" applyAlignment="1">
      <x:alignment horizontal="center" vertical="center"/>
    </x:xf>
    <x:xf numFmtId="200" fontId="0" fillId="3" borderId="0" xfId="0" applyNumberFormat="1" applyFont="1" applyFill="1" applyBorder="1"/>
    <x:xf numFmtId="201" fontId="0" fillId="3" borderId="0" xfId="0" applyNumberFormat="1" applyFont="1" applyFill="1" applyBorder="1"/>
    <x:xf numFmtId="200" fontId="2" fillId="3" borderId="0" xfId="0" applyNumberFormat="1" applyFont="1" applyFill="1" applyBorder="1"/>
    <x:xf numFmtId="201" fontId="2" fillId="3" borderId="0" xfId="0" applyNumberFormat="1" applyFont="1" applyFill="1" applyBorder="1"/>
    <x:xf numFmtId="201" fontId="2" fillId="3" borderId="0" xfId="0" applyNumberFormat="1" applyFont="1" applyFill="1" applyBorder="1" applyAlignment="1">
      <x:alignment vertical="center"/>
    </x:xf>
    <x:xf numFmtId="0" fontId="14" fillId="4" xfId="0" applyNumberFormat="1" applyFont="1" applyFill="1" applyBorder="0" applyAlignment="1">
      <x:alignment horizontal="center" vertical="center"/>
    </x:xf>
    <x:xf numFmtId="0" fontId="6" fillId="19" borderId="0" xfId="0" applyNumberFormat="1" applyFont="1" applyFill="1" applyBorder="1" applyAlignment="1">
      <x:alignment vertical="top" wrapText="1"/>
    </x:xf>
    <x:xf numFmtId="0" fontId="0" fillId="19" borderId="0" xfId="0" applyNumberFormat="1" applyFont="1" applyFill="1" applyBorder="1"/>
    <x:xf numFmtId="0" fontId="5" fillId="19" borderId="0" xfId="0" applyNumberFormat="1" applyFont="1" applyFill="1" applyBorder="1" applyAlignment="1">
      <x:alignment vertical="top" wrapText="1"/>
    </x:xf>
    <x:xf numFmtId="0" fontId="2" fillId="19" borderId="0" xfId="0" applyNumberFormat="1" applyFont="1" applyFill="1" applyBorder="1"/>
    <x:xf numFmtId="0" fontId="5" fillId="19" borderId="0" xfId="0" applyNumberFormat="1" applyFont="1" applyFill="1" applyBorder="1" applyAlignment="1">
      <x:alignment horizontal="center" vertical="top" wrapText="1"/>
    </x:xf>
    <x:xf numFmtId="0" fontId="2" fillId="19" borderId="0" xfId="0" applyNumberFormat="1" applyFont="1" applyFill="1" applyBorder="1" applyAlignment="1">
      <x:alignment horizontal="center"/>
    </x:xf>
    <x:xf numFmtId="0" fontId="5" fillId="19" borderId="0" xfId="0" applyNumberFormat="1" applyFont="1" applyFill="1" applyBorder="1" applyAlignment="1">
      <x:alignment horizontal="center" vertical="center" wrapText="1"/>
    </x:xf>
    <x:xf numFmtId="0" fontId="2" fillId="19" borderId="0" xfId="0" applyNumberFormat="1" applyFont="1" applyFill="1" applyBorder="1" applyAlignment="1">
      <x:alignment horizontal="center" vertical="center"/>
    </x:xf>
    <x:xf numFmtId="0" fontId="0" fillId="20" borderId="0" xfId="0" applyNumberFormat="1" applyFont="1" applyFill="1" applyBorder="1"/>
    <x:xf numFmtId="0" fontId="16" fillId="20" borderId="0" xfId="0" applyNumberFormat="1" applyFont="1" applyFill="1" applyBorder="1"/>
    <x:xf numFmtId="0" fontId="16" fillId="20" borderId="0" xfId="0" applyNumberFormat="1" applyFont="1" applyFill="1" applyBorder="1" applyAlignment="1">
      <x:alignment horizontal="center"/>
    </x:xf>
    <x:xf numFmtId="0" fontId="16" fillId="20" borderId="0" xfId="0" applyNumberFormat="1" applyFont="1" applyFill="1" applyBorder="1" applyAlignment="1">
      <x:alignment horizontal="center" vertical="center"/>
    </x:xf>
    <x:xf numFmtId="0" fontId="0" fillId="21" borderId="0" xfId="0" applyNumberFormat="1" applyFont="1" applyFill="1" applyBorder="1"/>
    <x:xf numFmtId="0" fontId="2" fillId="21" borderId="0" xfId="0" applyNumberFormat="1" applyFont="1" applyFill="1" applyBorder="1"/>
    <x:xf numFmtId="0" fontId="2" fillId="19" xfId="0" applyNumberFormat="1" applyFont="1" applyFill="1" applyBorder="0" applyAlignment="1">
      <x:alignment horizontal="center" vertical="center"/>
    </x:xf>
    <x:xf numFmtId="0" fontId="6" fillId="0" borderId="0" xfId="0" applyNumberFormat="1" applyFont="1" applyFill="1" applyBorder="1" applyAlignment="1">
      <x:alignment vertical="center" wrapText="1"/>
    </x:xf>
    <x:xf numFmtId="0" fontId="0" fillId="22" borderId="0" xfId="0" applyNumberFormat="1" applyFont="1" applyFill="1" applyBorder="1"/>
    <x:xf numFmtId="0" fontId="8" fillId="22" borderId="0" xfId="0" applyNumberFormat="1" applyFont="1" applyFill="1" applyBorder="1"/>
    <x:xf numFmtId="0" fontId="2" fillId="2" xfId="0" applyNumberFormat="1" applyFont="1" applyFill="1" applyBorder="0" applyAlignment="1">
      <x:alignment horizontal="center" vertical="center"/>
    </x:xf>
    <x:xf numFmtId="0" fontId="5" fillId="23" borderId="0" xfId="0" applyNumberFormat="1" applyFont="1" applyFill="1" applyBorder="1" applyAlignment="1">
      <x:alignment horizontal="center" vertical="top" wrapText="1"/>
    </x:xf>
    <x:xf numFmtId="0" fontId="6" fillId="23" borderId="0" xfId="0" applyNumberFormat="1" applyFont="1" applyFill="1" applyBorder="1" applyAlignment="1">
      <x:alignment vertical="top" wrapText="1"/>
    </x:xf>
    <x:xf numFmtId="0" fontId="4" fillId="23" borderId="0" xfId="0" applyNumberFormat="1" applyFont="1" applyFill="1" applyBorder="1" applyAlignment="1">
      <x:alignment horizontal="center" vertical="center"/>
    </x:xf>
    <x:xf numFmtId="0" fontId="0" fillId="23" borderId="0" xfId="0" applyNumberFormat="1" applyFont="1" applyFill="1" applyBorder="1"/>
    <x:xf numFmtId="0" fontId="9" fillId="23" borderId="0" xfId="0" applyNumberFormat="1" applyFont="1" applyFill="1" applyBorder="1" applyAlignment="1">
      <x:alignment horizontal="center" vertical="top" wrapText="1"/>
    </x:xf>
    <x:xf numFmtId="0" fontId="9" fillId="23" borderId="0" xfId="0" applyNumberFormat="1" applyFont="1" applyFill="1" applyBorder="1" applyAlignment="1">
      <x:alignment vertical="top" wrapText="1"/>
    </x:xf>
    <x:xf numFmtId="0" fontId="10" fillId="23" borderId="0" xfId="0" applyNumberFormat="1" applyFont="1" applyFill="1" applyBorder="1" applyAlignment="1">
      <x:alignment horizontal="center" vertical="center"/>
    </x:xf>
    <x:xf numFmtId="0" fontId="10" fillId="23" borderId="0" xfId="0" applyNumberFormat="1" applyFont="1" applyFill="1" applyBorder="1"/>
    <x:xf numFmtId="0" fontId="10" fillId="23" borderId="0" xfId="0" applyNumberFormat="1" applyFont="1" applyFill="1" applyBorder="1" applyAlignment="1">
      <x:alignment horizontal="center"/>
    </x:xf>
    <x:xf numFmtId="0" fontId="9" fillId="23" borderId="0" xfId="0" applyNumberFormat="1" applyFont="1" applyFill="1" applyBorder="1" applyAlignment="1">
      <x:alignment horizontal="center" vertical="center" wrapText="1"/>
    </x:xf>
    <x:xf numFmtId="0" fontId="0" fillId="24" borderId="0" xfId="0" applyNumberFormat="1" applyFont="1" applyFill="1" applyBorder="1"/>
    <x:xf numFmtId="0" fontId="17" fillId="24" borderId="0" xfId="0" applyNumberFormat="1" applyFont="1" applyFill="1" applyBorder="1"/>
    <x:xf numFmtId="0" fontId="17" fillId="24" borderId="0" xfId="0" applyNumberFormat="1" applyFont="1" applyFill="1" applyBorder="1" applyAlignment="1">
      <x:alignment horizontal="center"/>
    </x:xf>
    <x:xf numFmtId="0" fontId="2" fillId="25" borderId="0" xfId="0" applyNumberFormat="1" applyFont="1" applyFill="1" applyBorder="1" applyAlignment="1">
      <x:alignment horizontal="center" vertical="center"/>
    </x:xf>
    <x:xf numFmtId="0" fontId="3" fillId="25" borderId="0" xfId="0" applyNumberFormat="1" applyFont="1" applyFill="1" applyBorder="1" applyAlignment="1">
      <x:alignment horizontal="center" vertical="center"/>
    </x:xf>
    <x:xf numFmtId="0" fontId="0" fillId="26" borderId="0" xfId="0" applyNumberFormat="1" applyFont="1" applyFill="1" applyBorder="1"/>
    <x:xf numFmtId="0" fontId="18" fillId="26" borderId="0" xfId="0" applyNumberFormat="1" applyFont="1" applyFill="1" applyBorder="1"/>
    <x:xf numFmtId="0" fontId="18" fillId="26" xfId="0" applyNumberFormat="1" applyFont="1" applyFill="1" applyBorder="0"/>
    <x:xf numFmtId="0" fontId="18" fillId="26" xfId="0" applyNumberFormat="1" applyFont="1" applyFill="1" applyBorder="0" applyAlignment="1">
      <x:alignment horizontal="center"/>
    </x:xf>
    <x:xf numFmtId="0" fontId="18" fillId="26" xfId="0" applyNumberFormat="1" applyFont="1" applyFill="1" applyBorder="0" applyAlignment="1">
      <x:alignment horizontal="center" vertical="center"/>
    </x:xf>
    <x:xf numFmtId="0" fontId="0" fillId="27" borderId="0" xfId="0" applyNumberFormat="1" applyFont="1" applyFill="1" applyBorder="1"/>
    <x:xf numFmtId="200" fontId="0" fillId="27" borderId="0" xfId="0" applyNumberFormat="1" applyFont="1" applyFill="1" applyBorder="1"/>
    <x:xf numFmtId="0" fontId="18" fillId="27" borderId="0" xfId="0" applyNumberFormat="1" applyFont="1" applyFill="1" applyBorder="1"/>
    <x:xf numFmtId="200" fontId="18" fillId="27" borderId="0" xfId="0" applyNumberFormat="1" applyFont="1" applyFill="1" applyBorder="1"/>
    <x:xf numFmtId="0" fontId="18" fillId="27" xfId="0" applyNumberFormat="1" applyFont="1" applyFill="1" applyBorder="0"/>
    <x:xf numFmtId="200" fontId="18" fillId="27" xfId="0" applyNumberFormat="1" applyFont="1" applyFill="1" applyBorder="0"/>
    <x:xf numFmtId="0" fontId="18" fillId="27" xfId="0" applyNumberFormat="1" applyFont="1" applyFill="1" applyBorder="0" applyAlignment="1">
      <x:alignment horizontal="center"/>
    </x:xf>
    <x:xf numFmtId="200" fontId="18" fillId="27" xfId="0" applyNumberFormat="1" applyFont="1" applyFill="1" applyBorder="0" applyAlignment="1">
      <x:alignment horizontal="center"/>
    </x:xf>
    <x:xf numFmtId="0" fontId="18" fillId="27" xfId="0" applyNumberFormat="1" applyFont="1" applyFill="1" applyBorder="0" applyAlignment="1">
      <x:alignment horizontal="center" vertical="center"/>
    </x:xf>
    <x:xf numFmtId="200" fontId="18" fillId="27" xfId="0" applyNumberFormat="1" applyFont="1" applyFill="1" applyBorder="0" applyAlignment="1">
      <x:alignment horizontal="center" vertical="center"/>
    </x:xf>
    <x:xf numFmtId="0" fontId="2" fillId="25" borderId="0" xfId="0" applyNumberFormat="1" applyFont="1" applyFill="1" applyBorder="1"/>
    <x:xf numFmtId="0" fontId="3" fillId="25" borderId="0" xfId="0" applyNumberFormat="1" applyFont="1" applyFill="1" applyBorder="1"/>
    <x:xf numFmtId="0" fontId="3" fillId="25" borderId="0" xfId="0" applyNumberFormat="1" applyFont="1" applyFill="1" applyBorder="1" applyAlignment="1">
      <x:alignment horizontal="center"/>
    </x:xf>
    <x:xf numFmtId="0" fontId="0" fillId="28" borderId="0" xfId="0" applyNumberFormat="1" applyFont="1" applyFill="1" applyBorder="1"/>
    <x:xf numFmtId="0" fontId="18" fillId="28" borderId="0" xfId="0" applyNumberFormat="1" applyFont="1" applyFill="1" applyBorder="1"/>
    <x:xf numFmtId="0" fontId="18" fillId="28" xfId="0" applyNumberFormat="1" applyFont="1" applyFill="1" applyBorder="0"/>
    <x:xf numFmtId="0" fontId="18" fillId="28" xfId="0" applyNumberFormat="1" applyFont="1" applyFill="1" applyBorder="0" applyAlignment="1">
      <x:alignment horizontal="center"/>
    </x:xf>
    <x:xf numFmtId="0" fontId="18" fillId="28" xfId="0" applyNumberFormat="1" applyFont="1" applyFill="1" applyBorder="0" applyAlignment="1">
      <x:alignment horizontal="center" vertical="center"/>
    </x:xf>
    <x:xf numFmtId="0" fontId="0" fillId="25" borderId="0" xfId="0" applyNumberFormat="1" applyFont="1" applyFill="1" applyBorder="1"/>
    <x:xf numFmtId="200" fontId="18" fillId="26" xfId="0" applyNumberFormat="1" applyFont="1" applyFill="1" applyBorder="0" applyAlignment="1">
      <x:alignment horizontal="center" vertical="center"/>
    </x:xf>
    <x:xf numFmtId="0" fontId="0" fillId="29" borderId="0" xfId="0" applyNumberFormat="1" applyFont="1" applyFill="1" applyBorder="1"/>
    <x:xf numFmtId="200" fontId="0" fillId="29" borderId="0" xfId="0" applyNumberFormat="1" applyFont="1" applyFill="1" applyBorder="1"/>
    <x:xf numFmtId="0" fontId="2" fillId="29" borderId="0" xfId="0" applyNumberFormat="1" applyFont="1" applyFill="1" applyBorder="1"/>
    <x:xf numFmtId="200" fontId="2" fillId="29" borderId="0" xfId="0" applyNumberFormat="1" applyFont="1" applyFill="1" applyBorder="1"/>
    <x:xf numFmtId="0" fontId="2" fillId="29" borderId="0" xfId="0" applyNumberFormat="1" applyFont="1" applyFill="1" applyBorder="1" applyAlignment="1">
      <x:alignment vertical="center"/>
    </x:xf>
    <x:xf numFmtId="200" fontId="2" fillId="29" borderId="0" xfId="0" applyNumberFormat="1" applyFont="1" applyFill="1" applyBorder="1" applyAlignment="1">
      <x:alignment vertical="center"/>
    </x:xf>
    <x:xf numFmtId="200" fontId="0" fillId="23" borderId="0" xfId="0" applyNumberFormat="1" applyFont="1" applyFill="1" applyBorder="1"/>
    <x:xf numFmtId="0" fontId="2" fillId="23" borderId="0" xfId="0" applyNumberFormat="1" applyFont="1" applyFill="1" applyBorder="1"/>
    <x:xf numFmtId="200" fontId="2" fillId="23" borderId="0" xfId="0" applyNumberFormat="1" applyFont="1" applyFill="1" applyBorder="1"/>
    <x:xf numFmtId="0" fontId="2" fillId="23" borderId="0" xfId="0" applyNumberFormat="1" applyFont="1" applyFill="1" applyBorder="1" applyAlignment="1">
      <x:alignment horizontal="center"/>
    </x:xf>
    <x:xf numFmtId="200" fontId="2" fillId="23" borderId="0" xfId="0" applyNumberFormat="1" applyFont="1" applyFill="1" applyBorder="1" applyAlignment="1">
      <x:alignment horizontal="center"/>
    </x:xf>
    <x:xf numFmtId="0" fontId="2" fillId="23" borderId="0" xfId="0" applyNumberFormat="1" applyFont="1" applyFill="1" applyBorder="1" applyAlignment="1">
      <x:alignment horizontal="center" vertical="center"/>
    </x:xf>
    <x:xf numFmtId="200" fontId="2" fillId="23" borderId="0" xfId="0" applyNumberFormat="1" applyFont="1" applyFill="1" applyBorder="1" applyAlignment="1">
      <x:alignment horizontal="center" vertical="center"/>
    </x:xf>
    <x:xf numFmtId="0" fontId="5" fillId="23" borderId="0" xfId="0" applyNumberFormat="1" applyFont="1" applyFill="1" applyBorder="1" applyAlignment="1">
      <x:alignment horizontal="center" vertical="center" wrapText="1"/>
    </x:xf>
    <x:xf numFmtId="0" fontId="8" fillId="25" borderId="0" xfId="0" applyNumberFormat="1" applyFont="1" applyFill="1" applyBorder="1"/>
    <x:xf numFmtId="0" fontId="17" fillId="12" borderId="0" xfId="0" applyNumberFormat="1" applyFont="1" applyFill="1" applyBorder="1"/>
    <x:xf numFmtId="0" fontId="17" fillId="12" borderId="0" xfId="0" applyNumberFormat="1" applyFont="1" applyFill="1" applyBorder="1" applyAlignment="1">
      <x:alignment horizontal="center"/>
    </x:xf>
    <x:xf numFmtId="0" fontId="2" fillId="4" borderId="0" xfId="0" applyNumberFormat="1" applyFont="1" applyFill="1" applyBorder="1" applyAlignment="1">
      <x:alignment horizontal="center" vertical="center"/>
    </x:xf>
    <x:xf numFmtId="0" fontId="3" fillId="4" borderId="0" xfId="0" applyNumberFormat="1" applyFont="1" applyFill="1" applyBorder="1" applyAlignment="1">
      <x:alignment horizontal="center" vertical="center"/>
    </x:xf>
    <x:xf numFmtId="0" fontId="2" fillId="4" borderId="0" xfId="0" applyNumberFormat="1" applyFont="1" applyFill="1" applyBorder="1"/>
    <x:xf numFmtId="0" fontId="3" fillId="4" borderId="0" xfId="0" applyNumberFormat="1" applyFont="1" applyFill="1" applyBorder="1" applyAlignment="1">
      <x:alignment horizontal="center"/>
    </x:xf>
    <x:xf numFmtId="0" fontId="18" fillId="16" borderId="0" xfId="0" applyNumberFormat="1" applyFont="1" applyFill="1" applyBorder="1"/>
    <x:xf numFmtId="0" fontId="18" fillId="16" xfId="0" applyNumberFormat="1" applyFont="1" applyFill="1" applyBorder="0"/>
    <x:xf numFmtId="0" fontId="18" fillId="16" xfId="0" applyNumberFormat="1" applyFont="1" applyFill="1" applyBorder="0" applyAlignment="1">
      <x:alignment horizontal="center"/>
    </x:xf>
    <x:xf numFmtId="0" fontId="18" fillId="16" xfId="0" applyNumberFormat="1" applyFont="1" applyFill="1" applyBorder="0" applyAlignment="1">
      <x:alignment horizontal="center" vertical="center"/>
    </x:xf>
    <x:xf numFmtId="200" fontId="0" fillId="2" borderId="0" xfId="0" applyNumberFormat="1" applyFont="1" applyFill="1" applyBorder="1"/>
    <x:xf numFmtId="200" fontId="2" fillId="2" borderId="0" xfId="0" applyNumberFormat="1" applyFont="1" applyFill="1" applyBorder="1"/>
    <x:xf numFmtId="200" fontId="2" fillId="2" borderId="0" xfId="0" applyNumberFormat="1" applyFont="1" applyFill="1" applyBorder="1" applyAlignment="1">
      <x:alignment horizontal="center"/>
    </x:xf>
    <x:xf numFmtId="0" fontId="0" fillId="30" borderId="0" xfId="0" applyNumberFormat="1" applyFont="1" applyFill="1" applyBorder="1"/>
    <x:xf numFmtId="0" fontId="2" fillId="30" borderId="0" xfId="0" applyNumberFormat="1" applyFont="1" applyFill="1" applyBorder="1"/>
    <x:xf numFmtId="0" fontId="2" fillId="30" borderId="0" xfId="0" applyNumberFormat="1" applyFont="1" applyFill="1" applyBorder="1" applyAlignment="1">
      <x:alignment horizontal="center"/>
    </x:xf>
    <x:xf numFmtId="0" fontId="0" fillId="31" borderId="0" xfId="0" applyNumberFormat="1" applyFont="1" applyFill="1" applyBorder="1"/>
    <x:xf numFmtId="0" fontId="19" fillId="31" borderId="0" xfId="0" applyNumberFormat="1" applyFont="1" applyFill="1" applyBorder="1"/>
    <x:xf numFmtId="0" fontId="19" fillId="31" borderId="0" xfId="0" applyNumberFormat="1" applyFont="1" applyFill="1" applyBorder="1" applyAlignment="1">
      <x:alignment horizontal="center"/>
    </x:xf>
    <x:xf numFmtId="0" fontId="0" fillId="32" borderId="0" xfId="0" applyNumberFormat="1" applyFont="1" applyFill="1" applyBorder="1"/>
    <x:xf numFmtId="0" fontId="20" fillId="32" borderId="0" xfId="0" applyNumberFormat="1" applyFont="1" applyFill="1" applyBorder="1"/>
    <x:xf numFmtId="0" fontId="20" fillId="32" borderId="0" xfId="0" applyNumberFormat="1" applyFont="1" applyFill="1" applyBorder="1" applyAlignment="1">
      <x:alignment horizontal="center"/>
    </x:xf>
    <x:xf numFmtId="0" fontId="0" fillId="33" borderId="0" xfId="0" applyNumberFormat="1" applyFont="1" applyFill="1" applyBorder="1"/>
    <x:xf numFmtId="0" fontId="8" fillId="33" borderId="0" xfId="0" applyNumberFormat="1" applyFont="1" applyFill="1" applyBorder="1"/>
    <x:xf numFmtId="0" fontId="19" fillId="3" borderId="0" xfId="0" applyNumberFormat="1" applyFont="1" applyFill="1" applyBorder="1"/>
    <x:xf numFmtId="0" fontId="19" fillId="3" borderId="0" xfId="0" applyNumberFormat="1" applyFont="1" applyFill="1" applyBorder="1" applyAlignment="1">
      <x:alignment horizontal="center"/>
    </x:xf>
    <x:xf numFmtId="0" fontId="20" fillId="20" borderId="0" xfId="0" applyNumberFormat="1" applyFont="1" applyFill="1" applyBorder="1"/>
    <x:xf numFmtId="0" fontId="20" fillId="20" borderId="0" xfId="0" applyNumberFormat="1" applyFont="1" applyFill="1" applyBorder="1" applyAlignment="1">
      <x:alignment horizontal="center"/>
    </x:xf>
    <x:xf numFmtId="0" fontId="0" fillId="34" borderId="0" xfId="0" applyNumberFormat="1" applyFont="1" applyFill="1" applyBorder="1"/>
    <x:xf numFmtId="0" fontId="8" fillId="34" borderId="0" xfId="0" applyNumberFormat="1" applyFont="1" applyFill="1" applyBorder="1"/>
    <x:xf numFmtId="0" fontId="8" fillId="34" borderId="0" xfId="0" applyNumberFormat="1" applyFont="1" applyFill="1" applyBorder="1" applyAlignment="1">
      <x:alignment wrapText="1"/>
    </x:xf>
    <x:xf numFmtId="0" fontId="0" fillId="0" borderId="0" xfId="0" applyNumberFormat="1" applyFont="1" applyFill="1" applyBorder="1" applyAlignment="1">
      <x:alignment wrapText="1"/>
    </x:xf>
    <x:xf numFmtId="0" fontId="8" fillId="4" borderId="0" xfId="0" applyNumberFormat="1" applyFont="1" applyFill="1" applyBorder="1" applyAlignment="1">
      <x:alignment wrapText="1"/>
    </x:xf>
    <x:xf numFmtId="0" fontId="0" fillId="35" borderId="0" xfId="0" applyNumberFormat="1" applyFont="1" applyFill="1" applyBorder="1"/>
    <x:xf numFmtId="0" fontId="8" fillId="35" borderId="0" xfId="0" applyNumberFormat="1" applyFont="1" applyFill="1" applyBorder="1"/>
    <x:xf numFmtId="0" fontId="8" fillId="35" borderId="0" xfId="0" applyNumberFormat="1" applyFont="1" applyFill="1" applyBorder="1" applyAlignment="1">
      <x:alignment wrapText="1"/>
    </x:xf>
    <x:xf numFmtId="0" fontId="0" fillId="36" borderId="0" xfId="0" applyNumberFormat="1" applyFont="1" applyFill="1" applyBorder="1"/>
    <x:xf numFmtId="0" fontId="21" fillId="36" borderId="0" xfId="0" applyNumberFormat="1" applyFont="1" applyFill="1" applyBorder="1"/>
    <x:xf numFmtId="0" fontId="21" fillId="36" borderId="0" xfId="0" applyNumberFormat="1" applyFont="1" applyFill="1" applyBorder="1" applyAlignment="1">
      <x:alignment horizontal="center"/>
    </x:xf>
    <x:xf numFmtId="0" fontId="21" fillId="36" borderId="0" xfId="0" applyNumberFormat="1" applyFont="1" applyFill="1" applyBorder="1" applyAlignment="1">
      <x:alignment horizontal="center" vertical="center"/>
    </x:xf>
    <x:xf numFmtId="0" fontId="0" fillId="37" borderId="0" xfId="0" applyNumberFormat="1" applyFont="1" applyFill="1" applyBorder="1"/>
    <x:xf numFmtId="200" fontId="0" fillId="37" borderId="0" xfId="0" applyNumberFormat="1" applyFont="1" applyFill="1" applyBorder="1"/>
    <x:xf numFmtId="0" fontId="22" fillId="37" borderId="0" xfId="0" applyNumberFormat="1" applyFont="1" applyFill="1" applyBorder="1"/>
    <x:xf numFmtId="200" fontId="22" fillId="37" borderId="0" xfId="0" applyNumberFormat="1" applyFont="1" applyFill="1" applyBorder="1"/>
    <x:xf numFmtId="200" fontId="22" fillId="37" borderId="0" xfId="0" applyNumberFormat="1" applyFont="1" applyFill="1" applyBorder="1" applyAlignment="1">
      <x:alignment horizontal="center"/>
    </x:xf>
    <x:xf numFmtId="0" fontId="22" fillId="37" borderId="0" xfId="0" applyNumberFormat="1" applyFont="1" applyFill="1" applyBorder="1" applyAlignment="1">
      <x:alignment horizontal="center"/>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7" borderId="0" xfId="0" applyNumberFormat="1" applyFont="1" applyFill="1" applyBorder="1" applyAlignment="1">
      <x:alignment wrapText="1"/>
    </x:xf>
    <x:xf numFmtId="0" fontId="22" fillId="37" borderId="0" xfId="0" applyNumberFormat="1" applyFont="1" applyFill="1" applyBorder="1" applyAlignment="1">
      <x:alignment wrapText="1"/>
    </x:xf>
    <x:xf numFmtId="0" fontId="0" fillId="36" borderId="0" xfId="0" applyNumberFormat="1" applyFont="1" applyFill="1" applyBorder="1" applyAlignment="1">
      <x:alignment wrapText="1"/>
    </x:xf>
    <x:xf numFmtId="0" fontId="22" fillId="36" borderId="0" xfId="0" applyNumberFormat="1" applyFont="1" applyFill="1" applyBorder="1" applyAlignment="1">
      <x:alignment wrapText="1"/>
    </x:xf>
    <x:xf numFmtId="0" fontId="22" fillId="4" borderId="0" xfId="0" applyNumberFormat="1" applyFont="1" applyFill="1" applyBorder="1"/>
    <x:xf numFmtId="200" fontId="22" fillId="4" borderId="0" xfId="0" applyNumberFormat="1" applyFont="1" applyFill="1" applyBorder="1"/>
    <x:xf numFmtId="200" fontId="22" fillId="4" borderId="0" xfId="0" applyNumberFormat="1" applyFont="1" applyFill="1" applyBorder="1" applyAlignment="1">
      <x:alignment horizontal="center"/>
    </x:xf>
    <x:xf numFmtId="0" fontId="22" fillId="4" borderId="0" xfId="0" applyNumberFormat="1" applyFont="1" applyFill="1" applyBorder="1" applyAlignment="1">
      <x:alignment horizontal="center"/>
    </x:xf>
    <x:xf numFmtId="0" fontId="0"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4" borderId="0" xfId="0" applyNumberFormat="1" applyFont="1" applyFill="1" applyBorder="1" applyAlignment="1">
      <x:alignment wrapText="1"/>
    </x:xf>
    <x:xf numFmtId="0" fontId="22" fillId="4" borderId="0" xfId="0" applyNumberFormat="1" applyFont="1" applyFill="1" applyBorder="1" applyAlignment="1">
      <x:alignment wrapText="1"/>
    </x:xf>
    <x:xf numFmtId="0" fontId="0" fillId="39" borderId="0" xfId="0" applyNumberFormat="1" applyFont="1" applyFill="1" applyBorder="1"/>
    <x:xf numFmtId="0" fontId="19" fillId="39" borderId="0" xfId="0" applyNumberFormat="1" applyFont="1" applyFill="1" applyBorder="1"/>
    <x:xf numFmtId="0" fontId="19" fillId="39" borderId="0" xfId="0" applyNumberFormat="1" applyFont="1" applyFill="1" applyBorder="1" applyAlignment="1">
      <x:alignment wrapText="1"/>
    </x:xf>
    <x:xf numFmtId="0" fontId="19" fillId="39" borderId="0" xfId="0" applyNumberFormat="1" applyFont="1" applyFill="1" applyBorder="1" applyAlignment="1">
      <x:alignment horizontal="center" wrapText="1"/>
    </x:xf>
    <x:xf numFmtId="0" fontId="19" fillId="39" borderId="0" xfId="0" applyNumberFormat="1" applyFont="1" applyFill="1" applyBorder="1" applyAlignment="1">
      <x:alignment horizontal="center" vertical="center" wrapText="1"/>
    </x:xf>
    <x:xf numFmtId="0" fontId="0" fillId="40" borderId="0" xfId="0" applyNumberFormat="1" applyFont="1" applyFill="1" applyBorder="1"/>
    <x:xf numFmtId="0" fontId="23" fillId="40" borderId="0" xfId="0" applyNumberFormat="1" applyFont="1" applyFill="1" applyBorder="1"/>
    <x:xf numFmtId="0" fontId="23" fillId="40" borderId="0" xfId="0" applyNumberFormat="1" applyFont="1" applyFill="1" applyBorder="1" applyAlignment="1">
      <x:alignment horizontal="center"/>
    </x:xf>
    <x:xf numFmtId="0" fontId="23" fillId="40" borderId="0" xfId="0" applyNumberFormat="1" applyFont="1" applyFill="1" applyBorder="1" applyAlignment="1">
      <x:alignment horizontal="center" vertical="center"/>
    </x:xf>
    <x:xf numFmtId="0" fontId="0" fillId="41" borderId="0" xfId="0" applyNumberFormat="1" applyFont="1" applyFill="1" applyBorder="1"/>
    <x:xf numFmtId="0" fontId="24" fillId="41" borderId="0" xfId="0" applyNumberFormat="1" applyFont="1" applyFill="1" applyBorder="1"/>
    <x:xf numFmtId="0" fontId="24" fillId="41" borderId="0" xfId="0" applyNumberFormat="1" applyFont="1" applyFill="1" applyBorder="1" applyAlignment="1">
      <x:alignment wrapText="1"/>
    </x:xf>
    <x:xf numFmtId="0" fontId="24" fillId="41" borderId="0" xfId="0" applyNumberFormat="1" applyFont="1" applyFill="1" applyBorder="1" applyAlignment="1">
      <x:alignment horizontal="left" wrapText="1"/>
    </x:xf>
    <x:xf numFmtId="0" fontId="24" fillId="41" borderId="0" xfId="0" applyNumberFormat="1" applyFont="1" applyFill="1" applyBorder="1" applyAlignment="1">
      <x:alignment horizontal="left" vertical="center" wrapText="1"/>
    </x:xf>
    <x:xf numFmtId="0" fontId="0" fillId="42" borderId="0" xfId="0" applyNumberFormat="1" applyFont="1" applyFill="1" applyBorder="1"/>
    <x:xf numFmtId="0" fontId="2" fillId="42" borderId="0" xfId="0" applyNumberFormat="1" applyFont="1" applyFill="1" applyBorder="1"/>
    <x:xf numFmtId="0" fontId="2" fillId="42" borderId="0" xfId="0" applyNumberFormat="1" applyFont="1" applyFill="1" applyBorder="1" applyAlignment="1">
      <x:alignment horizontal="center"/>
    </x:xf>
    <x:xf numFmtId="0" fontId="2" fillId="39" borderId="0" xfId="0" applyNumberFormat="1" applyFont="1" applyFill="1" applyBorder="1"/>
    <x:xf numFmtId="0" fontId="2" fillId="39" borderId="0" xfId="0" applyNumberFormat="1" applyFont="1" applyFill="1" applyBorder="1" applyAlignment="1">
      <x:alignment wrapText="1"/>
    </x:xf>
    <x:xf numFmtId="0" fontId="2" fillId="39" borderId="0" xfId="0" applyNumberFormat="1" applyFont="1" applyFill="1" applyBorder="1" applyAlignment="1">
      <x:alignment horizontal="center" wrapText="1"/>
    </x:xf>
    <x:xf numFmtId="0" fontId="2" fillId="39"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wrapText="1"/>
    </x:xf>
    <x:xf numFmtId="204" fontId="0" fillId="0" borderId="0" xfId="0" applyNumberFormat="1" applyFont="1" applyFill="1" applyBorder="1" applyAlignment="1">
      <x:alignment horizontal="center" wrapText="1"/>
    </x:xf>
    <x:xf numFmtId="0" fontId="0" fillId="0" borderId="0" xfId="0" applyNumberFormat="1" applyFont="1" applyFill="1" applyBorder="1" applyAlignment="1">
      <x:alignment horizontal="center"/>
    </x:xf>
    <x:xf numFmtId="0" fontId="23" fillId="40" borderId="0" xfId="0" applyNumberFormat="1" applyFont="1" applyFill="1" applyBorder="1" applyAlignment="1">
      <x:alignment wrapText="1"/>
    </x:xf>
    <x:xf numFmtId="0" fontId="25" fillId="39" borderId="0" xfId="0" applyNumberFormat="1" applyFont="1" applyFill="1" applyBorder="1" applyAlignment="1">
      <x:alignment horizontal="center" vertical="center" wrapText="1"/>
    </x:xf>
    <x:xf numFmtId="0" fontId="26" fillId="0" borderId="0" xfId="0" applyNumberFormat="1" applyFont="1" applyFill="1" applyBorder="1" applyAlignment="1">
      <x:alignment horizontal="center" wrapText="1"/>
    </x:xf>
    <x:xf numFmtId="0" fontId="26" fillId="0" borderId="0" xfId="0" applyNumberFormat="1" applyFont="1" applyFill="1" applyBorder="1" applyAlignment="1">
      <x:alignment wrapText="1"/>
    </x:xf>
    <x:xf numFmtId="204" fontId="26" fillId="0" borderId="0" xfId="0" applyNumberFormat="1" applyFont="1" applyFill="1" applyBorder="1" applyAlignment="1">
      <x:alignment horizontal="center" wrapText="1"/>
    </x:xf>
    <x:xf numFmtId="0" fontId="22" fillId="41" borderId="0" xfId="0" applyNumberFormat="1" applyFont="1" applyFill="1" applyBorder="1" applyAlignment="1">
      <x:alignment wrapText="1"/>
    </x:xf>
    <x:xf numFmtId="0" fontId="23" fillId="41" borderId="0" xfId="0" applyNumberFormat="1" applyFont="1" applyFill="1" applyBorder="1" applyAlignment="1">
      <x:alignment wrapText="1"/>
    </x:xf>
    <x:xf numFmtId="0" fontId="19" fillId="2" borderId="0" xfId="0" applyNumberFormat="1" applyFont="1" applyFill="1" applyBorder="1"/>
    <x:xf numFmtId="0" fontId="19" fillId="2" borderId="0" xfId="0" applyNumberFormat="1" applyFont="1" applyFill="1" applyBorder="1" applyAlignment="1">
      <x:alignment wrapText="1"/>
    </x:xf>
    <x:xf numFmtId="0" fontId="19" fillId="2" borderId="0" xfId="0" applyNumberFormat="1" applyFont="1" applyFill="1" applyBorder="1" applyAlignment="1">
      <x:alignment horizontal="center" wrapText="1"/>
    </x:xf>
    <x:xf numFmtId="0" fontId="19" fillId="2" borderId="0" xfId="0" applyNumberFormat="1" applyFont="1" applyFill="1" applyBorder="1" applyAlignment="1">
      <x:alignment horizontal="center" vertical="center" wrapText="1"/>
    </x:xf>
    <x:xf numFmtId="0" fontId="23" fillId="4" borderId="0" xfId="0" applyNumberFormat="1" applyFont="1" applyFill="1" applyBorder="1"/>
    <x:xf numFmtId="0" fontId="23" fillId="4" borderId="0" xfId="0" applyNumberFormat="1" applyFont="1" applyFill="1" applyBorder="1" applyAlignment="1">
      <x:alignment horizontal="center"/>
    </x:xf>
    <x:xf numFmtId="0" fontId="23" fillId="4" borderId="0" xfId="0" applyNumberFormat="1" applyFont="1" applyFill="1" applyBorder="1" applyAlignment="1">
      <x:alignment horizontal="center" vertical="center"/>
    </x:xf>
    <x:xf numFmtId="0" fontId="2" fillId="3" borderId="0" xfId="0" applyNumberFormat="1" applyFont="1" applyFill="1" applyBorder="1" applyAlignment="1">
      <x:alignment horizontal="center"/>
    </x:xf>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3" fillId="4" borderId="0" xfId="0" applyNumberFormat="1" applyFont="1" applyFill="1" applyBorder="1" applyAlignment="1">
      <x:alignment wrapText="1"/>
    </x:xf>
    <x:xf numFmtId="0" fontId="25" fillId="2" borderId="0" xfId="0" applyNumberFormat="1" applyFont="1" applyFill="1" applyBorder="1" applyAlignment="1">
      <x:alignment horizontal="center" vertical="center" wrapText="1"/>
    </x:xf>
    <x:xf numFmtId="202" fontId="0" fillId="43" borderId="0" xfId="0" applyNumberFormat="1" applyFont="1" applyFill="1" applyBorder="1"/>
    <x:xf numFmtId="0" fontId="0" fillId="43" borderId="0" xfId="0" applyNumberFormat="1" applyFont="1" applyFill="1" applyBorder="1"/>
    <x:xf numFmtId="200" fontId="0" fillId="43" borderId="0" xfId="0" applyNumberFormat="1" applyFont="1" applyFill="1" applyBorder="1"/>
    <x:xf numFmtId="0" fontId="0" fillId="44" borderId="0" xfId="0" applyNumberFormat="1" applyFont="1" applyFill="1" applyBorder="1"/>
    <x:xf numFmtId="0" fontId="27" fillId="44" borderId="0" xfId="0" applyNumberFormat="1" applyFont="1" applyFill="1" applyBorder="1"/>
    <x:xf numFmtId="0" fontId="27" fillId="44" borderId="0" xfId="0" applyNumberFormat="1" applyFont="1" applyFill="1" applyBorder="1" applyAlignment="1">
      <x:alignment horizontal="center"/>
    </x:xf>
    <x:xf numFmtId="0" fontId="27" fillId="44" borderId="0" xfId="0" applyNumberFormat="1" applyFont="1" applyFill="1" applyBorder="1" applyAlignment="1">
      <x:alignment horizontal="center" vertical="center"/>
    </x:xf>
    <x:xf numFmtId="0" fontId="0" fillId="45" borderId="0" xfId="0" applyNumberFormat="1" applyFont="1" applyFill="1" applyBorder="1"/>
    <x:xf numFmtId="0" fontId="17" fillId="45" borderId="0" xfId="0" applyNumberFormat="1" applyFont="1" applyFill="1" applyBorder="1"/>
    <x:xf numFmtId="0" fontId="17" fillId="45" borderId="0" xfId="0" applyNumberFormat="1" applyFont="1" applyFill="1" applyBorder="1" applyAlignment="1">
      <x:alignment wrapText="1"/>
    </x:xf>
    <x:xf numFmtId="0" fontId="17" fillId="45" borderId="0" xfId="0" applyNumberFormat="1" applyFont="1" applyFill="1" applyBorder="1" applyAlignment="1">
      <x:alignment horizontal="center" wrapText="1"/>
    </x:xf>
    <x:xf numFmtId="0" fontId="17" fillId="45" borderId="0" xfId="0" applyNumberFormat="1" applyFont="1" applyFill="1" applyBorder="1" applyAlignment="1">
      <x:alignment horizontal="center" vertical="center" wrapText="1"/>
    </x:xf>
    <x:xf numFmtId="0" fontId="0" fillId="46" borderId="0" xfId="0" applyNumberFormat="1" applyFont="1" applyFill="1" applyBorder="1"/>
    <x:xf numFmtId="0" fontId="3" fillId="46" borderId="0" xfId="0" applyNumberFormat="1" applyFont="1" applyFill="1" applyBorder="1"/>
    <x:xf numFmtId="0" fontId="3" fillId="46" borderId="0" xfId="0" applyNumberFormat="1" applyFont="1" applyFill="1" applyBorder="1" applyAlignment="1">
      <x:alignment horizontal="center"/>
    </x:xf>
    <x:xf numFmtId="0" fontId="15" fillId="0" borderId="0" xfId="0" applyNumberFormat="1" applyFont="1" applyFill="1" applyBorder="1"/>
    <x:xf numFmtId="0" fontId="15" fillId="0" borderId="0" xfId="0" applyNumberFormat="1" applyFont="1" applyFill="1" applyBorder="1" applyAlignment="1">
      <x:alignment horizontal="center"/>
    </x:xf>
    <x:xf numFmtId="0" fontId="15" fillId="0" borderId="0" xfId="0" applyNumberFormat="1" applyFont="1" applyFill="1" applyBorder="1" applyAlignment="1">
      <x:alignment horizontal="center" vertical="center"/>
    </x:xf>
    <x:xf numFmtId="0" fontId="15" fillId="47" borderId="0" xfId="0" applyNumberFormat="1" applyFont="1" applyFill="1" applyBorder="1" applyAlignment="1">
      <x:alignment horizontal="center" vertical="center"/>
    </x:xf>
    <x:xf numFmtId="0" fontId="0" fillId="47" borderId="0" xfId="0" applyNumberFormat="1" applyFont="1" applyFill="1" applyBorder="1"/>
    <x:xf numFmtId="0" fontId="15" fillId="48" borderId="0" xfId="0" applyNumberFormat="1" applyFont="1" applyFill="1" applyBorder="1" applyAlignment="1">
      <x:alignment horizontal="center" vertical="center"/>
    </x:xf>
    <x:xf numFmtId="0" fontId="0" fillId="48" borderId="0" xfId="0" applyNumberFormat="1" applyFont="1" applyFill="1" applyBorder="1"/>
    <x:xf numFmtId="0" fontId="15" fillId="49" borderId="0" xfId="0" applyNumberFormat="1" applyFont="1" applyFill="1" applyBorder="1" applyAlignment="1">
      <x:alignment horizontal="center" vertical="center"/>
    </x:xf>
    <x:xf numFmtId="0" fontId="0" fillId="49" borderId="0" xfId="0" applyNumberFormat="1" applyFont="1" applyFill="1" applyBorder="1"/>
    <x:xf numFmtId="0" fontId="0" fillId="50" borderId="0" xfId="0" applyNumberFormat="1" applyFont="1" applyFill="1" applyBorder="1"/>
    <x:xf numFmtId="0" fontId="2" fillId="50" borderId="0" xfId="0" applyNumberFormat="1" applyFont="1" applyFill="1" applyBorder="1"/>
    <x:xf numFmtId="0" fontId="2" fillId="50" borderId="0" xfId="0" applyNumberFormat="1" applyFont="1" applyFill="1" applyBorder="1" applyAlignment="1">
      <x:alignment horizontal="center"/>
    </x:xf>
    <x:xf numFmtId="0" fontId="3" fillId="46" borderId="0" xfId="0" applyNumberFormat="1" applyFont="1" applyFill="1" applyBorder="1" applyAlignment="1">
      <x:alignment wrapText="1"/>
    </x:xf>
    <x:xf numFmtId="0" fontId="3" fillId="46" borderId="0" xfId="0" applyNumberFormat="1" applyFont="1" applyFill="1" applyBorder="1" applyAlignment="1">
      <x:alignment horizontal="center" wrapText="1"/>
    </x:xf>
    <x:xf numFmtId="0" fontId="3" fillId="46"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8" fillId="46" borderId="0" xfId="0" applyNumberFormat="1" applyFont="1" applyFill="1" applyBorder="1"/>
    <x:xf numFmtId="0" fontId="8" fillId="46" borderId="0" xfId="0" applyNumberFormat="1" applyFont="1" applyFill="1" applyBorder="1" applyAlignment="1">
      <x:alignment horizontal="center"/>
    </x:xf>
    <x:xf numFmtId="0" fontId="2" fillId="44" borderId="0" xfId="0" applyNumberFormat="1" applyFont="1" applyFill="1" applyBorder="1"/>
    <x:xf numFmtId="0" fontId="2" fillId="44" borderId="0" xfId="0" applyNumberFormat="1" applyFont="1" applyFill="1" applyBorder="1" applyAlignment="1">
      <x:alignment horizontal="center"/>
    </x:xf>
    <x:xf numFmtId="0" fontId="0" fillId="51" borderId="0" xfId="0" applyNumberFormat="1" applyFont="1" applyFill="1" applyBorder="1"/>
    <x:xf numFmtId="0" fontId="28" fillId="51" borderId="0" xfId="0" applyNumberFormat="1" applyFont="1" applyFill="1" applyBorder="1"/>
    <x:xf numFmtId="0" fontId="28" fillId="51" borderId="0" xfId="0" applyNumberFormat="1" applyFont="1" applyFill="1" applyBorder="1" applyAlignment="1">
      <x:alignment wrapText="1"/>
    </x:xf>
    <x:xf numFmtId="0" fontId="28" fillId="51" borderId="0" xfId="0" applyNumberFormat="1" applyFont="1" applyFill="1" applyBorder="1" applyAlignment="1">
      <x:alignment vertical="center" wrapText="1"/>
    </x:xf>
    <x:xf numFmtId="0" fontId="28" fillId="43" borderId="0" xfId="0" applyNumberFormat="1" applyFont="1" applyFill="1" applyBorder="1"/>
    <x:xf numFmtId="0" fontId="28" fillId="43" borderId="0" xfId="0" applyNumberFormat="1" applyFont="1" applyFill="1" applyBorder="1" applyAlignment="1">
      <x:alignment wrapText="1"/>
    </x:xf>
    <x:xf numFmtId="0" fontId="28" fillId="43" borderId="0" xfId="0" applyNumberFormat="1" applyFont="1" applyFill="1" applyBorder="1" applyAlignment="1">
      <x:alignment vertical="center" wrapText="1"/>
    </x:xf>
    <x:xf numFmtId="0" fontId="0" fillId="44" borderId="0" xfId="0" applyNumberFormat="1" applyFont="1" applyFill="1" applyBorder="1" applyAlignment="1">
      <x:alignment wrapText="1"/>
    </x:xf>
    <x:xf numFmtId="0" fontId="2" fillId="44" borderId="0" xfId="0" applyNumberFormat="1" applyFont="1" applyFill="1" applyBorder="1" applyAlignment="1">
      <x:alignment wrapText="1"/>
    </x:xf>
    <x:xf numFmtId="0" fontId="2" fillId="44" borderId="0" xfId="0" applyNumberFormat="1" applyFont="1" applyFill="1" applyBorder="1" applyAlignment="1">
      <x:alignment horizontal="center" wrapText="1"/>
    </x:xf>
    <x:xf numFmtId="0" fontId="0" fillId="46" borderId="0" xfId="0" applyNumberFormat="1" applyFont="1" applyFill="1" applyBorder="1" applyAlignment="1">
      <x:alignment wrapText="1"/>
    </x:xf>
    <x:xf numFmtId="0" fontId="23" fillId="46" borderId="0" xfId="0" applyNumberFormat="1" applyFont="1" applyFill="1" applyBorder="1" applyAlignment="1">
      <x:alignment wrapText="1"/>
    </x:xf>
    <x:xf numFmtId="0" fontId="8" fillId="46" borderId="0" xfId="0" applyNumberFormat="1" applyFont="1" applyFill="1" applyBorder="1" applyAlignment="1">
      <x:alignment wrapText="1"/>
    </x:xf>
    <x:xf numFmtId="0" fontId="27" fillId="2" borderId="0" xfId="0" applyNumberFormat="1" applyFont="1" applyFill="1" applyBorder="1"/>
    <x:xf numFmtId="0" fontId="27" fillId="2" borderId="0" xfId="0" applyNumberFormat="1" applyFont="1" applyFill="1" applyBorder="1" applyAlignment="1">
      <x:alignment horizontal="center"/>
    </x:xf>
    <x:xf numFmtId="0" fontId="27" fillId="2" borderId="0" xfId="0" applyNumberFormat="1" applyFont="1" applyFill="1" applyBorder="1" applyAlignment="1">
      <x:alignment horizontal="center" vertical="center"/>
    </x:xf>
    <x:xf numFmtId="0" fontId="17" fillId="12" borderId="0" xfId="0" applyNumberFormat="1" applyFont="1" applyFill="1" applyBorder="1" applyAlignment="1">
      <x:alignment wrapText="1"/>
    </x:xf>
    <x:xf numFmtId="0" fontId="17" fillId="12" borderId="0" xfId="0" applyNumberFormat="1" applyFont="1" applyFill="1" applyBorder="1" applyAlignment="1">
      <x:alignment horizontal="center" wrapText="1"/>
    </x:xf>
    <x:xf numFmtId="0" fontId="17" fillId="12" borderId="0" xfId="0" applyNumberFormat="1" applyFont="1" applyFill="1" applyBorder="1" applyAlignment="1">
      <x:alignment horizontal="center" vertical="center" wrapText="1"/>
    </x:xf>
    <x:xf numFmtId="0" fontId="15" fillId="15" borderId="0" xfId="0" applyNumberFormat="1" applyFont="1" applyFill="1" applyBorder="1" applyAlignment="1">
      <x:alignment horizontal="center" vertical="center"/>
    </x:xf>
    <x:xf numFmtId="0" fontId="15" fillId="16" borderId="0" xfId="0" applyNumberFormat="1" applyFont="1" applyFill="1" applyBorder="1" applyAlignment="1">
      <x:alignment horizontal="center" vertical="center"/>
    </x:xf>
    <x:xf numFmtId="0" fontId="15" fillId="27" borderId="0" xfId="0" applyNumberFormat="1" applyFont="1" applyFill="1" applyBorder="1" applyAlignment="1">
      <x:alignment horizontal="center" vertical="center"/>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8" fillId="4" borderId="0" xfId="0" applyNumberFormat="1" applyFont="1" applyFill="1" applyBorder="1" applyAlignment="1">
      <x:alignment horizontal="center"/>
    </x:xf>
    <x:xf numFmtId="0" fontId="0" fillId="2" borderId="0" xfId="0" applyNumberFormat="1" applyFont="1" applyFill="1" applyBorder="1" applyAlignment="1">
      <x:alignment wrapText="1"/>
    </x:xf>
    <x:xf numFmtId="0" fontId="8" fillId="52" borderId="0" xfId="0" applyNumberFormat="1" applyFont="1" applyFill="1" applyBorder="1" applyAlignment="1">
      <x:alignment horizontal="center"/>
    </x:xf>
    <x:xf numFmtId="0" fontId="3" fillId="52" borderId="0" xfId="0" applyNumberFormat="1" applyFont="1" applyFill="1" applyBorder="1" applyAlignment="1">
      <x:alignment horizontal="center"/>
    </x:xf>
    <x:xf numFmtId="0" fontId="3" fillId="52" borderId="0" xfId="0" applyNumberFormat="1" applyFont="1" applyFill="1" applyBorder="1" applyAlignment="1">
      <x:alignment horizontal="center" wrapText="1"/>
    </x:xf>
    <x:xf numFmtId="0" fontId="3" fillId="52" borderId="0" xfId="0" applyNumberFormat="1" applyFont="1" applyFill="1" applyBorder="1" applyAlignment="1">
      <x:alignment horizontal="center" vertical="center" wrapText="1"/>
    </x:xf>
    <x:xf numFmtId="0" fontId="0" fillId="52" borderId="0" xfId="0" applyNumberFormat="1" applyFont="1" applyFill="1" applyBorder="1"/>
    <x:xf numFmtId="0" fontId="3" fillId="52" borderId="0" xfId="0" applyNumberFormat="1" applyFont="1" applyFill="1" applyBorder="1"/>
    <x:xf numFmtId="0" fontId="3" fillId="52" borderId="0" xfId="0" applyNumberFormat="1" applyFont="1" applyFill="1" applyBorder="1" applyAlignment="1">
      <x:alignment wrapText="1"/>
    </x:xf>
    <x:xf numFmtId="0" fontId="0" fillId="53" borderId="0" xfId="0" applyNumberFormat="1" applyFont="1" applyFill="1" applyBorder="1" applyAlignment="1">
      <x:alignment wrapText="1"/>
    </x:xf>
    <x:xf numFmtId="0" fontId="28" fillId="53" borderId="0" xfId="0" applyNumberFormat="1" applyFont="1" applyFill="1" applyBorder="1" applyAlignment="1">
      <x:alignment wrapText="1"/>
    </x:xf>
    <x:xf numFmtId="0" fontId="28" fillId="53" borderId="0" xfId="0" applyNumberFormat="1" applyFont="1" applyFill="1" applyBorder="1" applyAlignment="1">
      <x:alignment vertical="center" wrapText="1"/>
    </x:xf>
    <x:xf numFmtId="0" fontId="0" fillId="53" borderId="0" xfId="0" applyNumberFormat="1" applyFont="1" applyFill="1" applyBorder="1"/>
    <x:xf numFmtId="0" fontId="28" fillId="53" borderId="0" xfId="0" applyNumberFormat="1" applyFont="1" applyFill="1" applyBorder="1"/>
    <x:xf numFmtId="0" fontId="0" fillId="54" borderId="0" xfId="0" applyNumberFormat="1" applyFont="1" applyFill="1" applyBorder="1" applyAlignment="1">
      <x:alignment wrapText="1"/>
    </x:xf>
    <x:xf numFmtId="0" fontId="28" fillId="54" borderId="0" xfId="0" applyNumberFormat="1" applyFont="1" applyFill="1" applyBorder="1" applyAlignment="1">
      <x:alignment wrapText="1"/>
    </x:xf>
    <x:xf numFmtId="0" fontId="28" fillId="54" borderId="0" xfId="0" applyNumberFormat="1" applyFont="1" applyFill="1" applyBorder="1" applyAlignment="1">
      <x:alignment vertical="center" wrapText="1"/>
    </x:xf>
    <x:xf numFmtId="0" fontId="0" fillId="54" borderId="0" xfId="0" applyNumberFormat="1" applyFont="1" applyFill="1" applyBorder="1"/>
    <x:xf numFmtId="0" fontId="28" fillId="54" borderId="0" xfId="0" applyNumberFormat="1" applyFont="1" applyFill="1" applyBorder="1"/>
    <x:xf numFmtId="0" fontId="0" fillId="0" borderId="0"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center" wrapText="1"/>
    </x:xf>
    <x:xf numFmtId="0" fontId="0" fillId="43" borderId="0" xfId="0" applyNumberFormat="1" applyFont="1" applyFill="1" applyBorder="1" applyAlignment="1">
      <x:alignment wrapText="1"/>
    </x:xf>
    <x:xf numFmtId="202" fontId="2" fillId="2" borderId="0" xfId="0" applyNumberFormat="1" applyFont="1" applyFill="1" applyBorder="1" applyAlignment="1">
      <x:alignment horizontal="center" vertical="center"/>
    </x:xf>
    <x:xf numFmtId="0" fontId="23" fillId="55" borderId="0" xfId="0" applyNumberFormat="1" applyFont="1" applyFill="1" applyBorder="1" applyAlignment="1">
      <x:alignment wrapText="1"/>
    </x:xf>
    <x:xf numFmtId="0" fontId="0" fillId="55" borderId="0" xfId="0" applyNumberFormat="1" applyFont="1" applyFill="1" applyBorder="1"/>
    <x:xf numFmtId="0" fontId="8" fillId="55" borderId="0" xfId="0" applyNumberFormat="1" applyFont="1" applyFill="1" applyBorder="1"/>
    <x:xf numFmtId="0" fontId="8" fillId="55" borderId="0" xfId="0" applyNumberFormat="1" applyFont="1" applyFill="1" applyBorder="1" applyAlignment="1">
      <x:alignment wrapText="1"/>
    </x:xf>
    <x:xf numFmtId="0" fontId="29" fillId="0" borderId="0" xfId="0" applyNumberFormat="1" applyFont="1" applyFill="1" applyBorder="1"/>
    <x:xf numFmtId="0" fontId="29" fillId="0" borderId="0" xfId="0" applyNumberFormat="1" applyFont="1" applyFill="1" applyBorder="1" applyAlignment="1">
      <x:alignment vertical="center"/>
    </x:xf>
    <x:xf numFmtId="0" fontId="29" fillId="56" borderId="0" xfId="0" applyNumberFormat="1" applyFont="1" applyFill="1" applyBorder="1" applyAlignment="1">
      <x:alignment vertical="center"/>
    </x:xf>
    <x:xf numFmtId="0" fontId="30" fillId="56" borderId="0" xfId="0" applyNumberFormat="1" applyFont="1" applyFill="1" applyBorder="1" applyAlignment="1">
      <x:alignment vertical="center"/>
    </x:xf>
    <x:xf numFmtId="0" fontId="30" fillId="56" borderId="0" xfId="0" applyNumberFormat="1" applyFont="1" applyFill="1" applyBorder="1" applyAlignment="1">
      <x:alignment horizontal="center" vertical="center"/>
    </x:xf>
    <x:xf numFmtId="0" fontId="29" fillId="57" borderId="0" xfId="0" applyNumberFormat="1" applyFont="1" applyFill="1" applyBorder="1" applyAlignment="1">
      <x:alignment vertical="center"/>
    </x:xf>
    <x:xf numFmtId="0" fontId="5" fillId="57" borderId="0" xfId="0" applyNumberFormat="1" applyFont="1" applyFill="1" applyBorder="1" applyAlignment="1">
      <x:alignment vertical="center"/>
    </x:xf>
    <x:xf numFmtId="0" fontId="5" fillId="57" borderId="0" xfId="0" applyNumberFormat="1" applyFont="1" applyFill="1" applyBorder="1" applyAlignment="1">
      <x:alignment horizontal="center" vertical="center"/>
    </x:xf>
    <x:xf numFmtId="0" fontId="29" fillId="58" borderId="0" xfId="0" applyNumberFormat="1" applyFont="1" applyFill="1" applyBorder="1" applyAlignment="1">
      <x:alignment vertical="center"/>
    </x:xf>
    <x:xf numFmtId="0" fontId="31" fillId="58" borderId="0" xfId="0" applyNumberFormat="1" applyFont="1" applyFill="1" applyBorder="1" applyAlignment="1">
      <x:alignment vertical="center"/>
    </x:xf>
    <x:xf numFmtId="0" fontId="31" fillId="58" borderId="0" xfId="0" applyNumberFormat="1" applyFont="1" applyFill="1" applyBorder="1" applyAlignment="1">
      <x:alignment horizontal="center" vertical="center"/>
    </x:xf>
    <x:xf numFmtId="0" fontId="29" fillId="0" xfId="0" applyNumberFormat="1" applyFont="1" applyFill="1" applyBorder="0" applyAlignment="1">
      <x:alignment vertical="center"/>
    </x:xf>
    <x:xf numFmtId="0" fontId="32" fillId="0" xfId="0" applyNumberFormat="1" applyFont="1" applyFill="1" applyBorder="0" applyAlignment="1">
      <x:alignment vertical="center"/>
    </x:xf>
    <x:xf numFmtId="0" fontId="29" fillId="0" xfId="0" applyNumberFormat="1" applyFont="1" applyFill="1" applyBorder="0" applyAlignment="1">
      <x:alignment horizontal="center" vertical="center"/>
    </x:xf>
    <x:xf numFmtId="200" fontId="29" fillId="0" xfId="0" applyNumberFormat="1" applyFont="1" applyFill="1" applyBorder="0" applyAlignment="1">
      <x:alignment horizontal="center" vertical="center"/>
    </x:xf>
    <x:xf numFmtId="201" fontId="29" fillId="0" xfId="0" applyNumberFormat="1" applyFont="1" applyFill="1" applyBorder="0" applyAlignment="1">
      <x:alignment horizontal="center" vertical="center"/>
    </x:xf>
    <x:xf numFmtId="0" fontId="29" fillId="0" borderId="0" xfId="0" applyNumberFormat="1" applyFont="1" applyFill="1" applyBorder="1" applyAlignment="1">
      <x:alignment horizontal="center" vertical="center"/>
    </x:xf>
    <x:xf numFmtId="0" fontId="33" fillId="0" borderId="0" xfId="0" applyNumberFormat="1" applyFont="1" applyFill="1" applyBorder="1" applyAlignment="1">
      <x:alignment horizontal="center" vertical="center"/>
    </x:xf>
    <x:xf numFmtId="0" fontId="32" fillId="0" borderId="0" xfId="0" applyNumberFormat="1" applyFont="1" applyFill="1" applyBorder="1" applyAlignment="1">
      <x:alignment vertical="center"/>
    </x:xf>
    <x:xf numFmtId="0" fontId="34" fillId="0" borderId="0" xfId="0" applyNumberFormat="1" applyFont="1" applyFill="1" applyBorder="1" applyAlignment="1">
      <x:alignment vertical="center"/>
    </x:xf>
    <x:xf numFmtId="0" fontId="35" fillId="0" borderId="0" xfId="0" applyNumberFormat="1" applyFont="1" applyFill="1" applyBorder="1" applyAlignment="1">
      <x:alignment vertical="center"/>
    </x:xf>
    <x:xf numFmtId="0" fontId="33" fillId="0" xfId="0" applyNumberFormat="1" applyFont="1" applyFill="1" applyBorder="0" applyAlignment="1">
      <x:alignment horizontal="center" vertical="center"/>
    </x:xf>
    <x:xf numFmtId="0" fontId="34" fillId="0" xfId="0" applyNumberFormat="1" applyFont="1" applyFill="1" applyBorder="0" applyAlignment="1">
      <x:alignment vertical="center"/>
    </x:xf>
    <x:xf numFmtId="0" fontId="35" fillId="0" xfId="0" applyNumberFormat="1" applyFont="1" applyFill="1" applyBorder="0" applyAlignment="1">
      <x:alignment vertical="center"/>
    </x:xf>
    <x:xf numFmtId="200" fontId="34" fillId="0" xfId="0" applyNumberFormat="1" applyFont="1" applyFill="1" applyBorder="0" applyAlignment="1">
      <x:alignment vertical="center"/>
    </x:xf>
    <x:xf numFmtId="201" fontId="34" fillId="0" xfId="0" applyNumberFormat="1" applyFont="1" applyFill="1" applyBorder="0" applyAlignment="1">
      <x:alignment vertical="center"/>
    </x:xf>
    <x:xf numFmtId="0" fontId="36" fillId="56" borderId="0" xfId="0" applyNumberFormat="1" applyFont="1" applyFill="1" applyBorder="1" applyAlignment="1">
      <x:alignment vertical="center"/>
    </x:xf>
    <x:xf numFmtId="0" fontId="36" fillId="56" borderId="0" xfId="0" applyNumberFormat="1" applyFont="1" applyFill="1" applyBorder="1" applyAlignment="1">
      <x:alignment horizontal="left" vertical="center"/>
    </x:xf>
    <x:xf numFmtId="0" fontId="5" fillId="57" xfId="0" applyNumberFormat="1" applyFont="1" applyFill="1" applyBorder="0" applyAlignment="1">
      <x:alignment horizontal="center" vertical="center"/>
    </x:xf>
    <x:xf numFmtId="200" fontId="29" fillId="0" borderId="0" xfId="0" applyNumberFormat="1" applyFont="1" applyFill="1" applyBorder="1" applyAlignment="1">
      <x:alignment vertical="center"/>
    </x:xf>
    <x:xf numFmtId="200" fontId="29" fillId="0" xfId="0" applyNumberFormat="1" applyFont="1" applyFill="1" applyBorder="0" applyAlignment="1">
      <x:alignment vertical="center"/>
    </x:xf>
    <x:xf numFmtId="203" fontId="29" fillId="0" borderId="0" xfId="0" applyNumberFormat="1" applyFont="1" applyFill="1" applyBorder="1" applyAlignment="1">
      <x:alignment vertical="center"/>
    </x:xf>
    <x:xf numFmtId="203" fontId="29" fillId="0" xfId="0" applyNumberFormat="1" applyFont="1" applyFill="1" applyBorder="0" applyAlignment="1">
      <x:alignment vertical="center"/>
    </x:xf>
    <x:xf numFmtId="201" fontId="29" fillId="0" borderId="0" xfId="0" applyNumberFormat="1" applyFont="1" applyFill="1" applyBorder="1" applyAlignment="1">
      <x:alignment vertical="center"/>
    </x:xf>
    <x:xf numFmtId="201" fontId="29" fillId="0" xfId="0" applyNumberFormat="1" applyFont="1" applyFill="1" applyBorder="0" applyAlignment="1">
      <x:alignment vertical="center"/>
    </x:xf>
    <x:xf numFmtId="0" fontId="32" fillId="56" borderId="0" xfId="0" applyNumberFormat="1" applyFont="1" applyFill="1" applyBorder="1" applyAlignment="1">
      <x:alignment vertical="center"/>
    </x:xf>
    <x:xf numFmtId="201" fontId="29" fillId="56" borderId="0" xfId="0" applyNumberFormat="1" applyFont="1" applyFill="1" applyBorder="1" applyAlignment="1">
      <x:alignment vertical="center"/>
    </x:xf>
    <x:xf numFmtId="0" fontId="5" fillId="56" borderId="0" xfId="0" applyNumberFormat="1" applyFont="1" applyFill="1" applyBorder="1" applyAlignment="1">
      <x:alignment vertical="center"/>
    </x:xf>
    <x:xf numFmtId="201" fontId="5" fillId="56" borderId="0" xfId="0" applyNumberFormat="1" applyFont="1" applyFill="1" applyBorder="1" applyAlignment="1">
      <x:alignment vertical="center"/>
    </x:xf>
    <x:xf numFmtId="0" fontId="5" fillId="56" xfId="0" applyNumberFormat="1" applyFont="1" applyFill="1" applyBorder="0" applyAlignment="1">
      <x:alignment vertical="center"/>
    </x:xf>
    <x:xf numFmtId="201" fontId="5" fillId="56" xfId="0" applyNumberFormat="1" applyFont="1" applyFill="1" applyBorder="0" applyAlignment="1">
      <x:alignment vertical="center"/>
    </x:xf>
    <x:xf numFmtId="0" fontId="29" fillId="0" borderId="0" xfId="0" applyNumberFormat="1" applyFont="1" applyFill="1" applyBorder="1" applyAlignment="1">
      <x:alignment vertical="center" wrapText="1"/>
    </x:xf>
    <x:xf numFmtId="0" fontId="29" fillId="0" xfId="0" applyNumberFormat="1" applyFont="1" applyFill="1" applyBorder="0" applyAlignment="1">
      <x:alignment vertical="center" wrapText="1"/>
    </x:xf>
    <x:xf numFmtId="202"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0" fontId="0" fillId="59" borderId="0" xfId="0" applyNumberFormat="1" applyFont="1" applyFill="1" applyBorder="1" applyAlignment="1">
      <x:alignment wrapText="1"/>
    </x:xf>
    <x:xf numFmtId="0" fontId="37" fillId="59" borderId="0" xfId="0" applyNumberFormat="1" applyFont="1" applyFill="1" applyBorder="1" applyAlignment="1">
      <x:alignment wrapText="1"/>
    </x:xf>
    <x:xf numFmtId="0" fontId="37" fillId="59" borderId="0" xfId="0" applyNumberFormat="1" applyFont="1" applyFill="1" applyBorder="1" applyAlignment="1">
      <x:alignment horizontal="center" wrapText="1"/>
    </x:xf>
    <x:xf numFmtId="0" fontId="37" fillId="59" borderId="0" xfId="0" applyNumberFormat="1" applyFont="1" applyFill="1" applyBorder="1" applyAlignment="1">
      <x:alignment horizontal="center" vertical="center" wrapText="1"/>
    </x:xf>
    <x:xf numFmtId="0" fontId="0" fillId="60" borderId="0" xfId="0" applyNumberFormat="1" applyFont="1" applyFill="1" applyBorder="1" applyAlignment="1">
      <x:alignment wrapText="1"/>
    </x:xf>
    <x:xf numFmtId="0" fontId="38" fillId="60" borderId="0" xfId="0" applyNumberFormat="1" applyFont="1" applyFill="1" applyBorder="1" applyAlignment="1">
      <x:alignment wrapText="1"/>
    </x:xf>
    <x:xf numFmtId="0" fontId="38" fillId="60" borderId="0" xfId="0" applyNumberFormat="1" applyFont="1" applyFill="1" applyBorder="1" applyAlignment="1">
      <x:alignment horizontal="center" wrapText="1"/>
    </x:xf>
    <x:xf numFmtId="0" fontId="0" fillId="61" borderId="0" xfId="0" applyNumberFormat="1" applyFont="1" applyFill="1" applyBorder="1" applyAlignment="1">
      <x:alignment wrapText="1"/>
    </x:xf>
    <x:xf numFmtId="0" fontId="2" fillId="61" borderId="0" xfId="0" applyNumberFormat="1" applyFont="1" applyFill="1" applyBorder="1" applyAlignment="1">
      <x:alignment wrapText="1"/>
    </x:xf>
    <x:xf numFmtId="0" fontId="2" fillId="61" borderId="0" xfId="0" applyNumberFormat="1" applyFont="1" applyFill="1" applyBorder="1" applyAlignment="1">
      <x:alignment horizontal="center" wrapText="1"/>
    </x:xf>
    <x:xf numFmtId="0" fontId="2" fillId="61" borderId="0" xfId="0" applyNumberFormat="1" applyFont="1" applyFill="1" applyBorder="1" applyAlignment="1">
      <x:alignment horizontal="center" vertical="center" wrapText="1"/>
    </x:xf>
    <x:xf numFmtId="0" fontId="0" fillId="62" borderId="0" xfId="0" applyNumberFormat="1" applyFont="1" applyFill="1" applyBorder="1" applyAlignment="1">
      <x:alignment wrapText="1"/>
    </x:xf>
    <x:xf numFmtId="0" fontId="39" fillId="62" borderId="0" xfId="0" applyNumberFormat="1" applyFont="1" applyFill="1" applyBorder="1" applyAlignment="1">
      <x:alignment wrapText="1"/>
    </x:xf>
    <x:xf numFmtId="0" fontId="39" fillId="62" borderId="0" xfId="0" applyNumberFormat="1" applyFont="1" applyFill="1" applyBorder="1" applyAlignment="1">
      <x:alignment horizontal="center" wrapText="1"/>
    </x:xf>
    <x:xf numFmtId="0" fontId="0" fillId="63" borderId="0" xfId="0" applyNumberFormat="1" applyFont="1" applyFill="1" applyBorder="1" applyAlignment="1">
      <x:alignment wrapText="1"/>
    </x:xf>
    <x:xf numFmtId="0" fontId="40" fillId="63" borderId="0" xfId="0" applyNumberFormat="1" applyFont="1" applyFill="1" applyBorder="1" applyAlignment="1">
      <x:alignment wrapText="1"/>
    </x:xf>
    <x:xf numFmtId="0" fontId="0" fillId="59" borderId="0" xfId="0" applyNumberFormat="1" applyFont="1" applyFill="1" applyBorder="1"/>
    <x:xf numFmtId="0" fontId="37" fillId="59" borderId="0" xfId="0" applyNumberFormat="1" applyFont="1" applyFill="1" applyBorder="1"/>
    <x:xf numFmtId="0" fontId="37" fillId="59" borderId="0" xfId="0" applyNumberFormat="1" applyFont="1" applyFill="1" applyBorder="1" applyAlignment="1">
      <x:alignment horizontal="center"/>
    </x:xf>
    <x:xf numFmtId="0" fontId="37" fillId="59" borderId="0" xfId="0" applyNumberFormat="1" applyFont="1" applyFill="1" applyBorder="1" applyAlignment="1">
      <x:alignment horizontal="center" vertical="center"/>
    </x:xf>
    <x:xf numFmtId="0" fontId="0" fillId="60" borderId="0" xfId="0" applyNumberFormat="1" applyFont="1" applyFill="1" applyBorder="1"/>
    <x:xf numFmtId="0" fontId="38" fillId="60" borderId="0" xfId="0" applyNumberFormat="1" applyFont="1" applyFill="1" applyBorder="1"/>
    <x:xf numFmtId="0" fontId="38" fillId="60" borderId="0" xfId="0" applyNumberFormat="1" applyFont="1" applyFill="1" applyBorder="1" applyAlignment="1">
      <x:alignment horizontal="center"/>
    </x:xf>
    <x:xf numFmtId="0" fontId="0" fillId="61" borderId="0" xfId="0" applyNumberFormat="1" applyFont="1" applyFill="1" applyBorder="1"/>
    <x:xf numFmtId="0" fontId="2" fillId="61" borderId="0" xfId="0" applyNumberFormat="1" applyFont="1" applyFill="1" applyBorder="1"/>
    <x:xf numFmtId="0" fontId="2" fillId="61" borderId="0" xfId="0" applyNumberFormat="1" applyFont="1" applyFill="1" applyBorder="1" applyAlignment="1">
      <x:alignment horizontal="center"/>
    </x:xf>
    <x:xf numFmtId="0" fontId="2" fillId="61" borderId="0" xfId="0" applyNumberFormat="1" applyFont="1" applyFill="1" applyBorder="1" applyAlignment="1">
      <x:alignment horizontal="center" vertical="center"/>
    </x:xf>
    <x:xf numFmtId="0" fontId="0" fillId="63" borderId="0" xfId="0" applyNumberFormat="1" applyFont="1" applyFill="1" applyBorder="1"/>
    <x:xf numFmtId="0" fontId="40" fillId="63" borderId="0" xfId="0" applyNumberFormat="1" applyFont="1" applyFill="1" applyBorder="1"/>
    <x:xf numFmtId="202" fontId="40" fillId="63" borderId="0" xfId="0" applyNumberFormat="1" applyFont="1" applyFill="1" applyBorder="1" applyAlignment="1">
      <x:alignment wrapText="1"/>
    </x:xf>
    <x:xf numFmtId="202" fontId="2" fillId="61" borderId="0" xfId="0" applyNumberFormat="1" applyFont="1" applyFill="1" applyBorder="1" applyAlignment="1">
      <x:alignment horizontal="center" vertical="center" wrapText="1"/>
    </x:xf>
    <x:xf numFmtId="202" fontId="0" fillId="43" borderId="0" xfId="0" applyNumberFormat="1" applyFont="1" applyFill="1" applyBorder="1" applyAlignment="1">
      <x:alignment wrapText="1"/>
    </x:xf>
    <x:xf numFmtId="200" fontId="0" fillId="0" borderId="0" xfId="0" applyNumberFormat="1" applyFont="1" applyFill="1" applyBorder="1" applyAlignment="1">
      <x:alignment wrapText="1"/>
    </x:xf>
    <x:xf numFmtId="200" fontId="0" fillId="43" borderId="0" xfId="0" applyNumberFormat="1" applyFont="1" applyFill="1" applyBorder="1" applyAlignment="1">
      <x:alignment wrapText="1"/>
    </x:xf>
    <x:xf numFmtId="0" fontId="30" fillId="56" borderId="0" xfId="0" applyNumberFormat="1" applyFont="1" applyFill="1" applyBorder="1" applyAlignment="1">
      <x:alignment horizontal="center" vertical="center" wrapText="1"/>
    </x:xf>
    <x:xf numFmtId="0" fontId="5" fillId="57" borderId="0" xfId="0" applyNumberFormat="1" applyFont="1" applyFill="1" applyBorder="1" applyAlignment="1">
      <x:alignment horizontal="center" vertical="center" wrapText="1"/>
    </x:xf>
    <x:xf numFmtId="0" fontId="31" fillId="58" borderId="0" xfId="0" applyNumberFormat="1" applyFont="1" applyFill="1" applyBorder="1" applyAlignment="1">
      <x:alignment horizontal="center" vertical="center" wrapText="1"/>
    </x:xf>
    <x:xf numFmtId="0" fontId="32" fillId="0" xfId="0" applyNumberFormat="1" applyFont="1" applyFill="1" applyBorder="0" applyAlignment="1">
      <x:alignment vertical="center" wrapText="1"/>
    </x:xf>
    <x:xf numFmtId="0" fontId="29" fillId="0" xfId="0" applyNumberFormat="1" applyFont="1" applyFill="1" applyBorder="0" applyAlignment="1">
      <x:alignment horizontal="center" vertical="center" wrapText="1"/>
    </x:xf>
    <x:xf numFmtId="200" fontId="29" fillId="0" xfId="0" applyNumberFormat="1" applyFont="1" applyFill="1" applyBorder="0" applyAlignment="1">
      <x:alignment horizontal="center" vertical="center" wrapText="1"/>
    </x:xf>
    <x:xf numFmtId="0" fontId="33" fillId="0" xfId="0" applyNumberFormat="1" applyFont="1" applyFill="1" applyBorder="0" applyAlignment="1">
      <x:alignment horizontal="center" vertical="center" wrapText="1"/>
    </x:xf>
    <x:xf numFmtId="0" fontId="34" fillId="0" xfId="0" applyNumberFormat="1" applyFont="1" applyFill="1" applyBorder="0" applyAlignment="1">
      <x:alignment vertical="center" wrapText="1"/>
    </x:xf>
    <x:xf numFmtId="0" fontId="35" fillId="0" xfId="0" applyNumberFormat="1" applyFont="1" applyFill="1" applyBorder="0" applyAlignment="1">
      <x:alignment vertical="center" wrapText="1"/>
    </x:xf>
    <x:xf numFmtId="200" fontId="34" fillId="0" xfId="0" applyNumberFormat="1" applyFont="1" applyFill="1" applyBorder="0" applyAlignment="1">
      <x:alignment vertical="center" wrapText="1"/>
    </x:xf>
    <x:xf numFmtId="201" fontId="29" fillId="0" xfId="0" applyNumberFormat="1" applyFont="1" applyFill="1" applyBorder="0" applyAlignment="1">
      <x:alignment horizontal="center" vertical="center" wrapText="1"/>
    </x:xf>
    <x:xf numFmtId="201" fontId="34" fillId="0" xfId="0" applyNumberFormat="1" applyFont="1" applyFill="1" applyBorder="0" applyAlignment="1">
      <x:alignment vertical="center" wrapText="1"/>
    </x:xf>
    <x:xf numFmtId="0" fontId="36" fillId="56" borderId="0" xfId="0" applyNumberFormat="1" applyFont="1" applyFill="1" applyBorder="1" applyAlignment="1">
      <x:alignment horizontal="left" vertical="center" wrapText="1"/>
    </x:xf>
    <x:xf numFmtId="0" fontId="5" fillId="57" xfId="0" applyNumberFormat="1" applyFont="1" applyFill="1" applyBorder="0" applyAlignment="1">
      <x:alignment horizontal="center" vertical="center" wrapText="1"/>
    </x:xf>
    <x:xf numFmtId="200" fontId="29" fillId="0" xfId="0" applyNumberFormat="1" applyFont="1" applyFill="1" applyBorder="0" applyAlignment="1">
      <x:alignment vertical="center" wrapText="1"/>
    </x:xf>
    <x:xf numFmtId="201" fontId="29" fillId="0" xfId="0" applyNumberFormat="1" applyFont="1" applyFill="1" applyBorder="0" applyAlignment="1">
      <x:alignment vertical="center" wrapText="1"/>
    </x:xf>
    <x:xf numFmtId="203" fontId="29" fillId="0" xfId="0" applyNumberFormat="1" applyFont="1" applyFill="1" applyBorder="0" applyAlignment="1">
      <x:alignment vertical="center" wrapText="1"/>
    </x:xf>
    <x:xf numFmtId="0" fontId="5" fillId="56" xfId="0" applyNumberFormat="1" applyFont="1" applyFill="1" applyBorder="0" applyAlignment="1">
      <x:alignment vertical="center" wrapText="1"/>
    </x:xf>
    <x:xf numFmtId="201" fontId="5" fillId="56" xfId="0" applyNumberFormat="1" applyFont="1" applyFill="1" applyBorder="0" applyAlignment="1">
      <x:alignment vertical="center" wrapText="1"/>
    </x:xf>
    <x:xf numFmtId="0" fontId="4" fillId="2"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5" fillId="63" xfId="0" applyNumberFormat="1" applyFont="1" applyFill="1" applyBorder="0" applyAlignment="1">
      <x:alignment horizontal="center" vertical="center" wrapText="1"/>
    </x:xf>
    <x:xf numFmtId="0" fontId="29" fillId="63" xfId="0" applyNumberFormat="1" applyFont="1" applyFill="1" applyBorder="0" applyAlignment="1">
      <x:alignment vertical="center" wrapText="1"/>
    </x:xf>
    <x:xf numFmtId="0" fontId="41" fillId="63" xfId="0" applyNumberFormat="1" applyFont="1" applyFill="1" applyBorder="0" applyAlignment="1">
      <x:alignment horizontal="center" vertical="center" wrapText="1"/>
    </x:xf>
    <x:xf numFmtId="0" fontId="41" fillId="63" xfId="0" applyNumberFormat="1" applyFont="1" applyFill="1" applyBorder="0" applyAlignment="1">
      <x:alignment vertical="center" wrapText="1"/>
    </x:xf>
    <x:xf numFmtId="0" fontId="32" fillId="61" xfId="0" applyNumberFormat="1" applyFont="1" applyFill="1" applyBorder="0" applyAlignment="1">
      <x:alignment vertical="center" wrapText="1"/>
    </x:xf>
    <x:xf numFmtId="0" fontId="29" fillId="61" xfId="0" applyNumberFormat="1" applyFont="1" applyFill="1" applyBorder="0" applyAlignment="1">
      <x:alignment vertical="center" wrapText="1"/>
    </x:xf>
    <x:xf numFmtId="0" fontId="5" fillId="61" xfId="0" applyNumberFormat="1" applyFont="1" applyFill="1" applyBorder="0" applyAlignment="1">
      <x:alignment vertical="center" wrapText="1"/>
    </x:xf>
    <x:xf numFmtId="0" fontId="5" fillId="61" xfId="0" applyNumberFormat="1" applyFont="1" applyFill="1" applyBorder="0" applyAlignment="1">
      <x:alignment horizontal="center" vertical="center" wrapText="1"/>
    </x:xf>
    <x:xf numFmtId="0" fontId="37" fillId="3" borderId="0" xfId="0" applyNumberFormat="1" applyFont="1" applyFill="1" applyBorder="1" applyAlignment="1">
      <x:alignment wrapText="1"/>
    </x:xf>
    <x:xf numFmtId="0" fontId="37" fillId="3" borderId="0" xfId="0" applyNumberFormat="1" applyFont="1" applyFill="1" applyBorder="1" applyAlignment="1">
      <x:alignment horizontal="center" wrapText="1"/>
    </x:xf>
    <x:xf numFmtId="0" fontId="37" fillId="3" borderId="0" xfId="0" applyNumberFormat="1" applyFont="1" applyFill="1" applyBorder="1" applyAlignment="1">
      <x:alignment horizontal="center" vertical="center" wrapText="1"/>
    </x:xf>
    <x:xf numFmtId="0" fontId="38" fillId="4" borderId="0" xfId="0" applyNumberFormat="1" applyFont="1" applyFill="1" applyBorder="1" applyAlignment="1">
      <x:alignment wrapText="1"/>
    </x:xf>
    <x:xf numFmtId="0" fontId="38" fillId="4" borderId="0" xfId="0" applyNumberFormat="1" applyFont="1" applyFill="1" applyBorder="1" applyAlignment="1">
      <x:alignment horizontal="center" wrapText="1"/>
    </x:xf>
    <x:xf numFmtId="0" fontId="37" fillId="3" borderId="0" xfId="0" applyNumberFormat="1" applyFont="1" applyFill="1" applyBorder="1"/>
    <x:xf numFmtId="0" fontId="37" fillId="3" borderId="0" xfId="0" applyNumberFormat="1" applyFont="1" applyFill="1" applyBorder="1" applyAlignment="1">
      <x:alignment horizontal="center"/>
    </x:xf>
    <x:xf numFmtId="0" fontId="37" fillId="3" borderId="0" xfId="0" applyNumberFormat="1" applyFont="1" applyFill="1" applyBorder="1" applyAlignment="1">
      <x:alignment horizontal="center" vertical="center"/>
    </x:xf>
    <x:xf numFmtId="0" fontId="38" fillId="4" borderId="0" xfId="0" applyNumberFormat="1" applyFont="1" applyFill="1" applyBorder="1"/>
    <x:xf numFmtId="0" fontId="38" fillId="4" borderId="0" xfId="0" applyNumberFormat="1" applyFont="1" applyFill="1" applyBorder="1" applyAlignment="1">
      <x:alignment horizontal="center"/>
    </x:xf>
    <x:xf numFmtId="0" fontId="0" fillId="64" borderId="0" xfId="0" applyNumberFormat="1" applyFont="1" applyFill="1" applyBorder="1"/>
    <x:xf numFmtId="0" fontId="27" fillId="64" borderId="0" xfId="0" applyNumberFormat="1" applyFont="1" applyFill="1" applyBorder="1"/>
    <x:xf numFmtId="0" fontId="27" fillId="64" borderId="0" xfId="0" applyNumberFormat="1" applyFont="1" applyFill="1" applyBorder="1" applyAlignment="1">
      <x:alignment horizontal="center"/>
    </x:xf>
    <x:xf numFmtId="0" fontId="27" fillId="64" borderId="0" xfId="0" applyNumberFormat="1" applyFont="1" applyFill="1" applyBorder="1" applyAlignment="1">
      <x:alignment horizontal="center" vertical="center"/>
    </x:xf>
    <x:xf numFmtId="0" fontId="0" fillId="65" borderId="0" xfId="0" applyNumberFormat="1" applyFont="1" applyFill="1" applyBorder="1"/>
    <x:xf numFmtId="0" fontId="38" fillId="65" borderId="0" xfId="0" applyNumberFormat="1" applyFont="1" applyFill="1" applyBorder="1"/>
    <x:xf numFmtId="0" fontId="38" fillId="65" borderId="0" xfId="0" applyNumberFormat="1" applyFont="1" applyFill="1" applyBorder="1" applyAlignment="1">
      <x:alignment horizontal="center"/>
    </x:xf>
    <x:xf numFmtId="0" fontId="0" fillId="66" borderId="0" xfId="0" applyNumberFormat="1" applyFont="1" applyFill="1" applyBorder="1"/>
    <x:xf numFmtId="0" fontId="2" fillId="66" borderId="0" xfId="0" applyNumberFormat="1" applyFont="1" applyFill="1" applyBorder="1"/>
    <x:xf numFmtId="0" fontId="2" fillId="66" borderId="0" xfId="0" applyNumberFormat="1" applyFont="1" applyFill="1" applyBorder="1" applyAlignment="1">
      <x:alignment horizontal="center"/>
    </x:xf>
    <x:xf numFmtId="0" fontId="2" fillId="66" borderId="0" xfId="0" applyNumberFormat="1" applyFont="1" applyFill="1" applyBorder="1" applyAlignment="1">
      <x:alignment horizontal="center" vertical="center"/>
    </x:xf>
    <x:xf numFmtId="205" fontId="0" fillId="0" borderId="0" xfId="0" applyNumberFormat="1" applyFont="1" applyFill="1" applyBorder="1"/>
    <x:xf numFmtId="204" fontId="0" fillId="0" borderId="0" xfId="0" applyNumberFormat="1" applyFont="1" applyFill="1" applyBorder="1"/>
    <x:xf numFmtId="0" fontId="27" fillId="64" borderId="0" xfId="0" applyNumberFormat="1" applyFont="1" applyFill="1" applyBorder="1" applyAlignment="1">
      <x:alignment horizontal="center" vertical="center" wrapText="1"/>
    </x:xf>
    <x:xf numFmtId="0" fontId="38" fillId="65" borderId="0" xfId="0" applyNumberFormat="1" applyFont="1" applyFill="1" applyBorder="1" applyAlignment="1">
      <x:alignment horizontal="center" wrapText="1"/>
    </x:xf>
    <x:xf numFmtId="0" fontId="2" fillId="66" borderId="0" xfId="0" applyNumberFormat="1" applyFont="1" applyFill="1" applyBorder="1" applyAlignment="1">
      <x:alignment horizontal="center" vertical="center" wrapText="1"/>
    </x:xf>
    <x:xf numFmtId="204" fontId="0" fillId="0" borderId="0" xfId="0" applyNumberFormat="1" applyFont="1" applyFill="1" applyBorder="1" applyAlignment="1">
      <x:alignment wrapText="1"/>
    </x:xf>
    <x:xf numFmtId="205" fontId="0" fillId="0" borderId="0" xfId="0" applyNumberFormat="1" applyFont="1" applyFill="1" applyBorder="1" applyAlignment="1">
      <x:alignment wrapText="1"/>
    </x:xf>
    <x:xf numFmtId="202" fontId="0" fillId="64" borderId="0" xfId="0" applyNumberFormat="1" applyFont="1" applyFill="1" applyBorder="1" applyAlignment="1">
      <x:alignment wrapText="1"/>
    </x:xf>
    <x:xf numFmtId="0" fontId="0" fillId="64" borderId="0" xfId="0" applyNumberFormat="1" applyFont="1" applyFill="1" applyBorder="1" applyAlignment="1">
      <x:alignment wrapText="1"/>
    </x:xf>
    <x:xf numFmtId="202" fontId="2" fillId="64" borderId="0" xfId="0" applyNumberFormat="1" applyFont="1" applyFill="1" applyBorder="1" applyAlignment="1">
      <x:alignment wrapText="1"/>
    </x:xf>
    <x:xf numFmtId="0" fontId="2" fillId="64" borderId="0" xfId="0" applyNumberFormat="1" applyFont="1" applyFill="1" applyBorder="1" applyAlignment="1">
      <x:alignment wrapText="1"/>
    </x:xf>
    <x:xf numFmtId="202" fontId="0" fillId="66" borderId="0" xfId="0" applyNumberFormat="1" applyFont="1" applyFill="1" applyBorder="1" applyAlignment="1">
      <x:alignment wrapText="1"/>
    </x:xf>
    <x:xf numFmtId="0" fontId="0" fillId="66" borderId="0" xfId="0" applyNumberFormat="1" applyFont="1" applyFill="1" applyBorder="1" applyAlignment="1">
      <x:alignment wrapText="1"/>
    </x:xf>
    <x:xf numFmtId="202" fontId="2" fillId="66" borderId="0" xfId="0" applyNumberFormat="1" applyFont="1" applyFill="1" applyBorder="1" applyAlignment="1">
      <x:alignment wrapText="1"/>
    </x:xf>
    <x:xf numFmtId="0" fontId="2" fillId="66" borderId="0" xfId="0" applyNumberFormat="1" applyFont="1" applyFill="1" applyBorder="1" applyAlignment="1">
      <x:alignment wrapText="1"/>
    </x:xf>
    <x:xf numFmtId="0" fontId="27" fillId="3" borderId="0" xfId="0" applyNumberFormat="1" applyFont="1" applyFill="1" applyBorder="1"/>
    <x:xf numFmtId="0" fontId="27" fillId="3" borderId="0" xfId="0" applyNumberFormat="1" applyFont="1" applyFill="1" applyBorder="1" applyAlignment="1">
      <x:alignment horizontal="center"/>
    </x:xf>
    <x:xf numFmtId="0" fontId="27" fillId="3" borderId="0" xfId="0" applyNumberFormat="1" applyFont="1" applyFill="1" applyBorder="1" applyAlignment="1">
      <x:alignment horizontal="center" vertical="center"/>
    </x:xf>
    <x:xf numFmtId="0" fontId="27" fillId="3" borderId="0" xfId="0" applyNumberFormat="1" applyFont="1" applyFill="1" applyBorder="1" applyAlignment="1">
      <x:alignment horizontal="center" vertical="center" wrapText="1"/>
    </x:xf>
    <x:xf numFmtId="202" fontId="0" fillId="3" borderId="0" xfId="0" applyNumberFormat="1" applyFont="1" applyFill="1" applyBorder="1" applyAlignment="1">
      <x:alignment wrapText="1"/>
    </x:xf>
    <x:xf numFmtId="202" fontId="2" fillId="3" borderId="0" xfId="0" applyNumberFormat="1" applyFont="1" applyFill="1" applyBorder="1" applyAlignment="1">
      <x:alignment wrapText="1"/>
    </x:xf>
    <x:xf numFmtId="202" fontId="0" fillId="61" borderId="0" xfId="0" applyNumberFormat="1" applyFont="1" applyFill="1" applyBorder="1" applyAlignment="1">
      <x:alignment wrapText="1"/>
    </x:xf>
    <x:xf numFmtId="202" fontId="2" fillId="61" borderId="0" xfId="0" applyNumberFormat="1" applyFont="1" applyFill="1" applyBorder="1" applyAlignment="1">
      <x:alignment wrapText="1"/>
    </x:xf>
    <x:xf numFmtId="200" fontId="5" fillId="57" xfId="0" applyNumberFormat="1" applyFont="1" applyFill="1" applyBorder="0" applyAlignment="1">
      <x:alignment horizontal="center" vertical="center" wrapText="1"/>
    </x:xf>
    <x:xf numFmtId="0" fontId="12" fillId="2" borderId="0" xfId="0" applyNumberFormat="1" applyFont="1" applyFill="1" applyBorder="1" applyAlignment="1">
      <x:alignment horizontal="center" vertical="center" wrapText="1"/>
    </x:xf>
    <x:xf numFmtId="0" fontId="13" fillId="12" borderId="0" xfId="0" applyNumberFormat="1" applyFont="1" applyFill="1" applyBorder="1" applyAlignment="1">
      <x:alignment horizontal="center" wrapText="1"/>
    </x:xf>
  </x:cellXfs>
  <x:cellStyles count="1">
    <x:cellStyle name="Normal" xfId="0"/>
  </x:cellStyles>
  <x:dxfs count="143">
    <x:dxf>
      <x:fill>
        <x:patternFill>
          <x:bgColor rgb="FFFCE8E6"/>
        </x:patternFill>
      </x:fill>
    </x:dxf>
    <x:dxf>
      <x:fill>
        <x:patternFill>
          <x:bgColor rgb="FFFFF2CC"/>
        </x:patternFill>
      </x:fill>
    </x:dxf>
    <x:dxf>
      <x:fill>
        <x:patternFill>
          <x:bgColor rgb="FFFCE8E6"/>
        </x:patternFill>
      </x:fill>
    </x:dxf>
    <x:dxf>
      <x:fill>
        <x:patternFill>
          <x:bgColor rgb="FFE2F0D9"/>
        </x:patternFill>
      </x:fill>
    </x:dxf>
    <x:dxf>
      <x:fill>
        <x:patternFill>
          <x:bgColor rgb="FFFCE8E6"/>
        </x:patternFill>
      </x:fill>
    </x:dxf>
    <x:dxf>
      <x:fill>
        <x:patternFill>
          <x:bgColor rgb="FFFFF2CC"/>
        </x:patternFill>
      </x:fill>
    </x:dxf>
    <x:dxf>
      <x:fill>
        <x:patternFill>
          <x:bgColor rgb="FFFCE8E6"/>
        </x:patternFill>
      </x:fill>
    </x:dxf>
    <x:dxf>
      <x:fill>
        <x:patternFill>
          <x:bgColor rgb="FFFCE8E6"/>
        </x:patternFill>
      </x:fill>
    </x:dxf>
    <x:dxf>
      <x:fill>
        <x:patternFill>
          <x:bgColor rgb="FFFFF2CC"/>
        </x:patternFill>
      </x:fill>
    </x:dxf>
    <x:dxf>
      <x:fill>
        <x:patternFill>
          <x:bgColor rgb="FFFFF2CC"/>
        </x:patternFill>
      </x:fill>
    </x:dxf>
    <x:dxf>
      <x:fill>
        <x:patternFill>
          <x:bgColor rgb="FFFCE8E6"/>
        </x:patternFill>
      </x:fill>
    </x:dxf>
    <x:dxf>
      <x:fill>
        <x:patternFill>
          <x:bgColor rgb="FFE2F0D9"/>
        </x:patternFill>
      </x:fill>
    </x:dxf>
    <x:dxf>
      <x:fill>
        <x:patternFill>
          <x:bgColor rgb="FFFCE8E6"/>
        </x:patternFill>
      </x:fill>
    </x:dxf>
    <x:dxf>
      <x:fill>
        <x:patternFill>
          <x:bgColor rgb="FFF4CCCC"/>
        </x:patternFill>
      </x:fill>
    </x:dxf>
    <x:dxf>
      <x:fill>
        <x:patternFill>
          <x:bgColor rgb="FFF4CCCC"/>
        </x:patternFill>
      </x:fill>
    </x:dxf>
    <x:dxf>
      <x:font>
        <x:b/>
      </x:font>
      <x:fill>
        <x:patternFill>
          <x:bgColor rgb="FFF4CCCC"/>
        </x:patternFill>
      </x:fill>
    </x:dxf>
    <x:dxf>
      <x:fill>
        <x:patternFill>
          <x:bgColor rgb="FFFCE4D6"/>
        </x:patternFill>
      </x:fill>
    </x:dxf>
    <x:dxf>
      <x:fill>
        <x:patternFill>
          <x:bgColor rgb="FFFFF2CC"/>
        </x:patternFill>
      </x:fill>
    </x:dxf>
    <x:dxf>
      <x:font>
        <x:b/>
      </x:font>
      <x:fill>
        <x:patternFill>
          <x:bgColor rgb="FFF4CCCC"/>
        </x:patternFill>
      </x:fill>
    </x:dxf>
    <x:dxf>
      <x:fill>
        <x:patternFill>
          <x:bgColor rgb="FFFCE4D6"/>
        </x:patternFill>
      </x:fill>
    </x:dxf>
    <x:dxf>
      <x:fill>
        <x:patternFill>
          <x:bgColor rgb="FFFFF2CC"/>
        </x:patternFill>
      </x:fill>
    </x:dxf>
    <x:dxf>
      <x:font>
        <x:b/>
        <x:color rgb="FF2E6B2E"/>
      </x:font>
      <x:fill>
        <x:patternFill>
          <x:bgColor rgb="FFE2F0D9"/>
        </x:patternFill>
      </x:fill>
    </x:dxf>
    <x:dxf>
      <x:font>
        <x:b/>
        <x:color rgb="FF7F6000"/>
      </x:font>
      <x:fill>
        <x:patternFill>
          <x:bgColor rgb="FFFFF2CC"/>
        </x:patternFill>
      </x:fill>
    </x:dxf>
    <x:dxf>
      <x:font>
        <x:b/>
        <x:color rgb="FF9C0006"/>
      </x:font>
      <x:fill>
        <x:patternFill>
          <x:bgColor rgb="FFF4CCCC"/>
        </x:patternFill>
      </x:fill>
    </x:dxf>
    <x:dxf>
      <x:font>
        <x:b/>
        <x:color rgb="FF2E6B2E"/>
      </x:font>
      <x:fill>
        <x:patternFill>
          <x:bgColor rgb="FFE2F0D9"/>
        </x:patternFill>
      </x:fill>
    </x:dxf>
    <x:dxf>
      <x:font>
        <x:b/>
        <x:color rgb="FF7F6000"/>
      </x:font>
      <x:fill>
        <x:patternFill>
          <x:bgColor rgb="FFFFF2CC"/>
        </x:patternFill>
      </x:fill>
    </x:dxf>
    <x:dxf>
      <x:font>
        <x:b/>
        <x:color rgb="FF9C5700"/>
      </x:font>
      <x:fill>
        <x:patternFill>
          <x:bgColor rgb="FFFCE4D6"/>
        </x:patternFill>
      </x:fill>
    </x:dxf>
    <x:dxf>
      <x:font>
        <x:b/>
        <x:color rgb="FF2E6B2E"/>
      </x:font>
      <x:fill>
        <x:patternFill>
          <x:bgColor rgb="FFE2F0D9"/>
        </x:patternFill>
      </x:fill>
    </x:dxf>
    <x:dxf>
      <x:font>
        <x:b/>
        <x:color rgb="FF7F6000"/>
      </x:font>
      <x:fill>
        <x:patternFill>
          <x:bgColor rgb="FFFFF2CC"/>
        </x:patternFill>
      </x:fill>
    </x:dxf>
    <x:dxf>
      <x:font>
        <x:b/>
        <x:color rgb="FF9C0006"/>
      </x:font>
      <x:fill>
        <x:patternFill>
          <x:bgColor rgb="FFF4CCCC"/>
        </x:patternFill>
      </x:fill>
    </x:dxf>
    <x:dxf>
      <x:font>
        <x:b/>
        <x:color rgb="FF2E6B2E"/>
      </x:font>
      <x:fill>
        <x:patternFill>
          <x:bgColor rgb="FFE2F0D9"/>
        </x:patternFill>
      </x:fill>
    </x:dxf>
    <x:dxf>
      <x:font>
        <x:b/>
        <x:color rgb="FF7F6000"/>
      </x:font>
      <x:fill>
        <x:patternFill>
          <x:bgColor rgb="FFFFF2CC"/>
        </x:patternFill>
      </x:fill>
    </x:dxf>
    <x:dxf>
      <x:font>
        <x:b/>
        <x:color rgb="FF9C0006"/>
      </x:font>
      <x:fill>
        <x:patternFill>
          <x:bgColor rgb="FFF4CCCC"/>
        </x:patternFill>
      </x:fill>
    </x:dxf>
    <x:dxf>
      <x:font>
        <x:b/>
        <x:color rgb="FF2E6B2E"/>
      </x:font>
      <x:fill>
        <x:patternFill>
          <x:bgColor rgb="FFE2F0D9"/>
        </x:patternFill>
      </x:fill>
    </x:dxf>
    <x:dxf>
      <x:font>
        <x:b/>
        <x:color rgb="FF7F6000"/>
      </x:font>
      <x:fill>
        <x:patternFill>
          <x:bgColor rgb="FFFFF2CC"/>
        </x:patternFill>
      </x:fill>
    </x:dxf>
    <x:dxf>
      <x:font>
        <x:b/>
        <x:color rgb="FF9C0006"/>
      </x:font>
      <x:fill>
        <x:patternFill>
          <x:bgColor rgb="FFF4CCCC"/>
        </x:patternFill>
      </x:fill>
    </x:dxf>
    <x:dxf>
      <x:font>
        <x:b/>
        <x:color rgb="FF2E6B2E"/>
      </x:font>
      <x:fill>
        <x:patternFill>
          <x:bgColor rgb="FFE2F0D9"/>
        </x:patternFill>
      </x:fill>
    </x:dxf>
    <x:dxf>
      <x:font>
        <x:b/>
        <x:color rgb="FF7F6000"/>
      </x:font>
      <x:fill>
        <x:patternFill>
          <x:bgColor rgb="FFFFF2CC"/>
        </x:patternFill>
      </x:fill>
    </x:dxf>
    <x:dxf>
      <x:font>
        <x:b/>
        <x:color rgb="FF2E6B2E"/>
      </x:font>
      <x:fill>
        <x:patternFill>
          <x:bgColor rgb="FFE2F0D9"/>
        </x:patternFill>
      </x:fill>
    </x:dxf>
    <x:dxf>
      <x:font>
        <x:b/>
        <x:color rgb="FF7F6000"/>
      </x:font>
      <x:fill>
        <x:patternFill>
          <x:bgColor rgb="FFFFF2CC"/>
        </x:patternFill>
      </x:fill>
    </x:dxf>
    <x:dxf>
      <x:font>
        <x:b/>
        <x:color rgb="FF9C0006"/>
      </x:font>
      <x:fill>
        <x:patternFill>
          <x:bgColor rgb="FFF4CCCC"/>
        </x:patternFill>
      </x:fill>
    </x:dxf>
    <x:dxf>
      <x:font>
        <x:b/>
        <x:color rgb="FF2E6B2E"/>
      </x:font>
      <x:fill>
        <x:patternFill>
          <x:bgColor rgb="FFE2F0D9"/>
        </x:patternFill>
      </x:fill>
    </x:dxf>
    <x:dxf>
      <x:font>
        <x:b/>
        <x:color rgb="FF9C0006"/>
      </x:font>
      <x:fill>
        <x:patternFill>
          <x:bgColor rgb="FFF4CCCC"/>
        </x:patternFill>
      </x:fill>
    </x:dxf>
    <x:dxf>
      <x:font>
        <x:b/>
        <x:color rgb="FF2E6B2E"/>
      </x:font>
      <x:fill>
        <x:patternFill>
          <x:bgColor rgb="FFE2F0D9"/>
        </x:patternFill>
      </x:fill>
    </x:dxf>
    <x:dxf>
      <x:font>
        <x:b/>
        <x:color rgb="FF9C0006"/>
      </x:font>
      <x:fill>
        <x:patternFill>
          <x:bgColor rgb="FFF4CCCC"/>
        </x:patternFill>
      </x:fill>
    </x:dxf>
    <x:dxf>
      <x:font>
        <x:b/>
        <x:color rgb="FF2E6B2E"/>
      </x:font>
      <x:fill>
        <x:patternFill>
          <x:bgColor rgb="FFE2F0D9"/>
        </x:patternFill>
      </x:fill>
    </x:dxf>
    <x:dxf>
      <x:font>
        <x:b/>
        <x:color rgb="FF1F4E78"/>
      </x:font>
      <x:fill>
        <x:patternFill>
          <x:bgColor rgb="FFD9EAF7"/>
        </x:patternFill>
      </x:fill>
    </x:dxf>
    <x:dxf>
      <x:font>
        <x:b/>
        <x:color rgb="FF2E6B2E"/>
      </x:font>
      <x:fill>
        <x:patternFill>
          <x:bgColor rgb="FFE2F0D9"/>
        </x:patternFill>
      </x:fill>
    </x:dxf>
    <x:dxf>
      <x:font>
        <x:b/>
        <x:color rgb="FF666666"/>
      </x:font>
      <x:fill>
        <x:patternFill>
          <x:bgColor rgb="FFE7E6E6"/>
        </x:patternFill>
      </x:fill>
    </x:dxf>
    <x:dxf>
      <x:font>
        <x:b/>
        <x:color rgb="FF2E6B2E"/>
      </x:font>
      <x:fill>
        <x:patternFill>
          <x:bgColor rgb="FFE2F0D9"/>
        </x:patternFill>
      </x:fill>
    </x:dxf>
    <x:dxf>
      <x:font>
        <x:b/>
        <x:color rgb="FF1F4E78"/>
      </x:font>
      <x:fill>
        <x:patternFill>
          <x:bgColor rgb="FFD9EAF7"/>
        </x:patternFill>
      </x:fill>
    </x:dxf>
    <x:dxf>
      <x:font>
        <x:b/>
        <x:color rgb="FF666666"/>
      </x:font>
      <x:fill>
        <x:patternFill>
          <x:bgColor rgb="FFE7E6E6"/>
        </x:patternFill>
      </x:fill>
    </x:dxf>
    <x:dxf>
      <x:font>
        <x:b/>
        <x:color rgb="FF9C5700"/>
      </x:font>
      <x:fill>
        <x:patternFill>
          <x:bgColor rgb="FFFCE4D6"/>
        </x:patternFill>
      </x:fill>
    </x:dxf>
    <x:dxf>
      <x:font>
        <x:b/>
        <x:color rgb="FF2E6B2E"/>
      </x:font>
      <x:fill>
        <x:patternFill>
          <x:bgColor rgb="FFE2F0D9"/>
        </x:patternFill>
      </x:fill>
    </x:dxf>
    <x:dxf>
      <x:font>
        <x:b/>
        <x:color rgb="FF7F6000"/>
      </x:font>
      <x:fill>
        <x:patternFill>
          <x:bgColor rgb="FFFFF2CC"/>
        </x:patternFill>
      </x:fill>
    </x:dxf>
    <x:dxf>
      <x:font>
        <x:b/>
        <x:color rgb="FF666666"/>
      </x:font>
      <x:fill>
        <x:patternFill>
          <x:bgColor rgb="FFE7E6E6"/>
        </x:patternFill>
      </x:fill>
    </x:dxf>
    <x:dxf>
      <x:font>
        <x:b/>
        <x:color rgb="FF2E6B2E"/>
      </x:font>
      <x:fill>
        <x:patternFill>
          <x:bgColor rgb="FFE2F0D9"/>
        </x:patternFill>
      </x:fill>
    </x:dxf>
    <x:dxf>
      <x:font>
        <x:b/>
        <x:color rgb="FF7F6000"/>
      </x:font>
      <x:fill>
        <x:patternFill>
          <x:bgColor rgb="FFFFF2CC"/>
        </x:patternFill>
      </x:fill>
    </x:dxf>
    <x:dxf>
      <x:font>
        <x:b/>
        <x:color rgb="FF666666"/>
      </x:font>
      <x:fill>
        <x:patternFill>
          <x:bgColor rgb="FFE7E6E6"/>
        </x:patternFill>
      </x:fill>
    </x:dxf>
    <x:dxf>
      <x:font>
        <x:color rgb="FF7F6000"/>
      </x:font>
      <x:fill>
        <x:patternFill>
          <x:bgColor rgb="FFFFF2CC"/>
        </x:patternFill>
      </x:fill>
    </x:dxf>
    <x:dxf>
      <x:font>
        <x:color rgb="FF666666"/>
      </x:font>
      <x:fill>
        <x:patternFill>
          <x:bgColor rgb="FFE7E6E6"/>
        </x:patternFill>
      </x:fill>
    </x:dxf>
    <x:dxf>
      <x:font>
        <x:b/>
        <x:color rgb="FF1F4E78"/>
      </x:font>
      <x:fill>
        <x:patternFill>
          <x:bgColor rgb="FFD9EAF7"/>
        </x:patternFill>
      </x:fill>
    </x:dxf>
    <x:dxf>
      <x:font>
        <x:b/>
        <x:color rgb="FF666666"/>
      </x:font>
      <x:fill>
        <x:patternFill>
          <x:bgColor rgb="FFE7E6E6"/>
        </x:patternFill>
      </x:fill>
    </x:dxf>
    <x:dxf>
      <x:font>
        <x:color rgb="FF666666"/>
      </x:font>
      <x:fill>
        <x:patternFill>
          <x:bgColor rgb="FFE7E6E6"/>
        </x:patternFill>
      </x:fill>
    </x:dxf>
    <x:dxf>
      <x:font>
        <x:b/>
        <x:color rgb="FF1F4E78"/>
      </x:font>
      <x:fill>
        <x:patternFill>
          <x:bgColor rgb="FFD9EAF7"/>
        </x:patternFill>
      </x:fill>
    </x:dxf>
    <x:dxf>
      <x:font>
        <x:b/>
        <x:color rgb="FF666666"/>
      </x:font>
      <x:fill>
        <x:patternFill>
          <x:bgColor rgb="FFE7E6E6"/>
        </x:patternFill>
      </x:fill>
    </x:dxf>
    <x:dxf>
      <x:font>
        <x:b/>
        <x:color rgb="FF2E6B2E"/>
      </x:font>
      <x:fill>
        <x:patternFill>
          <x:bgColor rgb="FFE2F0D9"/>
        </x:patternFill>
      </x:fill>
    </x:dxf>
    <x:dxf>
      <x:font>
        <x:b/>
        <x:color rgb="FF7F6000"/>
      </x:font>
      <x:fill>
        <x:patternFill>
          <x:bgColor rgb="FFFFF2CC"/>
        </x:patternFill>
      </x:fill>
    </x:dxf>
    <x:dxf>
      <x:font>
        <x:b/>
        <x:color rgb="FF9C5700"/>
      </x:font>
      <x:fill>
        <x:patternFill>
          <x:bgColor rgb="FFFCE4D6"/>
        </x:patternFill>
      </x:fill>
    </x:dxf>
    <x:dxf>
      <x:font>
        <x:b/>
        <x:color rgb="FF9C0006"/>
      </x:font>
      <x:fill>
        <x:patternFill>
          <x:bgColor rgb="FFF4CCCC"/>
        </x:patternFill>
      </x:fill>
    </x:dxf>
    <x:dxf>
      <x:font>
        <x:b/>
        <x:color rgb="FF666666"/>
      </x:font>
      <x:fill>
        <x:patternFill>
          <x:bgColor rgb="FFE7E6E6"/>
        </x:patternFill>
      </x:fill>
    </x:dxf>
    <x:dxf>
      <x:font>
        <x:b/>
        <x:color rgb="FF2E6B2E"/>
      </x:font>
      <x:fill>
        <x:patternFill>
          <x:bgColor rgb="FFE2F0D9"/>
        </x:patternFill>
      </x:fill>
    </x:dxf>
    <x:dxf>
      <x:font>
        <x:b/>
        <x:color rgb="FF7F6000"/>
      </x:font>
      <x:fill>
        <x:patternFill>
          <x:bgColor rgb="FFFFF2CC"/>
        </x:patternFill>
      </x:fill>
    </x:dxf>
    <x:dxf>
      <x:font>
        <x:b/>
        <x:color rgb="FF9C5700"/>
      </x:font>
      <x:fill>
        <x:patternFill>
          <x:bgColor rgb="FFFCE4D6"/>
        </x:patternFill>
      </x:fill>
    </x:dxf>
    <x:dxf>
      <x:font>
        <x:b/>
        <x:color rgb="FF666666"/>
      </x:font>
      <x:fill>
        <x:patternFill>
          <x:bgColor rgb="FFE7E6E6"/>
        </x:patternFill>
      </x:fill>
    </x:dxf>
    <x:dxf>
      <x:font>
        <x:b/>
        <x:color rgb="FF9C0006"/>
      </x:font>
      <x:fill>
        <x:patternFill>
          <x:bgColor rgb="FFF4CCCC"/>
        </x:patternFill>
      </x:fill>
    </x:dxf>
    <x:dxf>
      <x:font>
        <x:color rgb="FF2E6B2E"/>
      </x:font>
      <x:fill>
        <x:patternFill>
          <x:bgColor rgb="FFE2F0D9"/>
        </x:patternFill>
      </x:fill>
    </x:dxf>
    <x:dxf>
      <x:font>
        <x:b/>
        <x:color rgb="FF9C0006"/>
      </x:font>
      <x:fill>
        <x:patternFill>
          <x:bgColor rgb="FFF4CCCC"/>
        </x:patternFill>
      </x:fill>
    </x:dxf>
    <x:dxf>
      <x:font>
        <x:b/>
        <x:color rgb="FF7F6000"/>
      </x:font>
      <x:fill>
        <x:patternFill>
          <x:bgColor rgb="FFFFF2CC"/>
        </x:patternFill>
      </x:fill>
    </x:dxf>
    <x:dxf>
      <x:font>
        <x:b/>
        <x:color rgb="FF2E6B2E"/>
      </x:font>
      <x:fill>
        <x:patternFill>
          <x:bgColor rgb="FFE2F0D9"/>
        </x:patternFill>
      </x:fill>
    </x:dxf>
    <x:dxf>
      <x:font>
        <x:b/>
        <x:color rgb="FF7F6000"/>
      </x:font>
      <x:fill>
        <x:patternFill>
          <x:bgColor rgb="FFFFF2CC"/>
        </x:patternFill>
      </x:fill>
    </x:dxf>
    <x:dxf>
      <x:font>
        <x:b/>
        <x:color rgb="FF9C5700"/>
      </x:font>
      <x:fill>
        <x:patternFill>
          <x:bgColor rgb="FFFCE4D6"/>
        </x:patternFill>
      </x:fill>
    </x:dxf>
    <x:dxf>
      <x:font>
        <x:b/>
        <x:color rgb="FF9C0006"/>
      </x:font>
      <x:fill>
        <x:patternFill>
          <x:bgColor rgb="FFF4CCCC"/>
        </x:patternFill>
      </x:fill>
    </x:dxf>
    <x:dxf>
      <x:font>
        <x:b/>
        <x:color rgb="FF666666"/>
      </x:font>
      <x:fill>
        <x:patternFill>
          <x:bgColor rgb="FFE7E6E6"/>
        </x:patternFill>
      </x:fill>
    </x:dxf>
    <x:dxf>
      <x:font>
        <x:b/>
        <x:color rgb="FF2E6B2E"/>
      </x:font>
      <x:fill>
        <x:patternFill>
          <x:bgColor rgb="FFE2F0D9"/>
        </x:patternFill>
      </x:fill>
    </x:dxf>
    <x:dxf>
      <x:font>
        <x:b/>
        <x:color rgb="FF1F4E78"/>
      </x:font>
      <x:fill>
        <x:patternFill>
          <x:bgColor rgb="FFD9EAF7"/>
        </x:patternFill>
      </x:fill>
    </x:dxf>
    <x:dxf>
      <x:font>
        <x:color rgb="FF666666"/>
      </x:font>
      <x:fill>
        <x:patternFill>
          <x:bgColor rgb="FFE7E6E6"/>
        </x:patternFill>
      </x:fill>
    </x:dxf>
    <x:dxf>
      <x:font>
        <x:b/>
        <x:color rgb="FF9C5700"/>
      </x:font>
      <x:fill>
        <x:patternFill>
          <x:bgColor rgb="FFFCE4D6"/>
        </x:patternFill>
      </x:fill>
    </x:dxf>
    <x:dxf>
      <x:font>
        <x:b/>
        <x:color rgb="FF9C0006"/>
      </x:font>
      <x:fill>
        <x:patternFill>
          <x:bgColor rgb="FFF4CCCC"/>
        </x:patternFill>
      </x:fill>
    </x:dxf>
    <x:dxf>
      <x:font>
        <x:b/>
        <x:color rgb="FF1F4E78"/>
      </x:font>
      <x:fill>
        <x:patternFill>
          <x:bgColor rgb="FFD9EAF7"/>
        </x:patternFill>
      </x:fill>
    </x:dxf>
    <x:dxf>
      <x:font>
        <x:color rgb="FF666666"/>
      </x:font>
      <x:fill>
        <x:patternFill>
          <x:bgColor rgb="FFE7E6E6"/>
        </x:patternFill>
      </x:fill>
    </x:dxf>
    <x:dxf>
      <x:font>
        <x:b/>
        <x:color rgb="FF2E6B2E"/>
      </x:font>
      <x:fill>
        <x:patternFill>
          <x:bgColor rgb="FFE2F0D9"/>
        </x:patternFill>
      </x:fill>
    </x:dxf>
    <x:dxf>
      <x:font>
        <x:b/>
        <x:color rgb="FF9C0006"/>
      </x:font>
      <x:fill>
        <x:patternFill>
          <x:bgColor rgb="FFF4CCCC"/>
        </x:patternFill>
      </x:fill>
    </x:dxf>
    <x:dxf>
      <x:font>
        <x:b/>
        <x:color rgb="FF1F4E78"/>
      </x:font>
      <x:fill>
        <x:patternFill>
          <x:bgColor rgb="FFD9EAF7"/>
        </x:patternFill>
      </x:fill>
    </x:dxf>
    <x:dxf>
      <x:font>
        <x:color rgb="FF666666"/>
      </x:font>
      <x:fill>
        <x:patternFill>
          <x:bgColor rgb="FFE7E6E6"/>
        </x:patternFill>
      </x:fill>
    </x:dxf>
    <x:dxf>
      <x:font>
        <x:b/>
        <x:color rgb="FF2E6B2E"/>
      </x:font>
      <x:fill>
        <x:patternFill>
          <x:bgColor rgb="FFE2F0D9"/>
        </x:patternFill>
      </x:fill>
    </x:dxf>
    <x:dxf>
      <x:font>
        <x:b/>
        <x:color rgb="FF9C0006"/>
      </x:font>
      <x:fill>
        <x:patternFill>
          <x:bgColor rgb="FFF4CCCC"/>
        </x:patternFill>
      </x:fill>
    </x:dxf>
    <x:dxf>
      <x:font>
        <x:b/>
        <x:color rgb="FF2E6B2E"/>
      </x:font>
      <x:fill>
        <x:patternFill>
          <x:bgColor rgb="FFE2F0D9"/>
        </x:patternFill>
      </x:fill>
    </x:dxf>
    <x:dxf>
      <x:font>
        <x:b/>
        <x:color rgb="FF9C5700"/>
      </x:font>
      <x:fill>
        <x:patternFill>
          <x:bgColor rgb="FFFCE4D6"/>
        </x:patternFill>
      </x:fill>
    </x:dxf>
    <x:dxf>
      <x:font>
        <x:b/>
        <x:color rgb="FF2E6B2E"/>
      </x:font>
      <x:fill>
        <x:patternFill>
          <x:bgColor rgb="FFE2F0D9"/>
        </x:patternFill>
      </x:fill>
    </x:dxf>
    <x:dxf>
      <x:font>
        <x:b/>
        <x:color rgb="FF7F6000"/>
      </x:font>
      <x:fill>
        <x:patternFill>
          <x:bgColor rgb="FFFFF2CC"/>
        </x:patternFill>
      </x:fill>
    </x:dxf>
    <x:dxf>
      <x:font>
        <x:b/>
        <x:color rgb="FF2E6B2E"/>
      </x:font>
      <x:fill>
        <x:patternFill>
          <x:bgColor rgb="FFE2F0D9"/>
        </x:patternFill>
      </x:fill>
    </x:dxf>
    <x:dxf>
      <x:font>
        <x:b/>
        <x:color rgb="FF9C0006"/>
      </x:font>
      <x:fill>
        <x:patternFill>
          <x:bgColor rgb="FFF4CCCC"/>
        </x:patternFill>
      </x:fill>
    </x:dxf>
    <x:dxf>
      <x:font>
        <x:b/>
        <x:color rgb="FF2E6B2E"/>
      </x:font>
      <x:fill>
        <x:patternFill>
          <x:bgColor rgb="FFE2F0D9"/>
        </x:patternFill>
      </x:fill>
    </x:dxf>
    <x:dxf>
      <x:font>
        <x:b/>
        <x:color rgb="FF9C0006"/>
      </x:font>
      <x:fill>
        <x:patternFill>
          <x:bgColor rgb="FFF4CCCC"/>
        </x:patternFill>
      </x:fill>
    </x:dxf>
    <x:dxf>
      <x:font>
        <x:b/>
        <x:color rgb="FF2E6B2E"/>
      </x:font>
      <x:fill>
        <x:patternFill>
          <x:bgColor rgb="FFE2F0D9"/>
        </x:patternFill>
      </x:fill>
    </x:dxf>
    <x:dxf>
      <x:font>
        <x:b/>
        <x:color rgb="FF9C0006"/>
      </x:font>
      <x:fill>
        <x:patternFill>
          <x:bgColor rgb="FFF4CCCC"/>
        </x:patternFill>
      </x:fill>
    </x:dxf>
    <x:dxf>
      <x:font>
        <x:b/>
        <x:color rgb="FF2E6B2E"/>
      </x:font>
      <x:fill>
        <x:patternFill>
          <x:bgColor rgb="FFE2F0D9"/>
        </x:patternFill>
      </x:fill>
    </x:dxf>
    <x:dxf>
      <x:font>
        <x:b/>
        <x:color rgb="FF9C0006"/>
      </x:font>
      <x:fill>
        <x:patternFill>
          <x:bgColor rgb="FFF4CCCC"/>
        </x:patternFill>
      </x:fill>
    </x:dxf>
    <x:dxf>
      <x:font>
        <x:b/>
        <x:color rgb="FF9C0006"/>
      </x:font>
      <x:fill>
        <x:patternFill>
          <x:bgColor rgb="FFF4CCCC"/>
        </x:patternFill>
      </x:fill>
    </x:dxf>
    <x:dxf>
      <x:font>
        <x:b/>
        <x:color rgb="FF9C5700"/>
      </x:font>
      <x:fill>
        <x:patternFill>
          <x:bgColor rgb="FFFCE4D6"/>
        </x:patternFill>
      </x:fill>
    </x:dxf>
    <x:dxf>
      <x:font>
        <x:color rgb="FF7F6000"/>
      </x:font>
      <x:fill>
        <x:patternFill>
          <x:bgColor rgb="FFFFF2CC"/>
        </x:patternFill>
      </x:fill>
    </x:dxf>
    <x:dxf>
      <x:font>
        <x:b/>
        <x:color rgb="FF9C0006"/>
      </x:font>
      <x:fill>
        <x:patternFill>
          <x:bgColor rgb="FFF4CCCC"/>
        </x:patternFill>
      </x:fill>
    </x:dxf>
    <x:dxf>
      <x:font>
        <x:b/>
        <x:color rgb="FF9C5700"/>
      </x:font>
      <x:fill>
        <x:patternFill>
          <x:bgColor rgb="FFFCE4D6"/>
        </x:patternFill>
      </x:fill>
    </x:dxf>
    <x:dxf>
      <x:font>
        <x:color rgb="FF7F6000"/>
      </x:font>
      <x:fill>
        <x:patternFill>
          <x:bgColor rgb="FFFFF2CC"/>
        </x:patternFill>
      </x:fill>
    </x:dxf>
    <x:dxf>
      <x:font>
        <x:color rgb="FF2E6B2E"/>
      </x:font>
      <x:fill>
        <x:patternFill>
          <x:bgColor rgb="FFE2F0D9"/>
        </x:patternFill>
      </x:fill>
    </x:dxf>
    <x:dxf>
      <x:font>
        <x:b/>
        <x:color rgb="FF9C0006"/>
      </x:font>
      <x:fill>
        <x:patternFill>
          <x:bgColor rgb="FFF4CCCC"/>
        </x:patternFill>
      </x:fill>
    </x:dxf>
    <x:dxf>
      <x:font>
        <x:b/>
        <x:color rgb="FF9C5700"/>
      </x:font>
      <x:fill>
        <x:patternFill>
          <x:bgColor rgb="FFFCE4D6"/>
        </x:patternFill>
      </x:fill>
    </x:dxf>
    <x:dxf>
      <x:font>
        <x:color rgb="FF7F6000"/>
      </x:font>
      <x:fill>
        <x:patternFill>
          <x:bgColor rgb="FFFFF2CC"/>
        </x:patternFill>
      </x:fill>
    </x:dxf>
    <x:dxf>
      <x:font>
        <x:color rgb="FF2E6B2E"/>
      </x:font>
      <x:fill>
        <x:patternFill>
          <x:bgColor rgb="FFE2F0D9"/>
        </x:patternFill>
      </x:fill>
    </x:dxf>
    <x:dxf>
      <x:font>
        <x:b/>
        <x:color rgb="FF2E6B2E"/>
      </x:font>
      <x:fill>
        <x:patternFill>
          <x:bgColor rgb="FFE2F0D9"/>
        </x:patternFill>
      </x:fill>
    </x:dxf>
    <x:dxf>
      <x:font>
        <x:b/>
        <x:color rgb="FF7F6000"/>
      </x:font>
      <x:fill>
        <x:patternFill>
          <x:bgColor rgb="FFFFF2CC"/>
        </x:patternFill>
      </x:fill>
    </x:dxf>
    <x:dxf>
      <x:font>
        <x:b/>
        <x:color rgb="FF2E6B2E"/>
      </x:font>
      <x:fill>
        <x:patternFill>
          <x:bgColor rgb="FFE2F0D9"/>
        </x:patternFill>
      </x:fill>
    </x:dxf>
    <x:dxf>
      <x:font>
        <x:b/>
        <x:color rgb="FF7F6000"/>
      </x:font>
      <x:fill>
        <x:patternFill>
          <x:bgColor rgb="FFFFF2CC"/>
        </x:patternFill>
      </x:fill>
    </x:dxf>
    <x:dxf>
      <x:font>
        <x:b/>
        <x:color rgb="FF9C5700"/>
      </x:font>
      <x:fill>
        <x:patternFill>
          <x:bgColor rgb="FFFCE4D6"/>
        </x:patternFill>
      </x:fill>
    </x:dxf>
    <x:dxf>
      <x:font>
        <x:b/>
        <x:color rgb="FF9C0006"/>
      </x:font>
      <x:fill>
        <x:patternFill>
          <x:bgColor rgb="FFF4CCCC"/>
        </x:patternFill>
      </x:fill>
    </x:dxf>
    <x:dxf>
      <x:font>
        <x:b/>
        <x:color rgb="FF666666"/>
      </x:font>
      <x:fill>
        <x:patternFill>
          <x:bgColor rgb="FFE7E6E6"/>
        </x:patternFill>
      </x:fill>
    </x:dxf>
    <x:dxf>
      <x:font>
        <x:b/>
        <x:color rgb="FF006100"/>
      </x:font>
      <x:fill>
        <x:patternFill>
          <x:bgColor rgb="FFC6EFCE"/>
        </x:patternFill>
      </x:fill>
    </x:dxf>
    <x:dxf>
      <x:font>
        <x:b/>
        <x:color rgb="FF9C0006"/>
      </x:font>
      <x:fill>
        <x:patternFill>
          <x:bgColor rgb="FFFFC7CE"/>
        </x:patternFill>
      </x:fill>
    </x:dxf>
    <x:dxf>
      <x:font>
        <x:b/>
        <x:color rgb="FF006100"/>
      </x:font>
      <x:fill>
        <x:patternFill>
          <x:bgColor rgb="FFC6EFCE"/>
        </x:patternFill>
      </x:fill>
    </x:dxf>
    <x:dxf>
      <x:font>
        <x:b/>
        <x:color rgb="FF9C0006"/>
      </x:font>
      <x:fill>
        <x:patternFill>
          <x:bgColor rgb="FFFFC7CE"/>
        </x:patternFill>
      </x:fill>
    </x:dxf>
    <x:dxf>
      <x:font>
        <x:b/>
        <x:color rgb="FF006100"/>
      </x:font>
      <x:fill>
        <x:patternFill>
          <x:bgColor rgb="FFC6EFCE"/>
        </x:patternFill>
      </x:fill>
    </x:dxf>
    <x:dxf>
      <x:font>
        <x:b/>
        <x:color rgb="FF9C0006"/>
      </x:font>
      <x:fill>
        <x:patternFill>
          <x:bgColor rgb="FFFFC7CE"/>
        </x:patternFill>
      </x:fill>
    </x:dxf>
    <x:dxf>
      <x:font>
        <x:b/>
        <x:color rgb="FF595959"/>
      </x:font>
      <x:fill>
        <x:patternFill>
          <x:bgColor rgb="FFD9D9D9"/>
        </x:patternFill>
      </x:fill>
    </x:dxf>
    <x:dxf>
      <x:font>
        <x:b/>
        <x:color rgb="FF006100"/>
      </x:font>
      <x:fill>
        <x:patternFill>
          <x:bgColor rgb="FFC6EFCE"/>
        </x:patternFill>
      </x:fill>
    </x:dxf>
    <x:dxf>
      <x:font>
        <x:b/>
        <x:color rgb="FF9C0006"/>
      </x:font>
      <x:fill>
        <x:patternFill>
          <x:bgColor rgb="FFFFC7CE"/>
        </x:patternFill>
      </x:fill>
    </x:dxf>
    <x:dxf>
      <x:font>
        <x:b/>
        <x:color rgb="FF006100"/>
      </x:font>
      <x:fill>
        <x:patternFill>
          <x:bgColor rgb="FFE2F0D9"/>
        </x:patternFill>
      </x:fill>
    </x:dxf>
    <x:dxf>
      <x:font>
        <x:b/>
        <x:color rgb="FF9C6500"/>
      </x:font>
      <x:fill>
        <x:patternFill>
          <x:bgColor rgb="FFFFF2CC"/>
        </x:patternFill>
      </x:fill>
    </x:dxf>
    <x:dxf>
      <x:font>
        <x:b/>
        <x:color rgb="FFC65911"/>
      </x:font>
      <x:fill>
        <x:patternFill>
          <x:bgColor rgb="FFFCE4D6"/>
        </x:patternFill>
      </x:fill>
    </x:dxf>
    <x:dxf>
      <x:font>
        <x:color rgb="FF006100"/>
      </x:font>
      <x:fill>
        <x:patternFill>
          <x:bgColor rgb="FFE2F0D9"/>
        </x:patternFill>
      </x:fill>
    </x:dxf>
    <x:dxf>
      <x:font>
        <x:b/>
        <x:color rgb="FF9C6500"/>
      </x:font>
      <x:fill>
        <x:patternFill>
          <x:bgColor rgb="FFFFF2CC"/>
        </x:patternFill>
      </x:fill>
    </x:dxf>
    <x:dxf>
      <x:font>
        <x:b/>
        <x:color rgb="FF2E7D32"/>
      </x:font>
      <x:fill>
        <x:patternFill>
          <x:bgColor rgb="FFD9EAD3"/>
        </x:patternFill>
      </x:fill>
    </x:dxf>
    <x:dxf>
      <x:font>
        <x:b/>
        <x:color rgb="FFB3261E"/>
      </x:font>
      <x:fill>
        <x:patternFill>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f6c40b5a1dc4df1" /><Relationship Type="http://schemas.openxmlformats.org/officeDocument/2006/relationships/theme" Target="/xl/theme/theme1.xml" Id="R864b1e9070f54500" /><Relationship Type="http://schemas.openxmlformats.org/officeDocument/2006/relationships/sharedStrings" Target="/xl/sharedStrings.xml" Id="R6c58a1533c5e434f" /><Relationship Type="http://schemas.openxmlformats.org/officeDocument/2006/relationships/worksheet" Target="/xl/worksheets/sheet1.xml" Id="Rd1533cda9b4245c9" /><Relationship Type="http://schemas.openxmlformats.org/officeDocument/2006/relationships/worksheet" Target="/xl/worksheets/sheet2.xml" Id="R62271d85f3804d76" /><Relationship Type="http://schemas.openxmlformats.org/officeDocument/2006/relationships/worksheet" Target="/xl/worksheets/sheet3.xml" Id="Rb98a994489524539" /><Relationship Type="http://schemas.openxmlformats.org/officeDocument/2006/relationships/worksheet" Target="/xl/worksheets/sheet4.xml" Id="R32e2c37cad0347d1" /><Relationship Type="http://schemas.openxmlformats.org/officeDocument/2006/relationships/worksheet" Target="/xl/worksheets/sheet5.xml" Id="R18f3c5bdba3a438b" /><Relationship Type="http://schemas.openxmlformats.org/officeDocument/2006/relationships/worksheet" Target="/xl/worksheets/sheet6.xml" Id="R3ae81f2802d3457a" /><Relationship Type="http://schemas.openxmlformats.org/officeDocument/2006/relationships/worksheet" Target="/xl/worksheets/sheet7.xml" Id="Rac6e01348e6d4cac" /><Relationship Type="http://schemas.openxmlformats.org/officeDocument/2006/relationships/worksheet" Target="/xl/worksheets/sheet8.xml" Id="R13e52fab8d5b4fb7" /><Relationship Type="http://schemas.openxmlformats.org/officeDocument/2006/relationships/worksheet" Target="/xl/worksheets/sheet9.xml" Id="R733bbf68c82a4dea" /><Relationship Type="http://schemas.openxmlformats.org/officeDocument/2006/relationships/worksheet" Target="/xl/worksheets/sheet10.xml" Id="R029cc272018c45ae" /><Relationship Type="http://schemas.openxmlformats.org/officeDocument/2006/relationships/worksheet" Target="/xl/worksheets/sheet11.xml" Id="Rb27464da4ee547e3" /></Relationships>
</file>

<file path=xl/drawings/_rels/drawing1.xml.rels>&#65279;<?xml version="1.0" encoding="utf-8"?><Relationships xmlns="http://schemas.openxmlformats.org/package/2006/relationships"><Relationship Type="http://schemas.openxmlformats.org/officeDocument/2006/relationships/chart" Target="/xl/drawings/charts/chart1.xml" Id="Rf440f49729804cfc" /><Relationship Type="http://schemas.openxmlformats.org/officeDocument/2006/relationships/chart" Target="/xl/drawings/charts/chart2.xml" Id="R3f872cb4d20a4147" /><Relationship Type="http://schemas.openxmlformats.org/officeDocument/2006/relationships/chart" Target="/xl/drawings/charts/chart3.xml" Id="R732168833a7447ff" /><Relationship Type="http://schemas.openxmlformats.org/officeDocument/2006/relationships/chart" Target="/xl/drawings/charts/chart4.xml" Id="R5bdaf2865bd74d21" /><Relationship Type="http://schemas.openxmlformats.org/officeDocument/2006/relationships/chart" Target="/xl/drawings/charts/chart5.xml" Id="R00d1384615bf447c" /><Relationship Type="http://schemas.openxmlformats.org/officeDocument/2006/relationships/chart" Target="/xl/drawings/charts/chart6.xml" Id="Rf60cdb1dbcd44b27" /><Relationship Type="http://schemas.openxmlformats.org/officeDocument/2006/relationships/chart" Target="/xl/drawings/charts/chart7.xml" Id="R57078ac9ac584649" /><Relationship Type="http://schemas.openxmlformats.org/officeDocument/2006/relationships/chart" Target="/xl/drawings/charts/chart8.xml" Id="R218aaff359404cfc" /></Relationships>
</file>

<file path=xl/drawings/_rels/drawing2.xml.rels>&#65279;<?xml version="1.0" encoding="utf-8"?><Relationships xmlns="http://schemas.openxmlformats.org/package/2006/relationships"><Relationship Type="http://schemas.openxmlformats.org/officeDocument/2006/relationships/chart" Target="/xl/drawings/charts/chart9.xml" Id="R1ca5149395814c91" /><Relationship Type="http://schemas.openxmlformats.org/officeDocument/2006/relationships/chart" Target="/xl/drawings/charts/chart10.xml" Id="Rb8afb9a752cd40e2" /><Relationship Type="http://schemas.openxmlformats.org/officeDocument/2006/relationships/chart" Target="/xl/drawings/charts/chart11.xml" Id="R06b240ea1b984d02" /><Relationship Type="http://schemas.openxmlformats.org/officeDocument/2006/relationships/chart" Target="/xl/drawings/charts/chart12.xml" Id="R89b8440729ca497b" /></Relationships>
</file>

<file path=xl/drawings/_rels/drawing3.xml.rels>&#65279;<?xml version="1.0" encoding="utf-8"?><Relationships xmlns="http://schemas.openxmlformats.org/package/2006/relationships"><Relationship Type="http://schemas.openxmlformats.org/officeDocument/2006/relationships/chart" Target="/xl/drawings/charts/chart13.xml" Id="R21183fb9762742bb" /><Relationship Type="http://schemas.openxmlformats.org/officeDocument/2006/relationships/chart" Target="/xl/drawings/charts/chart14.xml" Id="R937947ef55c44d4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Confirmed Revenue by Weekday</a:t>
            </a:r>
          </a:p>
        </c:rich>
      </c:tx>
      <c:overlay val="0"/>
    </c:title>
    <c:autoTitleDeleted val="0"/>
    <c:plotArea>
      <c:layout/>
      <c:barChart>
        <c:barDir val="col"/>
        <c:grouping val="clustered"/>
        <c:varyColors val="0"/>
        <c:ser>
          <c:idx val="0"/>
          <c:order val="0"/>
          <c:tx>
            <c:v>Confirmed Revenue by Weekday</c:v>
          </c:tx>
          <c:cat>
            <c:strRef>
              <c:f>'Analytics'!$J$43:$J$47</c:f>
              <c:strCache>
                <c:ptCount val="0"/>
              </c:strCache>
            </c:strRef>
          </c:cat>
          <c:val>
            <c:numRef>
              <c:f>'Analytics'!$K$43:$K$47</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Confirmed Revenue by Jurisdiction</a:t>
            </a:r>
          </a:p>
        </c:rich>
      </c:tx>
      <c:overlay val="0"/>
    </c:title>
    <c:autoTitleDeleted val="0"/>
    <c:plotArea>
      <c:layout/>
      <c:barChart>
        <c:barDir val="col"/>
        <c:grouping val="clustered"/>
        <c:varyColors val="0"/>
        <c:ser>
          <c:idx val="0"/>
          <c:order val="0"/>
          <c:tx>
            <c:v>Confirmed Revenue by Jurisdiction</c:v>
          </c:tx>
          <c:cat>
            <c:strRef>
              <c:f>'Analytics'!$A$43:$A$47</c:f>
              <c:strCache>
                <c:ptCount val="0"/>
              </c:strCache>
            </c:strRef>
          </c:cat>
          <c:val>
            <c:numRef>
              <c:f>'Analytics'!$E$43:$E$47</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Confirmed Revenue by MY_MONTH</a:t>
            </a:r>
          </a:p>
        </c:rich>
      </c:tx>
      <c:overlay val="0"/>
    </c:title>
    <c:autoTitleDeleted val="0"/>
    <c:plotArea>
      <c:layout/>
      <c:barChart>
        <c:barDir val="col"/>
        <c:grouping val="clustered"/>
        <c:varyColors val="0"/>
        <c:ser>
          <c:idx val="0"/>
          <c:order val="0"/>
          <c:tx>
            <c:v>Confirmed Revenue by MY_MONTH</c:v>
          </c:tx>
          <c:cat>
            <c:strRef>
              <c:f>'Analytics'!$A$52:$A$54</c:f>
              <c:strCache>
                <c:ptCount val="0"/>
              </c:strCache>
            </c:strRef>
          </c:cat>
          <c:val>
            <c:numRef>
              <c:f>'Analytics'!$F$52:$F$54</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Top 10 Clients by Confirmed Revenue</a:t>
            </a:r>
          </a:p>
        </c:rich>
      </c:tx>
      <c:overlay val="0"/>
    </c:title>
    <c:autoTitleDeleted val="0"/>
    <c:plotArea>
      <c:layout/>
      <c:barChart>
        <c:barDir val="bar"/>
        <c:grouping val="clustered"/>
        <c:varyColors val="0"/>
        <c:ser>
          <c:idx val="0"/>
          <c:order val="0"/>
          <c:tx>
            <c:v>Top 10 Clients by Confirmed Revenue</c:v>
          </c:tx>
          <c:cat>
            <c:strRef>
              <c:f>'Analytics'!$B$62:$B$71</c:f>
              <c:strCache>
                <c:ptCount val="0"/>
              </c:strCache>
            </c:strRef>
          </c:cat>
          <c:val>
            <c:numRef>
              <c:f>'Analytics'!$C$62:$C$71</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Running Confirmed Revenue</a:t>
            </a:r>
          </a:p>
        </c:rich>
      </c:tx>
      <c:overlay val="0"/>
    </c:title>
    <c:autoTitleDeleted val="0"/>
    <c:plotArea>
      <c:layout/>
      <c:lineChart>
        <c:grouping val="standard"/>
        <c:varyColors val="0"/>
        <c:ser>
          <c:idx val="0"/>
          <c:order val="0"/>
          <c:tx>
            <c:v>Running Revenue</c:v>
          </c:tx>
          <c:cat>
            <c:strRef>
              <c:f>'Analytics'!$AI$2:$AI$47</c:f>
              <c:strCache>
                <c:ptCount val="0"/>
              </c:strCache>
            </c:strRef>
          </c:cat>
          <c:val>
            <c:numRef>
              <c:f>'Analytics'!$AM$2:$AM$47</c:f>
              <c:numCache>
                <c:formatCode>$#,##0.00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Daily Revenue and Rolling 5-Worked-Day Average</a:t>
            </a:r>
          </a:p>
        </c:rich>
      </c:tx>
      <c:overlay val="0"/>
    </c:title>
    <c:autoTitleDeleted val="0"/>
    <c:plotArea>
      <c:layout/>
      <c:lineChart>
        <c:grouping val="standard"/>
        <c:varyColors val="0"/>
        <c:ser>
          <c:idx val="0"/>
          <c:order val="0"/>
          <c:tx>
            <c:v>Daily Revenue</c:v>
          </c:tx>
          <c:cat>
            <c:strRef>
              <c:f>'Analytics'!$AI$2:$AI$47</c:f>
              <c:strCache>
                <c:ptCount val="0"/>
              </c:strCache>
            </c:strRef>
          </c:cat>
          <c:val>
            <c:numRef>
              <c:f>'Analytics'!$AL$2:$AL$47</c:f>
              <c:numCache>
                <c:formatCode>$#,##0.00</c:formatCode>
                <c:ptCount val="0"/>
              </c:numCache>
            </c:numRef>
          </c:val>
          <c:smooth val="0"/>
        </c:ser>
        <c:ser>
          <c:idx val="1"/>
          <c:order val="1"/>
          <c:tx>
            <c:v>Rolling 5-Day Avg</c:v>
          </c:tx>
          <c:cat>
            <c:strRef>
              <c:f>'Analytics'!$AI$2:$AI$47</c:f>
              <c:strCache>
                <c:ptCount val="0"/>
              </c:strCache>
            </c:strRef>
          </c:cat>
          <c:val>
            <c:numRef>
              <c:f>'Analytics'!$AN$2:$AN$47</c:f>
              <c:numCache>
                <c:formatCode>$#,##0.00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Weekly Confirmed Revenue</a:t>
            </a:r>
          </a:p>
        </c:rich>
      </c:tx>
      <c:overlay val="0"/>
    </c:title>
    <c:autoTitleDeleted val="0"/>
    <c:plotArea>
      <c:layout/>
      <c:lineChart>
        <c:grouping val="standard"/>
        <c:varyColors val="0"/>
        <c:ser>
          <c:idx val="0"/>
          <c:order val="0"/>
          <c:tx>
            <c:v>Weekly Revenue</c:v>
          </c:tx>
          <c:cat>
            <c:strRef>
              <c:f>'Analytics'!$AI$49:$AI$61</c:f>
              <c:strCache>
                <c:ptCount val="0"/>
              </c:strCache>
            </c:strRef>
          </c:cat>
          <c:val>
            <c:numRef>
              <c:f>'Analytics'!$AL$49:$AL$61</c:f>
              <c:numCache>
                <c:formatCode>$#,##0.00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Client Mix: Repeat vs One-Time</a:t>
            </a:r>
          </a:p>
        </c:rich>
      </c:tx>
      <c:overlay val="0"/>
    </c:title>
    <c:autoTitleDeleted val="0"/>
    <c:plotArea>
      <c:layout/>
      <c:pieChart>
        <c:ser>
          <c:idx val="0"/>
          <c:order val="0"/>
          <c:tx>
            <c:v>Clients</c:v>
          </c:tx>
          <c:cat>
            <c:strRef>
              <c:f>'Analytics'!$AI$64:$AI$65</c:f>
              <c:strCache>
                <c:ptCount val="0"/>
              </c:strCache>
            </c:strRef>
          </c:cat>
          <c:val>
            <c:numRef>
              <c:f>'Analytics'!$AJ$64:$AJ$65</c:f>
              <c:numCache>
                <c:formatCode>General</c:formatCode>
                <c:ptCount val="0"/>
              </c:numCache>
            </c:numRef>
          </c:val>
        </c:ser>
        <c:dLbls>
          <c:showLegendKey val="0"/>
          <c:showVal val="0"/>
          <c:showCatName val="0"/>
          <c:showSerName val="0"/>
          <c:showPercent val="0"/>
          <c:showBubbleSize val="0"/>
          <c:showLeaderLines val="0"/>
        </c:dLbls>
      </c:pieChart>
    </c:plotArea>
    <c:legend>
      <c:legendPos val="b"/>
      <c:overlay val="0"/>
    </c:legend>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Top Clients by Revenue</a:t>
            </a:r>
          </a:p>
        </c:rich>
      </c:tx>
      <c:overlay val="0"/>
    </c:title>
    <c:autoTitleDeleted val="0"/>
    <c:plotArea>
      <c:layout/>
      <c:barChart>
        <c:barDir val="bar"/>
        <c:varyColors val="0"/>
        <c:ser>
          <c:idx val="0"/>
          <c:order val="0"/>
          <c:tx>
            <c:v>Client</c:v>
          </c:tx>
          <c:cat>
            <c:strRef>
              <c:f>'Analytics'!$A$62:$A$71</c:f>
              <c:strCache>
                <c:ptCount val="0"/>
              </c:strCache>
            </c:strRef>
          </c:cat>
          <c:val>
            <c:numRef>
              <c:f>'Analytics'!$B$62:$B$71</c:f>
              <c:numCache>
                <c:formatCode>General</c:formatCode>
                <c:ptCount val="0"/>
              </c:numCache>
            </c:numRef>
          </c:val>
        </c:ser>
        <c:ser>
          <c:idx val="1"/>
          <c:order val="1"/>
          <c:tx>
            <c:v>Revenue</c:v>
          </c:tx>
          <c:cat>
            <c:strRef>
              <c:f>'Analytics'!$A$62:$A$71</c:f>
              <c:strCache>
                <c:ptCount val="0"/>
              </c:strCache>
            </c:strRef>
          </c:cat>
          <c:val>
            <c:numRef>
              <c:f>'Analytics'!$C$62:$C$71</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0.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Jurisdiction Revenue Ranking</a:t>
            </a:r>
          </a:p>
        </c:rich>
      </c:tx>
      <c:overlay val="0"/>
    </c:title>
    <c:autoTitleDeleted val="0"/>
    <c:plotArea>
      <c:layout/>
      <c:barChart>
        <c:barDir val="col"/>
        <c:varyColors val="0"/>
        <c:ser>
          <c:idx val="0"/>
          <c:order val="0"/>
          <c:tx>
            <c:v>Jurisdiction</c:v>
          </c:tx>
          <c:cat>
            <c:strRef>
              <c:f>'Analytics'!$A$76:$A$80</c:f>
              <c:strCache>
                <c:ptCount val="0"/>
              </c:strCache>
            </c:strRef>
          </c:cat>
          <c:val>
            <c:numRef>
              <c:f>'Analytics'!$B$76:$B$80</c:f>
              <c:numCache>
                <c:formatCode>General</c:formatCode>
                <c:ptCount val="0"/>
              </c:numCache>
            </c:numRef>
          </c:val>
        </c:ser>
        <c:ser>
          <c:idx val="1"/>
          <c:order val="1"/>
          <c:tx>
            <c:v>Revenue</c:v>
          </c:tx>
          <c:cat>
            <c:strRef>
              <c:f>'Analytics'!$A$76:$A$80</c:f>
              <c:strCache>
                <c:ptCount val="0"/>
              </c:strCache>
            </c:strRef>
          </c:cat>
          <c:val>
            <c:numRef>
              <c:f>'Analytics'!$C$76:$C$80</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1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Revenue Accumulation</a:t>
            </a:r>
          </a:p>
        </c:rich>
      </c:tx>
      <c:overlay val="0"/>
    </c:title>
    <c:autoTitleDeleted val="0"/>
    <c:plotArea>
      <c:layout/>
      <c:lineChart>
        <c:grouping val="standard"/>
        <c:varyColors val="0"/>
        <c:ser>
          <c:idx val="0"/>
          <c:order val="0"/>
          <c:tx>
            <c:v>Events</c:v>
          </c:tx>
          <c:cat>
            <c:strRef>
              <c:f>'Analytics'!$AI$2:$AI$47</c:f>
              <c:strCache>
                <c:ptCount val="0"/>
              </c:strCache>
            </c:strRef>
          </c:cat>
          <c:val>
            <c:numRef>
              <c:f>'Analytics'!$AJ$2:$AJ$47</c:f>
              <c:numCache>
                <c:formatCode>General</c:formatCode>
                <c:ptCount val="0"/>
              </c:numCache>
            </c:numRef>
          </c:val>
          <c:smooth val="0"/>
        </c:ser>
        <c:ser>
          <c:idx val="1"/>
          <c:order val="1"/>
          <c:tx>
            <c:v>Eligible Events</c:v>
          </c:tx>
          <c:cat>
            <c:strRef>
              <c:f>'Analytics'!$AI$2:$AI$47</c:f>
              <c:strCache>
                <c:ptCount val="0"/>
              </c:strCache>
            </c:strRef>
          </c:cat>
          <c:val>
            <c:numRef>
              <c:f>'Analytics'!$AK$2:$AK$47</c:f>
              <c:numCache>
                <c:formatCode>General</c:formatCode>
                <c:ptCount val="0"/>
              </c:numCache>
            </c:numRef>
          </c:val>
          <c:smooth val="0"/>
        </c:ser>
        <c:ser>
          <c:idx val="2"/>
          <c:order val="2"/>
          <c:tx>
            <c:v>Daily Revenue</c:v>
          </c:tx>
          <c:cat>
            <c:strRef>
              <c:f>'Analytics'!$AI$2:$AI$47</c:f>
              <c:strCache>
                <c:ptCount val="0"/>
              </c:strCache>
            </c:strRef>
          </c:cat>
          <c:val>
            <c:numRef>
              <c:f>'Analytics'!$AL$2:$AL$47</c:f>
              <c:numCache>
                <c:formatCode>$#,##0.00</c:formatCode>
                <c:ptCount val="0"/>
              </c:numCache>
            </c:numRef>
          </c:val>
          <c:smooth val="0"/>
        </c:ser>
        <c:ser>
          <c:idx val="3"/>
          <c:order val="3"/>
          <c:tx>
            <c:v>Running Revenue</c:v>
          </c:tx>
          <c:cat>
            <c:strRef>
              <c:f>'Analytics'!$AI$2:$AI$47</c:f>
              <c:strCache>
                <c:ptCount val="0"/>
              </c:strCache>
            </c:strRef>
          </c:cat>
          <c:val>
            <c:numRef>
              <c:f>'Analytics'!$AM$2:$AM$47</c:f>
              <c:numCache>
                <c:formatCode>$#,##0.00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Workweek Revenue Trend</a:t>
            </a:r>
          </a:p>
        </c:rich>
      </c:tx>
      <c:overlay val="0"/>
    </c:title>
    <c:autoTitleDeleted val="0"/>
    <c:plotArea>
      <c:layout/>
      <c:lineChart>
        <c:grouping val="standard"/>
        <c:varyColors val="0"/>
        <c:ser>
          <c:idx val="0"/>
          <c:order val="0"/>
          <c:tx>
            <c:v>Events</c:v>
          </c:tx>
          <c:cat>
            <c:strRef>
              <c:f>'Analytics'!$AI$49:$AI$61</c:f>
              <c:strCache>
                <c:ptCount val="0"/>
              </c:strCache>
            </c:strRef>
          </c:cat>
          <c:val>
            <c:numRef>
              <c:f>'Analytics'!$AJ$49:$AJ$61</c:f>
              <c:numCache>
                <c:formatCode>General</c:formatCode>
                <c:ptCount val="0"/>
              </c:numCache>
            </c:numRef>
          </c:val>
          <c:smooth val="0"/>
        </c:ser>
        <c:ser>
          <c:idx val="1"/>
          <c:order val="1"/>
          <c:tx>
            <c:v>Eligible Events</c:v>
          </c:tx>
          <c:cat>
            <c:strRef>
              <c:f>'Analytics'!$AI$49:$AI$61</c:f>
              <c:strCache>
                <c:ptCount val="0"/>
              </c:strCache>
            </c:strRef>
          </c:cat>
          <c:val>
            <c:numRef>
              <c:f>'Analytics'!$AK$49:$AK$61</c:f>
              <c:numCache>
                <c:formatCode>General</c:formatCode>
                <c:ptCount val="0"/>
              </c:numCache>
            </c:numRef>
          </c:val>
          <c:smooth val="0"/>
        </c:ser>
        <c:ser>
          <c:idx val="2"/>
          <c:order val="2"/>
          <c:tx>
            <c:v>Weekly Revenue</c:v>
          </c:tx>
          <c:cat>
            <c:strRef>
              <c:f>'Analytics'!$AI$49:$AI$61</c:f>
              <c:strCache>
                <c:ptCount val="0"/>
              </c:strCache>
            </c:strRef>
          </c:cat>
          <c:val>
            <c:numRef>
              <c:f>'Analytics'!$AL$49:$AL$61</c:f>
              <c:numCache>
                <c:formatCode>$#,##0.00</c:formatCode>
                <c:ptCount val="0"/>
              </c:numCache>
            </c:numRef>
          </c:val>
          <c:smooth val="0"/>
        </c:ser>
        <c:ser>
          <c:idx val="3"/>
          <c:order val="3"/>
          <c:tx>
            <c:v>Running Revenue</c:v>
          </c:tx>
          <c:cat>
            <c:strRef>
              <c:f>'Analytics'!$AI$49:$AI$61</c:f>
              <c:strCache>
                <c:ptCount val="0"/>
              </c:strCache>
            </c:strRef>
          </c:cat>
          <c:val>
            <c:numRef>
              <c:f>'Analytics'!$AM$49:$AM$61</c:f>
              <c:numCache>
                <c:formatCode>$#,##0.00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Career Events &amp; Revenue by Workweek</a:t>
            </a:r>
          </a:p>
        </c:rich>
      </c:tx>
      <c:overlay val="0"/>
    </c:title>
    <c:autoTitleDeleted val="0"/>
    <c:plotArea>
      <c:layout/>
      <c:barChart>
        <c:barDir val="col"/>
        <c:grouping val="clustered"/>
        <c:varyColors val="0"/>
        <c:ser>
          <c:idx val="0"/>
          <c:order val="0"/>
          <c:tx>
            <c:v>Events</c:v>
          </c:tx>
          <c:cat>
            <c:strRef>
              <c:f>'Career Analytics'!$A$59:$A$71</c:f>
              <c:strCache>
                <c:ptCount val="0"/>
              </c:strCache>
            </c:strRef>
          </c:cat>
          <c:val>
            <c:numRef>
              <c:f>'Career Analytics'!$B$59:$B$71</c:f>
              <c:numCache>
                <c:formatCode>General</c:formatCode>
                <c:ptCount val="0"/>
              </c:numCache>
            </c:numRef>
          </c:val>
        </c:ser>
        <c:ser>
          <c:idx val="1"/>
          <c:order val="1"/>
          <c:tx>
            <c:v>Revenue</c:v>
          </c:tx>
          <c:cat>
            <c:strRef>
              <c:f>'Career Analytics'!$A$59:$A$71</c:f>
              <c:strCache>
                <c:ptCount val="0"/>
              </c:strCache>
            </c:strRef>
          </c:cat>
          <c:val>
            <c:numRef>
              <c:f>'Career Analytics'!$C$59:$C$71</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Weekday Production</a:t>
            </a:r>
          </a:p>
        </c:rich>
      </c:tx>
      <c:overlay val="0"/>
    </c:title>
    <c:autoTitleDeleted val="0"/>
    <c:plotArea>
      <c:layout/>
      <c:barChart>
        <c:barDir val="col"/>
        <c:varyColors val="0"/>
        <c:ser>
          <c:idx val="0"/>
          <c:order val="0"/>
          <c:tx>
            <c:v>Events</c:v>
          </c:tx>
          <c:cat>
            <c:strRef>
              <c:f>'Career Analytics'!$F$59:$F$63</c:f>
              <c:strCache>
                <c:ptCount val="0"/>
              </c:strCache>
            </c:strRef>
          </c:cat>
          <c:val>
            <c:numRef>
              <c:f>'Career Analytics'!$G$59:$G$63</c:f>
              <c:numCache>
                <c:formatCode>General</c:formatCode>
                <c:ptCount val="0"/>
              </c:numCache>
            </c:numRef>
          </c:val>
        </c:ser>
        <c:ser>
          <c:idx val="1"/>
          <c:order val="1"/>
          <c:tx>
            <c:v>Revenue</c:v>
          </c:tx>
          <c:cat>
            <c:strRef>
              <c:f>'Career Analytics'!$F$59:$F$63</c:f>
              <c:strCache>
                <c:ptCount val="0"/>
              </c:strCache>
            </c:strRef>
          </c:cat>
          <c:val>
            <c:numRef>
              <c:f>'Career Analytics'!$H$59:$H$63</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45</xdr:row>
      <xdr:rowOff>0</xdr:rowOff>
    </xdr:from>
    <xdr:to>
      <xdr:col>7</xdr:col>
      <xdr:colOff>0</xdr:colOff>
      <xdr:row>62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440f49729804cfc"/>
        </a:graphicData>
      </a:graphic>
    </xdr:graphicFrame>
    <xdr:clientData/>
  </xdr:twoCellAnchor>
  <xdr:twoCellAnchor>
    <xdr:from>
      <xdr:col>7</xdr:col>
      <xdr:colOff>0</xdr:colOff>
      <xdr:row>45</xdr:row>
      <xdr:rowOff>0</xdr:rowOff>
    </xdr:from>
    <xdr:to>
      <xdr:col>14</xdr:col>
      <xdr:colOff>0</xdr:colOff>
      <xdr:row>62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f872cb4d20a4147"/>
        </a:graphicData>
      </a:graphic>
    </xdr:graphicFrame>
    <xdr:clientData/>
  </xdr:twoCellAnchor>
  <xdr:twoCellAnchor>
    <xdr:from>
      <xdr:col>0</xdr:col>
      <xdr:colOff>0</xdr:colOff>
      <xdr:row>63</xdr:row>
      <xdr:rowOff>0</xdr:rowOff>
    </xdr:from>
    <xdr:to>
      <xdr:col>7</xdr:col>
      <xdr:colOff>0</xdr:colOff>
      <xdr:row>80</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32168833a7447ff"/>
        </a:graphicData>
      </a:graphic>
    </xdr:graphicFrame>
    <xdr:clientData/>
  </xdr:twoCellAnchor>
  <xdr:twoCellAnchor>
    <xdr:from>
      <xdr:col>7</xdr:col>
      <xdr:colOff>0</xdr:colOff>
      <xdr:row>63</xdr:row>
      <xdr:rowOff>0</xdr:rowOff>
    </xdr:from>
    <xdr:to>
      <xdr:col>14</xdr:col>
      <xdr:colOff>0</xdr:colOff>
      <xdr:row>80</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bdaf2865bd74d21"/>
        </a:graphicData>
      </a:graphic>
    </xdr:graphicFrame>
    <xdr:clientData/>
  </xdr:twoCellAnchor>
  <xdr:twoCellAnchor>
    <xdr:from>
      <xdr:col>0</xdr:col>
      <xdr:colOff>0</xdr:colOff>
      <xdr:row>81</xdr:row>
      <xdr:rowOff>0</xdr:rowOff>
    </xdr:from>
    <xdr:to>
      <xdr:col>7</xdr:col>
      <xdr:colOff>0</xdr:colOff>
      <xdr:row>99</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0d1384615bf447c"/>
        </a:graphicData>
      </a:graphic>
    </xdr:graphicFrame>
    <xdr:clientData/>
  </xdr:twoCellAnchor>
  <xdr:twoCellAnchor>
    <xdr:from>
      <xdr:col>7</xdr:col>
      <xdr:colOff>0</xdr:colOff>
      <xdr:row>81</xdr:row>
      <xdr:rowOff>0</xdr:rowOff>
    </xdr:from>
    <xdr:to>
      <xdr:col>14</xdr:col>
      <xdr:colOff>0</xdr:colOff>
      <xdr:row>99</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60cdb1dbcd44b27"/>
        </a:graphicData>
      </a:graphic>
    </xdr:graphicFrame>
    <xdr:clientData/>
  </xdr:twoCellAnchor>
  <xdr:twoCellAnchor>
    <xdr:from>
      <xdr:col>0</xdr:col>
      <xdr:colOff>0</xdr:colOff>
      <xdr:row>100</xdr:row>
      <xdr:rowOff>0</xdr:rowOff>
    </xdr:from>
    <xdr:to>
      <xdr:col>7</xdr:col>
      <xdr:colOff>0</xdr:colOff>
      <xdr:row>117</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7078ac9ac584649"/>
        </a:graphicData>
      </a:graphic>
    </xdr:graphicFrame>
    <xdr:clientData/>
  </xdr:twoCellAnchor>
  <xdr:twoCellAnchor>
    <xdr:from>
      <xdr:col>7</xdr:col>
      <xdr:colOff>0</xdr:colOff>
      <xdr:row>100</xdr:row>
      <xdr:rowOff>0</xdr:rowOff>
    </xdr:from>
    <xdr:to>
      <xdr:col>14</xdr:col>
      <xdr:colOff>0</xdr:colOff>
      <xdr:row>117</xdr:row>
      <xdr:rowOff>0</xdr:rowOff>
    </xdr:to>
    <xdr:graphicFrame macro="">
      <xdr:nvGraphicFramePr>
        <xdr:cNvPr id="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18aaff359404cfc"/>
        </a:graphicData>
      </a:graphic>
    </xdr:graphicFrame>
    <xdr:clientData/>
  </xdr:twoCellAnchor>
</xdr:wsDr>
</file>

<file path=xl/drawings/drawing2.xml><?xml version="1.0" encoding="utf-8"?>
<xdr:wsDr xmlns:xdr="http://schemas.openxmlformats.org/drawingml/2006/spreadsheetDrawing">
  <xdr:twoCellAnchor>
    <xdr:from>
      <xdr:col>0</xdr:col>
      <xdr:colOff>0</xdr:colOff>
      <xdr:row>106</xdr:row>
      <xdr:rowOff>0</xdr:rowOff>
    </xdr:from>
    <xdr:to>
      <xdr:col>10</xdr:col>
      <xdr:colOff>0</xdr:colOff>
      <xdr:row>124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ca5149395814c91"/>
        </a:graphicData>
      </a:graphic>
    </xdr:graphicFrame>
    <xdr:clientData/>
  </xdr:twoCellAnchor>
  <xdr:twoCellAnchor>
    <xdr:from>
      <xdr:col>10</xdr:col>
      <xdr:colOff>0</xdr:colOff>
      <xdr:row>106</xdr:row>
      <xdr:rowOff>0</xdr:rowOff>
    </xdr:from>
    <xdr:to>
      <xdr:col>20</xdr:col>
      <xdr:colOff>0</xdr:colOff>
      <xdr:row>124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8afb9a752cd40e2"/>
        </a:graphicData>
      </a:graphic>
    </xdr:graphicFrame>
    <xdr:clientData/>
  </xdr:twoCellAnchor>
  <xdr:twoCellAnchor>
    <xdr:from>
      <xdr:col>0</xdr:col>
      <xdr:colOff>0</xdr:colOff>
      <xdr:row>125</xdr:row>
      <xdr:rowOff>0</xdr:rowOff>
    </xdr:from>
    <xdr:to>
      <xdr:col>10</xdr:col>
      <xdr:colOff>0</xdr:colOff>
      <xdr:row>144</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6b240ea1b984d02"/>
        </a:graphicData>
      </a:graphic>
    </xdr:graphicFrame>
    <xdr:clientData/>
  </xdr:twoCellAnchor>
  <xdr:twoCellAnchor>
    <xdr:from>
      <xdr:col>10</xdr:col>
      <xdr:colOff>0</xdr:colOff>
      <xdr:row>125</xdr:row>
      <xdr:rowOff>0</xdr:rowOff>
    </xdr:from>
    <xdr:to>
      <xdr:col>20</xdr:col>
      <xdr:colOff>0</xdr:colOff>
      <xdr:row>144</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9b8440729ca497b"/>
        </a:graphicData>
      </a:graphic>
    </xdr:graphicFrame>
    <xdr:clientData/>
  </xdr:twoCellAnchor>
</xdr:wsDr>
</file>

<file path=xl/drawings/drawing3.xml><?xml version="1.0" encoding="utf-8"?>
<xdr:wsDr xmlns:xdr="http://schemas.openxmlformats.org/drawingml/2006/spreadsheetDrawing">
  <xdr:twoCellAnchor>
    <xdr:from>
      <xdr:col>5</xdr:col>
      <xdr:colOff>0</xdr:colOff>
      <xdr:row>18</xdr:row>
      <xdr:rowOff>0</xdr:rowOff>
    </xdr:from>
    <xdr:to>
      <xdr:col>14</xdr:col>
      <xdr:colOff>0</xdr:colOff>
      <xdr:row>42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1183fb9762742bb"/>
        </a:graphicData>
      </a:graphic>
    </xdr:graphicFrame>
    <xdr:clientData/>
  </xdr:twoCellAnchor>
  <xdr:twoCellAnchor>
    <xdr:from>
      <xdr:col>7</xdr:col>
      <xdr:colOff>0</xdr:colOff>
      <xdr:row>42</xdr:row>
      <xdr:rowOff>0</xdr:rowOff>
    </xdr:from>
    <xdr:to>
      <xdr:col>14</xdr:col>
      <xdr:colOff>0</xdr:colOff>
      <xdr:row>56</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37947ef55c44d49"/>
        </a:graphicData>
      </a:graphic>
    </xdr:graphicFrame>
    <xdr:clientData/>
  </xdr:twoCellAnchor>
</xdr:wsDr>
</file>

<file path=xl/tables/table1.xml><?xml version="1.0" encoding="utf-8"?>
<x:table xmlns:x="http://schemas.openxmlformats.org/spreadsheetml/2006/main" id="20" name="tblServiceEvents" displayName="tblServiceEvents" ref="A1:Z82" headerRowCount="1">
  <x:tableColumns count="26">
    <x:tableColumn id="1" name="Event #"/>
    <x:tableColumn id="2" name="Physical Visit ID"/>
    <x:tableColumn id="3" name="Service Date"/>
    <x:tableColumn id="4" name="Weekday"/>
    <x:tableColumn id="5" name="Workweek #"/>
    <x:tableColumn id="6" name="MY_MONTH"/>
    <x:tableColumn id="7" name="Client ID"/>
    <x:tableColumn id="8" name="Client"/>
    <x:tableColumn id="9" name="Site Name"/>
    <x:tableColumn id="10" name="Address"/>
    <x:tableColumn id="11" name="City"/>
    <x:tableColumn id="12" name="State"/>
    <x:tableColumn id="13" name="ZIP"/>
    <x:tableColumn id="14" name="Jurisdiction"/>
    <x:tableColumn id="15" name="Location Key"/>
    <x:tableColumn id="16" name="Status"/>
    <x:tableColumn id="17" name="Visit Type"/>
    <x:tableColumn id="18" name="Work Order Count"/>
    <x:tableColumn id="19" name="Work Orders"/>
    <x:tableColumn id="20" name="Confirmed Revenue"/>
    <x:tableColumn id="21" name="Revenue Eligibility"/>
    <x:tableColumn id="22" name="Notes"/>
    <x:tableColumn id="23" name="Source / Evidence"/>
    <x:tableColumn id="24" name="Financial Scope"/>
    <x:tableColumn id="25" name="Financial Exclusion Reason"/>
    <x:tableColumn id="26" name="Breakdown Expected"/>
  </x:tableColumns>
  <x:tableStyleInfo name="TableStyleMedium2" showRowStripes="1"/>
</x:table>
</file>

<file path=xl/tables/table2.xml><?xml version="1.0" encoding="utf-8"?>
<x:table xmlns:x="http://schemas.openxmlformats.org/spreadsheetml/2006/main" id="4" name="tblLedger" displayName="tblLedger" ref="A1:AD83" headerRowCount="1">
  <x:tableColumns count="30">
    <x:tableColumn id="1" name="Ledger Record ID"/>
    <x:tableColumn id="2" name="Work Order #"/>
    <x:tableColumn id="3" name="Event #"/>
    <x:tableColumn id="4" name="Candidate Event(s)"/>
    <x:tableColumn id="5" name="Client ID"/>
    <x:tableColumn id="6" name="Client"/>
    <x:tableColumn id="7" name="Service Date"/>
    <x:tableColumn id="8" name="Weekday"/>
    <x:tableColumn id="9" name="Site Name"/>
    <x:tableColumn id="10" name="Address"/>
    <x:tableColumn id="11" name="City"/>
    <x:tableColumn id="12" name="State"/>
    <x:tableColumn id="13" name="ZIP"/>
    <x:tableColumn id="14" name="Jurisdiction"/>
    <x:tableColumn id="15" name="Location Key"/>
    <x:tableColumn id="16" name="Agreed Amount"/>
    <x:tableColumn id="17" name="Pay Type"/>
    <x:tableColumn id="18" name="Breakdown Confirmed"/>
    <x:tableColumn id="19" name="Breakdown Amount"/>
    <x:tableColumn id="20" name="Breakdown Date"/>
    <x:tableColumn id="21" name="Expected Payment Date"/>
    <x:tableColumn id="22" name="ACH Confirmed"/>
    <x:tableColumn id="23" name="ACH Amount"/>
    <x:tableColumn id="24" name="ACH Date"/>
    <x:tableColumn id="25" name="Variance"/>
    <x:tableColumn id="26" name="Reconciliation Status"/>
    <x:tableColumn id="27" name="Mapping Status"/>
    <x:tableColumn id="28" name="Alias / Related WO"/>
    <x:tableColumn id="29" name="Notes"/>
    <x:tableColumn id="30" name="Source / Evidence"/>
  </x:tableColumns>
  <x:tableStyleInfo name="TableStyleMedium2" showRowStripes="1"/>
</x:table>
</file>

<file path=xl/tables/table3.xml><?xml version="1.0" encoding="utf-8"?>
<x:table xmlns:x="http://schemas.openxmlformats.org/spreadsheetml/2006/main" id="5" name="tblClientSummary" displayName="tblClientSummary" ref="A11:L38" headerRowCount="1">
  <x:tableColumns count="12">
    <x:tableColumn id="1" name="Client ID"/>
    <x:tableColumn id="2" name="Client Name"/>
    <x:tableColumn id="3" name="First Event"/>
    <x:tableColumn id="4" name="Latest Event"/>
    <x:tableColumn id="5" name="Total Events"/>
    <x:tableColumn id="6" name="Total Work Orders"/>
    <x:tableColumn id="7" name="Confirmed Revenue"/>
    <x:tableColumn id="8" name="Avg Revenue / Event"/>
    <x:tableColumn id="9" name="Avg Revenue / WO"/>
    <x:tableColumn id="10" name="States Worked"/>
    <x:tableColumn id="11" name="Cities Worked"/>
    <x:tableColumn id="12" name="Repeat Client"/>
  </x:tableColumns>
  <x:tableStyleInfo name="TableStyleMedium2" showRowStripes="1"/>
</x:table>
</file>

<file path=xl/tables/table4.xml><?xml version="1.0" encoding="utf-8"?>
<x:table xmlns:x="http://schemas.openxmlformats.org/spreadsheetml/2006/main" id="6" name="tblStateSummary" displayName="tblStateSummary" ref="A42:H47" headerRowCount="1">
  <x:tableColumns count="8">
    <x:tableColumn id="1" name="Jurisdiction"/>
    <x:tableColumn id="2" name="Events"/>
    <x:tableColumn id="3" name="Eligible Events"/>
    <x:tableColumn id="4" name="Clients"/>
    <x:tableColumn id="5" name="Confirmed Revenue"/>
    <x:tableColumn id="6" name="Avg Revenue / Eligible Event"/>
    <x:tableColumn id="7" name="Revenue Share"/>
    <x:tableColumn id="8" name="Event Share"/>
  </x:tableColumns>
  <x:tableStyleInfo name="TableStyleMedium2" showRowStripes="1"/>
</x:table>
</file>

<file path=xl/tables/table5.xml><?xml version="1.0" encoding="utf-8"?>
<x:table xmlns:x="http://schemas.openxmlformats.org/spreadsheetml/2006/main" id="7" name="tblWeekdaySummary" displayName="tblWeekdaySummary" ref="J42:R47" headerRowCount="1">
  <x:tableColumns count="9">
    <x:tableColumn id="1" name="Weekday"/>
    <x:tableColumn id="2" name="Confirmed Revenue"/>
    <x:tableColumn id="3" name="Eligible Events"/>
    <x:tableColumn id="4" name="Avg Revenue / Event"/>
    <x:tableColumn id="5" name="Active Weeks"/>
    <x:tableColumn id="6" name="Activity Rate"/>
    <x:tableColumn id="7" name="Highest Revenue Event"/>
    <x:tableColumn id="8" name="Lowest Revenue Event"/>
    <x:tableColumn id="9" name="Rank"/>
  </x:tableColumns>
  <x:tableStyleInfo name="TableStyleMedium2" showRowStripes="1"/>
</x:table>
</file>

<file path=xl/tables/table6.xml><?xml version="1.0" encoding="utf-8"?>
<x:table xmlns:x="http://schemas.openxmlformats.org/spreadsheetml/2006/main" id="8" name="tblMonthSummary" displayName="tblMonthSummary" ref="A51:G54" headerRowCount="1">
  <x:tableColumns count="7">
    <x:tableColumn id="1" name="MY_MONTH"/>
    <x:tableColumn id="2" name="Events"/>
    <x:tableColumn id="3" name="Eligible Events"/>
    <x:tableColumn id="4" name="Clients"/>
    <x:tableColumn id="5" name="Jurisdictions"/>
    <x:tableColumn id="6" name="Confirmed Revenue"/>
    <x:tableColumn id="7" name="Avg Revenue / Eligible Event"/>
  </x:tableColumns>
  <x:tableStyleInfo name="TableStyleMedium2" showRowStripes="1"/>
</x:table>
</file>

<file path=xl/tables/table7.xml><?xml version="1.0" encoding="utf-8"?>
<x:table xmlns:x="http://schemas.openxmlformats.org/spreadsheetml/2006/main" id="9" name="tblLeaderboardClients" displayName="tblLeaderboardClients" ref="V1:AG28" headerRowCount="1">
  <x:tableColumns count="12">
    <x:tableColumn id="1" name="Client ID"/>
    <x:tableColumn id="2" name="Client"/>
    <x:tableColumn id="3" name="Events"/>
    <x:tableColumn id="4" name="Work Orders"/>
    <x:tableColumn id="5" name="Revenue"/>
    <x:tableColumn id="6" name="Avg/Event"/>
    <x:tableColumn id="7" name="Avg/WO"/>
    <x:tableColumn id="8" name="Repeat"/>
    <x:tableColumn id="9" name="First Event"/>
    <x:tableColumn id="10" name="Revenue Key"/>
    <x:tableColumn id="11" name="Repeat Key"/>
    <x:tableColumn id="12" name="Avg Key"/>
  </x:tableColumns>
  <x:tableStyleInfo name="TableStyleMedium2" showRowStripes="1"/>
</x:table>
</file>

<file path=xl/tables/table8.xml><?xml version="1.0" encoding="utf-8"?>
<x:table xmlns:x="http://schemas.openxmlformats.org/spreadsheetml/2006/main" id="17" name="tblChartDailyTrend" displayName="tblChartDailyTrend" ref="AI1:AN47" headerRowCount="1">
  <x:tableColumns count="6">
    <x:tableColumn id="1" name="Service Date"/>
    <x:tableColumn id="2" name="Events"/>
    <x:tableColumn id="3" name="Eligible Events"/>
    <x:tableColumn id="4" name="Daily Revenue"/>
    <x:tableColumn id="5" name="Running Revenue"/>
    <x:tableColumn id="6" name="Rolling 5-Day Avg"/>
  </x:tableColumns>
  <x:tableStyleInfo name="TableStyleMedium2" showRowStripes="1"/>
</x:table>
</file>

<file path=xl/tables/table9.xml><?xml version="1.0" encoding="utf-8"?>
<x:table xmlns:x="http://schemas.openxmlformats.org/spreadsheetml/2006/main" id="18" name="tblChartWeeklyTrend" displayName="tblChartWeeklyTrend" ref="AI48:AM61" headerRowCount="1">
  <x:tableColumns count="5">
    <x:tableColumn id="1" name="Workweek"/>
    <x:tableColumn id="2" name="Events"/>
    <x:tableColumn id="3" name="Eligible Events"/>
    <x:tableColumn id="4" name="Weekly Revenue"/>
    <x:tableColumn id="5" name="Running Revenue"/>
  </x:tableColumns>
  <x:tableStyleInfo name="TableStyleMedium2" showRowStripes="1"/>
</x:table>
</file>

<file path=xl/tables/table10.xml><?xml version="1.0" encoding="utf-8"?>
<x:table xmlns:x="http://schemas.openxmlformats.org/spreadsheetml/2006/main" id="19" name="tblClientMix" displayName="tblClientMix" ref="AI63:AJ65" headerRowCount="1">
  <x:tableColumns count="2">
    <x:tableColumn id="1" name="Client Type"/>
    <x:tableColumn id="2" name="Clients"/>
  </x:tableColumns>
  <x:tableStyleInfo name="TableStyleMedium2" showRowStripes="1"/>
</x:table>
</file>

<file path=xl/tables/table11.xml><?xml version="1.0" encoding="utf-8"?>
<x:table xmlns:x="http://schemas.openxmlformats.org/spreadsheetml/2006/main" id="25" name="tblCitySummary" displayName="tblCitySummary" ref="V31:AB70" headerRowCount="1">
  <x:tableColumns count="7">
    <x:tableColumn id="1" name="City"/>
    <x:tableColumn id="2" name="Jurisdiction"/>
    <x:tableColumn id="3" name="Events"/>
    <x:tableColumn id="4" name="Eligible Events"/>
    <x:tableColumn id="5" name="Revenue"/>
    <x:tableColumn id="6" name="Avg/Event"/>
    <x:tableColumn id="7" name="Rank Key"/>
  </x:tableColumns>
  <x:tableStyleInfo name="TableStyleMedium2" showRowStripes="1"/>
</x:table>
</file>

<file path=xl/tables/table12.xml><?xml version="1.0" encoding="utf-8"?>
<x:table xmlns:x="http://schemas.openxmlformats.org/spreadsheetml/2006/main" id="26" name="tblWeekSummary" displayName="tblWeekSummary" ref="V71:AB84" headerRowCount="1">
  <x:tableColumns count="7">
    <x:tableColumn id="1" name="Workweek"/>
    <x:tableColumn id="2" name="Events"/>
    <x:tableColumn id="3" name="Eligible Events"/>
    <x:tableColumn id="4" name="Revenue"/>
    <x:tableColumn id="5" name="Avg/Event"/>
    <x:tableColumn id="6" name="Worked Days"/>
    <x:tableColumn id="7" name="Rank Key"/>
  </x:tableColumns>
  <x:tableStyleInfo name="TableStyleMedium2" showRowStripes="1"/>
</x:table>
</file>

<file path=xl/tables/table13.xml><?xml version="1.0" encoding="utf-8"?>
<x:table xmlns:x="http://schemas.openxmlformats.org/spreadsheetml/2006/main" id="27" name="tblDateSummary" displayName="tblDateSummary" ref="V86:AB132" headerRowCount="1">
  <x:tableColumns count="7">
    <x:tableColumn id="1" name="Service Date"/>
    <x:tableColumn id="2" name="Weekday"/>
    <x:tableColumn id="3" name="Events"/>
    <x:tableColumn id="4" name="Eligible Events"/>
    <x:tableColumn id="5" name="Revenue"/>
    <x:tableColumn id="6" name="Avg/Event"/>
    <x:tableColumn id="7" name="Rank Key"/>
  </x:tableColumns>
  <x:tableStyleInfo name="TableStyleMedium2" showRowStripes="1"/>
</x:table>
</file>

<file path=xl/tables/table14.xml><?xml version="1.0" encoding="utf-8"?>
<x:table xmlns:x="http://schemas.openxmlformats.org/spreadsheetml/2006/main" id="28" name="tblEventLeaderboardSource" displayName="tblEventLeaderboardSource" ref="V134:AD201" headerRowCount="1">
  <x:tableColumns count="9">
    <x:tableColumn id="1" name="Event #"/>
    <x:tableColumn id="2" name="Date"/>
    <x:tableColumn id="3" name="Client"/>
    <x:tableColumn id="4" name="City"/>
    <x:tableColumn id="5" name="Jurisdiction"/>
    <x:tableColumn id="6" name="Revenue"/>
    <x:tableColumn id="7" name="Eligibility"/>
    <x:tableColumn id="8" name="Work Orders"/>
    <x:tableColumn id="9" name="Rank Key"/>
  </x:tableColumns>
  <x:tableStyleInfo name="TableStyleMedium2" showRowStripes="1"/>
</x:table>
</file>

<file path=xl/tables/table15.xml><?xml version="1.0" encoding="utf-8"?>
<x:table xmlns:x="http://schemas.openxmlformats.org/spreadsheetml/2006/main" id="15" name="tblLedgerExceptionMatrix" displayName="tblLedgerExceptionMatrix" ref="A30:V98" headerRowCount="1">
  <x:tableColumns count="22">
    <x:tableColumn id="1" name="Ledger Record ID"/>
    <x:tableColumn id="2" name="WO #"/>
    <x:tableColumn id="3" name="Event #"/>
    <x:tableColumn id="4" name="Client"/>
    <x:tableColumn id="5" name="Breakdown Status"/>
    <x:tableColumn id="6" name="ACH Status"/>
    <x:tableColumn id="7" name="Variance"/>
    <x:tableColumn id="8" name="Duplicate WO"/>
    <x:tableColumn id="9" name="Missing Event Link"/>
    <x:tableColumn id="10" name="Mapping Hold"/>
    <x:tableColumn id="11" name="Missing Breakdown"/>
    <x:tableColumn id="12" name="Pending ACH"/>
    <x:tableColumn id="13" name="Revenue Variance"/>
    <x:tableColumn id="14" name="Missing Client"/>
    <x:tableColumn id="15" name="Missing Location"/>
    <x:tableColumn id="16" name="Unknown Breakdown Status"/>
    <x:tableColumn id="17" name="Unknown ACH Status"/>
    <x:tableColumn id="18" name="Primary Issue"/>
    <x:tableColumn id="19" name="Severity"/>
    <x:tableColumn id="20" name="Required Action"/>
    <x:tableColumn id="21" name="Open?"/>
    <x:tableColumn id="22" name="Absolute Variance"/>
  </x:tableColumns>
  <x:tableStyleInfo name="TableStyleMedium2" showRowStripes="1"/>
</x:table>
</file>

<file path=xl/tables/table16.xml><?xml version="1.0" encoding="utf-8"?>
<x:table xmlns:x="http://schemas.openxmlformats.org/spreadsheetml/2006/main" id="21" name="tblCurrentExceptions" displayName="tblCurrentExceptions" ref="A10:L26" headerRowCount="1">
  <x:tableColumns count="12">
    <x:tableColumn id="1" name="Severity"/>
    <x:tableColumn id="2" name="Issue"/>
    <x:tableColumn id="3" name="Event #"/>
    <x:tableColumn id="4" name="WO #"/>
    <x:tableColumn id="5" name="Client"/>
    <x:tableColumn id="6" name="City"/>
    <x:tableColumn id="7" name="Jurisdiction"/>
    <x:tableColumn id="8" name="Amount"/>
    <x:tableColumn id="9" name="Status"/>
    <x:tableColumn id="10" name="Required Action"/>
    <x:tableColumn id="11" name="Source"/>
    <x:tableColumn id="12" name="Notes"/>
  </x:tableColumns>
  <x:tableStyleInfo name="TableStyleMedium2" showRowStripes="1"/>
</x:table>
</file>

<file path=xl/tables/table17.xml><?xml version="1.0" encoding="utf-8"?>
<x:table xmlns:x="http://schemas.openxmlformats.org/spreadsheetml/2006/main" id="29" name="tblEventIntegrityMatrix" displayName="tblEventIntegrityMatrix" ref="A99:R166" headerRowCount="1">
  <x:tableColumns count="18">
    <x:tableColumn id="1" name="Event #"/>
    <x:tableColumn id="2" name="Client"/>
    <x:tableColumn id="3" name="Service Date"/>
    <x:tableColumn id="4" name="Weekday"/>
    <x:tableColumn id="5" name="MY_MONTH"/>
    <x:tableColumn id="6" name="Status"/>
    <x:tableColumn id="7" name="City"/>
    <x:tableColumn id="8" name="Jurisdiction"/>
    <x:tableColumn id="9" name="Linked WO Count"/>
    <x:tableColumn id="10" name="Duplicate Event #"/>
    <x:tableColumn id="11" name="Missing Date"/>
    <x:tableColumn id="12" name="Missing Client"/>
    <x:tableColumn id="13" name="Missing Location"/>
    <x:tableColumn id="14" name="Unknown Weekday"/>
    <x:tableColumn id="15" name="Unknown MY_MONTH"/>
    <x:tableColumn id="16" name="Primary Issue"/>
    <x:tableColumn id="17" name="Severity"/>
    <x:tableColumn id="18" name="Open?"/>
  </x:tableColumns>
  <x:tableStyleInfo name="TableStyleMedium2" showRowStripes="1"/>
</x:table>
</file>

<file path=xl/tables/table18.xml><?xml version="1.0" encoding="utf-8"?>
<x:table xmlns:x="http://schemas.openxmlformats.org/spreadsheetml/2006/main" id="30" name="tblIntegrityRules" displayName="tblIntegrityRules" ref="A175:H197" headerRowCount="1">
  <x:tableColumns count="8">
    <x:tableColumn id="1" name="Rule ID"/>
    <x:tableColumn id="2" name="Layer"/>
    <x:tableColumn id="3" name="Integrity Rule"/>
    <x:tableColumn id="4" name="Violation Count"/>
    <x:tableColumn id="5" name="Status"/>
    <x:tableColumn id="6" name="Severity"/>
    <x:tableColumn id="7" name="Required Action"/>
    <x:tableColumn id="8" name="Technical Basis"/>
  </x:tableColumns>
  <x:tableStyleInfo name="TableStyleMedium2" showRowStripes="1"/>
</x:table>
</file>

<file path=xl/tables/table19.xml><?xml version="1.0" encoding="utf-8"?>
<x:table xmlns:x="http://schemas.openxmlformats.org/spreadsheetml/2006/main" id="31" name="tblCrossTableIntegrity" displayName="tblCrossTableIntegrity" ref="A201:J269" headerRowCount="1">
  <x:tableColumns count="10">
    <x:tableColumn id="1" name="Ledger Record ID"/>
    <x:tableColumn id="2" name="WO #"/>
    <x:tableColumn id="3" name="Event #"/>
    <x:tableColumn id="4" name="Mapping Status"/>
    <x:tableColumn id="5" name="Event Exists"/>
    <x:tableColumn id="6" name="Client Match"/>
    <x:tableColumn id="7" name="Location Match"/>
    <x:tableColumn id="8" name="Date Match"/>
    <x:tableColumn id="9" name="WO Listed"/>
    <x:tableColumn id="10" name="Integrity Status"/>
  </x:tableColumns>
  <x:tableStyleInfo name="TableStyleMedium2" showRowStripes="1"/>
</x:table>
</file>

<file path=xl/tables/table20.xml><?xml version="1.0" encoding="utf-8"?>
<x:table xmlns:x="http://schemas.openxmlformats.org/spreadsheetml/2006/main" id="24" name="tblSelfHealingRules" displayName="tblSelfHealingRules" ref="A10:H22" headerRowCount="1">
  <x:tableColumns count="8">
    <x:tableColumn id="1" name="Rule ID"/>
    <x:tableColumn id="2" name="Mode"/>
    <x:tableColumn id="3" name="Scope"/>
    <x:tableColumn id="4" name="Managed Field / Control"/>
    <x:tableColumn id="5" name="Healing Logic"/>
    <x:tableColumn id="6" name="Current Exceptions"/>
    <x:tableColumn id="7" name="Status"/>
    <x:tableColumn id="8" name="Protection Boundary"/>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15139f19ba14a2a" /></Relationships>
</file>

<file path=xl/worksheets/_rels/sheet2.xml.rels>&#65279;<?xml version="1.0" encoding="utf-8"?><Relationships xmlns="http://schemas.openxmlformats.org/package/2006/relationships"><Relationship Type="http://schemas.openxmlformats.org/officeDocument/2006/relationships/table" Target="/xl/tables/table1.xml" Id="R03fbae766ff941ac" /></Relationships>
</file>

<file path=xl/worksheets/_rels/sheet3.xml.rels>&#65279;<?xml version="1.0" encoding="utf-8"?><Relationships xmlns="http://schemas.openxmlformats.org/package/2006/relationships"><Relationship Type="http://schemas.openxmlformats.org/officeDocument/2006/relationships/table" Target="/xl/tables/table2.xml" Id="Rfd74a54eca264715" /></Relationships>
</file>

<file path=xl/worksheets/_rels/sheet4.xml.rels>&#65279;<?xml version="1.0" encoding="utf-8"?><Relationships xmlns="http://schemas.openxmlformats.org/package/2006/relationships"><Relationship Type="http://schemas.openxmlformats.org/officeDocument/2006/relationships/drawing" Target="/xl/drawings/drawing2.xml" Id="Rf54d27854ea444fa" /><Relationship Type="http://schemas.openxmlformats.org/officeDocument/2006/relationships/table" Target="/xl/tables/table3.xml" Id="Rb128724c7b18466e" /><Relationship Type="http://schemas.openxmlformats.org/officeDocument/2006/relationships/table" Target="/xl/tables/table4.xml" Id="R0366496b24e54a9e" /><Relationship Type="http://schemas.openxmlformats.org/officeDocument/2006/relationships/table" Target="/xl/tables/table5.xml" Id="R07a42da1724841a3" /><Relationship Type="http://schemas.openxmlformats.org/officeDocument/2006/relationships/table" Target="/xl/tables/table6.xml" Id="R2143efbaeb61468d" /><Relationship Type="http://schemas.openxmlformats.org/officeDocument/2006/relationships/table" Target="/xl/tables/table7.xml" Id="Rf251a08ed96b4467" /><Relationship Type="http://schemas.openxmlformats.org/officeDocument/2006/relationships/table" Target="/xl/tables/table8.xml" Id="R1145d75e85e34d91" /><Relationship Type="http://schemas.openxmlformats.org/officeDocument/2006/relationships/table" Target="/xl/tables/table9.xml" Id="R82d8a637ebd947a9" /><Relationship Type="http://schemas.openxmlformats.org/officeDocument/2006/relationships/table" Target="/xl/tables/table10.xml" Id="Re5c87cbe5f0844a1" /><Relationship Type="http://schemas.openxmlformats.org/officeDocument/2006/relationships/table" Target="/xl/tables/table11.xml" Id="R99bdd8df67364366" /><Relationship Type="http://schemas.openxmlformats.org/officeDocument/2006/relationships/table" Target="/xl/tables/table12.xml" Id="R970edd5d07994df7" /><Relationship Type="http://schemas.openxmlformats.org/officeDocument/2006/relationships/table" Target="/xl/tables/table13.xml" Id="Rb65b30a835674ad3" /><Relationship Type="http://schemas.openxmlformats.org/officeDocument/2006/relationships/table" Target="/xl/tables/table14.xml" Id="R287e55c8b51c4b72" /></Relationships>
</file>

<file path=xl/worksheets/_rels/sheet5.xml.rels>&#65279;<?xml version="1.0" encoding="utf-8"?><Relationships xmlns="http://schemas.openxmlformats.org/package/2006/relationships"><Relationship Type="http://schemas.openxmlformats.org/officeDocument/2006/relationships/table" Target="/xl/tables/table15.xml" Id="R36f4ddce0e3148de" /><Relationship Type="http://schemas.openxmlformats.org/officeDocument/2006/relationships/table" Target="/xl/tables/table16.xml" Id="Rc8f0fd1d6ea14f6e" /><Relationship Type="http://schemas.openxmlformats.org/officeDocument/2006/relationships/table" Target="/xl/tables/table17.xml" Id="R05ce4489ee3d4e11" /><Relationship Type="http://schemas.openxmlformats.org/officeDocument/2006/relationships/table" Target="/xl/tables/table18.xml" Id="Redada61a94dc4d9e" /><Relationship Type="http://schemas.openxmlformats.org/officeDocument/2006/relationships/table" Target="/xl/tables/table19.xml" Id="Red1ad07e98384c0f" /></Relationships>
</file>

<file path=xl/worksheets/_rels/sheet7.xml.rels>&#65279;<?xml version="1.0" encoding="utf-8"?><Relationships xmlns="http://schemas.openxmlformats.org/package/2006/relationships"><Relationship Type="http://schemas.openxmlformats.org/officeDocument/2006/relationships/table" Target="/xl/tables/table20.xml" Id="R6a47bc7379984fab" /></Relationships>
</file>

<file path=xl/worksheets/_rels/sheet8.xml.rels>&#65279;<?xml version="1.0" encoding="utf-8"?><Relationships xmlns="http://schemas.openxmlformats.org/package/2006/relationships"><Relationship Type="http://schemas.openxmlformats.org/officeDocument/2006/relationships/drawing" Target="/xl/drawings/drawing3.xml" Id="R29a96a82dce346e7"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4" hidden="0" customWidth="1"/>
    <x:col min="3" max="3" width="13" hidden="0" customWidth="1"/>
    <x:col min="4" max="4" width="24" hidden="0" customWidth="1"/>
    <x:col min="5" max="5" width="16" hidden="0" customWidth="1"/>
    <x:col min="6" max="6" width="14" hidden="0" customWidth="1"/>
    <x:col min="7" max="7" width="14" hidden="0" customWidth="1"/>
    <x:col min="8" max="8" width="22" hidden="0" customWidth="1"/>
    <x:col min="9" max="9" width="14" hidden="0" customWidth="1"/>
    <x:col min="10" max="10" width="22" hidden="0" customWidth="1"/>
    <x:col min="11" max="11" width="18" hidden="0" customWidth="1"/>
    <x:col min="12" max="12" width="38" hidden="0" customWidth="1"/>
    <x:col min="13" max="13" width="30" hidden="0" customWidth="1"/>
    <x:col min="14" max="14" width="16" hidden="0" customWidth="1"/>
  </x:cols>
  <x:sheetData>
    <x:row r="1" ht="24" customHeight="1">
      <x:c r="A1" s="77" t="str">
        <x:v>Barrister Source of Truth — Authoritative Master | Verified Through Event 84</x:v>
      </x:c>
      <x:c r="B1" s="77"/>
      <x:c r="C1" s="77"/>
      <x:c r="D1" s="77"/>
      <x:c r="E1" s="77"/>
      <x:c r="F1" s="77"/>
      <x:c r="G1" s="77"/>
      <x:c r="H1" s="77"/>
      <x:c r="I1" s="77"/>
      <x:c r="J1" s="77"/>
      <x:c r="K1" s="77"/>
      <x:c r="L1" s="77"/>
      <x:c r="M1" s="77"/>
      <x:c r="N1" s="77"/>
      <x:c r="O1" s="52"/>
      <x:c r="P1" s="52"/>
      <x:c r="Q1" s="52"/>
      <x:c r="R1" s="52"/>
      <x:c r="S1" s="52"/>
      <x:c r="T1" s="52"/>
      <x:c r="U1" s="52"/>
      <x:c r="V1" s="52"/>
      <x:c r="W1" s="52"/>
      <x:c r="X1" s="52"/>
      <x:c r="Y1" s="52"/>
      <x:c r="Z1" s="52"/>
      <x:c r="AA1" s="52"/>
      <x:c r="AB1" s="52"/>
      <x:c r="AC1" s="52"/>
      <x:c r="AD1" s="52"/>
      <x:c r="AE1" s="52"/>
    </x:row>
    <x:row r="2" ht="24" customHeight="1">
      <x:c r="A2" s="642" t="str">
        <x:v>84 completed Visits | $9,474.41 confirmed revenue | 31 unique clients | 54 worked days</x:v>
      </x:c>
      <x:c r="B2" s="642"/>
      <x:c r="C2" s="642"/>
      <x:c r="D2" s="642"/>
      <x:c r="E2" s="642"/>
      <x:c r="F2" s="642"/>
      <x:c r="G2" s="642"/>
      <x:c r="H2" s="642"/>
      <x:c r="I2" s="642"/>
      <x:c r="J2" s="642"/>
      <x:c r="K2" s="642"/>
      <x:c r="L2" s="642"/>
      <x:c r="M2" s="642"/>
      <x:c r="N2" s="642"/>
      <x:c r="O2"/>
    </x:row>
    <x:row r="3">
      <x:c r="A3" s="643" t="str">
        <x:v>Events 1–84 verified as the locked chronology; 79 payment records confirmed and 5 payment breakdowns remain pending.</x:v>
      </x:c>
      <x:c r="B3" s="643"/>
      <x:c r="C3" s="643"/>
      <x:c r="D3" s="643"/>
      <x:c r="E3" s="643"/>
      <x:c r="F3" s="643"/>
      <x:c r="G3" s="643"/>
      <x:c r="H3" s="643"/>
      <x:c r="I3" s="643"/>
      <x:c r="J3" s="643"/>
      <x:c r="K3" s="643"/>
      <x:c r="L3" s="643"/>
      <x:c r="M3" s="643"/>
      <x:c r="N3" s="643"/>
    </x:row>
    <x:row r="4">
      <x:c r="A4" s="12"/>
      <x:c r="B4" s="12"/>
      <x:c r="C4" s="12"/>
      <x:c r="D4" s="12"/>
      <x:c r="E4" s="12"/>
      <x:c r="F4" s="12"/>
      <x:c r="G4" s="12"/>
      <x:c r="H4" s="12"/>
    </x:row>
    <x:row r="5">
      <x:c r="A5" s="126" t="str">
        <x:v>Completed Events</x:v>
      </x:c>
      <x:c r="B5" s="126"/>
      <x:c r="C5" s="126" t="str">
        <x:v>Unique Clients</x:v>
      </x:c>
      <x:c r="D5" s="126"/>
      <x:c r="E5" s="126" t="str">
        <x:v>Unique Work Orders</x:v>
      </x:c>
      <x:c r="F5" s="126"/>
      <x:c r="G5" s="140" t="str">
        <x:v>Confirmed Revenue</x:v>
      </x:c>
      <x:c r="H5" s="140"/>
      <x:c r="I5" s="126" t="str">
        <x:v>Pending Breakdown</x:v>
      </x:c>
      <x:c r="J5" s="126"/>
      <x:c r="K5" s="126" t="str">
        <x:v>Pending ACH</x:v>
      </x:c>
      <x:c r="L5" s="126"/>
      <x:c r="M5" s="126" t="str">
        <x:v>Open Exceptions</x:v>
      </x:c>
      <x:c r="N5" s="126"/>
    </x:row>
    <x:row r="6" ht="26" customHeight="1">
      <x:c r="A6" s="134" t="n">
        <x:v>84</x:v>
      </x:c>
      <x:c r="B6" s="134"/>
      <x:c r="C6" s="134" t="n">
        <x:v>31</x:v>
      </x:c>
      <x:c r="D6" s="134"/>
      <x:c r="E6" s="134" t="n">
        <x:v>85</x:v>
      </x:c>
      <x:c r="F6" s="134"/>
      <x:c r="G6" s="150" t="n">
        <x:v>9474.41</x:v>
      </x:c>
      <x:c r="H6" s="150"/>
      <x:c r="I6" s="155" t="n">
        <x:v>5</x:v>
      </x:c>
      <x:c r="J6" s="155"/>
      <x:c r="K6" s="155" t="n">
        <x:v>15</x:v>
      </x:c>
      <x:c r="L6" s="155"/>
      <x:c r="M6" s="160" t="n">
        <x:v>5</x:v>
      </x:c>
      <x:c r="N6" s="160"/>
    </x:row>
    <x:row r="7" ht="26" customHeight="1">
      <x:c r="A7" s="134"/>
      <x:c r="B7" s="134"/>
      <x:c r="C7" s="134"/>
      <x:c r="D7" s="134"/>
      <x:c r="E7" s="134"/>
      <x:c r="F7" s="134"/>
      <x:c r="G7" s="150"/>
      <x:c r="H7" s="150"/>
      <x:c r="I7" s="155"/>
      <x:c r="J7" s="155"/>
      <x:c r="K7" s="155"/>
      <x:c r="L7" s="155"/>
      <x:c r="M7" s="160"/>
      <x:c r="N7" s="160"/>
    </x:row>
    <x:row r="9">
      <x:c r="A9" s="161" t="str">
        <x:v>Financial Performance</x:v>
      </x:c>
      <x:c r="B9" s="161"/>
      <x:c r="C9" s="161"/>
      <x:c r="D9" s="161"/>
      <x:c r="E9" s="161"/>
      <x:c r="F9" s="161"/>
      <x:c r="G9" s="161"/>
      <x:c r="H9" s="164"/>
      <x:c r="I9" s="164"/>
      <x:c r="J9" s="164"/>
      <x:c r="K9" s="164"/>
      <x:c r="L9" s="164"/>
      <x:c r="M9" s="164"/>
      <x:c r="N9" s="164"/>
    </x:row>
    <x:row r="10">
      <x:c r="A10" s="126" t="str">
        <x:v>Avg / Eligible Event</x:v>
      </x:c>
      <x:c r="B10" s="140"/>
      <x:c r="C10" s="126" t="str">
        <x:v>Avg / Workweek</x:v>
      </x:c>
      <x:c r="D10" s="140"/>
      <x:c r="E10" s="126" t="str">
        <x:v>Worked Days</x:v>
      </x:c>
      <x:c r="F10" s="126"/>
      <x:c r="G10" s="173" t="str">
        <x:v>Avg / Worked Day</x:v>
      </x:c>
      <x:c r="H10" s="126"/>
      <x:c r="I10" s="126" t="str">
        <x:v>Breakdown Completion</x:v>
      </x:c>
      <x:c r="J10" s="126"/>
      <x:c r="K10" s="126" t="str">
        <x:v>ACH Completion</x:v>
      </x:c>
      <x:c r="L10" s="126"/>
      <x:c r="M10" s="126" t="str">
        <x:v>Outstanding Confirmed</x:v>
      </x:c>
      <x:c r="N10" s="126"/>
    </x:row>
    <x:row r="11" ht="26" customHeight="1">
      <x:c r="A11" s="169" t="n">
        <x:v>119.92924050632911</x:v>
      </x:c>
      <x:c r="B11" s="169"/>
      <x:c r="C11" s="169" t="n">
        <x:v>676.7435714285714</x:v>
      </x:c>
      <x:c r="D11" s="169"/>
      <x:c r="E11" s="134" t="n">
        <x:v>54</x:v>
      </x:c>
      <x:c r="F11" s="134"/>
      <x:c r="G11" s="169" t="n">
        <x:v>175.45203703703703</x:v>
      </x:c>
      <x:c r="H11" s="169"/>
      <x:c r="I11" s="178" t="n">
        <x:v>0.9404761904761905</x:v>
      </x:c>
      <x:c r="J11" s="178"/>
      <x:c r="K11" s="178" t="n">
        <x:v>0.835820895522388</x:v>
      </x:c>
      <x:c r="L11" s="178"/>
      <x:c r="M11" s="179" t="n">
        <x:v>2150.39</x:v>
      </x:c>
      <x:c r="N11" s="179"/>
    </x:row>
    <x:row r="12" ht="26" customHeight="1">
      <x:c r="A12" s="169"/>
      <x:c r="B12" s="169"/>
      <x:c r="C12" s="169"/>
      <x:c r="D12" s="169"/>
      <x:c r="E12" s="134"/>
      <x:c r="F12" s="134"/>
      <x:c r="G12" s="169"/>
      <x:c r="H12" s="169"/>
      <x:c r="I12" s="178"/>
      <x:c r="J12" s="178"/>
      <x:c r="K12" s="178"/>
      <x:c r="L12" s="178"/>
      <x:c r="M12" s="179"/>
      <x:c r="N12" s="179"/>
    </x:row>
    <x:row r="13">
      <x:c r="A13"/>
      <x:c r="B13" s="24"/>
      <x:c r="C13"/>
      <x:c r="D13" s="24"/>
      <x:c r="E13"/>
      <x:c r="F13"/>
      <x:c r="G13" s="33"/>
    </x:row>
    <x:row r="14">
      <x:c r="A14" s="164" t="str">
        <x:v>Operational Performance</x:v>
      </x:c>
      <x:c r="B14" s="184"/>
      <x:c r="C14" s="164"/>
      <x:c r="D14" s="184"/>
      <x:c r="E14" s="164"/>
      <x:c r="F14" s="164"/>
      <x:c r="G14" s="185"/>
      <x:c r="H14" s="164"/>
      <x:c r="I14" s="164"/>
      <x:c r="J14" s="164"/>
      <x:c r="K14" s="164"/>
      <x:c r="L14" s="164"/>
      <x:c r="M14" s="164"/>
      <x:c r="N14" s="164"/>
    </x:row>
    <x:row r="15">
      <x:c r="A15" s="126" t="str">
        <x:v>Current Workweek</x:v>
      </x:c>
      <x:c r="B15" s="126"/>
      <x:c r="C15" s="126" t="str">
        <x:v>Current MY_MONTH</x:v>
      </x:c>
      <x:c r="D15" s="126"/>
      <x:c r="E15" s="126" t="str">
        <x:v>Workday Utilization</x:v>
      </x:c>
      <x:c r="F15" s="126"/>
      <x:c r="G15" s="126" t="str">
        <x:v>Events / Week</x:v>
      </x:c>
      <x:c r="H15" s="126"/>
      <x:c r="I15" s="126" t="str">
        <x:v>Revenue / Week</x:v>
      </x:c>
      <x:c r="J15" s="126"/>
      <x:c r="K15" s="126" t="str">
        <x:v>Mapping Holds</x:v>
      </x:c>
      <x:c r="L15" s="126"/>
      <x:c r="M15" s="126" t="str">
        <x:v>Variance Exposure</x:v>
      </x:c>
      <x:c r="N15" s="126"/>
    </x:row>
    <x:row r="16" ht="26" customHeight="1">
      <x:c r="A16" s="134" t="n">
        <x:v>14</x:v>
      </x:c>
      <x:c r="B16" s="134"/>
      <x:c r="C16" s="134" t="str">
        <x:v>MY_MONTH 4 — ACTIVE</x:v>
      </x:c>
      <x:c r="D16" s="134"/>
      <x:c r="E16" s="178" t="n">
        <x:v>0.7714285714285715</x:v>
      </x:c>
      <x:c r="F16" s="178"/>
      <x:c r="G16" s="189" t="n">
        <x:v>6</x:v>
      </x:c>
      <x:c r="H16" s="189"/>
      <x:c r="I16" s="169" t="n">
        <x:v>676.7435714285714</x:v>
      </x:c>
      <x:c r="J16" s="169"/>
      <x:c r="K16" s="160" t="n">
        <x:v>0</x:v>
      </x:c>
      <x:c r="L16" s="160"/>
      <x:c r="M16" s="190" t="n">
        <x:v>0</x:v>
      </x:c>
      <x:c r="N16" s="190"/>
    </x:row>
    <x:row r="17" ht="26" customHeight="1">
      <x:c r="A17" s="134"/>
      <x:c r="B17" s="134"/>
      <x:c r="C17" s="134"/>
      <x:c r="D17" s="134"/>
      <x:c r="E17" s="178"/>
      <x:c r="F17" s="178"/>
      <x:c r="G17" s="189"/>
      <x:c r="H17" s="189"/>
      <x:c r="I17" s="169"/>
      <x:c r="J17" s="169"/>
      <x:c r="K17" s="160"/>
      <x:c r="L17" s="160"/>
      <x:c r="M17" s="190"/>
      <x:c r="N17" s="190"/>
    </x:row>
    <x:row r="18" ht="20" customHeight="1">
      <x:c r="A18" s="337" t="str">
        <x:v>Financial-Scope Events: 84  |  Breakdown Confirmed: 79  |  Breakdown Pending: 5  |  Self-Healing: ACTIVE</x:v>
      </x:c>
      <x:c r="B18" s="337"/>
      <x:c r="C18" s="337"/>
      <x:c r="D18" s="337"/>
      <x:c r="E18" s="337"/>
      <x:c r="F18" s="337"/>
      <x:c r="G18" s="337"/>
      <x:c r="H18" s="337"/>
      <x:c r="I18" s="337"/>
      <x:c r="J18" s="337"/>
      <x:c r="K18" s="337"/>
      <x:c r="L18" s="337"/>
      <x:c r="M18" s="337"/>
      <x:c r="N18" s="337"/>
    </x:row>
    <x:row r="19">
      <x:c r="A19" s="164" t="str">
        <x:v>Weekday Performance</x:v>
      </x:c>
      <x:c r="B19" s="164"/>
      <x:c r="C19" s="164"/>
      <x:c r="D19" s="164"/>
      <x:c r="E19" s="164"/>
      <x:c r="F19" s="164"/>
      <x:c r="G19" s="164"/>
      <x:c r="H19"/>
      <x:c r="I19" s="164" t="str">
        <x:v>Top Clients by Confirmed Revenue</x:v>
      </x:c>
      <x:c r="J19" s="164"/>
      <x:c r="K19" s="164"/>
      <x:c r="L19" s="164"/>
      <x:c r="M19" s="164"/>
      <x:c r="N19" s="164"/>
    </x:row>
    <x:row r="20">
      <x:c r="A20" s="191" t="str">
        <x:v>Weekday</x:v>
      </x:c>
      <x:c r="B20" s="191" t="str">
        <x:v>Confirmed Revenue</x:v>
      </x:c>
      <x:c r="C20" s="191" t="str">
        <x:v>Eligible Events</x:v>
      </x:c>
      <x:c r="D20" s="191" t="str">
        <x:v>Avg / Event</x:v>
      </x:c>
      <x:c r="E20" s="191" t="str">
        <x:v>Active Weeks</x:v>
      </x:c>
      <x:c r="F20" s="191" t="str">
        <x:v>Activity Rate</x:v>
      </x:c>
      <x:c r="G20" s="191" t="str">
        <x:v>Revenue Rank</x:v>
      </x:c>
      <x:c r="H20"/>
      <x:c r="I20" s="191" t="str">
        <x:v>Rank</x:v>
      </x:c>
      <x:c r="J20" s="191" t="str">
        <x:v>Client</x:v>
      </x:c>
      <x:c r="K20" s="191" t="str">
        <x:v>Revenue</x:v>
      </x:c>
      <x:c r="L20" s="191" t="str">
        <x:v>Events</x:v>
      </x:c>
      <x:c r="M20" s="191" t="str">
        <x:v>Avg / Event</x:v>
      </x:c>
      <x:c r="N20" s="191" t="str">
        <x:v>Repeat</x:v>
      </x:c>
    </x:row>
    <x:row r="21">
      <x:c r="A21" s="192" t="str">
        <x:f>Analytics!J43</x:f>
        <x:v>Monday</x:v>
      </x:c>
      <x:c r="B21" s="193" t="n">
        <x:f>Analytics!K43</x:f>
        <x:v>1679.65</x:v>
      </x:c>
      <x:c r="C21" s="192" t="n">
        <x:f>Analytics!L43</x:f>
        <x:v>13</x:v>
      </x:c>
      <x:c r="D21" s="193" t="n">
        <x:f>Analytics!M43</x:f>
        <x:v>129.20384615384617</x:v>
      </x:c>
      <x:c r="E21" s="192" t="n">
        <x:f>Analytics!N43</x:f>
        <x:v>9</x:v>
      </x:c>
      <x:c r="F21" s="194" t="n">
        <x:f>Analytics!O43</x:f>
        <x:v>0.6923076923076923</x:v>
      </x:c>
      <x:c r="G21" s="192" t="n">
        <x:f>Analytics!R43</x:f>
        <x:v>4</x:v>
      </x:c>
      <x:c r="H21"/>
      <x:c r="I21" s="192" t="n">
        <x:v>1</x:v>
      </x:c>
      <x:c r="J21" s="192" t="str">
        <x:f>INDEX(tblClientSummary[Client Name],MATCH(LARGE(tblClientSummary[Confirmed Revenue],I21),tblClientSummary[Confirmed Revenue],0))</x:f>
        <x:v>USDA</x:v>
      </x:c>
      <x:c r="K21" s="193" t="n">
        <x:f>LARGE(tblClientSummary[Confirmed Revenue],I21)</x:f>
        <x:v>1355</x:v>
      </x:c>
      <x:c r="L21" s="192" t="n">
        <x:f>INDEX(tblClientSummary[Total Events],MATCH(K21,tblClientSummary[Confirmed Revenue],0))</x:f>
        <x:v>6</x:v>
      </x:c>
      <x:c r="M21" s="193" t="n">
        <x:f>INDEX(tblClientSummary[Avg Revenue / Event],MATCH(K21,tblClientSummary[Confirmed Revenue],0))</x:f>
        <x:v>225.83333333333334</x:v>
      </x:c>
      <x:c r="N21" s="192" t="str">
        <x:f>INDEX(tblClientSummary[Repeat Client],MATCH(K21,tblClientSummary[Confirmed Revenue],0))</x:f>
        <x:v>Yes</x:v>
      </x:c>
    </x:row>
    <x:row r="22">
      <x:c r="A22" s="192" t="str">
        <x:f>Analytics!J44</x:f>
        <x:v>Tuesday</x:v>
      </x:c>
      <x:c r="B22" s="193" t="n">
        <x:f>Analytics!K44</x:f>
        <x:v>2104.39</x:v>
      </x:c>
      <x:c r="C22" s="192" t="n">
        <x:f>Analytics!L44</x:f>
        <x:v>14</x:v>
      </x:c>
      <x:c r="D22" s="193" t="n">
        <x:f>Analytics!M44</x:f>
        <x:v>150.3135714285714</x:v>
      </x:c>
      <x:c r="E22" s="192" t="n">
        <x:f>Analytics!N44</x:f>
        <x:v>11</x:v>
      </x:c>
      <x:c r="F22" s="194" t="n">
        <x:f>Analytics!O44</x:f>
        <x:v>0.8461538461538461</x:v>
      </x:c>
      <x:c r="G22" s="192" t="n">
        <x:f>Analytics!R44</x:f>
        <x:v>3</x:v>
      </x:c>
      <x:c r="I22" s="192" t="n">
        <x:v>2</x:v>
      </x:c>
      <x:c r="J22" s="192" t="str">
        <x:f>INDEX(tblClientSummary[Client Name],MATCH(LARGE(tblClientSummary[Confirmed Revenue],I22),tblClientSummary[Confirmed Revenue],0))</x:f>
        <x:v>Dunkin</x:v>
      </x:c>
      <x:c r="K22" s="193" t="n">
        <x:f>LARGE(tblClientSummary[Confirmed Revenue],I22)</x:f>
        <x:v>1317.19</x:v>
      </x:c>
      <x:c r="L22" s="192" t="n">
        <x:f>INDEX(tblClientSummary[Total Events],MATCH(K22,tblClientSummary[Confirmed Revenue],0))</x:f>
        <x:v>6</x:v>
      </x:c>
      <x:c r="M22" s="193" t="n">
        <x:f>INDEX(tblClientSummary[Avg Revenue / Event],MATCH(K22,tblClientSummary[Confirmed Revenue],0))</x:f>
        <x:v>219.53166666666667</x:v>
      </x:c>
      <x:c r="N22" s="192" t="str">
        <x:f>INDEX(tblClientSummary[Repeat Client],MATCH(K22,tblClientSummary[Confirmed Revenue],0))</x:f>
        <x:v>Yes</x:v>
      </x:c>
    </x:row>
    <x:row r="23">
      <x:c r="A23" s="192" t="str">
        <x:f>Analytics!J45</x:f>
        <x:v>Wednesday</x:v>
      </x:c>
      <x:c r="B23" s="193" t="n">
        <x:f>Analytics!K45</x:f>
        <x:v>2706.4</x:v>
      </x:c>
      <x:c r="C23" s="192" t="n">
        <x:f>Analytics!L45</x:f>
        <x:v>20</x:v>
      </x:c>
      <x:c r="D23" s="193" t="n">
        <x:f>Analytics!M45</x:f>
        <x:v>135.32</x:v>
      </x:c>
      <x:c r="E23" s="192" t="n">
        <x:f>Analytics!N45</x:f>
        <x:v>11</x:v>
      </x:c>
      <x:c r="F23" s="194" t="n">
        <x:f>Analytics!O45</x:f>
        <x:v>0.8461538461538461</x:v>
      </x:c>
      <x:c r="G23" s="192" t="n">
        <x:f>Analytics!R45</x:f>
        <x:v>1</x:v>
      </x:c>
      <x:c r="I23" s="192" t="n">
        <x:v>3</x:v>
      </x:c>
      <x:c r="J23" s="192" t="str">
        <x:f>INDEX(tblClientSummary[Client Name],MATCH(LARGE(tblClientSummary[Confirmed Revenue],I23),tblClientSummary[Confirmed Revenue],0))</x:f>
        <x:v>TJ Maxx</x:v>
      </x:c>
      <x:c r="K23" s="193" t="n">
        <x:f>LARGE(tblClientSummary[Confirmed Revenue],I23)</x:f>
        <x:v>732.48</x:v>
      </x:c>
      <x:c r="L23" s="192" t="n">
        <x:f>INDEX(tblClientSummary[Total Events],MATCH(K23,tblClientSummary[Confirmed Revenue],0))</x:f>
        <x:v>7</x:v>
      </x:c>
      <x:c r="M23" s="193" t="n">
        <x:f>INDEX(tblClientSummary[Avg Revenue / Event],MATCH(K23,tblClientSummary[Confirmed Revenue],0))</x:f>
        <x:v>122.08</x:v>
      </x:c>
      <x:c r="N23" s="192" t="str">
        <x:f>INDEX(tblClientSummary[Repeat Client],MATCH(K23,tblClientSummary[Confirmed Revenue],0))</x:f>
        <x:v>Yes</x:v>
      </x:c>
    </x:row>
    <x:row r="24">
      <x:c r="A24" s="192" t="str">
        <x:f>Analytics!J46</x:f>
        <x:v>Thursday</x:v>
      </x:c>
      <x:c r="B24" s="193" t="n">
        <x:f>Analytics!K46</x:f>
        <x:v>2353.97</x:v>
      </x:c>
      <x:c r="C24" s="192" t="n">
        <x:f>Analytics!L46</x:f>
        <x:v>19</x:v>
      </x:c>
      <x:c r="D24" s="193" t="n">
        <x:f>Analytics!M46</x:f>
        <x:v>123.89315789473683</x:v>
      </x:c>
      <x:c r="E24" s="192" t="n">
        <x:f>Analytics!N46</x:f>
        <x:v>10</x:v>
      </x:c>
      <x:c r="F24" s="194" t="n">
        <x:f>Analytics!O46</x:f>
        <x:v>0.7692307692307693</x:v>
      </x:c>
      <x:c r="G24" s="192" t="n">
        <x:f>Analytics!R46</x:f>
        <x:v>2</x:v>
      </x:c>
      <x:c r="I24" s="192" t="n">
        <x:v>4</x:v>
      </x:c>
      <x:c r="J24" s="192" t="str">
        <x:f>INDEX(tblClientSummary[Client Name],MATCH(LARGE(tblClientSummary[Confirmed Revenue],I24),tblClientSummary[Confirmed Revenue],0))</x:f>
        <x:v>Bloomingdale's</x:v>
      </x:c>
      <x:c r="K24" s="193" t="n">
        <x:f>LARGE(tblClientSummary[Confirmed Revenue],I24)</x:f>
        <x:v>688</x:v>
      </x:c>
      <x:c r="L24" s="192" t="n">
        <x:f>INDEX(tblClientSummary[Total Events],MATCH(K24,tblClientSummary[Confirmed Revenue],0))</x:f>
        <x:v>2</x:v>
      </x:c>
      <x:c r="M24" s="193" t="n">
        <x:f>INDEX(tblClientSummary[Avg Revenue / Event],MATCH(K24,tblClientSummary[Confirmed Revenue],0))</x:f>
        <x:v>344</x:v>
      </x:c>
      <x:c r="N24" s="192" t="str">
        <x:f>INDEX(tblClientSummary[Repeat Client],MATCH(K24,tblClientSummary[Confirmed Revenue],0))</x:f>
        <x:v>Yes</x:v>
      </x:c>
    </x:row>
    <x:row r="25">
      <x:c r="A25" s="192" t="str">
        <x:f>Analytics!J47</x:f>
        <x:v>Friday</x:v>
      </x:c>
      <x:c r="B25" s="193" t="n">
        <x:f>Analytics!K47</x:f>
        <x:v>570</x:v>
      </x:c>
      <x:c r="C25" s="192" t="n">
        <x:f>Analytics!L47</x:f>
        <x:v>10</x:v>
      </x:c>
      <x:c r="D25" s="193" t="n">
        <x:f>Analytics!M47</x:f>
        <x:v>57</x:v>
      </x:c>
      <x:c r="E25" s="192" t="n">
        <x:f>Analytics!N47</x:f>
        <x:v>5</x:v>
      </x:c>
      <x:c r="F25" s="194" t="n">
        <x:f>Analytics!O47</x:f>
        <x:v>0.4166666666666667</x:v>
      </x:c>
      <x:c r="G25" s="192" t="n">
        <x:f>Analytics!R47</x:f>
        <x:v>5</x:v>
      </x:c>
      <x:c r="I25" s="192" t="n">
        <x:v>5</x:v>
      </x:c>
      <x:c r="J25" s="192" t="str">
        <x:f>INDEX(tblClientSummary[Client Name],MATCH(LARGE(tblClientSummary[Confirmed Revenue],I25),tblClientSummary[Confirmed Revenue],0))</x:f>
        <x:v>7-Eleven</x:v>
      </x:c>
      <x:c r="K25" s="193" t="n">
        <x:f>LARGE(tblClientSummary[Confirmed Revenue],I25)</x:f>
        <x:v>663.75</x:v>
      </x:c>
      <x:c r="L25" s="192" t="n">
        <x:f>INDEX(tblClientSummary[Total Events],MATCH(K25,tblClientSummary[Confirmed Revenue],0))</x:f>
        <x:v>4</x:v>
      </x:c>
      <x:c r="M25" s="193" t="n">
        <x:f>INDEX(tblClientSummary[Avg Revenue / Event],MATCH(K25,tblClientSummary[Confirmed Revenue],0))</x:f>
        <x:v>165.9375</x:v>
      </x:c>
      <x:c r="N25" s="192" t="str">
        <x:f>INDEX(tblClientSummary[Repeat Client],MATCH(K25,tblClientSummary[Confirmed Revenue],0))</x:f>
        <x:v>Yes</x:v>
      </x:c>
    </x:row>
    <x:row r="28">
      <x:c r="A28" s="164" t="str">
        <x:v>Jurisdiction Snapshot</x:v>
      </x:c>
      <x:c r="B28" s="164"/>
      <x:c r="C28" s="164"/>
      <x:c r="D28" s="164"/>
      <x:c r="E28" s="164"/>
      <x:c r="F28" s="164"/>
      <x:c r="H28" s="164" t="str">
        <x:v>MY_MONTH Snapshot</x:v>
      </x:c>
      <x:c r="I28" s="164"/>
      <x:c r="J28" s="164"/>
      <x:c r="K28" s="164"/>
      <x:c r="L28" s="164"/>
      <x:c r="M28" s="164"/>
      <x:c r="N28" s="164"/>
    </x:row>
    <x:row r="29">
      <x:c r="A29" s="191" t="str">
        <x:v>Jurisdiction</x:v>
      </x:c>
      <x:c r="B29" s="191" t="str">
        <x:v>Events</x:v>
      </x:c>
      <x:c r="C29" s="191" t="str">
        <x:v>Clients</x:v>
      </x:c>
      <x:c r="D29" s="191" t="str">
        <x:v>Revenue</x:v>
      </x:c>
      <x:c r="E29" s="191" t="str">
        <x:v>Avg / Event</x:v>
      </x:c>
      <x:c r="F29" s="191" t="str">
        <x:v>Revenue Share</x:v>
      </x:c>
      <x:c r="H29" s="191" t="str">
        <x:v>MY_MONTH</x:v>
      </x:c>
      <x:c r="I29" s="191" t="str">
        <x:v>Events</x:v>
      </x:c>
      <x:c r="J29" s="191" t="str">
        <x:v>Eligible</x:v>
      </x:c>
      <x:c r="K29" s="191" t="str">
        <x:v>Clients</x:v>
      </x:c>
      <x:c r="L29" s="191" t="str">
        <x:v>Jurisdictions</x:v>
      </x:c>
      <x:c r="M29" s="191" t="str">
        <x:v>Revenue</x:v>
      </x:c>
      <x:c r="N29" s="191" t="str">
        <x:v>Avg / Event</x:v>
      </x:c>
    </x:row>
    <x:row r="30">
      <x:c r="A30" s="192" t="str">
        <x:f>Analytics!A43</x:f>
        <x:v>VA</x:v>
      </x:c>
      <x:c r="B30" s="192" t="n">
        <x:f>Analytics!B43</x:f>
        <x:v>8</x:v>
      </x:c>
      <x:c r="C30" s="192" t="n">
        <x:f>Analytics!D43</x:f>
        <x:v>6</x:v>
      </x:c>
      <x:c r="D30" s="193" t="n">
        <x:f>Analytics!E43</x:f>
        <x:v>1220.5</x:v>
      </x:c>
      <x:c r="E30" s="193" t="n">
        <x:f>Analytics!F43</x:f>
        <x:v>152.5625</x:v>
      </x:c>
      <x:c r="F30" s="194" t="n">
        <x:f>Analytics!G43</x:f>
        <x:v>0.160919237133383</x:v>
      </x:c>
      <x:c r="H30" s="192" t="str">
        <x:f>Analytics!A52</x:f>
        <x:v>MY_MONTH 1</x:v>
      </x:c>
      <x:c r="I30" s="192" t="n">
        <x:f>Analytics!B52</x:f>
        <x:v>20</x:v>
      </x:c>
      <x:c r="J30" s="192" t="n">
        <x:f>Analytics!C52</x:f>
        <x:v>20</x:v>
      </x:c>
      <x:c r="K30" s="192" t="n">
        <x:f>Analytics!D52</x:f>
        <x:v>15</x:v>
      </x:c>
      <x:c r="L30" s="192" t="n">
        <x:f>Analytics!E52</x:f>
        <x:v>4</x:v>
      </x:c>
      <x:c r="M30" s="193" t="n">
        <x:f>Analytics!F52</x:f>
        <x:v>2490.5</x:v>
      </x:c>
      <x:c r="N30" s="193" t="n">
        <x:f>Analytics!G52</x:f>
        <x:v>124.525</x:v>
      </x:c>
    </x:row>
    <x:row r="31">
      <x:c r="A31" s="192" t="str">
        <x:f>Analytics!A44</x:f>
        <x:v>MD</x:v>
      </x:c>
      <x:c r="B31" s="192" t="n">
        <x:f>Analytics!B44</x:f>
        <x:v>58</x:v>
      </x:c>
      <x:c r="C31" s="192" t="n">
        <x:f>Analytics!D44</x:f>
        <x:v>21</x:v>
      </x:c>
      <x:c r="D31" s="193" t="n">
        <x:f>Analytics!E44</x:f>
        <x:v>5956.049999999999</x:v>
      </x:c>
      <x:c r="E31" s="193" t="n">
        <x:f>Analytics!F44</x:f>
        <x:v>112.37830188679244</x:v>
      </x:c>
      <x:c r="F31" s="194" t="n">
        <x:f>Analytics!G44</x:f>
        <x:v>0.7852871956806928</x:v>
      </x:c>
      <x:c r="H31" s="192" t="str">
        <x:f>Analytics!A53</x:f>
        <x:v>MY_MONTH 2</x:v>
      </x:c>
      <x:c r="I31" s="192" t="n">
        <x:f>Analytics!B53</x:f>
        <x:v>30</x:v>
      </x:c>
      <x:c r="J31" s="192" t="n">
        <x:f>Analytics!C53</x:f>
        <x:v>30</x:v>
      </x:c>
      <x:c r="K31" s="192" t="n">
        <x:f>Analytics!D53</x:f>
        <x:v>18</x:v>
      </x:c>
      <x:c r="L31" s="192" t="n">
        <x:f>Analytics!E53</x:f>
        <x:v>3</x:v>
      </x:c>
      <x:c r="M31" s="193" t="n">
        <x:f>Analytics!F53</x:f>
        <x:v>3286.3199999999997</x:v>
      </x:c>
      <x:c r="N31" s="193" t="n">
        <x:f>Analytics!G53</x:f>
        <x:v>109.544</x:v>
      </x:c>
    </x:row>
    <x:row r="32">
      <x:c r="A32" s="192" t="str">
        <x:f>Analytics!A45</x:f>
        <x:v>DC</x:v>
      </x:c>
      <x:c r="B32" s="192" t="n">
        <x:f>Analytics!B45</x:f>
        <x:v>11</x:v>
      </x:c>
      <x:c r="C32" s="192" t="n">
        <x:f>Analytics!D45</x:f>
        <x:v>5</x:v>
      </x:c>
      <x:c r="D32" s="193" t="n">
        <x:f>Analytics!E45</x:f>
        <x:v>1727.03</x:v>
      </x:c>
      <x:c r="E32" s="193" t="n">
        <x:f>Analytics!F45</x:f>
        <x:v>157.00272727272727</x:v>
      </x:c>
      <x:c r="F32" s="194" t="n">
        <x:f>Analytics!G45</x:f>
        <x:v>0.22770368710075087</x:v>
      </x:c>
      <x:c r="H32" s="192" t="str">
        <x:f>Analytics!A54</x:f>
        <x:v>MY_MONTH 3</x:v>
      </x:c>
      <x:c r="I32" s="192" t="n">
        <x:f>Analytics!B54</x:f>
        <x:v>22</x:v>
      </x:c>
      <x:c r="J32" s="192" t="n">
        <x:f>Analytics!C54</x:f>
        <x:v>18</x:v>
      </x:c>
      <x:c r="K32" s="192" t="n">
        <x:f>Analytics!D54</x:f>
        <x:v>9</x:v>
      </x:c>
      <x:c r="L32" s="192" t="n">
        <x:f>Analytics!E54</x:f>
        <x:v>3</x:v>
      </x:c>
      <x:c r="M32" s="193" t="n">
        <x:f>Analytics!F54</x:f>
        <x:v>2620.2200000000003</x:v>
      </x:c>
      <x:c r="N32" s="193" t="n">
        <x:f>Analytics!G54</x:f>
        <x:v>145.5677777777778</x:v>
      </x:c>
    </x:row>
    <x:row r="33">
      <x:c r="A33" s="192" t="str">
        <x:f>Analytics!A46</x:f>
        <x:v>PA</x:v>
      </x:c>
      <x:c r="B33" s="192" t="n">
        <x:f>Analytics!B46</x:f>
        <x:v>3</x:v>
      </x:c>
      <x:c r="C33" s="192" t="n">
        <x:f>Analytics!D46</x:f>
        <x:v>2</x:v>
      </x:c>
      <x:c r="D33" s="193" t="n">
        <x:f>Analytics!E46</x:f>
        <x:v>410</x:v>
      </x:c>
      <x:c r="E33" s="193" t="n">
        <x:f>Analytics!F46</x:f>
        <x:v>136.66666666666666</x:v>
      </x:c>
      <x:c r="F33" s="194" t="n">
        <x:f>Analytics!G46</x:f>
        <x:v>0.054057261142717764</x:v>
      </x:c>
    </x:row>
    <x:row r="34">
      <x:c r="A34" s="192" t="str">
        <x:f>Analytics!A47</x:f>
        <x:v>WV</x:v>
      </x:c>
      <x:c r="B34" s="192" t="n">
        <x:f>Analytics!B47</x:f>
        <x:v>1</x:v>
      </x:c>
      <x:c r="C34" s="192" t="n">
        <x:f>Analytics!D47</x:f>
        <x:v>1</x:v>
      </x:c>
      <x:c r="D34" s="193" t="n">
        <x:f>Analytics!E47</x:f>
        <x:v>100.83</x:v>
      </x:c>
      <x:c r="E34" s="193" t="n">
        <x:f>Analytics!F47</x:f>
        <x:v>100.83</x:v>
      </x:c>
      <x:c r="F34" s="194" t="n">
        <x:f>Analytics!G47</x:f>
        <x:v>0.013294130831756663</x:v>
      </x:c>
    </x:row>
    <x:row r="37">
      <x:c r="A37" s="164" t="str">
        <x:v>Most Recent Completed Events</x:v>
      </x:c>
      <x:c r="B37" s="164"/>
      <x:c r="C37" s="164"/>
      <x:c r="D37" s="164"/>
      <x:c r="E37" s="164"/>
      <x:c r="F37" s="164"/>
      <x:c r="G37" s="164"/>
      <x:c r="H37" s="164"/>
      <x:c r="I37" s="164"/>
      <x:c r="J37" s="164"/>
      <x:c r="K37" s="164"/>
      <x:c r="L37" s="164"/>
      <x:c r="M37" s="164"/>
      <x:c r="N37" s="164"/>
    </x:row>
    <x:row r="38" ht="58" customHeight="1">
      <x:c r="A38" s="191" t="str">
        <x:v>Event #</x:v>
      </x:c>
      <x:c r="B38" s="191" t="str">
        <x:v>Date</x:v>
      </x:c>
      <x:c r="C38" s="191" t="str">
        <x:v>Weekday</x:v>
      </x:c>
      <x:c r="D38" s="191" t="str">
        <x:v>Client</x:v>
      </x:c>
      <x:c r="E38" s="191" t="str">
        <x:v>City</x:v>
      </x:c>
      <x:c r="F38" s="191" t="str">
        <x:v>Jurisdiction</x:v>
      </x:c>
      <x:c r="G38" s="191" t="str">
        <x:v>Status</x:v>
      </x:c>
      <x:c r="H38" s="191" t="str">
        <x:v>Work Orders</x:v>
      </x:c>
      <x:c r="I38" s="191" t="str">
        <x:v>Revenue</x:v>
      </x:c>
      <x:c r="J38" s="191" t="str">
        <x:v>Eligibility</x:v>
      </x:c>
      <x:c r="K38" s="191" t="str">
        <x:v>Visit Type</x:v>
      </x:c>
      <x:c r="L38" s="191" t="str">
        <x:v>Mapping / Financial Note</x:v>
      </x:c>
      <x:c r="M38" s="191" t="str">
        <x:v>Source</x:v>
      </x:c>
      <x:c r="N38" s="191" t="str">
        <x:v>Record ID</x:v>
      </x:c>
    </x:row>
    <x:row r="39" ht="58" customHeight="1">
      <x:c r="A39" s="192" t="n">
        <x:v>84</x:v>
      </x:c>
      <x:c r="B39" s="195" t="n">
        <x:v>46227</x:v>
      </x:c>
      <x:c r="C39" s="192" t="str">
        <x:v>Friday</x:v>
      </x:c>
      <x:c r="D39" s="192" t="str">
        <x:v>Giant Food Stores</x:v>
      </x:c>
      <x:c r="E39" s="192" t="str">
        <x:v>Wheaton</x:v>
      </x:c>
      <x:c r="F39" s="192" t="str">
        <x:v>MD</x:v>
      </x:c>
      <x:c r="G39" s="192" t="str">
        <x:v>Completed</x:v>
      </x:c>
      <x:c r="H39" s="192" t="n">
        <x:v>5922604</x:v>
      </x:c>
      <x:c r="I39" s="193"/>
      <x:c r="J39" s="192" t="str">
        <x:v>Pending</x:v>
      </x:c>
      <x:c r="K39" s="192" t="str">
        <x:v>Physical Service Visit</x:v>
      </x:c>
      <x:c r="L39" s="196" t="str">
        <x:v>Cradlepoint and PoE injector replaced; site restored. Payment breakdown pending.</x:v>
      </x:c>
      <x:c r="M39" s="196" t="str">
        <x:v>User completion + Gmail WO assignment and closeout correspondence</x:v>
      </x:c>
      <x:c r="N39" s="192" t="str">
        <x:v>EVT-0084</x:v>
      </x:c>
    </x:row>
    <x:row r="40" ht="58" customHeight="1">
      <x:c r="A40" s="192" t="n">
        <x:v>83</x:v>
      </x:c>
      <x:c r="B40" s="195" t="n">
        <x:v>46227</x:v>
      </x:c>
      <x:c r="C40" s="192" t="str">
        <x:v>Friday</x:v>
      </x:c>
      <x:c r="D40" s="192" t="str">
        <x:v>Carvana</x:v>
      </x:c>
      <x:c r="E40" s="192" t="str">
        <x:v>Baltimore</x:v>
      </x:c>
      <x:c r="F40" s="192" t="str">
        <x:v>MD</x:v>
      </x:c>
      <x:c r="G40" s="192" t="str">
        <x:v>Completed</x:v>
      </x:c>
      <x:c r="H40" s="192" t="n">
        <x:v>5919318</x:v>
      </x:c>
      <x:c r="I40" s="193" t="n">
        <x:v>65</x:v>
      </x:c>
      <x:c r="J40" s="192" t="str">
        <x:v>Eligible</x:v>
      </x:c>
      <x:c r="K40" s="192" t="str">
        <x:v>Physical Service Visit</x:v>
      </x:c>
      <x:c r="L40" s="196" t="str">
        <x:v>HP fuser replacement completed; payment breakdown confirmed at $65.00.</x:v>
      </x:c>
      <x:c r="M40" s="196" t="str">
        <x:v>User completion + Gmail WO assignment and payment breakdown</x:v>
      </x:c>
      <x:c r="N40" s="192" t="str">
        <x:v>EVT-0083</x:v>
      </x:c>
    </x:row>
    <x:row r="41" ht="58" customHeight="1">
      <x:c r="A41" s="192" t="n">
        <x:v>82</x:v>
      </x:c>
      <x:c r="B41" s="195" t="n">
        <x:v>46226</x:v>
      </x:c>
      <x:c r="C41" s="192" t="str">
        <x:v>Thursday</x:v>
      </x:c>
      <x:c r="D41" s="192" t="str">
        <x:v>TJ Maxx</x:v>
      </x:c>
      <x:c r="E41" s="192" t="str">
        <x:v>Alexandria</x:v>
      </x:c>
      <x:c r="F41" s="192" t="str">
        <x:v>VA</x:v>
      </x:c>
      <x:c r="G41" s="192" t="str">
        <x:v>Completed</x:v>
      </x:c>
      <x:c r="H41" s="192" t="n">
        <x:v>5922683</x:v>
      </x:c>
      <x:c r="I41" s="193" t="n">
        <x:v>110</x:v>
      </x:c>
      <x:c r="J41" s="192" t="str">
        <x:v>Eligible</x:v>
      </x:c>
      <x:c r="K41" s="192" t="str">
        <x:v>Physical Service Visit</x:v>
      </x:c>
      <x:c r="L41" s="196" t="str">
        <x:v>BERG adapter service completed; payment breakdown confirmed at $110.00.</x:v>
      </x:c>
      <x:c r="M41" s="196" t="str">
        <x:v>User chronology + Gmail ETA and payment breakdown</x:v>
      </x:c>
      <x:c r="N41" s="192" t="str">
        <x:v>EVT-0082</x:v>
      </x:c>
    </x:row>
    <x:row r="42" ht="58" customHeight="1">
      <x:c r="A42" s="192" t="n">
        <x:v>81</x:v>
      </x:c>
      <x:c r="B42" s="195" t="n">
        <x:v>46226</x:v>
      </x:c>
      <x:c r="C42" s="192" t="str">
        <x:v>Thursday</x:v>
      </x:c>
      <x:c r="D42" s="192" t="str">
        <x:v>HomeGoods</x:v>
      </x:c>
      <x:c r="E42" s="192" t="str">
        <x:v>Fairfax</x:v>
      </x:c>
      <x:c r="F42" s="192" t="str">
        <x:v>VA</x:v>
      </x:c>
      <x:c r="G42" s="192" t="str">
        <x:v>Completed</x:v>
      </x:c>
      <x:c r="H42" s="192" t="n">
        <x:v>5922660</x:v>
      </x:c>
      <x:c r="I42" s="193" t="n">
        <x:v>125</x:v>
      </x:c>
      <x:c r="J42" s="192" t="str">
        <x:v>Eligible</x:v>
      </x:c>
      <x:c r="K42" s="192" t="str">
        <x:v>Physical Service Visit</x:v>
      </x:c>
      <x:c r="L42" s="196" t="str">
        <x:v>Power USB cable service completed; payment breakdown confirmed at $125.00.</x:v>
      </x:c>
      <x:c r="M42" s="196" t="str">
        <x:v>User chronology + Gmail ETA and payment breakdown</x:v>
      </x:c>
      <x:c r="N42" s="192" t="str">
        <x:v>EVT-0081</x:v>
      </x:c>
    </x:row>
    <x:row r="43" ht="58" customHeight="1">
      <x:c r="A43" s="192" t="n">
        <x:v>80</x:v>
      </x:c>
      <x:c r="B43" s="195" t="n">
        <x:v>46226</x:v>
      </x:c>
      <x:c r="C43" s="192" t="str">
        <x:v>Thursday</x:v>
      </x:c>
      <x:c r="D43" s="192" t="str">
        <x:v>Marshalls</x:v>
      </x:c>
      <x:c r="E43" s="192" t="str">
        <x:v>Westminster</x:v>
      </x:c>
      <x:c r="F43" s="192" t="str">
        <x:v>MD</x:v>
      </x:c>
      <x:c r="G43" s="192" t="str">
        <x:v>Completed</x:v>
      </x:c>
      <x:c r="H43" s="192" t="n">
        <x:v>5906863</x:v>
      </x:c>
      <x:c r="I43" s="193" t="n">
        <x:v>163.33</x:v>
      </x:c>
      <x:c r="J43" s="192" t="str">
        <x:v>Eligible</x:v>
      </x:c>
      <x:c r="K43" s="192" t="str">
        <x:v>Physical Service Visit</x:v>
      </x:c>
      <x:c r="L43" s="196" t="str">
        <x:v>TJX server-refresh work completed; payment breakdown confirmed at $163.33.</x:v>
      </x:c>
      <x:c r="M43" s="196" t="str">
        <x:v>User chronology + Gmail WO assignment and payment breakdown</x:v>
      </x:c>
      <x:c r="N43" s="192" t="str">
        <x:v>EVT-0080</x:v>
      </x:c>
    </x:row>
    <x:row r="44" ht="22" customHeight="1">
      <x:c r="A44" s="316" t="str">
        <x:v>Visual Analytics</x:v>
      </x:c>
      <x:c r="B44" s="316"/>
      <x:c r="C44" s="316"/>
      <x:c r="D44" s="316"/>
      <x:c r="E44" s="316"/>
      <x:c r="F44" s="316"/>
      <x:c r="G44" s="316"/>
      <x:c r="H44" s="316"/>
      <x:c r="I44" s="316"/>
      <x:c r="J44" s="316"/>
      <x:c r="K44" s="316"/>
      <x:c r="L44" s="316"/>
      <x:c r="M44" s="316"/>
      <x:c r="N44" s="316"/>
    </x:row>
  </x:sheetData>
  <x:mergeCells>
    <x:mergeCell ref="A1:N2"/>
    <x:mergeCell ref="A3:N3"/>
    <x:mergeCell ref="A5:B5"/>
    <x:mergeCell ref="A6:B7"/>
    <x:mergeCell ref="C5:D5"/>
    <x:mergeCell ref="C6:D7"/>
    <x:mergeCell ref="E5:F5"/>
    <x:mergeCell ref="E6:F7"/>
    <x:mergeCell ref="G5:H5"/>
    <x:mergeCell ref="G6:H7"/>
    <x:mergeCell ref="I5:J5"/>
    <x:mergeCell ref="I6:J7"/>
    <x:mergeCell ref="K5:L5"/>
    <x:mergeCell ref="K6:L7"/>
    <x:mergeCell ref="M5:N5"/>
    <x:mergeCell ref="M6:N7"/>
    <x:mergeCell ref="A9:N9"/>
    <x:mergeCell ref="A10:B10"/>
    <x:mergeCell ref="A11:B12"/>
    <x:mergeCell ref="C10:D10"/>
    <x:mergeCell ref="C11:D12"/>
    <x:mergeCell ref="E10:F10"/>
    <x:mergeCell ref="E11:F12"/>
    <x:mergeCell ref="G10:H10"/>
    <x:mergeCell ref="G11:H12"/>
    <x:mergeCell ref="I10:J10"/>
    <x:mergeCell ref="I11:J12"/>
    <x:mergeCell ref="K10:L10"/>
    <x:mergeCell ref="K11:L12"/>
    <x:mergeCell ref="M10:N10"/>
    <x:mergeCell ref="M11:N12"/>
    <x:mergeCell ref="A14:N14"/>
    <x:mergeCell ref="A15:B15"/>
    <x:mergeCell ref="A16:B17"/>
    <x:mergeCell ref="C15:D15"/>
    <x:mergeCell ref="C16:D17"/>
    <x:mergeCell ref="E15:F15"/>
    <x:mergeCell ref="E16:F17"/>
    <x:mergeCell ref="G15:H15"/>
    <x:mergeCell ref="G16:H17"/>
    <x:mergeCell ref="I15:J15"/>
    <x:mergeCell ref="I16:J17"/>
    <x:mergeCell ref="K15:L15"/>
    <x:mergeCell ref="K16:L17"/>
    <x:mergeCell ref="M15:N15"/>
    <x:mergeCell ref="M16:N17"/>
    <x:mergeCell ref="A19:G19"/>
    <x:mergeCell ref="I19:N19"/>
    <x:mergeCell ref="A28:F28"/>
    <x:mergeCell ref="H28:N28"/>
    <x:mergeCell ref="A37:N37"/>
    <x:mergeCell ref="A44:N44"/>
    <x:mergeCell ref="A18:N18"/>
  </x:mergeCells>
  <x:conditionalFormatting sqref="B21:B25">
    <x:cfRule type="dataBar" priority="1">
      <x:dataBar>
        <x:cfvo type="min"/>
        <x:cfvo type="max"/>
        <x:color rgb="FF5B9BD5"/>
      </x:dataBar>
      <x:extLst>
        <x:ext xmlns:x14="http://schemas.microsoft.com/office/spreadsheetml/2009/9/main" uri="{B025F937-C7B1-47D3-B67F-A62EFF666E3E}">
          <x14:id>{E5D2A047-4238-8741-E2B3-85669B88D1C8}</x14:id>
        </x:ext>
      </x:extLst>
    </x:cfRule>
  </x:conditionalFormatting>
  <x:conditionalFormatting sqref="I6:J7">
    <x:cfRule type="expression" dxfId="21" priority="7">
      <x:formula>$I$6=0</x:formula>
    </x:cfRule>
    <x:cfRule type="expression" dxfId="22" priority="8">
      <x:formula>AND($I$6&gt;=1,$I$6&lt;=2)</x:formula>
    </x:cfRule>
    <x:cfRule type="expression" dxfId="23" priority="9">
      <x:formula>$I$6&gt;=3</x:formula>
    </x:cfRule>
  </x:conditionalFormatting>
  <x:conditionalFormatting sqref="K6:L7">
    <x:cfRule type="expression" dxfId="24" priority="10">
      <x:formula>$K$6=0</x:formula>
    </x:cfRule>
    <x:cfRule type="expression" dxfId="25" priority="11">
      <x:formula>AND($K$6&gt;=1,$K$6&lt;=4)</x:formula>
    </x:cfRule>
    <x:cfRule type="expression" dxfId="26" priority="12">
      <x:formula>$K$6&gt;=5</x:formula>
    </x:cfRule>
  </x:conditionalFormatting>
  <x:conditionalFormatting sqref="M6:N7">
    <x:cfRule type="expression" dxfId="27" priority="13">
      <x:formula>$M$6=0</x:formula>
    </x:cfRule>
    <x:cfRule type="expression" dxfId="28" priority="14">
      <x:formula>AND($M$6&gt;=1,$M$6&lt;=5)</x:formula>
    </x:cfRule>
    <x:cfRule type="expression" dxfId="29" priority="15">
      <x:formula>$M$6&gt;=6</x:formula>
    </x:cfRule>
  </x:conditionalFormatting>
  <x:conditionalFormatting sqref="I11:J12">
    <x:cfRule type="expression" dxfId="30" priority="16">
      <x:formula>$I$11&gt;=0.95</x:formula>
    </x:cfRule>
    <x:cfRule type="expression" dxfId="31" priority="17">
      <x:formula>AND($I$11&gt;=0.85,$I$11&lt;0.95)</x:formula>
    </x:cfRule>
    <x:cfRule type="expression" dxfId="32" priority="18">
      <x:formula>$I$11&lt;0.85</x:formula>
    </x:cfRule>
  </x:conditionalFormatting>
  <x:conditionalFormatting sqref="K11:L12">
    <x:cfRule type="expression" dxfId="33" priority="19">
      <x:formula>$K$11&gt;=0.95</x:formula>
    </x:cfRule>
    <x:cfRule type="expression" dxfId="34" priority="20">
      <x:formula>AND($K$11&gt;=0.85,$K$11&lt;0.95)</x:formula>
    </x:cfRule>
    <x:cfRule type="expression" dxfId="35" priority="21">
      <x:formula>$K$11&lt;0.85</x:formula>
    </x:cfRule>
  </x:conditionalFormatting>
  <x:conditionalFormatting sqref="M11:N12">
    <x:cfRule type="expression" dxfId="36" priority="22">
      <x:formula>$M$11=0</x:formula>
    </x:cfRule>
    <x:cfRule type="expression" dxfId="37" priority="23">
      <x:formula>$M$11&gt;0</x:formula>
    </x:cfRule>
  </x:conditionalFormatting>
  <x:conditionalFormatting sqref="E16:F17">
    <x:cfRule type="expression" dxfId="38" priority="24">
      <x:formula>$E$16&gt;=0.80</x:formula>
    </x:cfRule>
    <x:cfRule type="expression" dxfId="39" priority="25">
      <x:formula>AND($E$16&gt;=0.60,$E$16&lt;0.80)</x:formula>
    </x:cfRule>
    <x:cfRule type="expression" dxfId="40" priority="26">
      <x:formula>$E$16&lt;0.60</x:formula>
    </x:cfRule>
  </x:conditionalFormatting>
  <x:conditionalFormatting sqref="K16:L17">
    <x:cfRule type="expression" dxfId="41" priority="27">
      <x:formula>$K$16=0</x:formula>
    </x:cfRule>
    <x:cfRule type="expression" dxfId="42" priority="28">
      <x:formula>$K$16&gt;0</x:formula>
    </x:cfRule>
  </x:conditionalFormatting>
  <x:conditionalFormatting sqref="M16:N17">
    <x:cfRule type="expression" dxfId="43" priority="29">
      <x:formula>$M$16=0</x:formula>
    </x:cfRule>
    <x:cfRule type="expression" dxfId="44" priority="30">
      <x:formula>$M$16&gt;0</x:formula>
    </x:cfRule>
  </x:conditionalFormatting>
  <x:conditionalFormatting sqref="G39:G43">
    <x:cfRule type="expression" dxfId="45" priority="31">
      <x:formula>$G39="Completed"</x:formula>
    </x:cfRule>
    <x:cfRule type="expression" dxfId="46" priority="32">
      <x:formula>$G39="Scheduled"</x:formula>
    </x:cfRule>
  </x:conditionalFormatting>
  <x:conditionalFormatting sqref="J39:J43">
    <x:cfRule type="expression" dxfId="47" priority="33">
      <x:formula>$J39="Eligible"</x:formula>
    </x:cfRule>
    <x:cfRule type="expression" dxfId="48" priority="34">
      <x:formula>$J39="Excluded"</x:formula>
    </x:cfRule>
  </x:conditionalFormatting>
  <x:conditionalFormatting sqref="A18:N18">
    <x:cfRule type="expression" dxfId="134" priority="35">
      <x:formula>ISNUMBER(SEARCH("Integrity Gate: PASS",$A18))</x:formula>
    </x:cfRule>
    <x:cfRule type="expression" dxfId="135" priority="36">
      <x:formula>ISNUMBER(SEARCH("Integrity Gate: FAIL",$A18))</x:formula>
    </x:cfRule>
  </x:conditionalFormatting>
  <x:pageMargins left="0.7" right="0.7" top="0.75" bottom="0.75" header="0.3" footer="0.3"/>
  <x:drawing xmlns:r="http://schemas.openxmlformats.org/officeDocument/2006/relationships" r:id="R515139f19ba14a2a"/>
  <x:extLst>
    <x:ext xmlns:x14="http://schemas.microsoft.com/office/spreadsheetml/2009/9/main" xmlns:xm="http://schemas.microsoft.com/office/excel/2006/main" uri="{78C0D931-6437-407d-A8EE-F0AAD7539E65}">
      <x14:conditionalFormattings>
        <x14:conditionalFormatting>
          <x14:cfRule type="dataBar" priority="1" id="{E5D2A047-4238-8741-E2B3-85669B88D1C8}">
            <x14:dataBar gradient="1">
              <x14:cfvo type="min"/>
              <x14:cfvo type="max"/>
              <x14:fillColor rgb="FF5B9BD5"/>
            </x14:dataBar>
          </x14:cfRule>
          <xm:sqref>B21:B25</xm:sqref>
        </x14:conditionalFormatting>
      </x14:conditionalFormattings>
    </x:ext>
  </x:extLst>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6" hidden="0" customWidth="1"/>
    <x:col min="3" max="3" width="13" hidden="0" customWidth="1"/>
    <x:col min="4" max="4" width="12" hidden="0" customWidth="1"/>
    <x:col min="5" max="5" width="12" hidden="0" customWidth="1"/>
    <x:col min="6" max="6" width="14" hidden="0" customWidth="1"/>
    <x:col min="7" max="7" width="12" hidden="0" customWidth="1"/>
    <x:col min="8" max="8" width="28" hidden="0" customWidth="1"/>
    <x:col min="9" max="9" width="28" hidden="0" customWidth="1"/>
    <x:col min="10" max="10" width="20" hidden="0" customWidth="1"/>
    <x:col min="11" max="11" width="18" hidden="0" customWidth="1"/>
    <x:col min="12" max="12" width="18" hidden="0" customWidth="1"/>
    <x:col min="13" max="13" width="10" hidden="0" customWidth="1"/>
    <x:col min="14" max="14" width="14" hidden="0" customWidth="1"/>
    <x:col min="15" max="15" width="22" hidden="0" customWidth="1"/>
    <x:col min="16" max="16" width="14" hidden="0" customWidth="1"/>
    <x:col min="17" max="17" width="22" hidden="0" customWidth="1"/>
    <x:col min="18" max="18" width="14" hidden="0" customWidth="1"/>
    <x:col min="19" max="19" width="28" hidden="0" customWidth="1"/>
    <x:col min="20" max="20" width="16" hidden="0" customWidth="1"/>
    <x:col min="21" max="21" width="18" hidden="0" customWidth="1"/>
    <x:col min="22" max="22" width="42" hidden="0" customWidth="1"/>
    <x:col min="23" max="23" width="30" hidden="0" customWidth="1"/>
    <x:col min="24" max="24" width="16" hidden="0" customWidth="1"/>
    <x:col min="25" max="25" width="30" hidden="0" customWidth="1"/>
    <x:col min="26" max="26" width="18" hidden="0" customWidth="1"/>
  </x:cols>
  <x:sheetData>
    <x:row r="1">
      <x:c r="A1" s="51" t="str">
        <x:v>Event #</x:v>
      </x:c>
      <x:c r="B1" s="51" t="str">
        <x:v>Physical Visit ID</x:v>
      </x:c>
      <x:c r="C1" s="51" t="str">
        <x:v>Service Date</x:v>
      </x:c>
      <x:c r="D1" s="51" t="str">
        <x:v>Weekday</x:v>
      </x:c>
      <x:c r="E1" s="51" t="str">
        <x:v>Workweek #</x:v>
      </x:c>
      <x:c r="F1" s="51" t="str">
        <x:v>MY_MONTH</x:v>
      </x:c>
      <x:c r="G1" s="51" t="str">
        <x:v>Client ID</x:v>
      </x:c>
      <x:c r="H1" s="51" t="str">
        <x:v>Client</x:v>
      </x:c>
      <x:c r="I1" s="51" t="str">
        <x:v>Site Name</x:v>
      </x:c>
      <x:c r="J1" s="51" t="str">
        <x:v>Address</x:v>
      </x:c>
      <x:c r="K1" s="51" t="str">
        <x:v>City</x:v>
      </x:c>
      <x:c r="L1" s="51" t="str">
        <x:v>State</x:v>
      </x:c>
      <x:c r="M1" s="51" t="str">
        <x:v>ZIP</x:v>
      </x:c>
      <x:c r="N1" s="51" t="str">
        <x:v>Jurisdiction</x:v>
      </x:c>
      <x:c r="O1" s="51" t="str">
        <x:v>Location Key</x:v>
      </x:c>
      <x:c r="P1" s="51" t="str">
        <x:v>Status</x:v>
      </x:c>
      <x:c r="Q1" s="51" t="str">
        <x:v>Visit Type</x:v>
      </x:c>
      <x:c r="R1" s="51" t="str">
        <x:v>Work Order Count</x:v>
      </x:c>
      <x:c r="S1" s="51" t="str">
        <x:v>Work Orders</x:v>
      </x:c>
      <x:c r="T1" s="51" t="str">
        <x:v>Confirmed Revenue</x:v>
      </x:c>
      <x:c r="U1" s="51" t="str">
        <x:v>Revenue Eligibility</x:v>
      </x:c>
      <x:c r="V1" s="51" t="str">
        <x:v>Notes</x:v>
      </x:c>
      <x:c r="W1" s="51" t="str">
        <x:v>Source / Evidence</x:v>
      </x:c>
      <x:c r="X1" s="52" t="str">
        <x:v>Financial Scope</x:v>
      </x:c>
      <x:c r="Y1" s="52" t="str">
        <x:v>Financial Exclusion Reason</x:v>
      </x:c>
      <x:c r="Z1" s="52" t="str">
        <x:v>Breakdown Expected</x:v>
      </x:c>
      <x:c r="AA1" s="52"/>
      <x:c r="AB1" s="52"/>
      <x:c r="AC1" s="52"/>
      <x:c r="AD1" s="52"/>
      <x:c r="AE1" s="52"/>
    </x:row>
    <x:row r="2">
      <x:c r="A2" s="329" t="n">
        <x:v>1</x:v>
      </x:c>
      <x:c r="B2" s="565" t="str">
        <x:v>EVT-0001</x:v>
      </x:c>
      <x:c r="C2" s="532" t="n">
        <x:v>46132</x:v>
      </x:c>
      <x:c r="D2" s="483" t="str">
        <x:v>Monday</x:v>
      </x:c>
      <x:c r="E2" s="329" t="n">
        <x:v>1</x:v>
      </x:c>
      <x:c r="F2" s="329" t="str">
        <x:v>MY_MONTH 1</x:v>
      </x:c>
      <x:c r="G2" s="329" t="str">
        <x:v>CL-001</x:v>
      </x:c>
      <x:c r="H2" s="329" t="str">
        <x:v>Macy's</x:v>
      </x:c>
      <x:c r="I2" s="329" t="str">
        <x:v>Macy's</x:v>
      </x:c>
      <x:c r="J2" s="329"/>
      <x:c r="K2" s="329" t="str">
        <x:v>Fairfax</x:v>
      </x:c>
      <x:c r="L2" s="329" t="str">
        <x:v>Virginia</x:v>
      </x:c>
      <x:c r="M2" s="566"/>
      <x:c r="N2" s="329" t="str">
        <x:v>VA</x:v>
      </x:c>
      <x:c r="O2" s="483" t="str">
        <x:v>Fairfax|VA</x:v>
      </x:c>
      <x:c r="P2" s="329" t="str">
        <x:v>Completed</x:v>
      </x:c>
      <x:c r="Q2" s="329" t="str">
        <x:v>Physical Service Visit</x:v>
      </x:c>
      <x:c r="R2" s="329" t="n">
        <x:v>1</x:v>
      </x:c>
      <x:c r="S2" s="329" t="str">
        <x:v>5847113</x:v>
      </x:c>
      <x:c r="T2" s="566" t="n">
        <x:v>90</x:v>
      </x:c>
      <x:c r="U2" s="483" t="str">
        <x:v>Eligible</x:v>
      </x:c>
      <x:c r="V2" s="329" t="str">
        <x:v>VA model from prior approved calculation.</x:v>
      </x:c>
      <x:c r="W2" s="329" t="str">
        <x:v>Timeline + Service Calendar + Canonical Ledger</x:v>
      </x:c>
      <x:c r="X2" s="329" t="str">
        <x:v>Included</x:v>
      </x:c>
      <x:c r="Y2" s="329"/>
      <x:c r="Z2" s="483" t="str">
        <x:v>Yes</x:v>
      </x:c>
      <x:c r="AA2" s="329"/>
      <x:c r="AB2" s="329"/>
      <x:c r="AC2" s="329"/>
      <x:c r="AD2" s="329"/>
      <x:c r="AE2" s="329"/>
    </x:row>
    <x:row r="3">
      <x:c r="A3" s="329" t="n">
        <x:v>2</x:v>
      </x:c>
      <x:c r="B3" s="565" t="str">
        <x:v>EVT-0002</x:v>
      </x:c>
      <x:c r="C3" s="532" t="n">
        <x:v>46133</x:v>
      </x:c>
      <x:c r="D3" s="483" t="str">
        <x:v>Tuesday</x:v>
      </x:c>
      <x:c r="E3" s="329" t="n">
        <x:v>1</x:v>
      </x:c>
      <x:c r="F3" s="329" t="str">
        <x:v>MY_MONTH 1</x:v>
      </x:c>
      <x:c r="G3" s="329" t="str">
        <x:v>CL-002</x:v>
      </x:c>
      <x:c r="H3" s="329" t="str">
        <x:v>Bloomingdale's</x:v>
      </x:c>
      <x:c r="I3" s="329" t="str">
        <x:v>Bloomingdale's</x:v>
      </x:c>
      <x:c r="J3" s="329"/>
      <x:c r="K3" s="329" t="str">
        <x:v>Tysons</x:v>
      </x:c>
      <x:c r="L3" s="329" t="str">
        <x:v>Virginia</x:v>
      </x:c>
      <x:c r="M3" s="566"/>
      <x:c r="N3" s="329" t="str">
        <x:v>VA</x:v>
      </x:c>
      <x:c r="O3" s="483" t="str">
        <x:v>Tysons|VA</x:v>
      </x:c>
      <x:c r="P3" s="329" t="str">
        <x:v>Completed</x:v>
      </x:c>
      <x:c r="Q3" s="329" t="str">
        <x:v>Physical Service Visit</x:v>
      </x:c>
      <x:c r="R3" s="329" t="n">
        <x:v>1</x:v>
      </x:c>
      <x:c r="S3" s="329" t="str">
        <x:v>5860365</x:v>
      </x:c>
      <x:c r="T3" s="566" t="n">
        <x:v>344</x:v>
      </x:c>
      <x:c r="U3" s="483" t="str">
        <x:v>Eligible</x:v>
      </x:c>
      <x:c r="V3" s="329" t="str">
        <x:v>8-hour assist tech; effective $43/hr.</x:v>
      </x:c>
      <x:c r="W3" s="329" t="str">
        <x:v>Timeline + Service Calendar + Canonical Ledger</x:v>
      </x:c>
      <x:c r="X3" s="329" t="str">
        <x:v>Included</x:v>
      </x:c>
      <x:c r="Y3" s="329"/>
      <x:c r="Z3" s="483" t="str">
        <x:v>Yes</x:v>
      </x:c>
      <x:c r="AA3" s="329"/>
      <x:c r="AB3" s="329"/>
      <x:c r="AC3" s="329"/>
      <x:c r="AD3" s="329"/>
      <x:c r="AE3" s="329"/>
    </x:row>
    <x:row r="4">
      <x:c r="A4" s="329" t="n">
        <x:v>3</x:v>
      </x:c>
      <x:c r="B4" s="565" t="str">
        <x:v>EVT-0003</x:v>
      </x:c>
      <x:c r="C4" s="532" t="n">
        <x:v>46134</x:v>
      </x:c>
      <x:c r="D4" s="483" t="str">
        <x:v>Wednesday</x:v>
      </x:c>
      <x:c r="E4" s="329" t="n">
        <x:v>1</x:v>
      </x:c>
      <x:c r="F4" s="329" t="str">
        <x:v>MY_MONTH 1</x:v>
      </x:c>
      <x:c r="G4" s="329" t="str">
        <x:v>CL-002</x:v>
      </x:c>
      <x:c r="H4" s="329" t="str">
        <x:v>Bloomingdale's</x:v>
      </x:c>
      <x:c r="I4" s="329" t="str">
        <x:v>Bloomingdale's</x:v>
      </x:c>
      <x:c r="J4" s="329"/>
      <x:c r="K4" s="329" t="str">
        <x:v>Tysons</x:v>
      </x:c>
      <x:c r="L4" s="329" t="str">
        <x:v>Virginia</x:v>
      </x:c>
      <x:c r="M4" s="566"/>
      <x:c r="N4" s="329" t="str">
        <x:v>VA</x:v>
      </x:c>
      <x:c r="O4" s="483" t="str">
        <x:v>Tysons|VA</x:v>
      </x:c>
      <x:c r="P4" s="329" t="str">
        <x:v>Completed</x:v>
      </x:c>
      <x:c r="Q4" s="329" t="str">
        <x:v>Physical Service Visit</x:v>
      </x:c>
      <x:c r="R4" s="329" t="n">
        <x:v>1</x:v>
      </x:c>
      <x:c r="S4" s="329" t="str">
        <x:v>5860393</x:v>
      </x:c>
      <x:c r="T4" s="566" t="n">
        <x:v>344</x:v>
      </x:c>
      <x:c r="U4" s="483" t="str">
        <x:v>Eligible</x:v>
      </x:c>
      <x:c r="V4" s="329" t="str">
        <x:v>8-hour assist tech; effective $43/hr.</x:v>
      </x:c>
      <x:c r="W4" s="329" t="str">
        <x:v>Timeline + Service Calendar + Canonical Ledger</x:v>
      </x:c>
      <x:c r="X4" s="329" t="str">
        <x:v>Included</x:v>
      </x:c>
      <x:c r="Y4" s="329"/>
      <x:c r="Z4" s="483" t="str">
        <x:v>Yes</x:v>
      </x:c>
      <x:c r="AA4" s="329"/>
      <x:c r="AB4" s="329"/>
      <x:c r="AC4" s="329"/>
      <x:c r="AD4" s="329"/>
      <x:c r="AE4" s="329"/>
    </x:row>
    <x:row r="5">
      <x:c r="A5" s="329" t="n">
        <x:v>4</x:v>
      </x:c>
      <x:c r="B5" s="565" t="str">
        <x:v>EVT-0004</x:v>
      </x:c>
      <x:c r="C5" s="532" t="n">
        <x:v>46135</x:v>
      </x:c>
      <x:c r="D5" s="483" t="str">
        <x:v>Thursday</x:v>
      </x:c>
      <x:c r="E5" s="329" t="n">
        <x:v>1</x:v>
      </x:c>
      <x:c r="F5" s="329" t="str">
        <x:v>MY_MONTH 1</x:v>
      </x:c>
      <x:c r="G5" s="329" t="str">
        <x:v>CL-001</x:v>
      </x:c>
      <x:c r="H5" s="329" t="str">
        <x:v>Macy's</x:v>
      </x:c>
      <x:c r="I5" s="329" t="str">
        <x:v>Macy's</x:v>
      </x:c>
      <x:c r="J5" s="329"/>
      <x:c r="K5" s="329" t="str">
        <x:v>Frederick</x:v>
      </x:c>
      <x:c r="L5" s="329" t="str">
        <x:v>Maryland</x:v>
      </x:c>
      <x:c r="M5" s="566"/>
      <x:c r="N5" s="329" t="str">
        <x:v>MD</x:v>
      </x:c>
      <x:c r="O5" s="483" t="str">
        <x:v>Frederick|MD</x:v>
      </x:c>
      <x:c r="P5" s="329" t="str">
        <x:v>Completed</x:v>
      </x:c>
      <x:c r="Q5" s="329" t="str">
        <x:v>Physical Service Visit</x:v>
      </x:c>
      <x:c r="R5" s="329" t="n">
        <x:v>1</x:v>
      </x:c>
      <x:c r="S5" s="329" t="str">
        <x:v>5874484</x:v>
      </x:c>
      <x:c r="T5" s="566" t="n">
        <x:v>180</x:v>
      </x:c>
      <x:c r="U5" s="483" t="str">
        <x:v>Eligible</x:v>
      </x:c>
      <x:c r="V5" s="329" t="str">
        <x:v>Maryland revenue included; hours inferred at $45/hr.</x:v>
      </x:c>
      <x:c r="W5" s="329" t="str">
        <x:v>Timeline + Service Calendar + Canonical Ledger</x:v>
      </x:c>
      <x:c r="X5" s="329" t="str">
        <x:v>Included</x:v>
      </x:c>
      <x:c r="Y5" s="329"/>
      <x:c r="Z5" s="483" t="str">
        <x:v>Yes</x:v>
      </x:c>
      <x:c r="AA5" s="329"/>
      <x:c r="AB5" s="329"/>
      <x:c r="AC5" s="329"/>
      <x:c r="AD5" s="329"/>
      <x:c r="AE5" s="329"/>
    </x:row>
    <x:row r="6">
      <x:c r="A6" s="329" t="n">
        <x:v>5</x:v>
      </x:c>
      <x:c r="B6" s="565" t="str">
        <x:v>EVT-0005</x:v>
      </x:c>
      <x:c r="C6" s="532" t="n">
        <x:v>46136</x:v>
      </x:c>
      <x:c r="D6" s="483" t="str">
        <x:v>Friday</x:v>
      </x:c>
      <x:c r="E6" s="329" t="n">
        <x:v>1</x:v>
      </x:c>
      <x:c r="F6" s="329" t="str">
        <x:v>MY_MONTH 1</x:v>
      </x:c>
      <x:c r="G6" s="329" t="str">
        <x:v>CL-003</x:v>
      </x:c>
      <x:c r="H6" s="329" t="str">
        <x:v>Hampton Inn &amp; Suites</x:v>
      </x:c>
      <x:c r="I6" s="329" t="str">
        <x:v>Hampton Inn &amp; Suites</x:v>
      </x:c>
      <x:c r="J6" s="329"/>
      <x:c r="K6" s="329" t="str">
        <x:v>Washington</x:v>
      </x:c>
      <x:c r="L6" s="329" t="str">
        <x:v>Washington, DC</x:v>
      </x:c>
      <x:c r="M6" s="566"/>
      <x:c r="N6" s="329" t="str">
        <x:v>DC</x:v>
      </x:c>
      <x:c r="O6" s="483" t="str">
        <x:v>Washington|DC</x:v>
      </x:c>
      <x:c r="P6" s="329" t="str">
        <x:v>Completed</x:v>
      </x:c>
      <x:c r="Q6" s="329" t="str">
        <x:v>Physical Service Visit</x:v>
      </x:c>
      <x:c r="R6" s="329" t="n">
        <x:v>1</x:v>
      </x:c>
      <x:c r="S6" s="329" t="str">
        <x:v>5876589</x:v>
      </x:c>
      <x:c r="T6" s="566" t="n">
        <x:v>50</x:v>
      </x:c>
      <x:c r="U6" s="483" t="str">
        <x:v>Eligible</x:v>
      </x:c>
      <x:c r="V6" s="329" t="str">
        <x:v>DC flat/equivalent event.</x:v>
      </x:c>
      <x:c r="W6" s="329" t="str">
        <x:v>Timeline + Service Calendar + Canonical Ledger</x:v>
      </x:c>
      <x:c r="X6" s="329" t="str">
        <x:v>Included</x:v>
      </x:c>
      <x:c r="Y6" s="329"/>
      <x:c r="Z6" s="483" t="str">
        <x:v>Yes</x:v>
      </x:c>
      <x:c r="AA6" s="329"/>
      <x:c r="AB6" s="329"/>
      <x:c r="AC6" s="329"/>
      <x:c r="AD6" s="329"/>
      <x:c r="AE6" s="329"/>
    </x:row>
    <x:row r="7">
      <x:c r="A7" s="329" t="n">
        <x:v>6</x:v>
      </x:c>
      <x:c r="B7" s="565" t="str">
        <x:v>EVT-0006</x:v>
      </x:c>
      <x:c r="C7" s="532" t="n">
        <x:v>46139</x:v>
      </x:c>
      <x:c r="D7" s="483" t="str">
        <x:v>Monday</x:v>
      </x:c>
      <x:c r="E7" s="329" t="n">
        <x:v>2</x:v>
      </x:c>
      <x:c r="F7" s="329" t="str">
        <x:v>MY_MONTH 1</x:v>
      </x:c>
      <x:c r="G7" s="329" t="str">
        <x:v>CL-001</x:v>
      </x:c>
      <x:c r="H7" s="329" t="str">
        <x:v>Macy's</x:v>
      </x:c>
      <x:c r="I7" s="329" t="str">
        <x:v>Macy's</x:v>
      </x:c>
      <x:c r="J7" s="329"/>
      <x:c r="K7" s="329" t="str">
        <x:v>Frederick</x:v>
      </x:c>
      <x:c r="L7" s="329" t="str">
        <x:v>Maryland</x:v>
      </x:c>
      <x:c r="M7" s="566"/>
      <x:c r="N7" s="329" t="str">
        <x:v>MD</x:v>
      </x:c>
      <x:c r="O7" s="483" t="str">
        <x:v>Frederick|MD</x:v>
      </x:c>
      <x:c r="P7" s="329" t="str">
        <x:v>Completed</x:v>
      </x:c>
      <x:c r="Q7" s="329" t="str">
        <x:v>Physical Service Visit</x:v>
      </x:c>
      <x:c r="R7" s="329" t="n">
        <x:v>1</x:v>
      </x:c>
      <x:c r="S7" s="329" t="str">
        <x:v>5874982</x:v>
      </x:c>
      <x:c r="T7" s="566" t="n">
        <x:v>180</x:v>
      </x:c>
      <x:c r="U7" s="483" t="str">
        <x:v>Eligible</x:v>
      </x:c>
      <x:c r="V7" s="329" t="str">
        <x:v>Maryland revenue included; hours inferred at $45/hr.</x:v>
      </x:c>
      <x:c r="W7" s="329" t="str">
        <x:v>Timeline + Service Calendar + Canonical Ledger</x:v>
      </x:c>
      <x:c r="X7" s="329" t="str">
        <x:v>Included</x:v>
      </x:c>
      <x:c r="Y7" s="329"/>
      <x:c r="Z7" s="483" t="str">
        <x:v>Yes</x:v>
      </x:c>
      <x:c r="AA7" s="329"/>
      <x:c r="AB7" s="329"/>
      <x:c r="AC7" s="329"/>
      <x:c r="AD7" s="329"/>
      <x:c r="AE7" s="329"/>
    </x:row>
    <x:row r="8">
      <x:c r="A8" s="329" t="n">
        <x:v>7</x:v>
      </x:c>
      <x:c r="B8" s="565" t="str">
        <x:v>EVT-0007</x:v>
      </x:c>
      <x:c r="C8" s="532" t="n">
        <x:v>46141</x:v>
      </x:c>
      <x:c r="D8" s="483" t="str">
        <x:v>Wednesday</x:v>
      </x:c>
      <x:c r="E8" s="329" t="n">
        <x:v>2</x:v>
      </x:c>
      <x:c r="F8" s="329" t="str">
        <x:v>MY_MONTH 1</x:v>
      </x:c>
      <x:c r="G8" s="329" t="str">
        <x:v>CL-004</x:v>
      </x:c>
      <x:c r="H8" s="329" t="str">
        <x:v>Davis Polk &amp; Wardwell</x:v>
      </x:c>
      <x:c r="I8" s="329" t="str">
        <x:v>Davis Polk &amp; Wardwell</x:v>
      </x:c>
      <x:c r="J8" s="329"/>
      <x:c r="K8" s="329" t="str">
        <x:v>Washington</x:v>
      </x:c>
      <x:c r="L8" s="329" t="str">
        <x:v>Washington, DC</x:v>
      </x:c>
      <x:c r="M8" s="566"/>
      <x:c r="N8" s="329" t="str">
        <x:v>DC</x:v>
      </x:c>
      <x:c r="O8" s="483" t="str">
        <x:v>Washington|DC</x:v>
      </x:c>
      <x:c r="P8" s="329" t="str">
        <x:v>Completed</x:v>
      </x:c>
      <x:c r="Q8" s="329" t="str">
        <x:v>Physical Service Visit</x:v>
      </x:c>
      <x:c r="R8" s="329" t="n">
        <x:v>1</x:v>
      </x:c>
      <x:c r="S8" s="329" t="str">
        <x:v>5876638</x:v>
      </x:c>
      <x:c r="T8" s="566" t="n">
        <x:v>50</x:v>
      </x:c>
      <x:c r="U8" s="483" t="str">
        <x:v>Eligible</x:v>
      </x:c>
      <x:c r="V8" s="329" t="str">
        <x:v>DC flat/equivalent event.</x:v>
      </x:c>
      <x:c r="W8" s="329" t="str">
        <x:v>Timeline + Service Calendar + Canonical Ledger</x:v>
      </x:c>
      <x:c r="X8" s="329" t="str">
        <x:v>Included</x:v>
      </x:c>
      <x:c r="Y8" s="329"/>
      <x:c r="Z8" s="483" t="str">
        <x:v>Yes</x:v>
      </x:c>
      <x:c r="AA8" s="329"/>
      <x:c r="AB8" s="329"/>
      <x:c r="AC8" s="329"/>
      <x:c r="AD8" s="329"/>
      <x:c r="AE8" s="329"/>
    </x:row>
    <x:row r="9">
      <x:c r="A9" s="329" t="n">
        <x:v>8</x:v>
      </x:c>
      <x:c r="B9" s="565" t="str">
        <x:v>EVT-0008</x:v>
      </x:c>
      <x:c r="C9" s="532" t="n">
        <x:v>46141</x:v>
      </x:c>
      <x:c r="D9" s="483" t="str">
        <x:v>Wednesday</x:v>
      </x:c>
      <x:c r="E9" s="329" t="n">
        <x:v>2</x:v>
      </x:c>
      <x:c r="F9" s="329" t="str">
        <x:v>MY_MONTH 1</x:v>
      </x:c>
      <x:c r="G9" s="329" t="str">
        <x:v>CL-005</x:v>
      </x:c>
      <x:c r="H9" s="329" t="str">
        <x:v>Hebrew Home of Greater Washington</x:v>
      </x:c>
      <x:c r="I9" s="329" t="str">
        <x:v>Hebrew Home of Greater Washington</x:v>
      </x:c>
      <x:c r="J9" s="329"/>
      <x:c r="K9" s="329" t="str">
        <x:v>North Bethesda</x:v>
      </x:c>
      <x:c r="L9" s="329" t="str">
        <x:v>Maryland</x:v>
      </x:c>
      <x:c r="M9" s="566"/>
      <x:c r="N9" s="329" t="str">
        <x:v>MD</x:v>
      </x:c>
      <x:c r="O9" s="483" t="str">
        <x:v>North Bethesda|MD</x:v>
      </x:c>
      <x:c r="P9" s="329" t="str">
        <x:v>Completed</x:v>
      </x:c>
      <x:c r="Q9" s="329" t="str">
        <x:v>Physical Service Visit</x:v>
      </x:c>
      <x:c r="R9" s="329" t="n">
        <x:v>1</x:v>
      </x:c>
      <x:c r="S9" s="329" t="str">
        <x:v>5878985</x:v>
      </x:c>
      <x:c r="T9" s="566" t="n">
        <x:v>45</x:v>
      </x:c>
      <x:c r="U9" s="483" t="str">
        <x:v>Eligible</x:v>
      </x:c>
      <x:c r="V9" s="329" t="str">
        <x:v>Maryland revenue included.</x:v>
      </x:c>
      <x:c r="W9" s="329" t="str">
        <x:v>Timeline + Service Calendar + Canonical Ledger</x:v>
      </x:c>
      <x:c r="X9" s="329" t="str">
        <x:v>Included</x:v>
      </x:c>
      <x:c r="Y9" s="329"/>
      <x:c r="Z9" s="483" t="str">
        <x:v>Yes</x:v>
      </x:c>
      <x:c r="AA9" s="329"/>
      <x:c r="AB9" s="329"/>
      <x:c r="AC9" s="329"/>
      <x:c r="AD9" s="329"/>
      <x:c r="AE9" s="329"/>
    </x:row>
    <x:row r="10">
      <x:c r="A10" s="329" t="n">
        <x:v>9</x:v>
      </x:c>
      <x:c r="B10" s="565" t="str">
        <x:v>EVT-0009</x:v>
      </x:c>
      <x:c r="C10" s="532" t="n">
        <x:v>46142</x:v>
      </x:c>
      <x:c r="D10" s="483" t="str">
        <x:v>Thursday</x:v>
      </x:c>
      <x:c r="E10" s="329" t="n">
        <x:v>2</x:v>
      </x:c>
      <x:c r="F10" s="329" t="str">
        <x:v>MY_MONTH 1</x:v>
      </x:c>
      <x:c r="G10" s="329" t="str">
        <x:v>CL-006</x:v>
      </x:c>
      <x:c r="H10" s="329" t="str">
        <x:v>7-Eleven</x:v>
      </x:c>
      <x:c r="I10" s="329" t="str">
        <x:v>7-Eleven</x:v>
      </x:c>
      <x:c r="J10" s="329"/>
      <x:c r="K10" s="329" t="str">
        <x:v>Baltimore</x:v>
      </x:c>
      <x:c r="L10" s="329" t="str">
        <x:v>Maryland</x:v>
      </x:c>
      <x:c r="M10" s="566"/>
      <x:c r="N10" s="329" t="str">
        <x:v>MD</x:v>
      </x:c>
      <x:c r="O10" s="483" t="str">
        <x:v>Baltimore|MD</x:v>
      </x:c>
      <x:c r="P10" s="329" t="str">
        <x:v>Completed</x:v>
      </x:c>
      <x:c r="Q10" s="329" t="str">
        <x:v>Physical Service Visit</x:v>
      </x:c>
      <x:c r="R10" s="329" t="n">
        <x:v>1</x:v>
      </x:c>
      <x:c r="S10" s="329" t="str">
        <x:v>UNRESOLVED-E009</x:v>
      </x:c>
      <x:c r="T10" s="566" t="n">
        <x:v>135</x:v>
      </x:c>
      <x:c r="U10" s="483" t="str">
        <x:v>Eligible</x:v>
      </x:c>
      <x:c r="V10" s="329" t="str">
        <x:v>User-authoritative financial correction: 3 hours × $45 = $135.00.</x:v>
      </x:c>
      <x:c r="W10" s="329" t="str">
        <x:v>User-authoritative correction 2026-07-26</x:v>
      </x:c>
      <x:c r="X10" s="329" t="str">
        <x:v>Included</x:v>
      </x:c>
      <x:c r="Y10" s="329"/>
      <x:c r="Z10" s="483" t="str">
        <x:v>Yes</x:v>
      </x:c>
      <x:c r="AA10" s="329"/>
      <x:c r="AB10" s="329"/>
      <x:c r="AC10" s="329"/>
      <x:c r="AD10" s="329"/>
      <x:c r="AE10" s="329"/>
    </x:row>
    <x:row r="11">
      <x:c r="A11" s="329" t="n">
        <x:v>10</x:v>
      </x:c>
      <x:c r="B11" s="565" t="str">
        <x:v>EVT-0010</x:v>
      </x:c>
      <x:c r="C11" s="532" t="n">
        <x:v>46147</x:v>
      </x:c>
      <x:c r="D11" s="483" t="str">
        <x:v>Tuesday</x:v>
      </x:c>
      <x:c r="E11" s="329" t="n">
        <x:v>3</x:v>
      </x:c>
      <x:c r="F11" s="329" t="str">
        <x:v>MY_MONTH 1</x:v>
      </x:c>
      <x:c r="G11" s="329" t="str">
        <x:v>CL-007</x:v>
      </x:c>
      <x:c r="H11" s="329" t="str">
        <x:v>Giant Food Stores</x:v>
      </x:c>
      <x:c r="I11" s="329" t="str">
        <x:v>Giant Food Stores</x:v>
      </x:c>
      <x:c r="J11" s="329"/>
      <x:c r="K11" s="329" t="str">
        <x:v>Hanover</x:v>
      </x:c>
      <x:c r="L11" s="329" t="str">
        <x:v>Pennsylvania</x:v>
      </x:c>
      <x:c r="M11" s="566"/>
      <x:c r="N11" s="329" t="str">
        <x:v>PA</x:v>
      </x:c>
      <x:c r="O11" s="483" t="str">
        <x:v>Hanover|PA</x:v>
      </x:c>
      <x:c r="P11" s="329" t="str">
        <x:v>Completed</x:v>
      </x:c>
      <x:c r="Q11" s="329" t="str">
        <x:v>Physical Service Visit</x:v>
      </x:c>
      <x:c r="R11" s="329" t="n">
        <x:v>1</x:v>
      </x:c>
      <x:c r="S11" s="329" t="str">
        <x:v>5882097</x:v>
      </x:c>
      <x:c r="T11" s="566" t="n">
        <x:v>212.5</x:v>
      </x:c>
      <x:c r="U11" s="483" t="str">
        <x:v>Eligible</x:v>
      </x:c>
      <x:c r="V11" s="329" t="str">
        <x:v>Corrected: Hanover PA WO 5882097.</x:v>
      </x:c>
      <x:c r="W11" s="329" t="str">
        <x:v>Timeline + Service Calendar + Canonical Ledger</x:v>
      </x:c>
      <x:c r="X11" s="329" t="str">
        <x:v>Included</x:v>
      </x:c>
      <x:c r="Y11" s="329"/>
      <x:c r="Z11" s="483" t="str">
        <x:v>Yes</x:v>
      </x:c>
      <x:c r="AA11" s="329"/>
      <x:c r="AB11" s="329"/>
      <x:c r="AC11" s="329"/>
      <x:c r="AD11" s="329"/>
      <x:c r="AE11" s="329"/>
    </x:row>
    <x:row r="12">
      <x:c r="A12" s="329" t="n">
        <x:v>11</x:v>
      </x:c>
      <x:c r="B12" s="565" t="str">
        <x:v>EVT-0011</x:v>
      </x:c>
      <x:c r="C12" s="532" t="n">
        <x:v>46153</x:v>
      </x:c>
      <x:c r="D12" s="483" t="str">
        <x:v>Monday</x:v>
      </x:c>
      <x:c r="E12" s="329" t="n">
        <x:v>4</x:v>
      </x:c>
      <x:c r="F12" s="329" t="str">
        <x:v>MY_MONTH 1</x:v>
      </x:c>
      <x:c r="G12" s="329" t="str">
        <x:v>CL-008</x:v>
      </x:c>
      <x:c r="H12" s="329" t="str">
        <x:v>Food Lion</x:v>
      </x:c>
      <x:c r="I12" s="329" t="str">
        <x:v>Food Lion</x:v>
      </x:c>
      <x:c r="J12" s="329"/>
      <x:c r="K12" s="329" t="str">
        <x:v>Leesburg</x:v>
      </x:c>
      <x:c r="L12" s="329" t="str">
        <x:v>Virginia</x:v>
      </x:c>
      <x:c r="M12" s="566"/>
      <x:c r="N12" s="329" t="str">
        <x:v>VA</x:v>
      </x:c>
      <x:c r="O12" s="483" t="str">
        <x:v>Leesburg|VA</x:v>
      </x:c>
      <x:c r="P12" s="329" t="str">
        <x:v>Completed</x:v>
      </x:c>
      <x:c r="Q12" s="329" t="str">
        <x:v>Physical Service Visit</x:v>
      </x:c>
      <x:c r="R12" s="329" t="n">
        <x:v>1</x:v>
      </x:c>
      <x:c r="S12" s="329" t="str">
        <x:v>5884987</x:v>
      </x:c>
      <x:c r="T12" s="566" t="n">
        <x:v>157.5</x:v>
      </x:c>
      <x:c r="U12" s="483" t="str">
        <x:v>Eligible</x:v>
      </x:c>
      <x:c r="V12" s="329" t="str">
        <x:v>VA model uses payment breakdown amount.</x:v>
      </x:c>
      <x:c r="W12" s="329" t="str">
        <x:v>Timeline + Service Calendar + Canonical Ledger</x:v>
      </x:c>
      <x:c r="X12" s="329" t="str">
        <x:v>Included</x:v>
      </x:c>
      <x:c r="Y12" s="329"/>
      <x:c r="Z12" s="483" t="str">
        <x:v>Yes</x:v>
      </x:c>
      <x:c r="AA12" s="329"/>
      <x:c r="AB12" s="329"/>
      <x:c r="AC12" s="329"/>
      <x:c r="AD12" s="329"/>
      <x:c r="AE12" s="329"/>
    </x:row>
    <x:row r="13">
      <x:c r="A13" s="329" t="n">
        <x:v>12</x:v>
      </x:c>
      <x:c r="B13" s="565" t="str">
        <x:v>EVT-0012</x:v>
      </x:c>
      <x:c r="C13" s="532" t="n">
        <x:v>46154</x:v>
      </x:c>
      <x:c r="D13" s="483" t="str">
        <x:v>Tuesday</x:v>
      </x:c>
      <x:c r="E13" s="329" t="n">
        <x:v>4</x:v>
      </x:c>
      <x:c r="F13" s="329" t="str">
        <x:v>MY_MONTH 1</x:v>
      </x:c>
      <x:c r="G13" s="329" t="str">
        <x:v>CL-009</x:v>
      </x:c>
      <x:c r="H13" s="329" t="str">
        <x:v>Weis Markets</x:v>
      </x:c>
      <x:c r="I13" s="329" t="str">
        <x:v>Weis Markets</x:v>
      </x:c>
      <x:c r="J13" s="329"/>
      <x:c r="K13" s="329" t="str">
        <x:v>Chambersburg</x:v>
      </x:c>
      <x:c r="L13" s="329" t="str">
        <x:v>Pennsylvania</x:v>
      </x:c>
      <x:c r="M13" s="566"/>
      <x:c r="N13" s="329" t="str">
        <x:v>PA</x:v>
      </x:c>
      <x:c r="O13" s="483" t="str">
        <x:v>Chambersburg|PA</x:v>
      </x:c>
      <x:c r="P13" s="329" t="str">
        <x:v>Completed</x:v>
      </x:c>
      <x:c r="Q13" s="329" t="str">
        <x:v>Physical Service Visit</x:v>
      </x:c>
      <x:c r="R13" s="329" t="n">
        <x:v>1</x:v>
      </x:c>
      <x:c r="S13" s="329" t="str">
        <x:v>5884369</x:v>
      </x:c>
      <x:c r="T13" s="566" t="n">
        <x:v>85</x:v>
      </x:c>
      <x:c r="U13" s="483" t="str">
        <x:v>Eligible</x:v>
      </x:c>
      <x:c r="V13" s="329" t="str">
        <x:v>User approved 2-hour $42.50/hr equivalent.</x:v>
      </x:c>
      <x:c r="W13" s="329" t="str">
        <x:v>Timeline + Service Calendar + Canonical Ledger</x:v>
      </x:c>
      <x:c r="X13" s="329" t="str">
        <x:v>Included</x:v>
      </x:c>
      <x:c r="Y13" s="329"/>
      <x:c r="Z13" s="483" t="str">
        <x:v>Yes</x:v>
      </x:c>
      <x:c r="AA13" s="329"/>
      <x:c r="AB13" s="329"/>
      <x:c r="AC13" s="329"/>
      <x:c r="AD13" s="329"/>
      <x:c r="AE13" s="329"/>
    </x:row>
    <x:row r="14">
      <x:c r="A14" s="329" t="n">
        <x:v>13</x:v>
      </x:c>
      <x:c r="B14" s="565" t="str">
        <x:v>EVT-0013</x:v>
      </x:c>
      <x:c r="C14" s="532" t="n">
        <x:v>46155</x:v>
      </x:c>
      <x:c r="D14" s="483" t="str">
        <x:v>Wednesday</x:v>
      </x:c>
      <x:c r="E14" s="329" t="n">
        <x:v>4</x:v>
      </x:c>
      <x:c r="F14" s="329" t="str">
        <x:v>MY_MONTH 1</x:v>
      </x:c>
      <x:c r="G14" s="329" t="str">
        <x:v>CL-010</x:v>
      </x:c>
      <x:c r="H14" s="329" t="str">
        <x:v>Office of MD Senator Chris Van Hollen</x:v>
      </x:c>
      <x:c r="I14" s="329" t="str">
        <x:v>Office of MD Senator Chris Van Hollen</x:v>
      </x:c>
      <x:c r="J14" s="329"/>
      <x:c r="K14" s="329" t="str">
        <x:v>Rockville</x:v>
      </x:c>
      <x:c r="L14" s="329" t="str">
        <x:v>Maryland</x:v>
      </x:c>
      <x:c r="M14" s="566"/>
      <x:c r="N14" s="329" t="str">
        <x:v>MD</x:v>
      </x:c>
      <x:c r="O14" s="483" t="str">
        <x:v>Rockville|MD</x:v>
      </x:c>
      <x:c r="P14" s="329" t="str">
        <x:v>Completed</x:v>
      </x:c>
      <x:c r="Q14" s="329" t="str">
        <x:v>Physical Service Visit</x:v>
      </x:c>
      <x:c r="R14" s="329" t="n">
        <x:v>1</x:v>
      </x:c>
      <x:c r="S14" s="329" t="str">
        <x:v>5885429</x:v>
      </x:c>
      <x:c r="T14" s="566" t="n">
        <x:v>50</x:v>
      </x:c>
      <x:c r="U14" s="483" t="str">
        <x:v>Eligible</x:v>
      </x:c>
      <x:c r="V14" s="329" t="str">
        <x:v>Maryland revenue included; Senate model estimated at $40/hr.</x:v>
      </x:c>
      <x:c r="W14" s="329" t="str">
        <x:v>Timeline + Service Calendar + Canonical Ledger</x:v>
      </x:c>
      <x:c r="X14" s="329" t="str">
        <x:v>Included</x:v>
      </x:c>
      <x:c r="Y14" s="329"/>
      <x:c r="Z14" s="483" t="str">
        <x:v>Yes</x:v>
      </x:c>
      <x:c r="AA14" s="329"/>
      <x:c r="AB14" s="329"/>
      <x:c r="AC14" s="329"/>
      <x:c r="AD14" s="329"/>
      <x:c r="AE14" s="329"/>
    </x:row>
    <x:row r="15">
      <x:c r="A15" s="329" t="n">
        <x:v>14</x:v>
      </x:c>
      <x:c r="B15" s="565" t="str">
        <x:v>EVT-0014</x:v>
      </x:c>
      <x:c r="C15" s="532" t="n">
        <x:v>46155</x:v>
      </x:c>
      <x:c r="D15" s="483" t="str">
        <x:v>Wednesday</x:v>
      </x:c>
      <x:c r="E15" s="329" t="n">
        <x:v>4</x:v>
      </x:c>
      <x:c r="F15" s="329" t="str">
        <x:v>MY_MONTH 1</x:v>
      </x:c>
      <x:c r="G15" s="329" t="str">
        <x:v>CL-011</x:v>
      </x:c>
      <x:c r="H15" s="329" t="str">
        <x:v>Residential – Annapolis Neck, MD</x:v>
      </x:c>
      <x:c r="I15" s="329" t="str">
        <x:v>Residential</x:v>
      </x:c>
      <x:c r="J15" s="329"/>
      <x:c r="K15" s="329" t="str">
        <x:v>Annapolis Neck</x:v>
      </x:c>
      <x:c r="L15" s="329" t="str">
        <x:v>Maryland</x:v>
      </x:c>
      <x:c r="M15" s="566"/>
      <x:c r="N15" s="329" t="str">
        <x:v>MD</x:v>
      </x:c>
      <x:c r="O15" s="483" t="str">
        <x:v>Annapolis Neck|MD</x:v>
      </x:c>
      <x:c r="P15" s="329" t="str">
        <x:v>Completed</x:v>
      </x:c>
      <x:c r="Q15" s="329" t="str">
        <x:v>Physical Service Visit</x:v>
      </x:c>
      <x:c r="R15" s="329" t="n">
        <x:v>1</x:v>
      </x:c>
      <x:c r="S15" s="329" t="str">
        <x:v>UNRESOLVED-E014</x:v>
      </x:c>
      <x:c r="T15" s="566" t="n">
        <x:v>25</x:v>
      </x:c>
      <x:c r="U15" s="483" t="str">
        <x:v>Eligible</x:v>
      </x:c>
      <x:c r="V15" s="329" t="str">
        <x:v>User-authoritative no-show compensation: $25.00.</x:v>
      </x:c>
      <x:c r="W15" s="329" t="str">
        <x:v>User-authoritative correction 2026-07-26</x:v>
      </x:c>
      <x:c r="X15" s="329" t="str">
        <x:v>Included</x:v>
      </x:c>
      <x:c r="Y15" s="329"/>
      <x:c r="Z15" s="483" t="str">
        <x:v>Yes</x:v>
      </x:c>
      <x:c r="AA15" s="329"/>
      <x:c r="AB15" s="329"/>
      <x:c r="AC15" s="329"/>
      <x:c r="AD15" s="329"/>
      <x:c r="AE15" s="329"/>
    </x:row>
    <x:row r="16">
      <x:c r="A16" s="329" t="n">
        <x:v>15</x:v>
      </x:c>
      <x:c r="B16" s="565" t="str">
        <x:v>EVT-0015</x:v>
      </x:c>
      <x:c r="C16" s="532" t="n">
        <x:v>46156</x:v>
      </x:c>
      <x:c r="D16" s="483" t="str">
        <x:v>Thursday</x:v>
      </x:c>
      <x:c r="E16" s="329" t="n">
        <x:v>4</x:v>
      </x:c>
      <x:c r="F16" s="329" t="str">
        <x:v>MY_MONTH 1</x:v>
      </x:c>
      <x:c r="G16" s="329" t="str">
        <x:v>CL-012</x:v>
      </x:c>
      <x:c r="H16" s="329" t="str">
        <x:v>Verizon</x:v>
      </x:c>
      <x:c r="I16" s="329" t="str">
        <x:v>Verizon</x:v>
      </x:c>
      <x:c r="J16" s="329"/>
      <x:c r="K16" s="329" t="str">
        <x:v>College Park</x:v>
      </x:c>
      <x:c r="L16" s="329" t="str">
        <x:v>Maryland</x:v>
      </x:c>
      <x:c r="M16" s="566"/>
      <x:c r="N16" s="329" t="str">
        <x:v>MD</x:v>
      </x:c>
      <x:c r="O16" s="483" t="str">
        <x:v>College Park|MD</x:v>
      </x:c>
      <x:c r="P16" s="329" t="str">
        <x:v>Completed</x:v>
      </x:c>
      <x:c r="Q16" s="329" t="str">
        <x:v>Physical Service Visit</x:v>
      </x:c>
      <x:c r="R16" s="329" t="n">
        <x:v>1</x:v>
      </x:c>
      <x:c r="S16" s="329" t="str">
        <x:v>5886658</x:v>
      </x:c>
      <x:c r="T16" s="566" t="n">
        <x:v>75</x:v>
      </x:c>
      <x:c r="U16" s="483" t="str">
        <x:v>Eligible</x:v>
      </x:c>
      <x:c r="V16" s="329" t="str">
        <x:v>Maryland revenue included; hours inferred.</x:v>
      </x:c>
      <x:c r="W16" s="329" t="str">
        <x:v>Timeline + Service Calendar + Canonical Ledger</x:v>
      </x:c>
      <x:c r="X16" s="329" t="str">
        <x:v>Included</x:v>
      </x:c>
      <x:c r="Y16" s="329"/>
      <x:c r="Z16" s="483" t="str">
        <x:v>Yes</x:v>
      </x:c>
      <x:c r="AA16" s="329"/>
      <x:c r="AB16" s="329"/>
      <x:c r="AC16" s="329"/>
      <x:c r="AD16" s="329"/>
      <x:c r="AE16" s="329"/>
    </x:row>
    <x:row r="17">
      <x:c r="A17" s="329" t="n">
        <x:v>16</x:v>
      </x:c>
      <x:c r="B17" s="565" t="str">
        <x:v>EVT-0016</x:v>
      </x:c>
      <x:c r="C17" s="532" t="n">
        <x:v>46157</x:v>
      </x:c>
      <x:c r="D17" s="483" t="str">
        <x:v>Friday</x:v>
      </x:c>
      <x:c r="E17" s="329" t="n">
        <x:v>4</x:v>
      </x:c>
      <x:c r="F17" s="329" t="str">
        <x:v>MY_MONTH 1</x:v>
      </x:c>
      <x:c r="G17" s="329" t="str">
        <x:v>CL-013</x:v>
      </x:c>
      <x:c r="H17" s="329" t="str">
        <x:v>Atrium Village</x:v>
      </x:c>
      <x:c r="I17" s="329" t="str">
        <x:v>Atrium Village</x:v>
      </x:c>
      <x:c r="J17" s="329"/>
      <x:c r="K17" s="329" t="str">
        <x:v>Owings Mills</x:v>
      </x:c>
      <x:c r="L17" s="329" t="str">
        <x:v>Maryland</x:v>
      </x:c>
      <x:c r="M17" s="566"/>
      <x:c r="N17" s="329" t="str">
        <x:v>MD</x:v>
      </x:c>
      <x:c r="O17" s="483" t="str">
        <x:v>Owings Mills|MD</x:v>
      </x:c>
      <x:c r="P17" s="329" t="str">
        <x:v>Completed</x:v>
      </x:c>
      <x:c r="Q17" s="329" t="str">
        <x:v>Physical Service Visit</x:v>
      </x:c>
      <x:c r="R17" s="329" t="n">
        <x:v>1</x:v>
      </x:c>
      <x:c r="S17" s="329" t="str">
        <x:v>5887090</x:v>
      </x:c>
      <x:c r="T17" s="566" t="n">
        <x:v>45</x:v>
      </x:c>
      <x:c r="U17" s="483" t="str">
        <x:v>Eligible</x:v>
      </x:c>
      <x:c r="V17" s="329" t="str">
        <x:v>Maryland revenue included.</x:v>
      </x:c>
      <x:c r="W17" s="329" t="str">
        <x:v>Timeline + Service Calendar + Canonical Ledger</x:v>
      </x:c>
      <x:c r="X17" s="329" t="str">
        <x:v>Included</x:v>
      </x:c>
      <x:c r="Y17" s="329"/>
      <x:c r="Z17" s="483" t="str">
        <x:v>Yes</x:v>
      </x:c>
      <x:c r="AA17" s="329"/>
      <x:c r="AB17" s="329"/>
      <x:c r="AC17" s="329"/>
      <x:c r="AD17" s="329"/>
      <x:c r="AE17" s="329"/>
    </x:row>
    <x:row r="18">
      <x:c r="A18" s="329" t="n">
        <x:v>17</x:v>
      </x:c>
      <x:c r="B18" s="565" t="str">
        <x:v>EVT-0017</x:v>
      </x:c>
      <x:c r="C18" s="532" t="n">
        <x:v>46161</x:v>
      </x:c>
      <x:c r="D18" s="483" t="str">
        <x:v>Tuesday</x:v>
      </x:c>
      <x:c r="E18" s="329" t="n">
        <x:v>5</x:v>
      </x:c>
      <x:c r="F18" s="329" t="str">
        <x:v>MY_MONTH 1</x:v>
      </x:c>
      <x:c r="G18" s="329" t="str">
        <x:v>CL-014</x:v>
      </x:c>
      <x:c r="H18" s="329" t="str">
        <x:v>Maryland Baptist Age Home</x:v>
      </x:c>
      <x:c r="I18" s="329" t="str">
        <x:v>Maryland Baptist Age Home</x:v>
      </x:c>
      <x:c r="J18" s="329"/>
      <x:c r="K18" s="329" t="str">
        <x:v>Baltimore</x:v>
      </x:c>
      <x:c r="L18" s="329" t="str">
        <x:v>Maryland</x:v>
      </x:c>
      <x:c r="M18" s="566"/>
      <x:c r="N18" s="329" t="str">
        <x:v>MD</x:v>
      </x:c>
      <x:c r="O18" s="483" t="str">
        <x:v>Baltimore|MD</x:v>
      </x:c>
      <x:c r="P18" s="329" t="str">
        <x:v>Completed</x:v>
      </x:c>
      <x:c r="Q18" s="329" t="str">
        <x:v>Physical Service Visit</x:v>
      </x:c>
      <x:c r="R18" s="329" t="n">
        <x:v>1</x:v>
      </x:c>
      <x:c r="S18" s="329" t="str">
        <x:v>5887094</x:v>
      </x:c>
      <x:c r="T18" s="566" t="n">
        <x:v>50</x:v>
      </x:c>
      <x:c r="U18" s="483" t="str">
        <x:v>Eligible</x:v>
      </x:c>
      <x:c r="V18" s="329" t="str">
        <x:v>Maryland revenue included.</x:v>
      </x:c>
      <x:c r="W18" s="329" t="str">
        <x:v>Timeline + Service Calendar + Canonical Ledger</x:v>
      </x:c>
      <x:c r="X18" s="329" t="str">
        <x:v>Included</x:v>
      </x:c>
      <x:c r="Y18" s="329"/>
      <x:c r="Z18" s="483" t="str">
        <x:v>Yes</x:v>
      </x:c>
      <x:c r="AA18" s="329"/>
      <x:c r="AB18" s="329"/>
      <x:c r="AC18" s="329"/>
      <x:c r="AD18" s="329"/>
      <x:c r="AE18" s="329"/>
    </x:row>
    <x:row r="19">
      <x:c r="A19" s="329" t="n">
        <x:v>18</x:v>
      </x:c>
      <x:c r="B19" s="565" t="str">
        <x:v>EVT-0018</x:v>
      </x:c>
      <x:c r="C19" s="532" t="n">
        <x:v>46162</x:v>
      </x:c>
      <x:c r="D19" s="483" t="str">
        <x:v>Wednesday</x:v>
      </x:c>
      <x:c r="E19" s="329" t="n">
        <x:v>5</x:v>
      </x:c>
      <x:c r="F19" s="329" t="str">
        <x:v>MY_MONTH 1</x:v>
      </x:c>
      <x:c r="G19" s="329" t="str">
        <x:v>CL-015</x:v>
      </x:c>
      <x:c r="H19" s="329" t="str">
        <x:v>Under Armour</x:v>
      </x:c>
      <x:c r="I19" s="329" t="str">
        <x:v>Under Armour Day 1</x:v>
      </x:c>
      <x:c r="J19" s="329"/>
      <x:c r="K19" s="329" t="str">
        <x:v>Hanover</x:v>
      </x:c>
      <x:c r="L19" s="329" t="str">
        <x:v>Maryland</x:v>
      </x:c>
      <x:c r="M19" s="566"/>
      <x:c r="N19" s="329" t="str">
        <x:v>MD</x:v>
      </x:c>
      <x:c r="O19" s="483" t="str">
        <x:v>Hanover|MD</x:v>
      </x:c>
      <x:c r="P19" s="329" t="str">
        <x:v>Completed</x:v>
      </x:c>
      <x:c r="Q19" s="329" t="str">
        <x:v>Physical Service Visit</x:v>
      </x:c>
      <x:c r="R19" s="329" t="n">
        <x:v>1</x:v>
      </x:c>
      <x:c r="S19" s="329" t="str">
        <x:v>5889356</x:v>
      </x:c>
      <x:c r="T19" s="566" t="n">
        <x:v>106.67</x:v>
      </x:c>
      <x:c r="U19" s="483" t="str">
        <x:v>Eligible</x:v>
      </x:c>
      <x:c r="V19" s="329" t="str">
        <x:v>Under Armour Day 1 split; total UA rounded to $260 with Day 2.</x:v>
      </x:c>
      <x:c r="W19" s="329" t="str">
        <x:v>Timeline + Service Calendar + Canonical Ledger</x:v>
      </x:c>
      <x:c r="X19" s="329" t="str">
        <x:v>Included</x:v>
      </x:c>
      <x:c r="Y19" s="329"/>
      <x:c r="Z19" s="483" t="str">
        <x:v>Yes</x:v>
      </x:c>
      <x:c r="AA19" s="329"/>
      <x:c r="AB19" s="329"/>
      <x:c r="AC19" s="329"/>
      <x:c r="AD19" s="329"/>
      <x:c r="AE19" s="329"/>
    </x:row>
    <x:row r="20">
      <x:c r="A20" s="329" t="n">
        <x:v>19</x:v>
      </x:c>
      <x:c r="B20" s="565" t="str">
        <x:v>EVT-0019</x:v>
      </x:c>
      <x:c r="C20" s="532" t="n">
        <x:v>46163</x:v>
      </x:c>
      <x:c r="D20" s="483" t="str">
        <x:v>Thursday</x:v>
      </x:c>
      <x:c r="E20" s="329" t="n">
        <x:v>5</x:v>
      </x:c>
      <x:c r="F20" s="329" t="str">
        <x:v>MY_MONTH 1</x:v>
      </x:c>
      <x:c r="G20" s="329" t="str">
        <x:v>CL-015</x:v>
      </x:c>
      <x:c r="H20" s="329" t="str">
        <x:v>Under Armour</x:v>
      </x:c>
      <x:c r="I20" s="329" t="str">
        <x:v>Under Armour Day 2</x:v>
      </x:c>
      <x:c r="J20" s="329"/>
      <x:c r="K20" s="329" t="str">
        <x:v>Hanover</x:v>
      </x:c>
      <x:c r="L20" s="329" t="str">
        <x:v>Maryland</x:v>
      </x:c>
      <x:c r="M20" s="566"/>
      <x:c r="N20" s="329" t="str">
        <x:v>MD</x:v>
      </x:c>
      <x:c r="O20" s="483" t="str">
        <x:v>Hanover|MD</x:v>
      </x:c>
      <x:c r="P20" s="329" t="str">
        <x:v>Completed</x:v>
      </x:c>
      <x:c r="Q20" s="329" t="str">
        <x:v>Physical Service Visit</x:v>
      </x:c>
      <x:c r="R20" s="329" t="n">
        <x:v>1</x:v>
      </x:c>
      <x:c r="S20" s="329" t="str">
        <x:v>5889356-D2</x:v>
      </x:c>
      <x:c r="T20" s="566" t="n">
        <x:v>153.33</x:v>
      </x:c>
      <x:c r="U20" s="483" t="str">
        <x:v>Eligible</x:v>
      </x:c>
      <x:c r="V20" s="329" t="str">
        <x:v>Under Armour Day 2 split; total UA rounded to $260 with Day 1.</x:v>
      </x:c>
      <x:c r="W20" s="329" t="str">
        <x:v>Timeline + Service Calendar + Canonical Ledger</x:v>
      </x:c>
      <x:c r="X20" s="329" t="str">
        <x:v>Included</x:v>
      </x:c>
      <x:c r="Y20" s="329"/>
      <x:c r="Z20" s="483" t="str">
        <x:v>Yes</x:v>
      </x:c>
      <x:c r="AA20" s="329"/>
      <x:c r="AB20" s="329"/>
      <x:c r="AC20" s="329"/>
      <x:c r="AD20" s="329"/>
      <x:c r="AE20" s="329"/>
    </x:row>
    <x:row r="21">
      <x:c r="A21" s="329" t="n">
        <x:v>20</x:v>
      </x:c>
      <x:c r="B21" s="565" t="str">
        <x:v>EVT-0020</x:v>
      </x:c>
      <x:c r="C21" s="532" t="n">
        <x:v>46163</x:v>
      </x:c>
      <x:c r="D21" s="483" t="str">
        <x:v>Thursday</x:v>
      </x:c>
      <x:c r="E21" s="329" t="n">
        <x:v>5</x:v>
      </x:c>
      <x:c r="F21" s="329" t="str">
        <x:v>MY_MONTH 1</x:v>
      </x:c>
      <x:c r="G21" s="329" t="str">
        <x:v>CL-007</x:v>
      </x:c>
      <x:c r="H21" s="329" t="str">
        <x:v>Giant Food Stores</x:v>
      </x:c>
      <x:c r="I21" s="329" t="str">
        <x:v>Giant / Martin's</x:v>
      </x:c>
      <x:c r="J21" s="329"/>
      <x:c r="K21" s="329" t="str">
        <x:v>Red Lion</x:v>
      </x:c>
      <x:c r="L21" s="329" t="str">
        <x:v>Pennsylvania</x:v>
      </x:c>
      <x:c r="M21" s="566"/>
      <x:c r="N21" s="329" t="str">
        <x:v>PA</x:v>
      </x:c>
      <x:c r="O21" s="483" t="str">
        <x:v>Red Lion|PA</x:v>
      </x:c>
      <x:c r="P21" s="329" t="str">
        <x:v>Completed</x:v>
      </x:c>
      <x:c r="Q21" s="329" t="str">
        <x:v>Physical Service Visit</x:v>
      </x:c>
      <x:c r="R21" s="329" t="n">
        <x:v>1</x:v>
      </x:c>
      <x:c r="S21" s="329" t="str">
        <x:v>5890220</x:v>
      </x:c>
      <x:c r="T21" s="566" t="n">
        <x:v>112.5</x:v>
      </x:c>
      <x:c r="U21" s="483" t="str">
        <x:v>Eligible</x:v>
      </x:c>
      <x:c r="V21" s="329" t="str">
        <x:v>Corrected: Red Lion PA WO 5890220.</x:v>
      </x:c>
      <x:c r="W21" s="329" t="str">
        <x:v>Timeline + Service Calendar + Canonical Ledger</x:v>
      </x:c>
      <x:c r="X21" s="329" t="str">
        <x:v>Included</x:v>
      </x:c>
      <x:c r="Y21" s="329"/>
      <x:c r="Z21" s="483" t="str">
        <x:v>Yes</x:v>
      </x:c>
      <x:c r="AA21" s="329"/>
      <x:c r="AB21" s="329"/>
      <x:c r="AC21" s="329"/>
      <x:c r="AD21" s="329"/>
      <x:c r="AE21" s="329"/>
    </x:row>
    <x:row r="22">
      <x:c r="A22" s="329" t="n">
        <x:v>21</x:v>
      </x:c>
      <x:c r="B22" s="565" t="str">
        <x:v>EVT-0021</x:v>
      </x:c>
      <x:c r="C22" s="532" t="n">
        <x:v>46168</x:v>
      </x:c>
      <x:c r="D22" s="483" t="str">
        <x:v>Tuesday</x:v>
      </x:c>
      <x:c r="E22" s="329" t="n">
        <x:v>6</x:v>
      </x:c>
      <x:c r="F22" s="329" t="str">
        <x:v>MY_MONTH 2</x:v>
      </x:c>
      <x:c r="G22" s="329" t="str">
        <x:v>CL-008</x:v>
      </x:c>
      <x:c r="H22" s="329" t="str">
        <x:v>Food Lion</x:v>
      </x:c>
      <x:c r="I22" s="329" t="str">
        <x:v>Food Lion</x:v>
      </x:c>
      <x:c r="J22" s="329"/>
      <x:c r="K22" s="329" t="str">
        <x:v>Middle River</x:v>
      </x:c>
      <x:c r="L22" s="329" t="str">
        <x:v>Maryland</x:v>
      </x:c>
      <x:c r="M22" s="566"/>
      <x:c r="N22" s="329" t="str">
        <x:v>MD</x:v>
      </x:c>
      <x:c r="O22" s="483" t="str">
        <x:v>Middle River|MD</x:v>
      </x:c>
      <x:c r="P22" s="329" t="str">
        <x:v>Completed</x:v>
      </x:c>
      <x:c r="Q22" s="329" t="str">
        <x:v>Physical Service Visit</x:v>
      </x:c>
      <x:c r="R22" s="329" t="n">
        <x:v>1</x:v>
      </x:c>
      <x:c r="S22" s="329" t="str">
        <x:v>5892123</x:v>
      </x:c>
      <x:c r="T22" s="566" t="n">
        <x:v>97.91</x:v>
      </x:c>
      <x:c r="U22" s="483" t="str">
        <x:v>Eligible</x:v>
      </x:c>
      <x:c r="V22" s="329" t="str">
        <x:v>Maryland revenue included; hours inferred.</x:v>
      </x:c>
      <x:c r="W22" s="329" t="str">
        <x:v>Timeline + Service Calendar + Canonical Ledger</x:v>
      </x:c>
      <x:c r="X22" s="329" t="str">
        <x:v>Included</x:v>
      </x:c>
      <x:c r="Y22" s="329"/>
      <x:c r="Z22" s="483" t="str">
        <x:v>Yes</x:v>
      </x:c>
      <x:c r="AA22" s="329"/>
      <x:c r="AB22" s="329"/>
      <x:c r="AC22" s="329"/>
      <x:c r="AD22" s="329"/>
      <x:c r="AE22" s="329"/>
    </x:row>
    <x:row r="23">
      <x:c r="A23" s="329" t="n">
        <x:v>22</x:v>
      </x:c>
      <x:c r="B23" s="565" t="str">
        <x:v>EVT-0022</x:v>
      </x:c>
      <x:c r="C23" s="532" t="n">
        <x:v>46168</x:v>
      </x:c>
      <x:c r="D23" s="483" t="str">
        <x:v>Tuesday</x:v>
      </x:c>
      <x:c r="E23" s="329" t="n">
        <x:v>6</x:v>
      </x:c>
      <x:c r="F23" s="329" t="str">
        <x:v>MY_MONTH 2</x:v>
      </x:c>
      <x:c r="G23" s="329" t="str">
        <x:v>CL-016</x:v>
      </x:c>
      <x:c r="H23" s="329" t="str">
        <x:v>HomeGoods</x:v>
      </x:c>
      <x:c r="I23" s="329" t="str">
        <x:v>HomeGoods</x:v>
      </x:c>
      <x:c r="J23" s="329"/>
      <x:c r="K23" s="329" t="str">
        <x:v>Gaithersburg</x:v>
      </x:c>
      <x:c r="L23" s="329" t="str">
        <x:v>Maryland</x:v>
      </x:c>
      <x:c r="M23" s="566"/>
      <x:c r="N23" s="329" t="str">
        <x:v>MD</x:v>
      </x:c>
      <x:c r="O23" s="483" t="str">
        <x:v>Gaithersburg|MD</x:v>
      </x:c>
      <x:c r="P23" s="329" t="str">
        <x:v>Completed</x:v>
      </x:c>
      <x:c r="Q23" s="329" t="str">
        <x:v>Physical Service Visit</x:v>
      </x:c>
      <x:c r="R23" s="329" t="n">
        <x:v>1</x:v>
      </x:c>
      <x:c r="S23" s="329" t="str">
        <x:v>5889718</x:v>
      </x:c>
      <x:c r="T23" s="566" t="n">
        <x:v>50</x:v>
      </x:c>
      <x:c r="U23" s="483" t="str">
        <x:v>Eligible</x:v>
      </x:c>
      <x:c r="V23" s="329" t="str">
        <x:v>Maryland revenue included; hours inferred.</x:v>
      </x:c>
      <x:c r="W23" s="329" t="str">
        <x:v>Timeline + Service Calendar + Canonical Ledger</x:v>
      </x:c>
      <x:c r="X23" s="329" t="str">
        <x:v>Included</x:v>
      </x:c>
      <x:c r="Y23" s="329"/>
      <x:c r="Z23" s="483" t="str">
        <x:v>Yes</x:v>
      </x:c>
      <x:c r="AA23" s="329"/>
      <x:c r="AB23" s="329"/>
      <x:c r="AC23" s="329"/>
      <x:c r="AD23" s="329"/>
      <x:c r="AE23" s="329"/>
    </x:row>
    <x:row r="24">
      <x:c r="A24" s="329" t="n">
        <x:v>23</x:v>
      </x:c>
      <x:c r="B24" s="565" t="str">
        <x:v>EVT-0023</x:v>
      </x:c>
      <x:c r="C24" s="532" t="n">
        <x:v>46169</x:v>
      </x:c>
      <x:c r="D24" s="483" t="str">
        <x:v>Wednesday</x:v>
      </x:c>
      <x:c r="E24" s="329" t="n">
        <x:v>6</x:v>
      </x:c>
      <x:c r="F24" s="329" t="str">
        <x:v>MY_MONTH 2</x:v>
      </x:c>
      <x:c r="G24" s="329" t="str">
        <x:v>CL-017</x:v>
      </x:c>
      <x:c r="H24" s="329" t="str">
        <x:v>Joint Base Andrews</x:v>
      </x:c>
      <x:c r="I24" s="329" t="str">
        <x:v>Joint Base Andrews</x:v>
      </x:c>
      <x:c r="J24" s="329"/>
      <x:c r="K24" s="329" t="str">
        <x:v>Andrews AFB</x:v>
      </x:c>
      <x:c r="L24" s="329" t="str">
        <x:v>Maryland</x:v>
      </x:c>
      <x:c r="M24" s="566"/>
      <x:c r="N24" s="329" t="str">
        <x:v>MD</x:v>
      </x:c>
      <x:c r="O24" s="483" t="str">
        <x:v>Andrews AFB|MD</x:v>
      </x:c>
      <x:c r="P24" s="329" t="str">
        <x:v>Completed</x:v>
      </x:c>
      <x:c r="Q24" s="329" t="str">
        <x:v>Physical Service Visit</x:v>
      </x:c>
      <x:c r="R24" s="329" t="n">
        <x:v>1</x:v>
      </x:c>
      <x:c r="S24" s="329" t="str">
        <x:v>UNRESOLVED-E023</x:v>
      </x:c>
      <x:c r="T24" s="566" t="n">
        <x:v>50</x:v>
      </x:c>
      <x:c r="U24" s="483" t="str">
        <x:v>Eligible</x:v>
      </x:c>
      <x:c r="V24" s="329" t="str">
        <x:v>User-authoritative first-hour no-show compensation: $50.00.</x:v>
      </x:c>
      <x:c r="W24" s="329" t="str">
        <x:v>User-authoritative correction 2026-07-26</x:v>
      </x:c>
      <x:c r="X24" s="329" t="str">
        <x:v>Included</x:v>
      </x:c>
      <x:c r="Y24" s="329"/>
      <x:c r="Z24" s="483" t="str">
        <x:v>Yes</x:v>
      </x:c>
      <x:c r="AA24" s="329"/>
      <x:c r="AB24" s="329"/>
      <x:c r="AC24" s="329"/>
      <x:c r="AD24" s="329"/>
      <x:c r="AE24" s="329"/>
    </x:row>
    <x:row r="25">
      <x:c r="A25" s="329" t="n">
        <x:v>24</x:v>
      </x:c>
      <x:c r="B25" s="565" t="str">
        <x:v>EVT-0024</x:v>
      </x:c>
      <x:c r="C25" s="532" t="n">
        <x:v>46169</x:v>
      </x:c>
      <x:c r="D25" s="483" t="str">
        <x:v>Wednesday</x:v>
      </x:c>
      <x:c r="E25" s="329" t="n">
        <x:v>6</x:v>
      </x:c>
      <x:c r="F25" s="329" t="str">
        <x:v>MY_MONTH 2</x:v>
      </x:c>
      <x:c r="G25" s="329" t="str">
        <x:v>CL-018</x:v>
      </x:c>
      <x:c r="H25" s="329" t="str">
        <x:v>USDA</x:v>
      </x:c>
      <x:c r="I25" s="329" t="str">
        <x:v>USDA Day 1</x:v>
      </x:c>
      <x:c r="J25" s="329"/>
      <x:c r="K25" s="329" t="str">
        <x:v>Washington</x:v>
      </x:c>
      <x:c r="L25" s="329" t="str">
        <x:v>Washington, DC</x:v>
      </x:c>
      <x:c r="M25" s="566"/>
      <x:c r="N25" s="329" t="str">
        <x:v>DC</x:v>
      </x:c>
      <x:c r="O25" s="483" t="str">
        <x:v>Washington|DC</x:v>
      </x:c>
      <x:c r="P25" s="329" t="str">
        <x:v>Completed</x:v>
      </x:c>
      <x:c r="Q25" s="329" t="str">
        <x:v>Physical Service Visit</x:v>
      </x:c>
      <x:c r="R25" s="329" t="n">
        <x:v>1</x:v>
      </x:c>
      <x:c r="S25" s="329" t="str">
        <x:v>USDA-SPECIAL-E024</x:v>
      </x:c>
      <x:c r="T25" s="566" t="n">
        <x:v>200</x:v>
      </x:c>
      <x:c r="U25" s="483" t="str">
        <x:v>Eligible</x:v>
      </x:c>
      <x:c r="V25" s="329" t="str">
        <x:v>USDA corrected day allocation: $200 / 5 hrs @ $40/hr.</x:v>
      </x:c>
      <x:c r="W25" s="329" t="str">
        <x:v>Timeline + Service Calendar + Canonical Ledger</x:v>
      </x:c>
      <x:c r="X25" s="329" t="str">
        <x:v>Included</x:v>
      </x:c>
      <x:c r="Y25" s="329"/>
      <x:c r="Z25" s="483" t="str">
        <x:v>Yes</x:v>
      </x:c>
      <x:c r="AA25" s="329"/>
      <x:c r="AB25" s="329"/>
      <x:c r="AC25" s="329"/>
      <x:c r="AD25" s="329"/>
      <x:c r="AE25" s="329"/>
    </x:row>
    <x:row r="26">
      <x:c r="A26" s="329" t="n">
        <x:v>25</x:v>
      </x:c>
      <x:c r="B26" s="565" t="str">
        <x:v>EVT-0025</x:v>
      </x:c>
      <x:c r="C26" s="532" t="n">
        <x:v>46170</x:v>
      </x:c>
      <x:c r="D26" s="483" t="str">
        <x:v>Thursday</x:v>
      </x:c>
      <x:c r="E26" s="329" t="n">
        <x:v>6</x:v>
      </x:c>
      <x:c r="F26" s="329" t="str">
        <x:v>MY_MONTH 2</x:v>
      </x:c>
      <x:c r="G26" s="329" t="str">
        <x:v>CL-019</x:v>
      </x:c>
      <x:c r="H26" s="329" t="str">
        <x:v>PepsiCo</x:v>
      </x:c>
      <x:c r="I26" s="329" t="str">
        <x:v>PepsiCo</x:v>
      </x:c>
      <x:c r="J26" s="329"/>
      <x:c r="K26" s="329" t="str">
        <x:v>Cheverly</x:v>
      </x:c>
      <x:c r="L26" s="329" t="str">
        <x:v>Maryland</x:v>
      </x:c>
      <x:c r="M26" s="566"/>
      <x:c r="N26" s="329" t="str">
        <x:v>MD</x:v>
      </x:c>
      <x:c r="O26" s="483" t="str">
        <x:v>Cheverly|MD</x:v>
      </x:c>
      <x:c r="P26" s="329" t="str">
        <x:v>Completed</x:v>
      </x:c>
      <x:c r="Q26" s="329" t="str">
        <x:v>Physical Service Visit</x:v>
      </x:c>
      <x:c r="R26" s="329" t="n">
        <x:v>1</x:v>
      </x:c>
      <x:c r="S26" s="329" t="str">
        <x:v>UNRESOLVED-E025</x:v>
      </x:c>
      <x:c r="T26" s="566" t="n">
        <x:v>50</x:v>
      </x:c>
      <x:c r="U26" s="483" t="str">
        <x:v>Eligible</x:v>
      </x:c>
      <x:c r="V26" s="329" t="str">
        <x:v>User-authoritative first-hour no-show compensation: $50.00.</x:v>
      </x:c>
      <x:c r="W26" s="329" t="str">
        <x:v>User-authoritative correction 2026-07-26</x:v>
      </x:c>
      <x:c r="X26" s="329" t="str">
        <x:v>Included</x:v>
      </x:c>
      <x:c r="Y26" s="329"/>
      <x:c r="Z26" s="483" t="str">
        <x:v>Yes</x:v>
      </x:c>
      <x:c r="AA26" s="329"/>
      <x:c r="AB26" s="329"/>
      <x:c r="AC26" s="329"/>
      <x:c r="AD26" s="329"/>
      <x:c r="AE26" s="329"/>
    </x:row>
    <x:row r="27">
      <x:c r="A27" s="329" t="n">
        <x:v>26</x:v>
      </x:c>
      <x:c r="B27" s="565" t="str">
        <x:v>EVT-0026</x:v>
      </x:c>
      <x:c r="C27" s="532" t="n">
        <x:v>46170</x:v>
      </x:c>
      <x:c r="D27" s="483" t="str">
        <x:v>Thursday</x:v>
      </x:c>
      <x:c r="E27" s="329" t="n">
        <x:v>6</x:v>
      </x:c>
      <x:c r="F27" s="329" t="str">
        <x:v>MY_MONTH 2</x:v>
      </x:c>
      <x:c r="G27" s="329" t="str">
        <x:v>CL-018</x:v>
      </x:c>
      <x:c r="H27" s="329" t="str">
        <x:v>USDA</x:v>
      </x:c>
      <x:c r="I27" s="329" t="str">
        <x:v>USDA Day 2</x:v>
      </x:c>
      <x:c r="J27" s="329"/>
      <x:c r="K27" s="329" t="str">
        <x:v>Washington</x:v>
      </x:c>
      <x:c r="L27" s="329" t="str">
        <x:v>Washington, DC</x:v>
      </x:c>
      <x:c r="M27" s="566"/>
      <x:c r="N27" s="329" t="str">
        <x:v>DC</x:v>
      </x:c>
      <x:c r="O27" s="483" t="str">
        <x:v>Washington|DC</x:v>
      </x:c>
      <x:c r="P27" s="329" t="str">
        <x:v>Completed</x:v>
      </x:c>
      <x:c r="Q27" s="329" t="str">
        <x:v>Physical Service Visit</x:v>
      </x:c>
      <x:c r="R27" s="329" t="n">
        <x:v>1</x:v>
      </x:c>
      <x:c r="S27" s="329" t="str">
        <x:v>USDA-SPECIAL-E026</x:v>
      </x:c>
      <x:c r="T27" s="566" t="n">
        <x:v>175</x:v>
      </x:c>
      <x:c r="U27" s="483" t="str">
        <x:v>Eligible</x:v>
      </x:c>
      <x:c r="V27" s="329" t="str">
        <x:v>USDA corrected day allocation: $175 / 4.375 hrs @ $40/hr.</x:v>
      </x:c>
      <x:c r="W27" s="329" t="str">
        <x:v>Timeline + Service Calendar + Canonical Ledger</x:v>
      </x:c>
      <x:c r="X27" s="329" t="str">
        <x:v>Included</x:v>
      </x:c>
      <x:c r="Y27" s="329"/>
      <x:c r="Z27" s="483" t="str">
        <x:v>Yes</x:v>
      </x:c>
      <x:c r="AA27" s="329"/>
      <x:c r="AB27" s="329"/>
      <x:c r="AC27" s="329"/>
      <x:c r="AD27" s="329"/>
      <x:c r="AE27" s="329"/>
    </x:row>
    <x:row r="28">
      <x:c r="A28" s="329" t="n">
        <x:v>27</x:v>
      </x:c>
      <x:c r="B28" s="565" t="str">
        <x:v>EVT-0027</x:v>
      </x:c>
      <x:c r="C28" s="532" t="n">
        <x:v>46174</x:v>
      </x:c>
      <x:c r="D28" s="483" t="str">
        <x:v>Monday</x:v>
      </x:c>
      <x:c r="E28" s="329" t="n">
        <x:v>7</x:v>
      </x:c>
      <x:c r="F28" s="329" t="str">
        <x:v>MY_MONTH 2</x:v>
      </x:c>
      <x:c r="G28" s="329" t="str">
        <x:v>CL-018</x:v>
      </x:c>
      <x:c r="H28" s="329" t="str">
        <x:v>USDA</x:v>
      </x:c>
      <x:c r="I28" s="329" t="str">
        <x:v>USDA Day 3</x:v>
      </x:c>
      <x:c r="J28" s="329"/>
      <x:c r="K28" s="329" t="str">
        <x:v>Washington</x:v>
      </x:c>
      <x:c r="L28" s="329" t="str">
        <x:v>Washington, DC</x:v>
      </x:c>
      <x:c r="M28" s="566"/>
      <x:c r="N28" s="329" t="str">
        <x:v>DC</x:v>
      </x:c>
      <x:c r="O28" s="483" t="str">
        <x:v>Washington|DC</x:v>
      </x:c>
      <x:c r="P28" s="329" t="str">
        <x:v>Completed</x:v>
      </x:c>
      <x:c r="Q28" s="329" t="str">
        <x:v>Physical Service Visit</x:v>
      </x:c>
      <x:c r="R28" s="329" t="n">
        <x:v>1</x:v>
      </x:c>
      <x:c r="S28" s="329" t="str">
        <x:v>USDA-SPECIAL-E027</x:v>
      </x:c>
      <x:c r="T28" s="566" t="n">
        <x:v>320</x:v>
      </x:c>
      <x:c r="U28" s="483" t="str">
        <x:v>Eligible</x:v>
      </x:c>
      <x:c r="V28" s="329" t="str">
        <x:v>USDA corrected day allocation: $320 / 8 hrs @ $40/hr.</x:v>
      </x:c>
      <x:c r="W28" s="329" t="str">
        <x:v>Timeline + Service Calendar + Canonical Ledger</x:v>
      </x:c>
      <x:c r="X28" s="329" t="str">
        <x:v>Included</x:v>
      </x:c>
      <x:c r="Y28" s="329"/>
      <x:c r="Z28" s="483" t="str">
        <x:v>Yes</x:v>
      </x:c>
      <x:c r="AA28" s="329"/>
      <x:c r="AB28" s="329"/>
      <x:c r="AC28" s="329"/>
      <x:c r="AD28" s="329"/>
      <x:c r="AE28" s="329"/>
    </x:row>
    <x:row r="29">
      <x:c r="A29" s="329" t="n">
        <x:v>28</x:v>
      </x:c>
      <x:c r="B29" s="565" t="str">
        <x:v>EVT-0028</x:v>
      </x:c>
      <x:c r="C29" s="532" t="n">
        <x:v>46175</x:v>
      </x:c>
      <x:c r="D29" s="483" t="str">
        <x:v>Tuesday</x:v>
      </x:c>
      <x:c r="E29" s="329" t="n">
        <x:v>7</x:v>
      </x:c>
      <x:c r="F29" s="329" t="str">
        <x:v>MY_MONTH 2</x:v>
      </x:c>
      <x:c r="G29" s="329" t="str">
        <x:v>CL-018</x:v>
      </x:c>
      <x:c r="H29" s="329" t="str">
        <x:v>USDA</x:v>
      </x:c>
      <x:c r="I29" s="329" t="str">
        <x:v>USDA Day 4</x:v>
      </x:c>
      <x:c r="J29" s="329"/>
      <x:c r="K29" s="329" t="str">
        <x:v>Washington</x:v>
      </x:c>
      <x:c r="L29" s="329" t="str">
        <x:v>Washington, DC</x:v>
      </x:c>
      <x:c r="M29" s="566"/>
      <x:c r="N29" s="329" t="str">
        <x:v>DC</x:v>
      </x:c>
      <x:c r="O29" s="483" t="str">
        <x:v>Washington|DC</x:v>
      </x:c>
      <x:c r="P29" s="329" t="str">
        <x:v>Completed</x:v>
      </x:c>
      <x:c r="Q29" s="329" t="str">
        <x:v>Physical Service Visit</x:v>
      </x:c>
      <x:c r="R29" s="329" t="n">
        <x:v>1</x:v>
      </x:c>
      <x:c r="S29" s="329" t="str">
        <x:v>USDA-SPECIAL-E028</x:v>
      </x:c>
      <x:c r="T29" s="566" t="n">
        <x:v>320</x:v>
      </x:c>
      <x:c r="U29" s="483" t="str">
        <x:v>Eligible</x:v>
      </x:c>
      <x:c r="V29" s="329" t="str">
        <x:v>USDA corrected day allocation: $320 / 8 hrs @ $40/hr.</x:v>
      </x:c>
      <x:c r="W29" s="329" t="str">
        <x:v>Timeline + Service Calendar + Canonical Ledger</x:v>
      </x:c>
      <x:c r="X29" s="329" t="str">
        <x:v>Included</x:v>
      </x:c>
      <x:c r="Y29" s="329"/>
      <x:c r="Z29" s="483" t="str">
        <x:v>Yes</x:v>
      </x:c>
      <x:c r="AA29" s="329"/>
      <x:c r="AB29" s="329"/>
      <x:c r="AC29" s="329"/>
      <x:c r="AD29" s="329"/>
      <x:c r="AE29" s="329"/>
    </x:row>
    <x:row r="30">
      <x:c r="A30" s="329" t="n">
        <x:v>29</x:v>
      </x:c>
      <x:c r="B30" s="565" t="str">
        <x:v>EVT-0029</x:v>
      </x:c>
      <x:c r="C30" s="532" t="n">
        <x:v>46176</x:v>
      </x:c>
      <x:c r="D30" s="483" t="str">
        <x:v>Wednesday</x:v>
      </x:c>
      <x:c r="E30" s="329" t="n">
        <x:v>7</x:v>
      </x:c>
      <x:c r="F30" s="329" t="str">
        <x:v>MY_MONTH 2</x:v>
      </x:c>
      <x:c r="G30" s="329" t="str">
        <x:v>CL-018</x:v>
      </x:c>
      <x:c r="H30" s="329" t="str">
        <x:v>USDA</x:v>
      </x:c>
      <x:c r="I30" s="329" t="str">
        <x:v>USDA Day 5</x:v>
      </x:c>
      <x:c r="J30" s="329"/>
      <x:c r="K30" s="329" t="str">
        <x:v>Washington</x:v>
      </x:c>
      <x:c r="L30" s="329" t="str">
        <x:v>Washington, DC</x:v>
      </x:c>
      <x:c r="M30" s="566"/>
      <x:c r="N30" s="329" t="str">
        <x:v>DC</x:v>
      </x:c>
      <x:c r="O30" s="483" t="str">
        <x:v>Washington|DC</x:v>
      </x:c>
      <x:c r="P30" s="329" t="str">
        <x:v>Completed</x:v>
      </x:c>
      <x:c r="Q30" s="329" t="str">
        <x:v>Physical Service Visit</x:v>
      </x:c>
      <x:c r="R30" s="329" t="n">
        <x:v>1</x:v>
      </x:c>
      <x:c r="S30" s="329" t="str">
        <x:v>USDA-SPECIAL-E029</x:v>
      </x:c>
      <x:c r="T30" s="566" t="n">
        <x:v>200</x:v>
      </x:c>
      <x:c r="U30" s="483" t="str">
        <x:v>Eligible</x:v>
      </x:c>
      <x:c r="V30" s="329" t="str">
        <x:v>USDA corrected day allocation: $200 / 5 hrs @ $40/hr.</x:v>
      </x:c>
      <x:c r="W30" s="329" t="str">
        <x:v>Timeline + Service Calendar + Canonical Ledger</x:v>
      </x:c>
      <x:c r="X30" s="329" t="str">
        <x:v>Included</x:v>
      </x:c>
      <x:c r="Y30" s="329"/>
      <x:c r="Z30" s="483" t="str">
        <x:v>Yes</x:v>
      </x:c>
      <x:c r="AA30" s="329"/>
      <x:c r="AB30" s="329"/>
      <x:c r="AC30" s="329"/>
      <x:c r="AD30" s="329"/>
      <x:c r="AE30" s="329"/>
    </x:row>
    <x:row r="31">
      <x:c r="A31" s="329" t="n">
        <x:v>30</x:v>
      </x:c>
      <x:c r="B31" s="565" t="str">
        <x:v>EVT-0030</x:v>
      </x:c>
      <x:c r="C31" s="532" t="n">
        <x:v>46176</x:v>
      </x:c>
      <x:c r="D31" s="483" t="str">
        <x:v>Wednesday</x:v>
      </x:c>
      <x:c r="E31" s="329" t="n">
        <x:v>7</x:v>
      </x:c>
      <x:c r="F31" s="329" t="str">
        <x:v>MY_MONTH 2</x:v>
      </x:c>
      <x:c r="G31" s="329" t="str">
        <x:v>CL-020</x:v>
      </x:c>
      <x:c r="H31" s="329" t="str">
        <x:v>TJ Maxx</x:v>
      </x:c>
      <x:c r="I31" s="329" t="str">
        <x:v>TJ Maxx</x:v>
      </x:c>
      <x:c r="J31" s="329"/>
      <x:c r="K31" s="329" t="str">
        <x:v>Rockville</x:v>
      </x:c>
      <x:c r="L31" s="329" t="str">
        <x:v>Maryland</x:v>
      </x:c>
      <x:c r="M31" s="566"/>
      <x:c r="N31" s="329" t="str">
        <x:v>MD</x:v>
      </x:c>
      <x:c r="O31" s="483" t="str">
        <x:v>Rockville|MD</x:v>
      </x:c>
      <x:c r="P31" s="329" t="str">
        <x:v>Completed</x:v>
      </x:c>
      <x:c r="Q31" s="329" t="str">
        <x:v>Physical Service Visit</x:v>
      </x:c>
      <x:c r="R31" s="329" t="n">
        <x:v>1</x:v>
      </x:c>
      <x:c r="S31" s="329" t="str">
        <x:v>5896733</x:v>
      </x:c>
      <x:c r="T31" s="566" t="n">
        <x:v>96.66</x:v>
      </x:c>
      <x:c r="U31" s="483" t="str">
        <x:v>Eligible</x:v>
      </x:c>
      <x:c r="V31" s="329" t="str">
        <x:v>Event #30 TJ Maxx Rockville verified at $96.66.</x:v>
      </x:c>
      <x:c r="W31" s="329" t="str">
        <x:v>Timeline + Service Calendar + Canonical Ledger</x:v>
      </x:c>
      <x:c r="X31" s="329" t="str">
        <x:v>Included</x:v>
      </x:c>
      <x:c r="Y31" s="329"/>
      <x:c r="Z31" s="483" t="str">
        <x:v>Yes</x:v>
      </x:c>
      <x:c r="AA31" s="329"/>
      <x:c r="AB31" s="329"/>
      <x:c r="AC31" s="329"/>
      <x:c r="AD31" s="329"/>
      <x:c r="AE31" s="329"/>
    </x:row>
    <x:row r="32">
      <x:c r="A32" s="329" t="n">
        <x:v>31</x:v>
      </x:c>
      <x:c r="B32" s="565" t="str">
        <x:v>EVT-0031</x:v>
      </x:c>
      <x:c r="C32" s="532" t="n">
        <x:v>46177</x:v>
      </x:c>
      <x:c r="D32" s="483" t="str">
        <x:v>Thursday</x:v>
      </x:c>
      <x:c r="E32" s="329" t="n">
        <x:v>7</x:v>
      </x:c>
      <x:c r="F32" s="329" t="str">
        <x:v>MY_MONTH 2</x:v>
      </x:c>
      <x:c r="G32" s="329" t="str">
        <x:v>CL-018</x:v>
      </x:c>
      <x:c r="H32" s="329" t="str">
        <x:v>USDA</x:v>
      </x:c>
      <x:c r="I32" s="329" t="str">
        <x:v>USDA Day 6</x:v>
      </x:c>
      <x:c r="J32" s="329"/>
      <x:c r="K32" s="329" t="str">
        <x:v>Washington</x:v>
      </x:c>
      <x:c r="L32" s="329" t="str">
        <x:v>Washington, DC</x:v>
      </x:c>
      <x:c r="M32" s="566"/>
      <x:c r="N32" s="329" t="str">
        <x:v>DC</x:v>
      </x:c>
      <x:c r="O32" s="483" t="str">
        <x:v>Washington|DC</x:v>
      </x:c>
      <x:c r="P32" s="329" t="str">
        <x:v>Completed</x:v>
      </x:c>
      <x:c r="Q32" s="329" t="str">
        <x:v>Physical Service Visit</x:v>
      </x:c>
      <x:c r="R32" s="329" t="n">
        <x:v>1</x:v>
      </x:c>
      <x:c r="S32" s="329" t="str">
        <x:v>USDA-SPECIAL-E031</x:v>
      </x:c>
      <x:c r="T32" s="566" t="n">
        <x:v>140</x:v>
      </x:c>
      <x:c r="U32" s="483" t="str">
        <x:v>Eligible</x:v>
      </x:c>
      <x:c r="V32" s="329" t="str">
        <x:v>USDA corrected day allocation: $140 / 3.5 hrs @ $40/hr.</x:v>
      </x:c>
      <x:c r="W32" s="329" t="str">
        <x:v>Timeline + Service Calendar + Canonical Ledger</x:v>
      </x:c>
      <x:c r="X32" s="329" t="str">
        <x:v>Included</x:v>
      </x:c>
      <x:c r="Y32" s="329"/>
      <x:c r="Z32" s="483" t="str">
        <x:v>Yes</x:v>
      </x:c>
      <x:c r="AA32" s="329"/>
      <x:c r="AB32" s="329"/>
      <x:c r="AC32" s="329"/>
      <x:c r="AD32" s="329"/>
      <x:c r="AE32" s="329"/>
    </x:row>
    <x:row r="33">
      <x:c r="A33" s="329" t="n">
        <x:v>32</x:v>
      </x:c>
      <x:c r="B33" s="565" t="str">
        <x:v>EVT-0032</x:v>
      </x:c>
      <x:c r="C33" s="532" t="n">
        <x:v>46178</x:v>
      </x:c>
      <x:c r="D33" s="483" t="str">
        <x:v>Friday</x:v>
      </x:c>
      <x:c r="E33" s="329" t="n">
        <x:v>7</x:v>
      </x:c>
      <x:c r="F33" s="329" t="str">
        <x:v>MY_MONTH 2</x:v>
      </x:c>
      <x:c r="G33" s="329" t="str">
        <x:v>CL-021</x:v>
      </x:c>
      <x:c r="H33" s="329" t="str">
        <x:v>Hilton Garden Inn</x:v>
      </x:c>
      <x:c r="I33" s="329" t="str">
        <x:v>Hilton Garden Inn</x:v>
      </x:c>
      <x:c r="J33" s="329"/>
      <x:c r="K33" s="329" t="str">
        <x:v>Fairfax</x:v>
      </x:c>
      <x:c r="L33" s="329" t="str">
        <x:v>Virginia</x:v>
      </x:c>
      <x:c r="M33" s="566"/>
      <x:c r="N33" s="329" t="str">
        <x:v>VA</x:v>
      </x:c>
      <x:c r="O33" s="483" t="str">
        <x:v>Fairfax|VA</x:v>
      </x:c>
      <x:c r="P33" s="329" t="str">
        <x:v>Completed</x:v>
      </x:c>
      <x:c r="Q33" s="329" t="str">
        <x:v>Physical Service Visit</x:v>
      </x:c>
      <x:c r="R33" s="329" t="n">
        <x:v>1</x:v>
      </x:c>
      <x:c r="S33" s="329" t="str">
        <x:v>5898007</x:v>
      </x:c>
      <x:c r="T33" s="566" t="n">
        <x:v>25</x:v>
      </x:c>
      <x:c r="U33" s="483" t="str">
        <x:v>Eligible</x:v>
      </x:c>
      <x:c r="V33" s="329" t="str">
        <x:v>VA Hilton Garden Inn historical row.</x:v>
      </x:c>
      <x:c r="W33" s="329" t="str">
        <x:v>Timeline + Service Calendar + Canonical Ledger</x:v>
      </x:c>
      <x:c r="X33" s="329" t="str">
        <x:v>Included</x:v>
      </x:c>
      <x:c r="Y33" s="329"/>
      <x:c r="Z33" s="483" t="str">
        <x:v>Yes</x:v>
      </x:c>
      <x:c r="AA33" s="329"/>
      <x:c r="AB33" s="329"/>
      <x:c r="AC33" s="329"/>
      <x:c r="AD33" s="329"/>
      <x:c r="AE33" s="329"/>
    </x:row>
    <x:row r="34">
      <x:c r="A34" s="329" t="n">
        <x:v>33</x:v>
      </x:c>
      <x:c r="B34" s="565" t="str">
        <x:v>EVT-0033</x:v>
      </x:c>
      <x:c r="C34" s="532" t="n">
        <x:v>46178</x:v>
      </x:c>
      <x:c r="D34" s="483" t="str">
        <x:v>Friday</x:v>
      </x:c>
      <x:c r="E34" s="329" t="n">
        <x:v>7</x:v>
      </x:c>
      <x:c r="F34" s="329" t="str">
        <x:v>MY_MONTH 2</x:v>
      </x:c>
      <x:c r="G34" s="329" t="str">
        <x:v>CL-005</x:v>
      </x:c>
      <x:c r="H34" s="329" t="str">
        <x:v>Hebrew Home of Greater Washington</x:v>
      </x:c>
      <x:c r="I34" s="329" t="str">
        <x:v>Hebrew Home of Greater Washington</x:v>
      </x:c>
      <x:c r="J34" s="329"/>
      <x:c r="K34" s="329" t="str">
        <x:v>North Bethesda</x:v>
      </x:c>
      <x:c r="L34" s="329" t="str">
        <x:v>Maryland</x:v>
      </x:c>
      <x:c r="M34" s="566"/>
      <x:c r="N34" s="329" t="str">
        <x:v>MD</x:v>
      </x:c>
      <x:c r="O34" s="483" t="str">
        <x:v>North Bethesda|MD</x:v>
      </x:c>
      <x:c r="P34" s="329" t="str">
        <x:v>Completed</x:v>
      </x:c>
      <x:c r="Q34" s="329" t="str">
        <x:v>Physical Service Visit</x:v>
      </x:c>
      <x:c r="R34" s="329" t="n">
        <x:v>1</x:v>
      </x:c>
      <x:c r="S34" s="329" t="str">
        <x:v>5896039</x:v>
      </x:c>
      <x:c r="T34" s="566" t="n">
        <x:v>50</x:v>
      </x:c>
      <x:c r="U34" s="483" t="str">
        <x:v>Eligible</x:v>
      </x:c>
      <x:c r="V34" s="329" t="str">
        <x:v>Maryland revenue included.</x:v>
      </x:c>
      <x:c r="W34" s="329" t="str">
        <x:v>Timeline + Service Calendar + Canonical Ledger</x:v>
      </x:c>
      <x:c r="X34" s="329" t="str">
        <x:v>Included</x:v>
      </x:c>
      <x:c r="Y34" s="329"/>
      <x:c r="Z34" s="483" t="str">
        <x:v>Yes</x:v>
      </x:c>
      <x:c r="AA34" s="329"/>
      <x:c r="AB34" s="329"/>
      <x:c r="AC34" s="329"/>
      <x:c r="AD34" s="329"/>
      <x:c r="AE34" s="329"/>
    </x:row>
    <x:row r="35">
      <x:c r="A35" s="329" t="n">
        <x:v>34</x:v>
      </x:c>
      <x:c r="B35" s="565" t="str">
        <x:v>EVT-0034</x:v>
      </x:c>
      <x:c r="C35" s="532" t="n">
        <x:v>46178</x:v>
      </x:c>
      <x:c r="D35" s="483" t="str">
        <x:v>Friday</x:v>
      </x:c>
      <x:c r="E35" s="329" t="n">
        <x:v>7</x:v>
      </x:c>
      <x:c r="F35" s="329" t="str">
        <x:v>MY_MONTH 2</x:v>
      </x:c>
      <x:c r="G35" s="329" t="str">
        <x:v>CL-020</x:v>
      </x:c>
      <x:c r="H35" s="329" t="str">
        <x:v>TJ Maxx</x:v>
      </x:c>
      <x:c r="I35" s="329" t="str">
        <x:v>TJ Maxx</x:v>
      </x:c>
      <x:c r="J35" s="329"/>
      <x:c r="K35" s="329" t="str">
        <x:v>Annapolis</x:v>
      </x:c>
      <x:c r="L35" s="329" t="str">
        <x:v>Maryland</x:v>
      </x:c>
      <x:c r="M35" s="566"/>
      <x:c r="N35" s="329" t="str">
        <x:v>MD</x:v>
      </x:c>
      <x:c r="O35" s="483" t="str">
        <x:v>Annapolis|MD</x:v>
      </x:c>
      <x:c r="P35" s="329" t="str">
        <x:v>Completed</x:v>
      </x:c>
      <x:c r="Q35" s="329" t="str">
        <x:v>Physical Service Visit</x:v>
      </x:c>
      <x:c r="R35" s="329" t="n">
        <x:v>1</x:v>
      </x:c>
      <x:c r="S35" s="329" t="str">
        <x:v>5898904</x:v>
      </x:c>
      <x:c r="T35" s="566" t="n">
        <x:v>70</x:v>
      </x:c>
      <x:c r="U35" s="483" t="str">
        <x:v>Eligible</x:v>
      </x:c>
      <x:c r="V35" s="329" t="str">
        <x:v>Maryland revenue included.</x:v>
      </x:c>
      <x:c r="W35" s="329" t="str">
        <x:v>Timeline + Service Calendar + Canonical Ledger</x:v>
      </x:c>
      <x:c r="X35" s="329" t="str">
        <x:v>Included</x:v>
      </x:c>
      <x:c r="Y35" s="329"/>
      <x:c r="Z35" s="483" t="str">
        <x:v>Yes</x:v>
      </x:c>
      <x:c r="AA35" s="329"/>
      <x:c r="AB35" s="329"/>
      <x:c r="AC35" s="329"/>
      <x:c r="AD35" s="329"/>
      <x:c r="AE35" s="329"/>
    </x:row>
    <x:row r="36">
      <x:c r="A36" s="329" t="n">
        <x:v>35</x:v>
      </x:c>
      <x:c r="B36" s="565" t="str">
        <x:v>EVT-0035</x:v>
      </x:c>
      <x:c r="C36" s="532" t="n">
        <x:v>46181</x:v>
      </x:c>
      <x:c r="D36" s="483" t="str">
        <x:v>Monday</x:v>
      </x:c>
      <x:c r="E36" s="329" t="n">
        <x:v>8</x:v>
      </x:c>
      <x:c r="F36" s="329" t="str">
        <x:v>MY_MONTH 2</x:v>
      </x:c>
      <x:c r="G36" s="329" t="str">
        <x:v>CL-022</x:v>
      </x:c>
      <x:c r="H36" s="329" t="str">
        <x:v>Marshalls</x:v>
      </x:c>
      <x:c r="I36" s="329" t="str">
        <x:v>Marshalls</x:v>
      </x:c>
      <x:c r="J36" s="329"/>
      <x:c r="K36" s="329" t="str">
        <x:v>Dunkirk</x:v>
      </x:c>
      <x:c r="L36" s="329" t="str">
        <x:v>Maryland</x:v>
      </x:c>
      <x:c r="M36" s="566"/>
      <x:c r="N36" s="329" t="str">
        <x:v>MD</x:v>
      </x:c>
      <x:c r="O36" s="483" t="str">
        <x:v>Dunkirk|MD</x:v>
      </x:c>
      <x:c r="P36" s="329" t="str">
        <x:v>Completed</x:v>
      </x:c>
      <x:c r="Q36" s="329" t="str">
        <x:v>Physical Service Visit</x:v>
      </x:c>
      <x:c r="R36" s="329" t="n">
        <x:v>1</x:v>
      </x:c>
      <x:c r="S36" s="329" t="str">
        <x:v>5899056</x:v>
      </x:c>
      <x:c r="T36" s="566" t="n">
        <x:v>70</x:v>
      </x:c>
      <x:c r="U36" s="483" t="str">
        <x:v>Eligible</x:v>
      </x:c>
      <x:c r="V36" s="329" t="str">
        <x:v>Payment breakdown reissued/verified; no financial change.</x:v>
      </x:c>
      <x:c r="W36" s="329" t="str">
        <x:v>Timeline + Service Calendar + Canonical Ledger</x:v>
      </x:c>
      <x:c r="X36" s="329" t="str">
        <x:v>Included</x:v>
      </x:c>
      <x:c r="Y36" s="329"/>
      <x:c r="Z36" s="483" t="str">
        <x:v>Yes</x:v>
      </x:c>
      <x:c r="AA36" s="329"/>
      <x:c r="AB36" s="329"/>
      <x:c r="AC36" s="329"/>
      <x:c r="AD36" s="329"/>
      <x:c r="AE36" s="329"/>
    </x:row>
    <x:row r="37">
      <x:c r="A37" s="329" t="n">
        <x:v>36</x:v>
      </x:c>
      <x:c r="B37" s="565" t="str">
        <x:v>EVT-0036</x:v>
      </x:c>
      <x:c r="C37" s="532" t="n">
        <x:v>46182</x:v>
      </x:c>
      <x:c r="D37" s="483" t="str">
        <x:v>Tuesday</x:v>
      </x:c>
      <x:c r="E37" s="329" t="n">
        <x:v>8</x:v>
      </x:c>
      <x:c r="F37" s="329" t="str">
        <x:v>MY_MONTH 2</x:v>
      </x:c>
      <x:c r="G37" s="329" t="str">
        <x:v>CL-003</x:v>
      </x:c>
      <x:c r="H37" s="329" t="str">
        <x:v>Hampton Inn &amp; Suites</x:v>
      </x:c>
      <x:c r="I37" s="329" t="str">
        <x:v>Hampton Inn &amp; Suites</x:v>
      </x:c>
      <x:c r="J37" s="329"/>
      <x:c r="K37" s="329" t="str">
        <x:v>Edgewood</x:v>
      </x:c>
      <x:c r="L37" s="329" t="str">
        <x:v>Maryland</x:v>
      </x:c>
      <x:c r="M37" s="566"/>
      <x:c r="N37" s="329" t="str">
        <x:v>MD</x:v>
      </x:c>
      <x:c r="O37" s="483" t="str">
        <x:v>Edgewood|MD</x:v>
      </x:c>
      <x:c r="P37" s="329" t="str">
        <x:v>Completed</x:v>
      </x:c>
      <x:c r="Q37" s="329" t="str">
        <x:v>Physical Service Visit</x:v>
      </x:c>
      <x:c r="R37" s="329" t="n">
        <x:v>1</x:v>
      </x:c>
      <x:c r="S37" s="329" t="str">
        <x:v>5899295</x:v>
      </x:c>
      <x:c r="T37" s="566" t="n">
        <x:v>65</x:v>
      </x:c>
      <x:c r="U37" s="483" t="str">
        <x:v>Eligible</x:v>
      </x:c>
      <x:c r="V37" s="329" t="str">
        <x:v>Maryland revenue included.</x:v>
      </x:c>
      <x:c r="W37" s="329" t="str">
        <x:v>Timeline + Service Calendar + Canonical Ledger</x:v>
      </x:c>
      <x:c r="X37" s="329" t="str">
        <x:v>Included</x:v>
      </x:c>
      <x:c r="Y37" s="329"/>
      <x:c r="Z37" s="483" t="str">
        <x:v>Yes</x:v>
      </x:c>
      <x:c r="AA37" s="329"/>
      <x:c r="AB37" s="329"/>
      <x:c r="AC37" s="329"/>
      <x:c r="AD37" s="329"/>
      <x:c r="AE37" s="329"/>
    </x:row>
    <x:row r="38">
      <x:c r="A38" s="329" t="n">
        <x:v>37</x:v>
      </x:c>
      <x:c r="B38" s="565" t="str">
        <x:v>EVT-0037</x:v>
      </x:c>
      <x:c r="C38" s="532" t="n">
        <x:v>46182</x:v>
      </x:c>
      <x:c r="D38" s="483" t="str">
        <x:v>Tuesday</x:v>
      </x:c>
      <x:c r="E38" s="329" t="n">
        <x:v>8</x:v>
      </x:c>
      <x:c r="F38" s="329" t="str">
        <x:v>MY_MONTH 2</x:v>
      </x:c>
      <x:c r="G38" s="329" t="str">
        <x:v>CL-016</x:v>
      </x:c>
      <x:c r="H38" s="329" t="str">
        <x:v>HomeGoods</x:v>
      </x:c>
      <x:c r="I38" s="329" t="str">
        <x:v>HomeGoods</x:v>
      </x:c>
      <x:c r="J38" s="329"/>
      <x:c r="K38" s="329" t="str">
        <x:v>Sterling</x:v>
      </x:c>
      <x:c r="L38" s="329" t="str">
        <x:v>Virginia</x:v>
      </x:c>
      <x:c r="M38" s="566"/>
      <x:c r="N38" s="329" t="str">
        <x:v>VA</x:v>
      </x:c>
      <x:c r="O38" s="483" t="str">
        <x:v>Sterling|VA</x:v>
      </x:c>
      <x:c r="P38" s="329" t="str">
        <x:v>Completed</x:v>
      </x:c>
      <x:c r="Q38" s="329" t="str">
        <x:v>Physical Service Visit</x:v>
      </x:c>
      <x:c r="R38" s="329" t="n">
        <x:v>1</x:v>
      </x:c>
      <x:c r="S38" s="329" t="str">
        <x:v>5899715</x:v>
      </x:c>
      <x:c r="T38" s="566" t="n">
        <x:v>90</x:v>
      </x:c>
      <x:c r="U38" s="483" t="str">
        <x:v>Eligible</x:v>
      </x:c>
      <x:c r="V38" s="329" t="str">
        <x:v>VA revenue included.</x:v>
      </x:c>
      <x:c r="W38" s="329" t="str">
        <x:v>Timeline + Service Calendar + Canonical Ledger</x:v>
      </x:c>
      <x:c r="X38" s="329" t="str">
        <x:v>Included</x:v>
      </x:c>
      <x:c r="Y38" s="329"/>
      <x:c r="Z38" s="483" t="str">
        <x:v>Yes</x:v>
      </x:c>
      <x:c r="AA38" s="329"/>
      <x:c r="AB38" s="329"/>
      <x:c r="AC38" s="329"/>
      <x:c r="AD38" s="329"/>
      <x:c r="AE38" s="329"/>
    </x:row>
    <x:row r="39">
      <x:c r="A39" s="329" t="n">
        <x:v>38</x:v>
      </x:c>
      <x:c r="B39" s="565" t="str">
        <x:v>EVT-0038</x:v>
      </x:c>
      <x:c r="C39" s="532" t="n">
        <x:v>46183</x:v>
      </x:c>
      <x:c r="D39" s="483" t="str">
        <x:v>Wednesday</x:v>
      </x:c>
      <x:c r="E39" s="329" t="n">
        <x:v>8</x:v>
      </x:c>
      <x:c r="F39" s="329" t="str">
        <x:v>MY_MONTH 2</x:v>
      </x:c>
      <x:c r="G39" s="329" t="str">
        <x:v>CL-006</x:v>
      </x:c>
      <x:c r="H39" s="329" t="str">
        <x:v>7-Eleven</x:v>
      </x:c>
      <x:c r="I39" s="329" t="str">
        <x:v>7-Eleven</x:v>
      </x:c>
      <x:c r="J39" s="329"/>
      <x:c r="K39" s="329" t="str">
        <x:v>Lanham</x:v>
      </x:c>
      <x:c r="L39" s="329" t="str">
        <x:v>Maryland</x:v>
      </x:c>
      <x:c r="M39" s="566"/>
      <x:c r="N39" s="329" t="str">
        <x:v>MD</x:v>
      </x:c>
      <x:c r="O39" s="483" t="str">
        <x:v>Lanham|MD</x:v>
      </x:c>
      <x:c r="P39" s="329" t="str">
        <x:v>Completed</x:v>
      </x:c>
      <x:c r="Q39" s="329" t="str">
        <x:v>Physical Service Visit</x:v>
      </x:c>
      <x:c r="R39" s="329" t="n">
        <x:v>1</x:v>
      </x:c>
      <x:c r="S39" s="329" t="str">
        <x:v>5900102</x:v>
      </x:c>
      <x:c r="T39" s="566" t="n">
        <x:v>240</x:v>
      </x:c>
      <x:c r="U39" s="483" t="str">
        <x:v>Eligible</x:v>
      </x:c>
      <x:c r="V39" s="329" t="str">
        <x:v>7-Eleven dispute cleared at $240.</x:v>
      </x:c>
      <x:c r="W39" s="329" t="str">
        <x:v>Timeline + Service Calendar + Canonical Ledger</x:v>
      </x:c>
      <x:c r="X39" s="329" t="str">
        <x:v>Included</x:v>
      </x:c>
      <x:c r="Y39" s="329"/>
      <x:c r="Z39" s="483" t="str">
        <x:v>Yes</x:v>
      </x:c>
      <x:c r="AA39" s="329"/>
      <x:c r="AB39" s="329"/>
      <x:c r="AC39" s="329"/>
      <x:c r="AD39" s="329"/>
      <x:c r="AE39" s="329"/>
    </x:row>
    <x:row r="40">
      <x:c r="A40" s="329" t="n">
        <x:v>39</x:v>
      </x:c>
      <x:c r="B40" s="565" t="str">
        <x:v>EVT-0039</x:v>
      </x:c>
      <x:c r="C40" s="532" t="n">
        <x:v>46183</x:v>
      </x:c>
      <x:c r="D40" s="483" t="str">
        <x:v>Wednesday</x:v>
      </x:c>
      <x:c r="E40" s="329" t="n">
        <x:v>8</x:v>
      </x:c>
      <x:c r="F40" s="329" t="str">
        <x:v>MY_MONTH 2</x:v>
      </x:c>
      <x:c r="G40" s="329" t="str">
        <x:v>CL-020</x:v>
      </x:c>
      <x:c r="H40" s="329" t="str">
        <x:v>TJ Maxx</x:v>
      </x:c>
      <x:c r="I40" s="329" t="str">
        <x:v>TJ Maxx</x:v>
      </x:c>
      <x:c r="J40" s="329"/>
      <x:c r="K40" s="329" t="str">
        <x:v>Annapolis</x:v>
      </x:c>
      <x:c r="L40" s="329" t="str">
        <x:v>Maryland</x:v>
      </x:c>
      <x:c r="M40" s="566"/>
      <x:c r="N40" s="329" t="str">
        <x:v>MD</x:v>
      </x:c>
      <x:c r="O40" s="483" t="str">
        <x:v>Annapolis|MD</x:v>
      </x:c>
      <x:c r="P40" s="329" t="str">
        <x:v>Completed</x:v>
      </x:c>
      <x:c r="Q40" s="329" t="str">
        <x:v>Physical Service Visit</x:v>
      </x:c>
      <x:c r="R40" s="329" t="n">
        <x:v>1</x:v>
      </x:c>
      <x:c r="S40" s="329" t="str">
        <x:v>5900492</x:v>
      </x:c>
      <x:c r="T40" s="566" t="n">
        <x:v>90</x:v>
      </x:c>
      <x:c r="U40" s="483" t="str">
        <x:v>Eligible</x:v>
      </x:c>
      <x:c r="V40" s="329" t="str">
        <x:v>Payment breakdown reissued/verified; no financial change.</x:v>
      </x:c>
      <x:c r="W40" s="329" t="str">
        <x:v>Timeline + Service Calendar + Canonical Ledger</x:v>
      </x:c>
      <x:c r="X40" s="329" t="str">
        <x:v>Included</x:v>
      </x:c>
      <x:c r="Y40" s="329"/>
      <x:c r="Z40" s="483" t="str">
        <x:v>Yes</x:v>
      </x:c>
      <x:c r="AA40" s="329"/>
      <x:c r="AB40" s="329"/>
      <x:c r="AC40" s="329"/>
      <x:c r="AD40" s="329"/>
      <x:c r="AE40" s="329"/>
    </x:row>
    <x:row r="41">
      <x:c r="A41" s="329" t="n">
        <x:v>40</x:v>
      </x:c>
      <x:c r="B41" s="565" t="str">
        <x:v>EVT-0040</x:v>
      </x:c>
      <x:c r="C41" s="532" t="n">
        <x:v>46183</x:v>
      </x:c>
      <x:c r="D41" s="483" t="str">
        <x:v>Wednesday</x:v>
      </x:c>
      <x:c r="E41" s="329" t="n">
        <x:v>8</x:v>
      </x:c>
      <x:c r="F41" s="329" t="str">
        <x:v>MY_MONTH 2</x:v>
      </x:c>
      <x:c r="G41" s="329" t="str">
        <x:v>CL-011</x:v>
      </x:c>
      <x:c r="H41" s="329" t="str">
        <x:v>Residential – Annapolis Neck, MD</x:v>
      </x:c>
      <x:c r="I41" s="329" t="str">
        <x:v>Residential</x:v>
      </x:c>
      <x:c r="J41" s="329"/>
      <x:c r="K41" s="329" t="str">
        <x:v>Annapolis Neck</x:v>
      </x:c>
      <x:c r="L41" s="329" t="str">
        <x:v>Maryland</x:v>
      </x:c>
      <x:c r="M41" s="566"/>
      <x:c r="N41" s="329" t="str">
        <x:v>MD</x:v>
      </x:c>
      <x:c r="O41" s="483" t="str">
        <x:v>Annapolis Neck|MD</x:v>
      </x:c>
      <x:c r="P41" s="329" t="str">
        <x:v>Completed</x:v>
      </x:c>
      <x:c r="Q41" s="329" t="str">
        <x:v>Physical Service Visit</x:v>
      </x:c>
      <x:c r="R41" s="329" t="n">
        <x:v>1</x:v>
      </x:c>
      <x:c r="S41" s="329" t="str">
        <x:v>5877236</x:v>
      </x:c>
      <x:c r="T41" s="566" t="n">
        <x:v>60</x:v>
      </x:c>
      <x:c r="U41" s="483" t="str">
        <x:v>Eligible</x:v>
      </x:c>
      <x:c r="V41" s="329" t="str">
        <x:v>Dynabook repair completed.</x:v>
      </x:c>
      <x:c r="W41" s="329" t="str">
        <x:v>Timeline + Service Calendar + Canonical Ledger</x:v>
      </x:c>
      <x:c r="X41" s="329" t="str">
        <x:v>Included</x:v>
      </x:c>
      <x:c r="Y41" s="329"/>
      <x:c r="Z41" s="483" t="str">
        <x:v>Yes</x:v>
      </x:c>
      <x:c r="AA41" s="329"/>
      <x:c r="AB41" s="329"/>
      <x:c r="AC41" s="329"/>
      <x:c r="AD41" s="329"/>
      <x:c r="AE41" s="329"/>
    </x:row>
    <x:row r="42">
      <x:c r="A42" s="329" t="n">
        <x:v>41</x:v>
      </x:c>
      <x:c r="B42" s="565" t="str">
        <x:v>EVT-0041</x:v>
      </x:c>
      <x:c r="C42" s="532" t="n">
        <x:v>46184</x:v>
      </x:c>
      <x:c r="D42" s="483" t="str">
        <x:v>Thursday</x:v>
      </x:c>
      <x:c r="E42" s="329" t="n">
        <x:v>8</x:v>
      </x:c>
      <x:c r="F42" s="329" t="str">
        <x:v>MY_MONTH 2</x:v>
      </x:c>
      <x:c r="G42" s="329" t="str">
        <x:v>CL-023</x:v>
      </x:c>
      <x:c r="H42" s="329" t="str">
        <x:v>Baskin-Robbins</x:v>
      </x:c>
      <x:c r="I42" s="329" t="str">
        <x:v>Baskin Robbins</x:v>
      </x:c>
      <x:c r="J42" s="329"/>
      <x:c r="K42" s="329" t="str">
        <x:v>Falls Church</x:v>
      </x:c>
      <x:c r="L42" s="329" t="str">
        <x:v>Virginia</x:v>
      </x:c>
      <x:c r="M42" s="566"/>
      <x:c r="N42" s="329" t="str">
        <x:v>VA</x:v>
      </x:c>
      <x:c r="O42" s="483" t="str">
        <x:v>Falls Church|VA</x:v>
      </x:c>
      <x:c r="P42" s="329" t="str">
        <x:v>Completed</x:v>
      </x:c>
      <x:c r="Q42" s="329" t="str">
        <x:v>Physical Service Visit</x:v>
      </x:c>
      <x:c r="R42" s="329" t="n">
        <x:v>1</x:v>
      </x:c>
      <x:c r="S42" s="329" t="str">
        <x:v>5887374</x:v>
      </x:c>
      <x:c r="T42" s="566" t="n">
        <x:v>45</x:v>
      </x:c>
      <x:c r="U42" s="483" t="str">
        <x:v>Eligible</x:v>
      </x:c>
      <x:c r="V42" s="329" t="str">
        <x:v>Corrected: WO 5887374 = Baskin Robbins. Breakdown and ACH confirmed at $45.</x:v>
      </x:c>
      <x:c r="W42" s="329" t="str">
        <x:v>Timeline + Service Calendar + Canonical Ledger</x:v>
      </x:c>
      <x:c r="X42" s="329" t="str">
        <x:v>Included</x:v>
      </x:c>
      <x:c r="Y42" s="329"/>
      <x:c r="Z42" s="483" t="str">
        <x:v>Yes</x:v>
      </x:c>
      <x:c r="AA42" s="329"/>
      <x:c r="AB42" s="329"/>
      <x:c r="AC42" s="329"/>
      <x:c r="AD42" s="329"/>
      <x:c r="AE42" s="329"/>
    </x:row>
    <x:row r="43">
      <x:c r="A43" s="329" t="n">
        <x:v>42</x:v>
      </x:c>
      <x:c r="B43" s="565" t="str">
        <x:v>EVT-0042</x:v>
      </x:c>
      <x:c r="C43" s="532" t="n">
        <x:v>46184</x:v>
      </x:c>
      <x:c r="D43" s="483" t="str">
        <x:v>Thursday</x:v>
      </x:c>
      <x:c r="E43" s="329" t="n">
        <x:v>8</x:v>
      </x:c>
      <x:c r="F43" s="329" t="str">
        <x:v>MY_MONTH 2</x:v>
      </x:c>
      <x:c r="G43" s="329" t="str">
        <x:v>CL-012</x:v>
      </x:c>
      <x:c r="H43" s="329" t="str">
        <x:v>Verizon</x:v>
      </x:c>
      <x:c r="I43" s="329" t="str">
        <x:v>Verizon</x:v>
      </x:c>
      <x:c r="J43" s="329"/>
      <x:c r="K43" s="329" t="str">
        <x:v>Ellicott City</x:v>
      </x:c>
      <x:c r="L43" s="329" t="str">
        <x:v>Maryland</x:v>
      </x:c>
      <x:c r="M43" s="566"/>
      <x:c r="N43" s="329" t="str">
        <x:v>MD</x:v>
      </x:c>
      <x:c r="O43" s="483" t="str">
        <x:v>Ellicott City|MD</x:v>
      </x:c>
      <x:c r="P43" s="329" t="str">
        <x:v>Completed</x:v>
      </x:c>
      <x:c r="Q43" s="329" t="str">
        <x:v>Physical Service Visit</x:v>
      </x:c>
      <x:c r="R43" s="329" t="n">
        <x:v>1</x:v>
      </x:c>
      <x:c r="S43" s="329" t="str">
        <x:v>5901061</x:v>
      </x:c>
      <x:c r="T43" s="566" t="n">
        <x:v>50</x:v>
      </x:c>
      <x:c r="U43" s="483" t="str">
        <x:v>Eligible</x:v>
      </x:c>
      <x:c r="V43" s="329" t="str">
        <x:v>Payment breakdown found; ACH B5901061T1 confirmed.</x:v>
      </x:c>
      <x:c r="W43" s="329" t="str">
        <x:v>Timeline + Service Calendar + Canonical Ledger</x:v>
      </x:c>
      <x:c r="X43" s="329" t="str">
        <x:v>Included</x:v>
      </x:c>
      <x:c r="Y43" s="329"/>
      <x:c r="Z43" s="483" t="str">
        <x:v>Yes</x:v>
      </x:c>
      <x:c r="AA43" s="329"/>
      <x:c r="AB43" s="329"/>
      <x:c r="AC43" s="329"/>
      <x:c r="AD43" s="329"/>
      <x:c r="AE43" s="329"/>
    </x:row>
    <x:row r="44">
      <x:c r="A44" s="329" t="n">
        <x:v>43</x:v>
      </x:c>
      <x:c r="B44" s="565" t="str">
        <x:v>EVT-0043</x:v>
      </x:c>
      <x:c r="C44" s="532" t="n">
        <x:v>46185</x:v>
      </x:c>
      <x:c r="D44" s="483" t="str">
        <x:v>Friday</x:v>
      </x:c>
      <x:c r="E44" s="329" t="n">
        <x:v>8</x:v>
      </x:c>
      <x:c r="F44" s="329" t="str">
        <x:v>MY_MONTH 2</x:v>
      </x:c>
      <x:c r="G44" s="329" t="str">
        <x:v>CL-012</x:v>
      </x:c>
      <x:c r="H44" s="329" t="str">
        <x:v>Verizon</x:v>
      </x:c>
      <x:c r="I44" s="329" t="str">
        <x:v>Verizon</x:v>
      </x:c>
      <x:c r="J44" s="329"/>
      <x:c r="K44" s="329" t="str">
        <x:v>Lanham</x:v>
      </x:c>
      <x:c r="L44" s="329" t="str">
        <x:v>Maryland</x:v>
      </x:c>
      <x:c r="M44" s="566"/>
      <x:c r="N44" s="329" t="str">
        <x:v>MD</x:v>
      </x:c>
      <x:c r="O44" s="483" t="str">
        <x:v>Lanham|MD</x:v>
      </x:c>
      <x:c r="P44" s="329" t="str">
        <x:v>Completed</x:v>
      </x:c>
      <x:c r="Q44" s="329" t="str">
        <x:v>Physical Service Visit</x:v>
      </x:c>
      <x:c r="R44" s="329" t="n">
        <x:v>1</x:v>
      </x:c>
      <x:c r="S44" s="329" t="str">
        <x:v>5902689</x:v>
      </x:c>
      <x:c r="T44" s="566" t="n">
        <x:v>50</x:v>
      </x:c>
      <x:c r="U44" s="483" t="str">
        <x:v>Eligible</x:v>
      </x:c>
      <x:c r="V44" s="329" t="str">
        <x:v>Verizon Lanham amount locked at $50.</x:v>
      </x:c>
      <x:c r="W44" s="329" t="str">
        <x:v>Timeline + Service Calendar + Canonical Ledger</x:v>
      </x:c>
      <x:c r="X44" s="329" t="str">
        <x:v>Included</x:v>
      </x:c>
      <x:c r="Y44" s="329"/>
      <x:c r="Z44" s="483" t="str">
        <x:v>Yes</x:v>
      </x:c>
      <x:c r="AA44" s="329"/>
      <x:c r="AB44" s="329"/>
      <x:c r="AC44" s="329"/>
      <x:c r="AD44" s="329"/>
      <x:c r="AE44" s="329"/>
    </x:row>
    <x:row r="45">
      <x:c r="A45" s="329" t="n">
        <x:v>44</x:v>
      </x:c>
      <x:c r="B45" s="565" t="str">
        <x:v>EVT-0044</x:v>
      </x:c>
      <x:c r="C45" s="532" t="n">
        <x:v>46188</x:v>
      </x:c>
      <x:c r="D45" s="483" t="str">
        <x:v>Monday</x:v>
      </x:c>
      <x:c r="E45" s="329" t="n">
        <x:v>9</x:v>
      </x:c>
      <x:c r="F45" s="329" t="str">
        <x:v>MY_MONTH 2</x:v>
      </x:c>
      <x:c r="G45" s="329" t="str">
        <x:v>CL-022</x:v>
      </x:c>
      <x:c r="H45" s="329" t="str">
        <x:v>Marshalls</x:v>
      </x:c>
      <x:c r="I45" s="329" t="str">
        <x:v>Marshalls</x:v>
      </x:c>
      <x:c r="J45" s="329"/>
      <x:c r="K45" s="329" t="str">
        <x:v>Frederick</x:v>
      </x:c>
      <x:c r="L45" s="329" t="str">
        <x:v>Maryland</x:v>
      </x:c>
      <x:c r="M45" s="566"/>
      <x:c r="N45" s="329" t="str">
        <x:v>MD</x:v>
      </x:c>
      <x:c r="O45" s="483" t="str">
        <x:v>Frederick|MD</x:v>
      </x:c>
      <x:c r="P45" s="329" t="str">
        <x:v>Completed</x:v>
      </x:c>
      <x:c r="Q45" s="329" t="str">
        <x:v>Physical Service Visit</x:v>
      </x:c>
      <x:c r="R45" s="329" t="n">
        <x:v>1</x:v>
      </x:c>
      <x:c r="S45" s="329" t="str">
        <x:v>5902930</x:v>
      </x:c>
      <x:c r="T45" s="566" t="n">
        <x:v>123.75</x:v>
      </x:c>
      <x:c r="U45" s="483" t="str">
        <x:v>Eligible</x:v>
      </x:c>
      <x:c r="V45" s="329" t="str">
        <x:v>ACH confirmed B5902930T2 at $123.75.</x:v>
      </x:c>
      <x:c r="W45" s="329" t="str">
        <x:v>Timeline + Service Calendar + Canonical Ledger</x:v>
      </x:c>
      <x:c r="X45" s="329" t="str">
        <x:v>Included</x:v>
      </x:c>
      <x:c r="Y45" s="329"/>
      <x:c r="Z45" s="483" t="str">
        <x:v>Yes</x:v>
      </x:c>
      <x:c r="AA45" s="329"/>
      <x:c r="AB45" s="329"/>
      <x:c r="AC45" s="329"/>
      <x:c r="AD45" s="329"/>
      <x:c r="AE45" s="329"/>
    </x:row>
    <x:row r="46">
      <x:c r="A46" s="329" t="n">
        <x:v>45</x:v>
      </x:c>
      <x:c r="B46" s="565" t="str">
        <x:v>EVT-0045</x:v>
      </x:c>
      <x:c r="C46" s="532" t="n">
        <x:v>46190</x:v>
      </x:c>
      <x:c r="D46" s="483" t="str">
        <x:v>Wednesday</x:v>
      </x:c>
      <x:c r="E46" s="329" t="n">
        <x:v>9</x:v>
      </x:c>
      <x:c r="F46" s="329" t="str">
        <x:v>MY_MONTH 2</x:v>
      </x:c>
      <x:c r="G46" s="329" t="str">
        <x:v>CL-024</x:v>
      </x:c>
      <x:c r="H46" s="329" t="str">
        <x:v>Montpelier Liquors</x:v>
      </x:c>
      <x:c r="I46" s="329" t="str">
        <x:v>Montpelier Liquors</x:v>
      </x:c>
      <x:c r="J46" s="329"/>
      <x:c r="K46" s="329" t="str">
        <x:v>Laurel</x:v>
      </x:c>
      <x:c r="L46" s="329" t="str">
        <x:v>Maryland</x:v>
      </x:c>
      <x:c r="M46" s="566"/>
      <x:c r="N46" s="329" t="str">
        <x:v>MD</x:v>
      </x:c>
      <x:c r="O46" s="483" t="str">
        <x:v>Laurel|MD</x:v>
      </x:c>
      <x:c r="P46" s="329" t="str">
        <x:v>Completed</x:v>
      </x:c>
      <x:c r="Q46" s="329" t="str">
        <x:v>Physical Service Visit</x:v>
      </x:c>
      <x:c r="R46" s="329" t="n">
        <x:v>1</x:v>
      </x:c>
      <x:c r="S46" s="329" t="str">
        <x:v>5900963</x:v>
      </x:c>
      <x:c r="T46" s="566" t="n">
        <x:v>128</x:v>
      </x:c>
      <x:c r="U46" s="483" t="str">
        <x:v>Eligible</x:v>
      </x:c>
      <x:c r="V46" s="329" t="str">
        <x:v>Montpelier Liquors WO 5900963; ACH confirmed July 1 at $128.</x:v>
      </x:c>
      <x:c r="W46" s="329" t="str">
        <x:v>Timeline + Service Calendar + Canonical Ledger</x:v>
      </x:c>
      <x:c r="X46" s="329" t="str">
        <x:v>Included</x:v>
      </x:c>
      <x:c r="Y46" s="329"/>
      <x:c r="Z46" s="483" t="str">
        <x:v>Yes</x:v>
      </x:c>
      <x:c r="AA46" s="329"/>
      <x:c r="AB46" s="329"/>
      <x:c r="AC46" s="329"/>
      <x:c r="AD46" s="329"/>
      <x:c r="AE46" s="329"/>
    </x:row>
    <x:row r="47">
      <x:c r="A47" s="329" t="n">
        <x:v>46</x:v>
      </x:c>
      <x:c r="B47" s="565" t="str">
        <x:v>EVT-0046</x:v>
      </x:c>
      <x:c r="C47" s="532" t="n">
        <x:v>46190</x:v>
      </x:c>
      <x:c r="D47" s="483" t="str">
        <x:v>Wednesday</x:v>
      </x:c>
      <x:c r="E47" s="329" t="n">
        <x:v>9</x:v>
      </x:c>
      <x:c r="F47" s="329" t="str">
        <x:v>MY_MONTH 2</x:v>
      </x:c>
      <x:c r="G47" s="329" t="str">
        <x:v>CL-022</x:v>
      </x:c>
      <x:c r="H47" s="329" t="str">
        <x:v>Marshalls</x:v>
      </x:c>
      <x:c r="I47" s="329" t="str">
        <x:v>Marshalls</x:v>
      </x:c>
      <x:c r="J47" s="329"/>
      <x:c r="K47" s="329" t="str">
        <x:v>Laurel</x:v>
      </x:c>
      <x:c r="L47" s="329" t="str">
        <x:v>Maryland</x:v>
      </x:c>
      <x:c r="M47" s="566"/>
      <x:c r="N47" s="329" t="str">
        <x:v>MD</x:v>
      </x:c>
      <x:c r="O47" s="483" t="str">
        <x:v>Laurel|MD</x:v>
      </x:c>
      <x:c r="P47" s="329" t="str">
        <x:v>Completed</x:v>
      </x:c>
      <x:c r="Q47" s="329" t="str">
        <x:v>Physical Service Visit</x:v>
      </x:c>
      <x:c r="R47" s="329" t="n">
        <x:v>1</x:v>
      </x:c>
      <x:c r="S47" s="329" t="str">
        <x:v>5904843</x:v>
      </x:c>
      <x:c r="T47" s="566" t="n">
        <x:v>90</x:v>
      </x:c>
      <x:c r="U47" s="483" t="str">
        <x:v>Eligible</x:v>
      </x:c>
      <x:c r="V47" s="329" t="str">
        <x:v>Marshalls Laurel WO 5904843; payment breakdown $90 and ACH confirmed July 1.</x:v>
      </x:c>
      <x:c r="W47" s="329" t="str">
        <x:v>Timeline + Service Calendar + Canonical Ledger</x:v>
      </x:c>
      <x:c r="X47" s="329" t="str">
        <x:v>Included</x:v>
      </x:c>
      <x:c r="Y47" s="329"/>
      <x:c r="Z47" s="483" t="str">
        <x:v>Yes</x:v>
      </x:c>
      <x:c r="AA47" s="329"/>
      <x:c r="AB47" s="329"/>
      <x:c r="AC47" s="329"/>
      <x:c r="AD47" s="329"/>
      <x:c r="AE47" s="329"/>
    </x:row>
    <x:row r="48">
      <x:c r="A48" s="329" t="n">
        <x:v>47</x:v>
      </x:c>
      <x:c r="B48" s="565" t="str">
        <x:v>EVT-0047</x:v>
      </x:c>
      <x:c r="C48" s="532" t="n">
        <x:v>46191</x:v>
      </x:c>
      <x:c r="D48" s="483" t="str">
        <x:v>Thursday</x:v>
      </x:c>
      <x:c r="E48" s="329" t="n">
        <x:v>9</x:v>
      </x:c>
      <x:c r="F48" s="329" t="str">
        <x:v>MY_MONTH 2</x:v>
      </x:c>
      <x:c r="G48" s="329" t="str">
        <x:v>CL-025</x:v>
      </x:c>
      <x:c r="H48" s="329" t="str">
        <x:v>Office of MD Senator Angela Alsobrooks</x:v>
      </x:c>
      <x:c r="I48" s="329" t="str">
        <x:v>Office of MD Senator Angela Alsobrooks</x:v>
      </x:c>
      <x:c r="J48" s="329"/>
      <x:c r="K48" s="329" t="str">
        <x:v>Bowie</x:v>
      </x:c>
      <x:c r="L48" s="329" t="str">
        <x:v>Maryland</x:v>
      </x:c>
      <x:c r="M48" s="566"/>
      <x:c r="N48" s="329" t="str">
        <x:v>MD</x:v>
      </x:c>
      <x:c r="O48" s="483" t="str">
        <x:v>Bowie|MD</x:v>
      </x:c>
      <x:c r="P48" s="329" t="str">
        <x:v>Completed</x:v>
      </x:c>
      <x:c r="Q48" s="329" t="str">
        <x:v>Physical Service Visit</x:v>
      </x:c>
      <x:c r="R48" s="329" t="n">
        <x:v>1</x:v>
      </x:c>
      <x:c r="S48" s="329" t="str">
        <x:v>5898644</x:v>
      </x:c>
      <x:c r="T48" s="566" t="n">
        <x:v>130</x:v>
      </x:c>
      <x:c r="U48" s="483" t="str">
        <x:v>Eligible</x:v>
      </x:c>
      <x:c r="V48" s="329" t="str">
        <x:v>Office of MD Senator Angela Alsobrooks Bowie WO 5898644; breakdown $130 and ACH confirmed July 2.</x:v>
      </x:c>
      <x:c r="W48" s="329" t="str">
        <x:v>Timeline + Service Calendar + Canonical Ledger</x:v>
      </x:c>
      <x:c r="X48" s="329" t="str">
        <x:v>Included</x:v>
      </x:c>
      <x:c r="Y48" s="329"/>
      <x:c r="Z48" s="483" t="str">
        <x:v>Yes</x:v>
      </x:c>
      <x:c r="AA48" s="329"/>
      <x:c r="AB48" s="329"/>
      <x:c r="AC48" s="329"/>
      <x:c r="AD48" s="329"/>
      <x:c r="AE48" s="329"/>
    </x:row>
    <x:row r="49">
      <x:c r="A49" s="329" t="n">
        <x:v>48</x:v>
      </x:c>
      <x:c r="B49" s="565" t="str">
        <x:v>EVT-0048</x:v>
      </x:c>
      <x:c r="C49" s="532" t="n">
        <x:v>46191</x:v>
      </x:c>
      <x:c r="D49" s="483" t="str">
        <x:v>Thursday</x:v>
      </x:c>
      <x:c r="E49" s="329" t="n">
        <x:v>9</x:v>
      </x:c>
      <x:c r="F49" s="329" t="str">
        <x:v>MY_MONTH 2</x:v>
      </x:c>
      <x:c r="G49" s="329" t="str">
        <x:v>CL-005</x:v>
      </x:c>
      <x:c r="H49" s="329" t="str">
        <x:v>Hebrew Home of Greater Washington</x:v>
      </x:c>
      <x:c r="I49" s="329" t="str">
        <x:v>Hebrew Home of Greater Washington</x:v>
      </x:c>
      <x:c r="J49" s="329"/>
      <x:c r="K49" s="329" t="str">
        <x:v>North Bethesda</x:v>
      </x:c>
      <x:c r="L49" s="329" t="str">
        <x:v>Maryland</x:v>
      </x:c>
      <x:c r="M49" s="566"/>
      <x:c r="N49" s="329" t="str">
        <x:v>MD</x:v>
      </x:c>
      <x:c r="O49" s="483" t="str">
        <x:v>North Bethesda|MD</x:v>
      </x:c>
      <x:c r="P49" s="329" t="str">
        <x:v>Completed</x:v>
      </x:c>
      <x:c r="Q49" s="329" t="str">
        <x:v>Physical Service Visit</x:v>
      </x:c>
      <x:c r="R49" s="329" t="n">
        <x:v>1</x:v>
      </x:c>
      <x:c r="S49" s="329" t="str">
        <x:v>5905576</x:v>
      </x:c>
      <x:c r="T49" s="566" t="n">
        <x:v>70</x:v>
      </x:c>
      <x:c r="U49" s="483" t="str">
        <x:v>Eligible</x:v>
      </x:c>
      <x:c r="V49" s="329" t="str">
        <x:v>Companion WO issue 5905576 / 5905579 remains under ACH mapping review; $35 ACH for 5905579 may relate to companion split or later no-show row.</x:v>
      </x:c>
      <x:c r="W49" s="329" t="str">
        <x:v>Timeline + Service Calendar + Canonical Ledger</x:v>
      </x:c>
      <x:c r="X49" s="329" t="str">
        <x:v>Included</x:v>
      </x:c>
      <x:c r="Y49" s="329"/>
      <x:c r="Z49" s="483" t="str">
        <x:v>Yes</x:v>
      </x:c>
      <x:c r="AA49" s="329"/>
      <x:c r="AB49" s="329"/>
      <x:c r="AC49" s="329"/>
      <x:c r="AD49" s="329"/>
      <x:c r="AE49" s="329"/>
    </x:row>
    <x:row r="50">
      <x:c r="A50" s="329" t="n">
        <x:v>49</x:v>
      </x:c>
      <x:c r="B50" s="565" t="str">
        <x:v>EVT-0049</x:v>
      </x:c>
      <x:c r="C50" s="532" t="n">
        <x:v>46192</x:v>
      </x:c>
      <x:c r="D50" s="483" t="str">
        <x:v>Friday</x:v>
      </x:c>
      <x:c r="E50" s="329" t="n">
        <x:v>9</x:v>
      </x:c>
      <x:c r="F50" s="329" t="str">
        <x:v>MY_MONTH 2</x:v>
      </x:c>
      <x:c r="G50" s="329" t="str">
        <x:v>CL-009</x:v>
      </x:c>
      <x:c r="H50" s="329" t="str">
        <x:v>Weis Markets</x:v>
      </x:c>
      <x:c r="I50" s="329" t="str">
        <x:v>Weis Markets</x:v>
      </x:c>
      <x:c r="J50" s="329"/>
      <x:c r="K50" s="329" t="str">
        <x:v>Callaway</x:v>
      </x:c>
      <x:c r="L50" s="329" t="str">
        <x:v>Maryland</x:v>
      </x:c>
      <x:c r="M50" s="566"/>
      <x:c r="N50" s="329" t="str">
        <x:v>MD</x:v>
      </x:c>
      <x:c r="O50" s="483" t="str">
        <x:v>Callaway|MD</x:v>
      </x:c>
      <x:c r="P50" s="329" t="str">
        <x:v>Completed</x:v>
      </x:c>
      <x:c r="Q50" s="329" t="str">
        <x:v>Physical Service Visit</x:v>
      </x:c>
      <x:c r="R50" s="329" t="n">
        <x:v>1</x:v>
      </x:c>
      <x:c r="S50" s="329" t="str">
        <x:v>5899546</x:v>
      </x:c>
      <x:c r="T50" s="566" t="n">
        <x:v>90</x:v>
      </x:c>
      <x:c r="U50" s="483" t="str">
        <x:v>Eligible</x:v>
      </x:c>
      <x:c r="V50" s="329" t="str">
        <x:v>Weis Markets Callaway WO 5899546; breakdown $90 and ACH confirmed July 2.</x:v>
      </x:c>
      <x:c r="W50" s="329" t="str">
        <x:v>Timeline + Service Calendar + Canonical Ledger</x:v>
      </x:c>
      <x:c r="X50" s="329" t="str">
        <x:v>Included</x:v>
      </x:c>
      <x:c r="Y50" s="329"/>
      <x:c r="Z50" s="483" t="str">
        <x:v>Yes</x:v>
      </x:c>
      <x:c r="AA50" s="329"/>
      <x:c r="AB50" s="329"/>
      <x:c r="AC50" s="329"/>
      <x:c r="AD50" s="329"/>
      <x:c r="AE50" s="329"/>
    </x:row>
    <x:row r="51">
      <x:c r="A51" s="329" t="n">
        <x:v>50</x:v>
      </x:c>
      <x:c r="B51" s="565" t="str">
        <x:v>EVT-0050</x:v>
      </x:c>
      <x:c r="C51" s="532" t="n">
        <x:v>46192</x:v>
      </x:c>
      <x:c r="D51" s="483" t="str">
        <x:v>Friday</x:v>
      </x:c>
      <x:c r="E51" s="329" t="n">
        <x:v>9</x:v>
      </x:c>
      <x:c r="F51" s="329" t="str">
        <x:v>MY_MONTH 2</x:v>
      </x:c>
      <x:c r="G51" s="329" t="str">
        <x:v>CL-007</x:v>
      </x:c>
      <x:c r="H51" s="329" t="str">
        <x:v>Giant Food Stores</x:v>
      </x:c>
      <x:c r="I51" s="329" t="str">
        <x:v>Giant Food Stores</x:v>
      </x:c>
      <x:c r="J51" s="329"/>
      <x:c r="K51" s="329" t="str">
        <x:v>Washington</x:v>
      </x:c>
      <x:c r="L51" s="329" t="str">
        <x:v>Washington, DC</x:v>
      </x:c>
      <x:c r="M51" s="566"/>
      <x:c r="N51" s="329" t="str">
        <x:v>DC</x:v>
      </x:c>
      <x:c r="O51" s="483" t="str">
        <x:v>Washington|DC</x:v>
      </x:c>
      <x:c r="P51" s="329" t="str">
        <x:v>Completed</x:v>
      </x:c>
      <x:c r="Q51" s="329" t="str">
        <x:v>Physical Service Visit</x:v>
      </x:c>
      <x:c r="R51" s="329" t="n">
        <x:v>1</x:v>
      </x:c>
      <x:c r="S51" s="329" t="str">
        <x:v>5903036</x:v>
      </x:c>
      <x:c r="T51" s="566" t="n">
        <x:v>50</x:v>
      </x:c>
      <x:c r="U51" s="483" t="str">
        <x:v>Eligible</x:v>
      </x:c>
      <x:c r="V51" s="329" t="str">
        <x:v>Giant Food Stores DC/Wisconsin Ave WO 5903036; breakdown $50 and ACH confirmed July 2. Corrected from prior TBD/missing state.</x:v>
      </x:c>
      <x:c r="W51" s="329" t="str">
        <x:v>Timeline + Service Calendar + Canonical Ledger</x:v>
      </x:c>
      <x:c r="X51" s="329" t="str">
        <x:v>Included</x:v>
      </x:c>
      <x:c r="Y51" s="329"/>
      <x:c r="Z51" s="483" t="str">
        <x:v>Yes</x:v>
      </x:c>
      <x:c r="AA51" s="329"/>
      <x:c r="AB51" s="329"/>
      <x:c r="AC51" s="329"/>
      <x:c r="AD51" s="329"/>
      <x:c r="AE51" s="329"/>
    </x:row>
    <x:row r="52">
      <x:c r="A52" s="329" t="n">
        <x:v>51</x:v>
      </x:c>
      <x:c r="B52" s="565" t="str">
        <x:v>EVT-0051</x:v>
      </x:c>
      <x:c r="C52" s="532" t="n">
        <x:v>46195</x:v>
      </x:c>
      <x:c r="D52" s="483" t="str">
        <x:v>Monday</x:v>
      </x:c>
      <x:c r="E52" s="329" t="n">
        <x:v>10</x:v>
      </x:c>
      <x:c r="F52" s="329" t="str">
        <x:v>MY_MONTH 3</x:v>
      </x:c>
      <x:c r="G52" s="329" t="str">
        <x:v>CL-005</x:v>
      </x:c>
      <x:c r="H52" s="329" t="str">
        <x:v>Hebrew Home of Greater Washington</x:v>
      </x:c>
      <x:c r="I52" s="329" t="str">
        <x:v>Hebrew Home of Greater Washington</x:v>
      </x:c>
      <x:c r="J52" s="329"/>
      <x:c r="K52" s="329" t="str">
        <x:v>North Bethesda</x:v>
      </x:c>
      <x:c r="L52" s="329" t="str">
        <x:v>Maryland</x:v>
      </x:c>
      <x:c r="M52" s="566"/>
      <x:c r="N52" s="329" t="str">
        <x:v>MD</x:v>
      </x:c>
      <x:c r="O52" s="483" t="str">
        <x:v>North Bethesda|MD</x:v>
      </x:c>
      <x:c r="P52" s="329" t="str">
        <x:v>Completed</x:v>
      </x:c>
      <x:c r="Q52" s="329" t="str">
        <x:v>Physical Service Visit</x:v>
      </x:c>
      <x:c r="R52" s="329" t="n">
        <x:v>0</x:v>
      </x:c>
      <x:c r="S52" s="329" t="str">
        <x:v>5905579</x:v>
      </x:c>
      <x:c r="T52" s="566" t="n">
        <x:v>60</x:v>
      </x:c>
      <x:c r="U52" s="483" t="str">
        <x:v>Eligible</x:v>
      </x:c>
      <x:c r="V52" s="329" t="str">
        <x:v>Breakdown $60 is confirmed and remains eligible for revenue metrics. ACH $35 is under mapping/variance review; payment mapping does not invalidate the confirmed breakdown.</x:v>
      </x:c>
      <x:c r="W52" s="329" t="str">
        <x:v>Timeline + Service Calendar + Canonical Ledger</x:v>
      </x:c>
      <x:c r="X52" s="329" t="str">
        <x:v>Included</x:v>
      </x:c>
      <x:c r="Y52" s="329"/>
      <x:c r="Z52" s="483" t="str">
        <x:v>Yes</x:v>
      </x:c>
      <x:c r="AA52" s="329"/>
      <x:c r="AB52" s="329"/>
      <x:c r="AC52" s="329"/>
      <x:c r="AD52" s="329"/>
      <x:c r="AE52" s="329"/>
    </x:row>
    <x:row r="53">
      <x:c r="A53" s="329" t="n">
        <x:v>52</x:v>
      </x:c>
      <x:c r="B53" s="565" t="str">
        <x:v>EVT-0052</x:v>
      </x:c>
      <x:c r="C53" s="532" t="n">
        <x:v>46196</x:v>
      </x:c>
      <x:c r="D53" s="483" t="str">
        <x:v>Tuesday</x:v>
      </x:c>
      <x:c r="E53" s="329" t="n">
        <x:v>10</x:v>
      </x:c>
      <x:c r="F53" s="329" t="str">
        <x:v>MY_MONTH 3</x:v>
      </x:c>
      <x:c r="G53" s="329" t="str">
        <x:v>CL-008</x:v>
      </x:c>
      <x:c r="H53" s="329" t="str">
        <x:v>Food Lion</x:v>
      </x:c>
      <x:c r="I53" s="329" t="str">
        <x:v>Food Lion</x:v>
      </x:c>
      <x:c r="J53" s="329"/>
      <x:c r="K53" s="329" t="str">
        <x:v>Upper Marlboro</x:v>
      </x:c>
      <x:c r="L53" s="329" t="str">
        <x:v>Maryland</x:v>
      </x:c>
      <x:c r="M53" s="566"/>
      <x:c r="N53" s="329" t="str">
        <x:v>MD</x:v>
      </x:c>
      <x:c r="O53" s="483" t="str">
        <x:v>Upper Marlboro|MD</x:v>
      </x:c>
      <x:c r="P53" s="329" t="str">
        <x:v>Completed</x:v>
      </x:c>
      <x:c r="Q53" s="329" t="str">
        <x:v>Physical Service Visit</x:v>
      </x:c>
      <x:c r="R53" s="329" t="n">
        <x:v>1</x:v>
      </x:c>
      <x:c r="S53" s="329" t="str">
        <x:v>5906380</x:v>
      </x:c>
      <x:c r="T53" s="566" t="n">
        <x:v>116.24</x:v>
      </x:c>
      <x:c r="U53" s="483" t="str">
        <x:v>Eligible</x:v>
      </x:c>
      <x:c r="V53" s="329" t="str">
        <x:v>Food Lion payment breakdown confirmed.</x:v>
      </x:c>
      <x:c r="W53" s="329" t="str">
        <x:v>Timeline + Service Calendar + Canonical Ledger</x:v>
      </x:c>
      <x:c r="X53" s="329" t="str">
        <x:v>Included</x:v>
      </x:c>
      <x:c r="Y53" s="329"/>
      <x:c r="Z53" s="483" t="str">
        <x:v>Yes</x:v>
      </x:c>
      <x:c r="AA53" s="329"/>
      <x:c r="AB53" s="329"/>
      <x:c r="AC53" s="329"/>
      <x:c r="AD53" s="329"/>
      <x:c r="AE53" s="329"/>
    </x:row>
    <x:row r="54">
      <x:c r="A54" s="329" t="n">
        <x:v>53</x:v>
      </x:c>
      <x:c r="B54" s="565" t="str">
        <x:v>EVT-0053</x:v>
      </x:c>
      <x:c r="C54" s="532" t="n">
        <x:v>46197</x:v>
      </x:c>
      <x:c r="D54" s="483" t="str">
        <x:v>Wednesday</x:v>
      </x:c>
      <x:c r="E54" s="329" t="n">
        <x:v>10</x:v>
      </x:c>
      <x:c r="F54" s="329" t="str">
        <x:v>MY_MONTH 3</x:v>
      </x:c>
      <x:c r="G54" s="329" t="str">
        <x:v>CL-021</x:v>
      </x:c>
      <x:c r="H54" s="329" t="str">
        <x:v>Hilton Garden Inn</x:v>
      </x:c>
      <x:c r="I54" s="329" t="str">
        <x:v>Hilton Garden Inn DC</x:v>
      </x:c>
      <x:c r="J54" s="329"/>
      <x:c r="K54" s="329" t="str">
        <x:v>Washington</x:v>
      </x:c>
      <x:c r="L54" s="329" t="str">
        <x:v>Washington, DC</x:v>
      </x:c>
      <x:c r="M54" s="566"/>
      <x:c r="N54" s="329" t="str">
        <x:v>DC</x:v>
      </x:c>
      <x:c r="O54" s="483" t="str">
        <x:v>Washington|DC</x:v>
      </x:c>
      <x:c r="P54" s="329" t="str">
        <x:v>Completed</x:v>
      </x:c>
      <x:c r="Q54" s="329" t="str">
        <x:v>Physical Service Visit</x:v>
      </x:c>
      <x:c r="R54" s="329" t="n">
        <x:v>1</x:v>
      </x:c>
      <x:c r="S54" s="329" t="str">
        <x:v>5907571</x:v>
      </x:c>
      <x:c r="T54" s="566" t="n">
        <x:v>132.03</x:v>
      </x:c>
      <x:c r="U54" s="483" t="str">
        <x:v>Eligible</x:v>
      </x:c>
      <x:c r="V54" s="329" t="str">
        <x:v>Hilton Garden Inn DC payment breakdown confirmed; ACH B5907571T1 processed $132.03 on 2026-07-08.</x:v>
      </x:c>
      <x:c r="W54" s="329" t="str">
        <x:v>Timeline + Service Calendar + Canonical Ledger</x:v>
      </x:c>
      <x:c r="X54" s="329" t="str">
        <x:v>Included</x:v>
      </x:c>
      <x:c r="Y54" s="329"/>
      <x:c r="Z54" s="483" t="str">
        <x:v>Yes</x:v>
      </x:c>
      <x:c r="AA54" s="329"/>
      <x:c r="AB54" s="329"/>
      <x:c r="AC54" s="329"/>
      <x:c r="AD54" s="329"/>
      <x:c r="AE54" s="329"/>
    </x:row>
    <x:row r="55">
      <x:c r="A55" s="329" t="n">
        <x:v>54</x:v>
      </x:c>
      <x:c r="B55" s="565" t="str">
        <x:v>EVT-0054</x:v>
      </x:c>
      <x:c r="C55" s="532" t="n">
        <x:v>46203</x:v>
      </x:c>
      <x:c r="D55" s="483" t="str">
        <x:v>Tuesday</x:v>
      </x:c>
      <x:c r="E55" s="329" t="n">
        <x:v>11</x:v>
      </x:c>
      <x:c r="F55" s="329" t="str">
        <x:v>MY_MONTH 3</x:v>
      </x:c>
      <x:c r="G55" s="329" t="str">
        <x:v>CL-006</x:v>
      </x:c>
      <x:c r="H55" s="329" t="str">
        <x:v>7-Eleven</x:v>
      </x:c>
      <x:c r="I55" s="329" t="str">
        <x:v>7-Eleven</x:v>
      </x:c>
      <x:c r="J55" s="329"/>
      <x:c r="K55" s="329" t="str">
        <x:v>Owings Mills</x:v>
      </x:c>
      <x:c r="L55" s="329" t="str">
        <x:v>Maryland</x:v>
      </x:c>
      <x:c r="M55" s="566"/>
      <x:c r="N55" s="329" t="str">
        <x:v>MD</x:v>
      </x:c>
      <x:c r="O55" s="483" t="str">
        <x:v>Owings Mills|MD</x:v>
      </x:c>
      <x:c r="P55" s="329" t="str">
        <x:v>Completed</x:v>
      </x:c>
      <x:c r="Q55" s="329" t="str">
        <x:v>Physical Service Visit</x:v>
      </x:c>
      <x:c r="R55" s="329" t="n">
        <x:v>1</x:v>
      </x:c>
      <x:c r="S55" s="329" t="str">
        <x:v>5910094</x:v>
      </x:c>
      <x:c r="T55" s="566" t="n">
        <x:v>120</x:v>
      </x:c>
      <x:c r="U55" s="483" t="str">
        <x:v>Eligible</x:v>
      </x:c>
      <x:c r="V55" s="329" t="str">
        <x:v>7-Eleven Owings Mills WO 5910094; payment breakdown $120 confirmed and ACH processed 2026-07-14.</x:v>
      </x:c>
      <x:c r="W55" s="329" t="str">
        <x:v>Timeline + Canonical Ledger + Gmail ACH confirmation 2026-07-14</x:v>
      </x:c>
      <x:c r="X55" s="329" t="str">
        <x:v>Included</x:v>
      </x:c>
      <x:c r="Y55" s="329"/>
      <x:c r="Z55" s="483" t="str">
        <x:v>Yes</x:v>
      </x:c>
      <x:c r="AA55" s="329"/>
      <x:c r="AB55" s="329"/>
      <x:c r="AC55" s="329"/>
      <x:c r="AD55" s="329"/>
      <x:c r="AE55" s="329"/>
    </x:row>
    <x:row r="56">
      <x:c r="A56" s="329" t="n">
        <x:v>55</x:v>
      </x:c>
      <x:c r="B56" s="565" t="str">
        <x:v>EVT-0055</x:v>
      </x:c>
      <x:c r="C56" s="532" t="n">
        <x:v>46204</x:v>
      </x:c>
      <x:c r="D56" s="483" t="str">
        <x:v>Wednesday</x:v>
      </x:c>
      <x:c r="E56" s="329" t="n">
        <x:v>11</x:v>
      </x:c>
      <x:c r="F56" s="329" t="str">
        <x:v>MY_MONTH 3</x:v>
      </x:c>
      <x:c r="G56" s="329" t="str">
        <x:v>CL-025</x:v>
      </x:c>
      <x:c r="H56" s="329" t="str">
        <x:v>Office of MD Senator Angela Alsobrooks</x:v>
      </x:c>
      <x:c r="I56" s="329" t="str">
        <x:v>Office of MD Senator Angela Alsobrooks</x:v>
      </x:c>
      <x:c r="J56" s="329"/>
      <x:c r="K56" s="329" t="str">
        <x:v>Largo</x:v>
      </x:c>
      <x:c r="L56" s="329" t="str">
        <x:v>Maryland</x:v>
      </x:c>
      <x:c r="M56" s="566"/>
      <x:c r="N56" s="329" t="str">
        <x:v>MD</x:v>
      </x:c>
      <x:c r="O56" s="483" t="str">
        <x:v>Largo|MD</x:v>
      </x:c>
      <x:c r="P56" s="329" t="str">
        <x:v>Completed</x:v>
      </x:c>
      <x:c r="Q56" s="329" t="str">
        <x:v>Physical Service Visit</x:v>
      </x:c>
      <x:c r="R56" s="329" t="n">
        <x:v>1</x:v>
      </x:c>
      <x:c r="S56" s="329" t="str">
        <x:v>5898645</x:v>
      </x:c>
      <x:c r="T56" s="566" t="n">
        <x:v>120</x:v>
      </x:c>
      <x:c r="U56" s="483" t="str">
        <x:v>Eligible</x:v>
      </x:c>
      <x:c r="V56" s="329" t="str">
        <x:v>Largo office deployment; payment breakdown $120 received; ACH pending.</x:v>
      </x:c>
      <x:c r="W56" s="329" t="str">
        <x:v>Timeline + Service Calendar + Canonical Ledger</x:v>
      </x:c>
      <x:c r="X56" s="329" t="str">
        <x:v>Included</x:v>
      </x:c>
      <x:c r="Y56" s="329"/>
      <x:c r="Z56" s="483" t="str">
        <x:v>Yes</x:v>
      </x:c>
      <x:c r="AA56" s="329"/>
      <x:c r="AB56" s="329"/>
      <x:c r="AC56" s="329"/>
      <x:c r="AD56" s="329"/>
      <x:c r="AE56" s="329"/>
    </x:row>
    <x:row r="57">
      <x:c r="A57" s="329" t="n">
        <x:v>56</x:v>
      </x:c>
      <x:c r="B57" s="565" t="str">
        <x:v>EVT-0056</x:v>
      </x:c>
      <x:c r="C57" s="532" t="n">
        <x:v>46205</x:v>
      </x:c>
      <x:c r="D57" s="483" t="str">
        <x:v>Thursday</x:v>
      </x:c>
      <x:c r="E57" s="329" t="n">
        <x:v>11</x:v>
      </x:c>
      <x:c r="F57" s="329" t="str">
        <x:v>MY_MONTH 3</x:v>
      </x:c>
      <x:c r="G57" s="329" t="str">
        <x:v>CL-026</x:v>
      </x:c>
      <x:c r="H57" s="329" t="str">
        <x:v>Dunkin</x:v>
      </x:c>
      <x:c r="I57" s="329" t="str">
        <x:v>Dunkin</x:v>
      </x:c>
      <x:c r="J57" s="329"/>
      <x:c r="K57" s="329" t="str">
        <x:v>Reisterstown</x:v>
      </x:c>
      <x:c r="L57" s="329" t="str">
        <x:v>Maryland</x:v>
      </x:c>
      <x:c r="M57" s="566"/>
      <x:c r="N57" s="329" t="str">
        <x:v>MD</x:v>
      </x:c>
      <x:c r="O57" s="483" t="str">
        <x:v>Reisterstown|MD</x:v>
      </x:c>
      <x:c r="P57" s="329" t="str">
        <x:v>Completed</x:v>
      </x:c>
      <x:c r="Q57" s="329" t="str">
        <x:v>Physical Service Visit</x:v>
      </x:c>
      <x:c r="R57" s="329" t="n">
        <x:v>1</x:v>
      </x:c>
      <x:c r="S57" s="329" t="str">
        <x:v>5900784</x:v>
      </x:c>
      <x:c r="T57" s="566" t="n">
        <x:v>170.66</x:v>
      </x:c>
      <x:c r="U57" s="483" t="str">
        <x:v>Eligible</x:v>
      </x:c>
      <x:c r="V57" s="329" t="str">
        <x:v>Dunkin Reisterstown completed; payment breakdown $170.66; ACH pending.</x:v>
      </x:c>
      <x:c r="W57" s="329" t="str">
        <x:v>Timeline + Service Calendar + Canonical Ledger</x:v>
      </x:c>
      <x:c r="X57" s="329" t="str">
        <x:v>Included</x:v>
      </x:c>
      <x:c r="Y57" s="329"/>
      <x:c r="Z57" s="483" t="str">
        <x:v>Yes</x:v>
      </x:c>
      <x:c r="AA57" s="329"/>
      <x:c r="AB57" s="329"/>
      <x:c r="AC57" s="329"/>
      <x:c r="AD57" s="329"/>
      <x:c r="AE57" s="329"/>
    </x:row>
    <x:row r="58">
      <x:c r="A58" s="329" t="n">
        <x:v>57</x:v>
      </x:c>
      <x:c r="B58" s="565" t="str">
        <x:v>EVT-0057</x:v>
      </x:c>
      <x:c r="C58" s="532" t="n">
        <x:v>46209</x:v>
      </x:c>
      <x:c r="D58" s="483" t="str">
        <x:v>Monday</x:v>
      </x:c>
      <x:c r="E58" s="329" t="n">
        <x:v>12</x:v>
      </x:c>
      <x:c r="F58" s="329" t="str">
        <x:v>MY_MONTH 3</x:v>
      </x:c>
      <x:c r="G58" s="329" t="str">
        <x:v>CL-024</x:v>
      </x:c>
      <x:c r="H58" s="329" t="str">
        <x:v>Montpelier Liquors</x:v>
      </x:c>
      <x:c r="I58" s="329" t="str">
        <x:v>Montpelier Liquors</x:v>
      </x:c>
      <x:c r="J58" s="329"/>
      <x:c r="K58" s="329" t="str">
        <x:v>Laurel</x:v>
      </x:c>
      <x:c r="L58" s="329" t="str">
        <x:v>Maryland</x:v>
      </x:c>
      <x:c r="M58" s="566"/>
      <x:c r="N58" s="329" t="str">
        <x:v>MD</x:v>
      </x:c>
      <x:c r="O58" s="483" t="str">
        <x:v>Laurel|MD</x:v>
      </x:c>
      <x:c r="P58" s="329" t="str">
        <x:v>Completed</x:v>
      </x:c>
      <x:c r="Q58" s="329" t="str">
        <x:v>Physical Service Visit</x:v>
      </x:c>
      <x:c r="R58" s="329" t="n">
        <x:v>1</x:v>
      </x:c>
      <x:c r="S58" s="329" t="str">
        <x:v>5911577</x:v>
      </x:c>
      <x:c r="T58" s="566" t="n">
        <x:v>66.74</x:v>
      </x:c>
      <x:c r="U58" s="483" t="str">
        <x:v>Eligible</x:v>
      </x:c>
      <x:c r="V58" s="329" t="str">
        <x:v>No-access visit; onsite approx. 1.5 hours; released by TRG PM Nick; payment breakdown $66.74; ACH pending.</x:v>
      </x:c>
      <x:c r="W58" s="329" t="str">
        <x:v>Timeline + Service Calendar + Canonical Ledger</x:v>
      </x:c>
      <x:c r="X58" s="329" t="str">
        <x:v>Included</x:v>
      </x:c>
      <x:c r="Y58" s="329"/>
      <x:c r="Z58" s="483" t="str">
        <x:v>Yes</x:v>
      </x:c>
      <x:c r="AA58" s="329"/>
      <x:c r="AB58" s="329"/>
      <x:c r="AC58" s="329"/>
      <x:c r="AD58" s="329"/>
      <x:c r="AE58" s="329"/>
    </x:row>
    <x:row r="59">
      <x:c r="A59" s="329" t="n">
        <x:v>58</x:v>
      </x:c>
      <x:c r="B59" s="565" t="str">
        <x:v>EVT-0058</x:v>
      </x:c>
      <x:c r="C59" s="532" t="n">
        <x:v>46209</x:v>
      </x:c>
      <x:c r="D59" s="483" t="str">
        <x:v>Monday</x:v>
      </x:c>
      <x:c r="E59" s="329" t="n">
        <x:v>12</x:v>
      </x:c>
      <x:c r="F59" s="329" t="str">
        <x:v>MY_MONTH 3</x:v>
      </x:c>
      <x:c r="G59" s="329" t="str">
        <x:v>CL-026</x:v>
      </x:c>
      <x:c r="H59" s="329" t="str">
        <x:v>Dunkin</x:v>
      </x:c>
      <x:c r="I59" s="329" t="str">
        <x:v>Dunkin</x:v>
      </x:c>
      <x:c r="J59" s="329"/>
      <x:c r="K59" s="329" t="str">
        <x:v>Lutherville</x:v>
      </x:c>
      <x:c r="L59" s="329" t="str">
        <x:v>Maryland</x:v>
      </x:c>
      <x:c r="M59" s="566"/>
      <x:c r="N59" s="329" t="str">
        <x:v>MD</x:v>
      </x:c>
      <x:c r="O59" s="483" t="str">
        <x:v>Lutherville|MD</x:v>
      </x:c>
      <x:c r="P59" s="329" t="str">
        <x:v>Completed</x:v>
      </x:c>
      <x:c r="Q59" s="329" t="str">
        <x:v>Physical Service Visit</x:v>
      </x:c>
      <x:c r="R59" s="329" t="n">
        <x:v>1</x:v>
      </x:c>
      <x:c r="S59" s="329" t="str">
        <x:v>5900780</x:v>
      </x:c>
      <x:c r="T59" s="566" t="n">
        <x:v>202.5</x:v>
      </x:c>
      <x:c r="U59" s="483" t="str">
        <x:v>Eligible</x:v>
      </x:c>
      <x:c r="V59" s="329" t="str">
        <x:v>Dunkin Lutherville completed; 3-lane Verifone/PED installation; payment breakdown $202.50; ACH pending.</x:v>
      </x:c>
      <x:c r="W59" s="329" t="str">
        <x:v>Timeline + Service Calendar + Canonical Ledger</x:v>
      </x:c>
      <x:c r="X59" s="329" t="str">
        <x:v>Included</x:v>
      </x:c>
      <x:c r="Y59" s="329"/>
      <x:c r="Z59" s="483" t="str">
        <x:v>Yes</x:v>
      </x:c>
      <x:c r="AA59" s="329"/>
      <x:c r="AB59" s="329"/>
      <x:c r="AC59" s="329"/>
      <x:c r="AD59" s="329"/>
      <x:c r="AE59" s="329"/>
    </x:row>
    <x:row r="60">
      <x:c r="A60" s="329" t="n">
        <x:v>59</x:v>
      </x:c>
      <x:c r="B60" s="565" t="str">
        <x:v>EVT-0059</x:v>
      </x:c>
      <x:c r="C60" s="532" t="n">
        <x:v>46210</x:v>
      </x:c>
      <x:c r="D60" s="483" t="str">
        <x:v>Tuesday</x:v>
      </x:c>
      <x:c r="E60" s="329" t="n">
        <x:v>12</x:v>
      </x:c>
      <x:c r="F60" s="329" t="str">
        <x:v>MY_MONTH 3</x:v>
      </x:c>
      <x:c r="G60" s="329" t="str">
        <x:v>CL-026</x:v>
      </x:c>
      <x:c r="H60" s="329" t="str">
        <x:v>Dunkin</x:v>
      </x:c>
      <x:c r="I60" s="329" t="str">
        <x:v>Dunkin</x:v>
      </x:c>
      <x:c r="J60" s="329"/>
      <x:c r="K60" s="329" t="str">
        <x:v>Aberdeen</x:v>
      </x:c>
      <x:c r="L60" s="329" t="str">
        <x:v>Maryland</x:v>
      </x:c>
      <x:c r="M60" s="566"/>
      <x:c r="N60" s="329" t="str">
        <x:v>MD</x:v>
      </x:c>
      <x:c r="O60" s="483" t="str">
        <x:v>Aberdeen|MD</x:v>
      </x:c>
      <x:c r="P60" s="329" t="str">
        <x:v>Completed</x:v>
      </x:c>
      <x:c r="Q60" s="329" t="str">
        <x:v>Physical Service Visit</x:v>
      </x:c>
      <x:c r="R60" s="329" t="n">
        <x:v>1</x:v>
      </x:c>
      <x:c r="S60" s="329" t="str">
        <x:v>5900830</x:v>
      </x:c>
      <x:c r="T60" s="566" t="n">
        <x:v>250</x:v>
      </x:c>
      <x:c r="U60" s="483" t="str">
        <x:v>Eligible</x:v>
      </x:c>
      <x:c r="V60" s="329" t="str">
        <x:v>Dunkin Aberdeen completed; 3 lanes + K27 kiosk; extended Verifone validation call; payment breakdown $250.00; ACH pending.</x:v>
      </x:c>
      <x:c r="W60" s="329" t="str">
        <x:v>Timeline + Service Calendar + Canonical Ledger</x:v>
      </x:c>
      <x:c r="X60" s="329" t="str">
        <x:v>Included</x:v>
      </x:c>
      <x:c r="Y60" s="329"/>
      <x:c r="Z60" s="483" t="str">
        <x:v>Yes</x:v>
      </x:c>
      <x:c r="AA60" s="329"/>
      <x:c r="AB60" s="329"/>
      <x:c r="AC60" s="329"/>
      <x:c r="AD60" s="329"/>
      <x:c r="AE60" s="329"/>
    </x:row>
    <x:row r="61">
      <x:c r="A61" s="329" t="n">
        <x:v>60</x:v>
      </x:c>
      <x:c r="B61" s="565" t="str">
        <x:v>EVT-0060</x:v>
      </x:c>
      <x:c r="C61" s="532" t="n">
        <x:v>46211</x:v>
      </x:c>
      <x:c r="D61" s="483" t="str">
        <x:v>Wednesday</x:v>
      </x:c>
      <x:c r="E61" s="329" t="n">
        <x:v>12</x:v>
      </x:c>
      <x:c r="F61" s="329" t="str">
        <x:v>MY_MONTH 3</x:v>
      </x:c>
      <x:c r="G61" s="329" t="str">
        <x:v>CL-027</x:v>
      </x:c>
      <x:c r="H61" s="329" t="str">
        <x:v>Carvana</x:v>
      </x:c>
      <x:c r="I61" s="329" t="str">
        <x:v>Carvana</x:v>
      </x:c>
      <x:c r="J61" s="329"/>
      <x:c r="K61" s="329" t="str">
        <x:v>Baltimore</x:v>
      </x:c>
      <x:c r="L61" s="329" t="str">
        <x:v>Maryland</x:v>
      </x:c>
      <x:c r="M61" s="566"/>
      <x:c r="N61" s="329" t="str">
        <x:v>MD</x:v>
      </x:c>
      <x:c r="O61" s="483" t="str">
        <x:v>Baltimore|MD</x:v>
      </x:c>
      <x:c r="P61" s="329" t="str">
        <x:v>Completed</x:v>
      </x:c>
      <x:c r="Q61" s="329" t="str">
        <x:v>Same-site multi-WO visit</x:v>
      </x:c>
      <x:c r="R61" s="329" t="n">
        <x:v>2</x:v>
      </x:c>
      <x:c r="S61" s="329" t="str">
        <x:v>5912364 / 5914049</x:v>
      </x:c>
      <x:c r="T61" s="566"/>
      <x:c r="U61" s="483" t="str">
        <x:v>Excluded</x:v>
      </x:c>
      <x:c r="V61" s="329" t="str">
        <x:v>One physical Carvana visit with two work orders: 5914049 firmware resolved 98.00.0C; 5912364 cyan cleanup/blank-page escalation documented. One event, two WOs, $130 total.</x:v>
      </x:c>
      <x:c r="W61" s="329" t="str">
        <x:v>Timeline + Service Calendar + Canonical Ledger</x:v>
      </x:c>
      <x:c r="X61" s="329" t="str">
        <x:v>Included</x:v>
      </x:c>
      <x:c r="Y61" s="329"/>
      <x:c r="Z61" s="483" t="str">
        <x:v>Yes</x:v>
      </x:c>
      <x:c r="AA61" s="329"/>
      <x:c r="AB61" s="329"/>
      <x:c r="AC61" s="329"/>
      <x:c r="AD61" s="329"/>
      <x:c r="AE61" s="329"/>
    </x:row>
    <x:row r="62">
      <x:c r="A62" s="329" t="n">
        <x:v>61</x:v>
      </x:c>
      <x:c r="B62" s="565" t="str">
        <x:v>EVT-0061</x:v>
      </x:c>
      <x:c r="C62" s="532" t="n">
        <x:v>46212</x:v>
      </x:c>
      <x:c r="D62" s="483" t="str">
        <x:v>Thursday</x:v>
      </x:c>
      <x:c r="E62" s="329" t="n">
        <x:v>12</x:v>
      </x:c>
      <x:c r="F62" s="329" t="str">
        <x:v>MY_MONTH 3</x:v>
      </x:c>
      <x:c r="G62" s="329" t="str">
        <x:v>CL-020</x:v>
      </x:c>
      <x:c r="H62" s="329" t="str">
        <x:v>TJ Maxx</x:v>
      </x:c>
      <x:c r="I62" s="329" t="str">
        <x:v>TJ Maxx</x:v>
      </x:c>
      <x:c r="J62" s="329"/>
      <x:c r="K62" s="329" t="str">
        <x:v>Germantown</x:v>
      </x:c>
      <x:c r="L62" s="329" t="str">
        <x:v>Maryland</x:v>
      </x:c>
      <x:c r="M62" s="566"/>
      <x:c r="N62" s="329" t="str">
        <x:v>MD</x:v>
      </x:c>
      <x:c r="O62" s="483" t="str">
        <x:v>Germantown|MD</x:v>
      </x:c>
      <x:c r="P62" s="329" t="str">
        <x:v>Completed</x:v>
      </x:c>
      <x:c r="Q62" s="329" t="str">
        <x:v>Physical Service Visit</x:v>
      </x:c>
      <x:c r="R62" s="329" t="n">
        <x:v>1</x:v>
      </x:c>
      <x:c r="S62" s="329" t="str">
        <x:v>5909344</x:v>
      </x:c>
      <x:c r="T62" s="566" t="n">
        <x:v>194.99</x:v>
      </x:c>
      <x:c r="U62" s="483" t="str">
        <x:v>Eligible</x:v>
      </x:c>
      <x:c r="V62" s="329" t="str">
        <x:v>TJ Maxx Germantown server refresh completed 2026-07-09. Payment breakdown confirmed at $194.99 with no deductions; expected payment 2026-07-23; ACH pending.</x:v>
      </x:c>
      <x:c r="W62" s="329" t="str">
        <x:v>Gmail payment breakdown 2026-07-11 + Timeline + Service Calendar</x:v>
      </x:c>
      <x:c r="X62" s="329" t="str">
        <x:v>Included</x:v>
      </x:c>
      <x:c r="Y62" s="329"/>
      <x:c r="Z62" s="483" t="str">
        <x:v>Yes</x:v>
      </x:c>
      <x:c r="AA62" s="329"/>
      <x:c r="AB62" s="329"/>
      <x:c r="AC62" s="329"/>
      <x:c r="AD62" s="329"/>
      <x:c r="AE62" s="329"/>
    </x:row>
    <x:row r="63">
      <x:c r="A63" s="329" t="n">
        <x:v>62</x:v>
      </x:c>
      <x:c r="B63" s="565" t="str">
        <x:v>EVT-0062</x:v>
      </x:c>
      <x:c r="C63" s="532" t="n">
        <x:v>46212</x:v>
      </x:c>
      <x:c r="D63" s="483" t="str">
        <x:v>Thursday</x:v>
      </x:c>
      <x:c r="E63" s="329" t="n">
        <x:v>12</x:v>
      </x:c>
      <x:c r="F63" s="329" t="str">
        <x:v>MY_MONTH 3</x:v>
      </x:c>
      <x:c r="G63" s="329" t="str">
        <x:v>CL-020</x:v>
      </x:c>
      <x:c r="H63" s="329" t="str">
        <x:v>TJ Maxx</x:v>
      </x:c>
      <x:c r="I63" s="329" t="str">
        <x:v>TJ Maxx</x:v>
      </x:c>
      <x:c r="J63" s="329"/>
      <x:c r="K63" s="329" t="str">
        <x:v>Martinsburg</x:v>
      </x:c>
      <x:c r="L63" s="329" t="str">
        <x:v>West Virginia</x:v>
      </x:c>
      <x:c r="M63" s="566"/>
      <x:c r="N63" s="329" t="str">
        <x:v>WV</x:v>
      </x:c>
      <x:c r="O63" s="483" t="str">
        <x:v>Martinsburg|WV</x:v>
      </x:c>
      <x:c r="P63" s="329" t="str">
        <x:v>Completed</x:v>
      </x:c>
      <x:c r="Q63" s="329" t="str">
        <x:v>Physical Service Visit</x:v>
      </x:c>
      <x:c r="R63" s="329" t="n">
        <x:v>1</x:v>
      </x:c>
      <x:c r="S63" s="329" t="str">
        <x:v>5913868</x:v>
      </x:c>
      <x:c r="T63" s="566" t="n">
        <x:v>100.83</x:v>
      </x:c>
      <x:c r="U63" s="483" t="str">
        <x:v>Eligible</x:v>
      </x:c>
      <x:c r="V63" s="329" t="str">
        <x:v>TJ Maxx Martinsburg completed 2026-07-09. Negotiated $150; payment breakdown received for $100.83; variance -$49.17; expected payment 2026-07-23.</x:v>
      </x:c>
      <x:c r="W63" s="329" t="str">
        <x:v>Timeline + Service Calendar + Canonical Ledger</x:v>
      </x:c>
      <x:c r="X63" s="329" t="str">
        <x:v>Included</x:v>
      </x:c>
      <x:c r="Y63" s="329"/>
      <x:c r="Z63" s="483" t="str">
        <x:v>Yes</x:v>
      </x:c>
      <x:c r="AA63" s="329"/>
      <x:c r="AB63" s="329"/>
      <x:c r="AC63" s="329"/>
      <x:c r="AD63" s="329"/>
      <x:c r="AE63" s="329"/>
    </x:row>
    <x:row r="64">
      <x:c r="A64" s="329" t="n">
        <x:v>63</x:v>
      </x:c>
      <x:c r="B64" s="483" t="str">
        <x:v>EVT-0063</x:v>
      </x:c>
      <x:c r="C64" s="532" t="n">
        <x:v>46216</x:v>
      </x:c>
      <x:c r="D64" s="483" t="str">
        <x:v>Monday</x:v>
      </x:c>
      <x:c r="E64" s="329" t="n">
        <x:v>13</x:v>
      </x:c>
      <x:c r="F64" s="329" t="str">
        <x:v>MY_MONTH 3</x:v>
      </x:c>
      <x:c r="G64" s="329" t="str">
        <x:v>CL-022</x:v>
      </x:c>
      <x:c r="H64" s="329" t="str">
        <x:v>Marshalls</x:v>
      </x:c>
      <x:c r="I64" s="329" t="str">
        <x:v>Marshalls — Hunt Valley Town Center</x:v>
      </x:c>
      <x:c r="J64" s="329" t="str">
        <x:v>118 Shawan Rd Ste W</x:v>
      </x:c>
      <x:c r="K64" s="329" t="str">
        <x:v>Cockeysville</x:v>
      </x:c>
      <x:c r="L64" s="329" t="str">
        <x:v>Maryland</x:v>
      </x:c>
      <x:c r="M64" s="329" t="str">
        <x:v>21030</x:v>
      </x:c>
      <x:c r="N64" s="329" t="str">
        <x:v>MD</x:v>
      </x:c>
      <x:c r="O64" s="483" t="str">
        <x:v>Cockeysville|MD</x:v>
      </x:c>
      <x:c r="P64" s="329" t="str">
        <x:v>Completed</x:v>
      </x:c>
      <x:c r="Q64" s="329" t="str">
        <x:v>Physical Service Visit</x:v>
      </x:c>
      <x:c r="R64" s="329" t="n">
        <x:v>1</x:v>
      </x:c>
      <x:c r="S64" s="329" t="str">
        <x:v>5909368</x:v>
      </x:c>
      <x:c r="T64" s="329"/>
      <x:c r="U64" s="483" t="str">
        <x:v>Excluded</x:v>
      </x:c>
      <x:c r="V64" s="329" t="str">
        <x:v>Marshalls Cockeysville server refresh completed. Replacement store server installed and validated; front-left sliding rail was corrected during installation. Hourly rate $40; final breakdown pending.</x:v>
      </x:c>
      <x:c r="W64" s="329" t="str">
        <x:v>5909368_MarshallsCockeysville.pdf + user-authoritative completion 2026-07-13</x:v>
      </x:c>
      <x:c r="X64" s="329" t="str">
        <x:v>Included</x:v>
      </x:c>
      <x:c r="Y64" s="329"/>
      <x:c r="Z64" s="483" t="str">
        <x:v>Yes</x:v>
      </x:c>
      <x:c r="AA64" s="329"/>
      <x:c r="AB64" s="329"/>
      <x:c r="AC64" s="329"/>
      <x:c r="AD64" s="329"/>
      <x:c r="AE64" s="329"/>
    </x:row>
    <x:row r="65">
      <x:c r="A65" s="329" t="n">
        <x:v>64</x:v>
      </x:c>
      <x:c r="B65" s="483" t="str">
        <x:v>EVT-0064</x:v>
      </x:c>
      <x:c r="C65" s="532" t="n">
        <x:v>46216</x:v>
      </x:c>
      <x:c r="D65" s="483" t="str">
        <x:v>Monday</x:v>
      </x:c>
      <x:c r="E65" s="329" t="n">
        <x:v>13</x:v>
      </x:c>
      <x:c r="F65" s="329" t="str">
        <x:v>MY_MONTH 3</x:v>
      </x:c>
      <x:c r="G65" s="329" t="str">
        <x:v>CL-022</x:v>
      </x:c>
      <x:c r="H65" s="329" t="str">
        <x:v>Marshalls</x:v>
      </x:c>
      <x:c r="I65" s="329" t="str">
        <x:v>Marshalls 0764</x:v>
      </x:c>
      <x:c r="J65" s="329" t="str">
        <x:v>17646 Garland Groh Blvd</x:v>
      </x:c>
      <x:c r="K65" s="329" t="str">
        <x:v>Hagerstown</x:v>
      </x:c>
      <x:c r="L65" s="329" t="str">
        <x:v>Maryland</x:v>
      </x:c>
      <x:c r="M65" s="329" t="str">
        <x:v>21740</x:v>
      </x:c>
      <x:c r="N65" s="329" t="str">
        <x:v>MD</x:v>
      </x:c>
      <x:c r="O65" s="483" t="str">
        <x:v>Hagerstown|MD</x:v>
      </x:c>
      <x:c r="P65" s="329" t="str">
        <x:v>Completed</x:v>
      </x:c>
      <x:c r="Q65" s="329" t="str">
        <x:v>Physical Service Visit</x:v>
      </x:c>
      <x:c r="R65" s="329" t="n">
        <x:v>1</x:v>
      </x:c>
      <x:c r="S65" s="329" t="str">
        <x:v>5916961</x:v>
      </x:c>
      <x:c r="T65" s="329"/>
      <x:c r="U65" s="483" t="str">
        <x:v>Excluded</x:v>
      </x:c>
      <x:c r="V65" s="329" t="str">
        <x:v>Marshalls Hagerstown Register 2 M440 replacement completed. Arrived 12:55 PM; extended onsite time was caused by support unavailability and incorrect IP/gateway values in the ticket. Barrister confirmed documented onsite hours would be paid at $55/hour. Final breakdown pending.</x:v>
      </x:c>
      <x:c r="W65" s="329" t="str">
        <x:v>5916961_MarshallsHagerstown.pdf + user-authoritative completion and onsite timeline 2026-07-13</x:v>
      </x:c>
      <x:c r="X65" s="329" t="str">
        <x:v>Included</x:v>
      </x:c>
      <x:c r="Y65" s="329"/>
      <x:c r="Z65" s="483" t="str">
        <x:v>Yes</x:v>
      </x:c>
      <x:c r="AA65" s="329"/>
      <x:c r="AB65" s="329"/>
      <x:c r="AC65" s="329"/>
      <x:c r="AD65" s="329"/>
      <x:c r="AE65" s="329"/>
    </x:row>
    <x:row r="66">
      <x:c r="A66" s="329" t="n">
        <x:v>65</x:v>
      </x:c>
      <x:c r="B66" s="483" t="str">
        <x:v>EVT-0065</x:v>
      </x:c>
      <x:c r="C66" s="532" t="n">
        <x:v>46216</x:v>
      </x:c>
      <x:c r="D66" s="483" t="str">
        <x:v>Monday</x:v>
      </x:c>
      <x:c r="E66" s="329" t="n">
        <x:v>13</x:v>
      </x:c>
      <x:c r="F66" s="329" t="str">
        <x:v>MY_MONTH 3</x:v>
      </x:c>
      <x:c r="G66" s="329" t="str">
        <x:v>CL-016</x:v>
      </x:c>
      <x:c r="H66" s="329" t="str">
        <x:v>HomeGoods</x:v>
      </x:c>
      <x:c r="I66" s="329" t="str">
        <x:v>HomeGoods 0652</x:v>
      </x:c>
      <x:c r="J66" s="329" t="str">
        <x:v>606 Quince Orchard Road</x:v>
      </x:c>
      <x:c r="K66" s="329" t="str">
        <x:v>Gaithersburg</x:v>
      </x:c>
      <x:c r="L66" s="329" t="str">
        <x:v>Maryland</x:v>
      </x:c>
      <x:c r="M66" s="329" t="str">
        <x:v>20878</x:v>
      </x:c>
      <x:c r="N66" s="329" t="str">
        <x:v>MD</x:v>
      </x:c>
      <x:c r="O66" s="483" t="str">
        <x:v>Gaithersburg|MD</x:v>
      </x:c>
      <x:c r="P66" s="329" t="str">
        <x:v>Completed</x:v>
      </x:c>
      <x:c r="Q66" s="329" t="str">
        <x:v>Physical Service Visit</x:v>
      </x:c>
      <x:c r="R66" s="329" t="n">
        <x:v>1</x:v>
      </x:c>
      <x:c r="S66" s="329" t="str">
        <x:v>5917407</x:v>
      </x:c>
      <x:c r="T66" s="329" t="n">
        <x:v>129.16</x:v>
      </x:c>
      <x:c r="U66" s="483" t="str">
        <x:v>Eligible</x:v>
      </x:c>
      <x:c r="V66" s="329" t="str">
        <x:v>Payment breakdown confirmed at $129.16.</x:v>
      </x:c>
      <x:c r="W66" s="329" t="str">
        <x:v>User-verified payment breakdown record</x:v>
      </x:c>
      <x:c r="X66" s="329" t="str">
        <x:v>Included</x:v>
      </x:c>
      <x:c r="Y66" s="329"/>
      <x:c r="Z66" s="483" t="str">
        <x:v>Yes</x:v>
      </x:c>
      <x:c r="AA66" s="329"/>
      <x:c r="AB66" s="329"/>
      <x:c r="AC66" s="329"/>
      <x:c r="AD66" s="329"/>
      <x:c r="AE66" s="329"/>
    </x:row>
    <x:row r="67">
      <x:c r="A67" s="329" t="n">
        <x:v>66</x:v>
      </x:c>
      <x:c r="B67" s="329" t="str">
        <x:v>EVT-0066</x:v>
      </x:c>
      <x:c r="C67" s="532" t="n">
        <x:v>46217</x:v>
      </x:c>
      <x:c r="D67" s="329" t="str">
        <x:v>Tuesday</x:v>
      </x:c>
      <x:c r="E67" s="329" t="n">
        <x:v>13</x:v>
      </x:c>
      <x:c r="F67" s="329" t="str">
        <x:v>MY_MONTH 3</x:v>
      </x:c>
      <x:c r="G67" s="329" t="str">
        <x:v>CL-020</x:v>
      </x:c>
      <x:c r="H67" s="329" t="str">
        <x:v>TJ Maxx</x:v>
      </x:c>
      <x:c r="I67" s="329" t="str">
        <x:v>TJ Maxx — Tollgate Mall</x:v>
      </x:c>
      <x:c r="J67" s="329" t="str">
        <x:v>615 Bel Air Road</x:v>
      </x:c>
      <x:c r="K67" s="329" t="str">
        <x:v>Bel Air</x:v>
      </x:c>
      <x:c r="L67" s="329" t="str">
        <x:v>Maryland</x:v>
      </x:c>
      <x:c r="M67" s="329" t="str">
        <x:v>21014</x:v>
      </x:c>
      <x:c r="N67" s="329" t="str">
        <x:v>MD</x:v>
      </x:c>
      <x:c r="O67" s="329" t="str">
        <x:v>Bel Air|MD</x:v>
      </x:c>
      <x:c r="P67" s="329" t="str">
        <x:v>Completed</x:v>
      </x:c>
      <x:c r="Q67" s="329" t="str">
        <x:v>Physical Service Visit</x:v>
      </x:c>
      <x:c r="R67" s="329" t="n">
        <x:v>1</x:v>
      </x:c>
      <x:c r="S67" s="329" t="str">
        <x:v>5909385</x:v>
      </x:c>
      <x:c r="T67" s="329"/>
      <x:c r="U67" s="329" t="str">
        <x:v>Excluded</x:v>
      </x:c>
      <x:c r="V67" s="329" t="str">
        <x:v>TJ Maxx Bel Air server refresh completed. Installed the NextGen 11 server in available rack space after labeling the VH1 and VH2 cabling. NCR completed the HDD/data migration and the replacement server came online successfully. All required functions were validated. VH1 was decommissioned, boxed, labeled, and prepared for return with shipping labels. No Mood Media, Tripplite, or Frontline equipment was installed. New server S/N 2M2D3000F3; asset tag A929164. MOD Lori Fox. Hourly rate $45; final payment breakdown pending.</x:v>
      </x:c>
      <x:c r="W67" s="329" t="str">
        <x:v>WO 5909385 RFS + FastField/photo evidence + user-authoritative completion 2026-07-14</x:v>
      </x:c>
      <x:c r="X67" s="329" t="str">
        <x:v>Included</x:v>
      </x:c>
      <x:c r="Y67" s="329"/>
      <x:c r="Z67" s="329" t="str">
        <x:v>Yes</x:v>
      </x:c>
      <x:c r="AA67" s="329"/>
      <x:c r="AB67" s="329"/>
      <x:c r="AC67" s="329"/>
      <x:c r="AD67" s="329"/>
      <x:c r="AE67" s="329"/>
    </x:row>
    <x:row r="68">
      <x:c r="A68" s="329" t="n">
        <x:v>67</x:v>
      </x:c>
      <x:c r="B68" s="329" t="str">
        <x:v>EVT-0067</x:v>
      </x:c>
      <x:c r="C68" s="532" t="n">
        <x:v>46217</x:v>
      </x:c>
      <x:c r="D68" s="329" t="str">
        <x:v>Tuesday</x:v>
      </x:c>
      <x:c r="E68" s="329" t="n">
        <x:v>13</x:v>
      </x:c>
      <x:c r="F68" s="329" t="str">
        <x:v>MY_MONTH 3</x:v>
      </x:c>
      <x:c r="G68" s="329" t="str">
        <x:v>CL-026</x:v>
      </x:c>
      <x:c r="H68" s="329" t="str">
        <x:v>Dunkin</x:v>
      </x:c>
      <x:c r="I68" s="329" t="str">
        <x:v>Dunkin Donuts #342406</x:v>
      </x:c>
      <x:c r="J68" s="329" t="str">
        <x:v>645 S. Philadelphia Blvd</x:v>
      </x:c>
      <x:c r="K68" s="329" t="str">
        <x:v>Aberdeen</x:v>
      </x:c>
      <x:c r="L68" s="329" t="str">
        <x:v>Maryland</x:v>
      </x:c>
      <x:c r="M68" s="329" t="str">
        <x:v>21001</x:v>
      </x:c>
      <x:c r="N68" s="329" t="str">
        <x:v>MD</x:v>
      </x:c>
      <x:c r="O68" s="329" t="str">
        <x:v>Aberdeen|MD</x:v>
      </x:c>
      <x:c r="P68" s="329" t="str">
        <x:v>Completed</x:v>
      </x:c>
      <x:c r="Q68" s="329" t="str">
        <x:v>Physical Service Visit</x:v>
      </x:c>
      <x:c r="R68" s="329" t="n">
        <x:v>1</x:v>
      </x:c>
      <x:c r="S68" s="329" t="str">
        <x:v>5914898</x:v>
      </x:c>
      <x:c r="T68" s="329" t="n">
        <x:v>183.74</x:v>
      </x:c>
      <x:c r="U68" s="329" t="str">
        <x:v>Eligible</x:v>
      </x:c>
      <x:c r="V68" s="329" t="str">
        <x:v>Dunkin Aberdeen return visit completed. Continued troubleshooting the K27 kiosk issue. Verifone kept the technician on an extended support call and contacted the third-party kiosk provider, which advised that no technician was available and the issue required escalation to the United Service Desk. At the United Service Desk's direction, additional troubleshooting was completed, including rebooting POS 1 despite the issue remaining isolated to Kiosk 1. The unresolved kiosk issue was escalated for additional follow-up/dispatch, and support formally released the technician from site. Payment breakdown confirmed at $183.74 with no deductions; expected payment 2026-07-28; ACH pending.</x:v>
      </x:c>
      <x:c r="W68" s="329" t="str">
        <x:v>WO 5914898 RFS + user-authoritative completion + Gmail payment breakdown 2026-07-14</x:v>
      </x:c>
      <x:c r="X68" s="329" t="str">
        <x:v>Included</x:v>
      </x:c>
      <x:c r="Y68" s="329"/>
      <x:c r="Z68" s="329" t="str">
        <x:v>Yes</x:v>
      </x:c>
      <x:c r="AA68" s="329"/>
      <x:c r="AB68" s="329"/>
      <x:c r="AC68" s="329"/>
      <x:c r="AD68" s="329"/>
      <x:c r="AE68" s="329"/>
    </x:row>
    <x:row r="69">
      <x:c r="A69" s="329" t="n">
        <x:v>68</x:v>
      </x:c>
      <x:c r="B69" s="329" t="str">
        <x:v>EVT-0068</x:v>
      </x:c>
      <x:c r="C69" s="329" t="n">
        <x:v>46218</x:v>
      </x:c>
      <x:c r="D69" s="329" t="str">
        <x:v>Wednesday</x:v>
      </x:c>
      <x:c r="E69" s="329" t="n">
        <x:v>13</x:v>
      </x:c>
      <x:c r="F69" s="329" t="str">
        <x:v>MY_MONTH 3</x:v>
      </x:c>
      <x:c r="G69" s="329" t="str">
        <x:v>CL-026</x:v>
      </x:c>
      <x:c r="H69" s="329" t="str">
        <x:v>Dunkin</x:v>
      </x:c>
      <x:c r="I69" s="329" t="str">
        <x:v>Dunkin — Fallston</x:v>
      </x:c>
      <x:c r="J69" s="329"/>
      <x:c r="K69" s="329" t="str">
        <x:v>Fallston</x:v>
      </x:c>
      <x:c r="L69" s="329" t="str">
        <x:v>Maryland</x:v>
      </x:c>
      <x:c r="M69" s="329"/>
      <x:c r="N69" s="329" t="str">
        <x:v>MD</x:v>
      </x:c>
      <x:c r="O69" s="329" t="str">
        <x:v>Fallston|MD</x:v>
      </x:c>
      <x:c r="P69" s="329" t="str">
        <x:v>Completed</x:v>
      </x:c>
      <x:c r="Q69" s="329" t="str">
        <x:v>Physical Service Visit</x:v>
      </x:c>
      <x:c r="R69" s="329" t="n">
        <x:v>1</x:v>
      </x:c>
      <x:c r="S69" s="329" t="str">
        <x:v>5900854</x:v>
      </x:c>
      <x:c r="T69" s="329" t="n">
        <x:v>350</x:v>
      </x:c>
      <x:c r="U69" s="329" t="str">
        <x:v>Eligible</x:v>
      </x:c>
      <x:c r="V69" s="329" t="str">
        <x:v>Dunkin Fallston visit completed. Payment breakdown confirmed at $350.00; Speed ACH expected 2026-07-29.</x:v>
      </x:c>
      <x:c r="W69" s="329" t="str">
        <x:v>User-authoritative completion + Gmail payment breakdown</x:v>
      </x:c>
      <x:c r="X69" s="329" t="str">
        <x:v>Included</x:v>
      </x:c>
      <x:c r="Y69" s="329"/>
      <x:c r="Z69" s="329" t="str">
        <x:v>Yes</x:v>
      </x:c>
      <x:c r="AA69" s="329"/>
      <x:c r="AB69" s="329"/>
      <x:c r="AC69" s="329"/>
      <x:c r="AD69" s="329"/>
      <x:c r="AE69" s="329"/>
    </x:row>
    <x:row r="70">
      <x:c r="A70" s="329" t="n">
        <x:v>69</x:v>
      </x:c>
      <x:c r="B70" s="329" t="str">
        <x:v>EVT-0069</x:v>
      </x:c>
      <x:c r="C70" s="329" t="n">
        <x:v>46219</x:v>
      </x:c>
      <x:c r="D70" s="329" t="str">
        <x:v>Thursday</x:v>
      </x:c>
      <x:c r="E70" s="329" t="n">
        <x:v>13</x:v>
      </x:c>
      <x:c r="F70" s="329" t="str">
        <x:v>MY_MONTH 3</x:v>
      </x:c>
      <x:c r="G70" s="329" t="str">
        <x:v>CL-020</x:v>
      </x:c>
      <x:c r="H70" s="329" t="str">
        <x:v>TJ Maxx</x:v>
      </x:c>
      <x:c r="I70" s="329" t="str">
        <x:v>TJ Maxx — Columbia</x:v>
      </x:c>
      <x:c r="J70" s="329"/>
      <x:c r="K70" s="329" t="str">
        <x:v>Columbia</x:v>
      </x:c>
      <x:c r="L70" s="329" t="str">
        <x:v>Maryland</x:v>
      </x:c>
      <x:c r="M70" s="329"/>
      <x:c r="N70" s="329" t="str">
        <x:v>MD</x:v>
      </x:c>
      <x:c r="O70" s="329" t="str">
        <x:v>Columbia|MD</x:v>
      </x:c>
      <x:c r="P70" s="329" t="str">
        <x:v>Completed</x:v>
      </x:c>
      <x:c r="Q70" s="329" t="str">
        <x:v>Physical Service Visit</x:v>
      </x:c>
      <x:c r="R70" s="329" t="n">
        <x:v>1</x:v>
      </x:c>
      <x:c r="S70" s="329" t="str">
        <x:v>5909418</x:v>
      </x:c>
      <x:c r="T70" s="329" t="n">
        <x:v>180</x:v>
      </x:c>
      <x:c r="U70" s="329" t="str">
        <x:v>Eligible</x:v>
      </x:c>
      <x:c r="V70" s="329" t="str">
        <x:v>TJ Maxx Columbia visit completed. Hourly rate $40.00; final payment breakdown pending. Payment breakdown confirmed at $180.00 with no deductions; expected payment 2026-07-30.</x:v>
      </x:c>
      <x:c r="W70" s="329" t="str">
        <x:v>User-authoritative completion + ticket details + Gmail payment breakdown</x:v>
      </x:c>
      <x:c r="X70" s="329" t="str">
        <x:v>Included</x:v>
      </x:c>
      <x:c r="Y70" s="329"/>
      <x:c r="Z70" s="329" t="str">
        <x:v>Yes</x:v>
      </x:c>
      <x:c r="AA70" s="329"/>
      <x:c r="AB70" s="329"/>
      <x:c r="AC70" s="329"/>
      <x:c r="AD70" s="329"/>
      <x:c r="AE70" s="329"/>
    </x:row>
    <x:row r="71">
      <x:c r="A71" s="329" t="n">
        <x:v>70</x:v>
      </x:c>
      <x:c r="B71" s="329" t="str">
        <x:v>EVT-0070</x:v>
      </x:c>
      <x:c r="C71" s="329" t="n">
        <x:v>46219</x:v>
      </x:c>
      <x:c r="D71" s="329" t="str">
        <x:v>Thursday</x:v>
      </x:c>
      <x:c r="E71" s="329" t="n">
        <x:v>13</x:v>
      </x:c>
      <x:c r="F71" s="329" t="str">
        <x:v>MY_MONTH 3</x:v>
      </x:c>
      <x:c r="G71" s="329" t="str">
        <x:v>CL-007</x:v>
      </x:c>
      <x:c r="H71" s="329" t="str">
        <x:v>Giant Food Stores</x:v>
      </x:c>
      <x:c r="I71" s="329" t="str">
        <x:v>Giant Food — Olney</x:v>
      </x:c>
      <x:c r="J71" s="329"/>
      <x:c r="K71" s="329" t="str">
        <x:v>Olney</x:v>
      </x:c>
      <x:c r="L71" s="329" t="str">
        <x:v>Maryland</x:v>
      </x:c>
      <x:c r="M71" s="329"/>
      <x:c r="N71" s="329" t="str">
        <x:v>MD</x:v>
      </x:c>
      <x:c r="O71" s="329" t="str">
        <x:v>Olney|MD</x:v>
      </x:c>
      <x:c r="P71" s="329" t="str">
        <x:v>Completed</x:v>
      </x:c>
      <x:c r="Q71" s="329" t="str">
        <x:v>Physical Service Visit</x:v>
      </x:c>
      <x:c r="R71" s="329" t="n">
        <x:v>1</x:v>
      </x:c>
      <x:c r="S71" s="329" t="str">
        <x:v>5918899</x:v>
      </x:c>
      <x:c r="T71" s="329" t="n">
        <x:v>103.33</x:v>
      </x:c>
      <x:c r="U71" s="329" t="str">
        <x:v>Eligible</x:v>
      </x:c>
      <x:c r="V71" s="329" t="str">
        <x:v>Giant Food Olney HCL network troubleshooting completed and technician released. Roof and server-room cabling were traced and tested; final payment breakdown pending. Payment breakdown confirmed at $103.33 with no deductions; expected payment 2026-07-30.</x:v>
      </x:c>
      <x:c r="W71" s="329" t="str">
        <x:v>User-authoritative completion + onsite troubleshooting notes + Gmail payment breakdown</x:v>
      </x:c>
      <x:c r="X71" s="329" t="str">
        <x:v>Included</x:v>
      </x:c>
      <x:c r="Y71" s="329"/>
      <x:c r="Z71" s="329" t="str">
        <x:v>Yes</x:v>
      </x:c>
      <x:c r="AA71" s="329"/>
      <x:c r="AB71" s="329"/>
      <x:c r="AC71" s="329"/>
      <x:c r="AD71" s="329"/>
      <x:c r="AE71" s="329"/>
    </x:row>
    <x:row r="72">
      <x:c r="A72" s="329" t="n">
        <x:v>71</x:v>
      </x:c>
      <x:c r="B72" s="329" t="str">
        <x:v>EVT-0071</x:v>
      </x:c>
      <x:c r="C72" s="329" t="n">
        <x:v>46220</x:v>
      </x:c>
      <x:c r="D72" s="329" t="str">
        <x:v>Friday</x:v>
      </x:c>
      <x:c r="E72" s="329" t="n">
        <x:v>13</x:v>
      </x:c>
      <x:c r="F72" s="329" t="str">
        <x:v>MY_MONTH 3</x:v>
      </x:c>
      <x:c r="G72" s="329" t="str">
        <x:v>CL-028</x:v>
      </x:c>
      <x:c r="H72" s="329" t="str">
        <x:v>WeWork</x:v>
      </x:c>
      <x:c r="I72" s="329" t="str">
        <x:v>WeWork DC18</x:v>
      </x:c>
      <x:c r="J72" s="329" t="str">
        <x:v>200 Massachusetts Ave NW</x:v>
      </x:c>
      <x:c r="K72" s="329" t="str">
        <x:v>Washington</x:v>
      </x:c>
      <x:c r="L72" s="329" t="str">
        <x:v>Washington, DC</x:v>
      </x:c>
      <x:c r="M72" s="329" t="str">
        <x:v>20001</x:v>
      </x:c>
      <x:c r="N72" s="329" t="str">
        <x:v>DC</x:v>
      </x:c>
      <x:c r="O72" s="329" t="str">
        <x:v>Washington|DC</x:v>
      </x:c>
      <x:c r="P72" s="329" t="str">
        <x:v>Completed</x:v>
      </x:c>
      <x:c r="Q72" s="329" t="str">
        <x:v>Physical Service Visit</x:v>
      </x:c>
      <x:c r="R72" s="329" t="n">
        <x:v>1</x:v>
      </x:c>
      <x:c r="S72" s="329" t="str">
        <x:v>5918348</x:v>
      </x:c>
      <x:c r="T72" s="329" t="n">
        <x:v>90</x:v>
      </x:c>
      <x:c r="U72" s="329" t="str">
        <x:v>Eligible</x:v>
      </x:c>
      <x:c r="V72" s="329" t="str">
        <x:v>User-authoritative confirmed amount: 2 hours × $45 = $90.00.</x:v>
      </x:c>
      <x:c r="W72" s="329" t="str">
        <x:v>User-authoritative correction 2026-07-26</x:v>
      </x:c>
      <x:c r="X72" s="329" t="str">
        <x:v>Included</x:v>
      </x:c>
      <x:c r="Y72" s="329"/>
      <x:c r="Z72" s="329" t="str">
        <x:v>Yes</x:v>
      </x:c>
      <x:c r="AA72" s="329"/>
      <x:c r="AB72" s="329"/>
      <x:c r="AC72" s="329"/>
      <x:c r="AD72" s="329"/>
      <x:c r="AE72" s="329"/>
    </x:row>
    <x:row r="73">
      <x:c r="A73" s="329" t="n">
        <x:v>72</x:v>
      </x:c>
      <x:c r="B73" s="329" t="str">
        <x:v>EVT-0072</x:v>
      </x:c>
      <x:c r="C73" s="329" t="n">
        <x:v>46220</x:v>
      </x:c>
      <x:c r="D73" s="329" t="str">
        <x:v>Friday</x:v>
      </x:c>
      <x:c r="E73" s="329" t="n">
        <x:v>13</x:v>
      </x:c>
      <x:c r="F73" s="329" t="str">
        <x:v>MY_MONTH 3</x:v>
      </x:c>
      <x:c r="G73" s="329" t="str">
        <x:v>CL-029</x:v>
      </x:c>
      <x:c r="H73" s="329" t="str">
        <x:v>Miramar</x:v>
      </x:c>
      <x:c r="I73" s="329" t="str">
        <x:v>Hebrew Home of Greater Washington</x:v>
      </x:c>
      <x:c r="J73" s="329"/>
      <x:c r="K73" s="329" t="str">
        <x:v>North Bethesda</x:v>
      </x:c>
      <x:c r="L73" s="329" t="str">
        <x:v>Maryland</x:v>
      </x:c>
      <x:c r="M73" s="329"/>
      <x:c r="N73" s="329" t="str">
        <x:v>MD</x:v>
      </x:c>
      <x:c r="O73" s="329" t="str">
        <x:v>North Bethesda|MD</x:v>
      </x:c>
      <x:c r="P73" s="329" t="str">
        <x:v>Completed</x:v>
      </x:c>
      <x:c r="Q73" s="329" t="str">
        <x:v>Physical Service Visit</x:v>
      </x:c>
      <x:c r="R73" s="329" t="n">
        <x:v>1</x:v>
      </x:c>
      <x:c r="S73" s="329" t="str">
        <x:v>5913115</x:v>
      </x:c>
      <x:c r="T73" s="329" t="n">
        <x:v>50</x:v>
      </x:c>
      <x:c r="U73" s="329" t="str">
        <x:v>Eligible</x:v>
      </x:c>
      <x:c r="V73" s="329" t="str">
        <x:v>Miramar ticket at Hebrew Home closed by the client system after technician arrival and escalation. Promised flat rate $50.00 Speed ACH; completed chronology, but compensation classification and payment breakdown remain unresolved. Payment breakdown confirmed at $50.00 with no deductions; expected payment 2026-07-31.</x:v>
      </x:c>
      <x:c r="W73" s="329" t="str">
        <x:v>WO 5913115 + user-authoritative closed-ticket completion + Omnicare/Eric call notes + Gmail payment breakdown</x:v>
      </x:c>
      <x:c r="X73" s="329" t="str">
        <x:v>Included</x:v>
      </x:c>
      <x:c r="Y73" s="329"/>
      <x:c r="Z73" s="329" t="str">
        <x:v>Yes</x:v>
      </x:c>
      <x:c r="AA73" s="329"/>
      <x:c r="AB73" s="329"/>
      <x:c r="AC73" s="329"/>
      <x:c r="AD73" s="329"/>
      <x:c r="AE73" s="329"/>
    </x:row>
    <x:row r="74">
      <x:c r="A74" s="329" t="n">
        <x:v>73</x:v>
      </x:c>
      <x:c r="B74" s="329" t="str">
        <x:v>EVT-0073</x:v>
      </x:c>
      <x:c r="C74" s="624" t="n">
        <x:v>46223</x:v>
      </x:c>
      <x:c r="D74" s="329" t="str">
        <x:v>Monday</x:v>
      </x:c>
      <x:c r="E74" s="329" t="n">
        <x:v>14</x:v>
      </x:c>
      <x:c r="F74" s="329" t="str">
        <x:v>MY_MONTH 4</x:v>
      </x:c>
      <x:c r="G74" s="329" t="str">
        <x:v>CL-030</x:v>
      </x:c>
      <x:c r="H74" s="329" t="str">
        <x:v>Homesense</x:v>
      </x:c>
      <x:c r="I74" s="329" t="str">
        <x:v>Homesense TJH0030</x:v>
      </x:c>
      <x:c r="J74" s="329" t="str">
        <x:v>10220 Mill Run Cir</x:v>
      </x:c>
      <x:c r="K74" s="329" t="str">
        <x:v>Owings Mills</x:v>
      </x:c>
      <x:c r="L74" s="329" t="str">
        <x:v>Maryland</x:v>
      </x:c>
      <x:c r="M74" s="329" t="str">
        <x:v>21117</x:v>
      </x:c>
      <x:c r="N74" s="329" t="str">
        <x:v>MD</x:v>
      </x:c>
      <x:c r="O74" s="329" t="str">
        <x:v>Owings Mills|MD</x:v>
      </x:c>
      <x:c r="P74" s="329" t="str">
        <x:v>Completed</x:v>
      </x:c>
      <x:c r="Q74" s="329" t="str">
        <x:v>Physical Service Visit</x:v>
      </x:c>
      <x:c r="R74" s="329" t="n">
        <x:v>1</x:v>
      </x:c>
      <x:c r="S74" s="329" t="str">
        <x:v>5906821</x:v>
      </x:c>
      <x:c r="T74" s="566" t="n">
        <x:v>180</x:v>
      </x:c>
      <x:c r="U74" s="329" t="str">
        <x:v>Eligible</x:v>
      </x:c>
      <x:c r="V74" s="329" t="str">
        <x:v>VH2 server deinstall completed. Arrived 5:30 AM; store opened 7:00 AM. Delay joining NCR Bridgeline/Teams support. NCR confirmed additional Music Mood Media and Lounge Mood Media replacement scope, but the box onsite did not contain the replacement players and store management could not locate them. Additional delay obtaining the FedEx waybill and MOD signature. VH2 was removed, packaged, documented, and prepared for return. Payment breakdown confirmed at $180.00; expected payment 2026-08-03.</x:v>
      </x:c>
      <x:c r="W74" s="329" t="str">
        <x:v>WO 5906821 RFS + onsite completion notes + Gmail payment breakdown</x:v>
      </x:c>
      <x:c r="X74" s="329" t="str">
        <x:v>Included</x:v>
      </x:c>
      <x:c r="Y74" s="329"/>
      <x:c r="Z74" s="329" t="str">
        <x:v>Yes</x:v>
      </x:c>
      <x:c r="AA74" s="329"/>
      <x:c r="AB74" s="329"/>
      <x:c r="AC74" s="329"/>
      <x:c r="AD74" s="329"/>
      <x:c r="AE74" s="329"/>
    </x:row>
    <x:row r="75">
      <x:c r="A75" s="329" t="n">
        <x:v>74</x:v>
      </x:c>
      <x:c r="B75" s="329" t="str">
        <x:v>EVT-0074</x:v>
      </x:c>
      <x:c r="C75" s="624" t="n">
        <x:v>46223</x:v>
      </x:c>
      <x:c r="D75" s="329" t="str">
        <x:v>Monday</x:v>
      </x:c>
      <x:c r="E75" s="329" t="n">
        <x:v>14</x:v>
      </x:c>
      <x:c r="F75" s="329" t="str">
        <x:v>MY_MONTH 4</x:v>
      </x:c>
      <x:c r="G75" s="329" t="str">
        <x:v>CL-031</x:v>
      </x:c>
      <x:c r="H75" s="329" t="str">
        <x:v>Autumn Lake Healthcare</x:v>
      </x:c>
      <x:c r="I75" s="329" t="str">
        <x:v>Autumn Lake at Baltimore Washington</x:v>
      </x:c>
      <x:c r="J75" s="329" t="str">
        <x:v>313 Hospital Dr</x:v>
      </x:c>
      <x:c r="K75" s="329" t="str">
        <x:v>Glen Burnie</x:v>
      </x:c>
      <x:c r="L75" s="329" t="str">
        <x:v>Maryland</x:v>
      </x:c>
      <x:c r="M75" s="329" t="str">
        <x:v>21061</x:v>
      </x:c>
      <x:c r="N75" s="329" t="str">
        <x:v>MD</x:v>
      </x:c>
      <x:c r="O75" s="329" t="str">
        <x:v>Glen Burnie|MD</x:v>
      </x:c>
      <x:c r="P75" s="329" t="str">
        <x:v>Completed</x:v>
      </x:c>
      <x:c r="Q75" s="329" t="str">
        <x:v>Physical Service Visit</x:v>
      </x:c>
      <x:c r="R75" s="329" t="n">
        <x:v>1</x:v>
      </x:c>
      <x:c r="S75" s="329" t="str">
        <x:v>5919707</x:v>
      </x:c>
      <x:c r="T75" s="566" t="n">
        <x:v>50</x:v>
      </x:c>
      <x:c r="U75" s="329" t="str">
        <x:v>Eligible</x:v>
      </x:c>
      <x:c r="V75" s="329" t="str">
        <x:v>Customer/site no-show. Technician called both listed numbers and spoke with front desk; staff did not recognize Nina or the reported fax issue. Equipment could not be identified or accessed. Payment breakdown confirmed at $50.00 with no deductions.</x:v>
      </x:c>
      <x:c r="W75" s="329" t="str">
        <x:v>WO 5919707 RFS + user-authoritative completion/no-show notes + Gmail payment breakdown received 2026-07-21</x:v>
      </x:c>
      <x:c r="X75" s="329" t="str">
        <x:v>Included</x:v>
      </x:c>
      <x:c r="Y75" s="329"/>
      <x:c r="Z75" s="329" t="str">
        <x:v>Yes</x:v>
      </x:c>
      <x:c r="AA75" s="329"/>
      <x:c r="AB75" s="329"/>
      <x:c r="AC75" s="329"/>
      <x:c r="AD75" s="329"/>
      <x:c r="AE75" s="329"/>
    </x:row>
    <x:row r="76">
      <x:c r="A76" s="329" t="n">
        <x:v>75</x:v>
      </x:c>
      <x:c r="B76" s="329" t="str">
        <x:v>EVT-0075</x:v>
      </x:c>
      <x:c r="C76" s="624" t="n">
        <x:v>46223</x:v>
      </x:c>
      <x:c r="D76" s="329" t="str">
        <x:v>Monday</x:v>
      </x:c>
      <x:c r="E76" s="329" t="n">
        <x:v>14</x:v>
      </x:c>
      <x:c r="F76" s="329" t="str">
        <x:v>MY_MONTH 4</x:v>
      </x:c>
      <x:c r="G76" s="329" t="str">
        <x:v>CL-031</x:v>
      </x:c>
      <x:c r="H76" s="329" t="str">
        <x:v>Autumn Lake Healthcare</x:v>
      </x:c>
      <x:c r="I76" s="329" t="str">
        <x:v>Autumn Lake at Glen Burnie — Rosemary Unit</x:v>
      </x:c>
      <x:c r="J76" s="329" t="str">
        <x:v>7355 E Furnace Branch Rd</x:v>
      </x:c>
      <x:c r="K76" s="329" t="str">
        <x:v>Glen Burnie</x:v>
      </x:c>
      <x:c r="L76" s="329" t="str">
        <x:v>Maryland</x:v>
      </x:c>
      <x:c r="M76" s="329" t="str">
        <x:v>21060</x:v>
      </x:c>
      <x:c r="N76" s="329" t="str">
        <x:v>MD</x:v>
      </x:c>
      <x:c r="O76" s="329" t="str">
        <x:v>Glen Burnie|MD</x:v>
      </x:c>
      <x:c r="P76" s="329" t="str">
        <x:v>Completed</x:v>
      </x:c>
      <x:c r="Q76" s="329" t="str">
        <x:v>Physical Service Visit</x:v>
      </x:c>
      <x:c r="R76" s="329" t="n">
        <x:v>1</x:v>
      </x:c>
      <x:c r="S76" s="329" t="str">
        <x:v>5920784</x:v>
      </x:c>
      <x:c r="T76" s="566" t="n">
        <x:v>50</x:v>
      </x:c>
      <x:c r="U76" s="329" t="str">
        <x:v>Eligible</x:v>
      </x:c>
      <x:c r="V76" s="329" t="str">
        <x:v>New Sharp MX-B427W installed in the Rosemary Unit. Fax testing failed because of a facility fax-line issue. Technician contacted Omnicare and troubleshot with Wade, who confirmed the line requires repair and will coordinate next steps. Printer/fax installation was completed, work area and packaging were cleaned, and required form was completed and signed. Payment breakdown confirmed at $50.00; expected payment 2026-08-03.</x:v>
      </x:c>
      <x:c r="W76" s="329" t="str">
        <x:v>WO 5920784 RFS + signed installation form/photo + user completion + Gmail payment breakdown</x:v>
      </x:c>
      <x:c r="X76" s="329" t="str">
        <x:v>Included</x:v>
      </x:c>
      <x:c r="Y76" s="329"/>
      <x:c r="Z76" s="329" t="str">
        <x:v>Yes</x:v>
      </x:c>
      <x:c r="AA76" s="329"/>
      <x:c r="AB76" s="329"/>
      <x:c r="AC76" s="329"/>
      <x:c r="AD76" s="329"/>
      <x:c r="AE76" s="329"/>
    </x:row>
    <x:row r="77">
      <x:c r="A77" t="n">
        <x:v>76</x:v>
      </x:c>
      <x:c r="B77" t="str">
        <x:v>EVT-0076</x:v>
      </x:c>
      <x:c r="C77" s="618" t="n">
        <x:v>46224</x:v>
      </x:c>
      <x:c r="D77" t="str">
        <x:v>Tuesday</x:v>
      </x:c>
      <x:c r="E77" t="n">
        <x:v>14</x:v>
      </x:c>
      <x:c r="F77" t="str">
        <x:v>MY_MONTH 4</x:v>
      </x:c>
      <x:c r="G77" t="str">
        <x:v>CL-022</x:v>
      </x:c>
      <x:c r="H77" t="str">
        <x:v>Marshalls</x:v>
      </x:c>
      <x:c r="I77" t="str">
        <x:v>Marshalls — Owings Mills</x:v>
      </x:c>
      <x:c r="J77"/>
      <x:c r="K77" t="str">
        <x:v>Owings Mills</x:v>
      </x:c>
      <x:c r="L77" t="str">
        <x:v>Maryland</x:v>
      </x:c>
      <x:c r="M77"/>
      <x:c r="N77" t="str">
        <x:v>MD</x:v>
      </x:c>
      <x:c r="O77" t="str">
        <x:v>Owings Mills|MD</x:v>
      </x:c>
      <x:c r="P77" t="str">
        <x:v>Completed</x:v>
      </x:c>
      <x:c r="Q77" t="str">
        <x:v>Physical Service Visit</x:v>
      </x:c>
      <x:c r="R77" t="n">
        <x:v>1</x:v>
      </x:c>
      <x:c r="S77" t="str">
        <x:v>5906834</x:v>
      </x:c>
      <x:c r="T77" t="n">
        <x:v>120</x:v>
      </x:c>
      <x:c r="U77" t="str">
        <x:v>Eligible</x:v>
      </x:c>
      <x:c r="V77" t="str">
        <x:v>Payment breakdown confirmed at $120.00.</x:v>
      </x:c>
      <x:c r="W77" t="str">
        <x:v>User-verified payment breakdown record</x:v>
      </x:c>
      <x:c r="X77" t="str">
        <x:v>Included</x:v>
      </x:c>
      <x:c r="Y77"/>
      <x:c r="Z77" t="str">
        <x:v>Yes</x:v>
      </x:c>
    </x:row>
    <x:row r="78">
      <x:c r="A78" t="n">
        <x:v>77</x:v>
      </x:c>
      <x:c r="B78" t="str">
        <x:v>EVT-0077</x:v>
      </x:c>
      <x:c r="C78" s="618" t="n">
        <x:v>46225</x:v>
      </x:c>
      <x:c r="D78" t="str">
        <x:v>Wednesday</x:v>
      </x:c>
      <x:c r="E78" t="n">
        <x:v>14</x:v>
      </x:c>
      <x:c r="F78" t="str">
        <x:v>MY_MONTH 4</x:v>
      </x:c>
      <x:c r="G78" t="str">
        <x:v>CL-022</x:v>
      </x:c>
      <x:c r="H78" t="str">
        <x:v>Marshalls</x:v>
      </x:c>
      <x:c r="I78" t="str">
        <x:v>Marshalls — Towson</x:v>
      </x:c>
      <x:c r="J78"/>
      <x:c r="K78" t="str">
        <x:v>Towson</x:v>
      </x:c>
      <x:c r="L78" t="str">
        <x:v>Maryland</x:v>
      </x:c>
      <x:c r="M78"/>
      <x:c r="N78" t="str">
        <x:v>MD</x:v>
      </x:c>
      <x:c r="O78" t="str">
        <x:v>Towson|MD</x:v>
      </x:c>
      <x:c r="P78" t="str">
        <x:v>Completed</x:v>
      </x:c>
      <x:c r="Q78" t="str">
        <x:v>Physical Service Visit</x:v>
      </x:c>
      <x:c r="R78" t="n">
        <x:v>1</x:v>
      </x:c>
      <x:c r="S78" t="str">
        <x:v>UNRESOLVED-E077</x:v>
      </x:c>
      <x:c r="T78"/>
      <x:c r="U78" t="str">
        <x:v>Pending</x:v>
      </x:c>
      <x:c r="V78" t="str">
        <x:v>Completed visit; work-order and payment breakdown mapping pending.</x:v>
      </x:c>
      <x:c r="W78" t="str">
        <x:v>User-authoritative chronology correction</x:v>
      </x:c>
      <x:c r="X78" t="str">
        <x:v>Included</x:v>
      </x:c>
      <x:c r="Y78"/>
      <x:c r="Z78" t="str">
        <x:v>Yes</x:v>
      </x:c>
    </x:row>
    <x:row r="79">
      <x:c r="A79" t="n">
        <x:v>78</x:v>
      </x:c>
      <x:c r="B79" t="str">
        <x:v>EVT-0078</x:v>
      </x:c>
      <x:c r="C79" s="618" t="n">
        <x:v>46225</x:v>
      </x:c>
      <x:c r="D79" t="str">
        <x:v>Wednesday</x:v>
      </x:c>
      <x:c r="E79" t="n">
        <x:v>14</x:v>
      </x:c>
      <x:c r="F79" t="str">
        <x:v>MY_MONTH 4</x:v>
      </x:c>
      <x:c r="G79" t="str">
        <x:v>CL-026</x:v>
      </x:c>
      <x:c r="H79" t="str">
        <x:v>Dunkin</x:v>
      </x:c>
      <x:c r="I79" t="str">
        <x:v>Dunkin — Owings Mills</x:v>
      </x:c>
      <x:c r="J79"/>
      <x:c r="K79" t="str">
        <x:v>Owings Mills</x:v>
      </x:c>
      <x:c r="L79" t="str">
        <x:v>Maryland</x:v>
      </x:c>
      <x:c r="M79"/>
      <x:c r="N79" t="str">
        <x:v>MD</x:v>
      </x:c>
      <x:c r="O79" t="str">
        <x:v>Owings Mills|MD</x:v>
      </x:c>
      <x:c r="P79" t="str">
        <x:v>Completed</x:v>
      </x:c>
      <x:c r="Q79" t="str">
        <x:v>Physical Service Visit</x:v>
      </x:c>
      <x:c r="R79" t="n">
        <x:v>1</x:v>
      </x:c>
      <x:c r="S79" t="str">
        <x:v>5900769</x:v>
      </x:c>
      <x:c r="T79" t="n">
        <x:v>160.29</x:v>
      </x:c>
      <x:c r="U79" t="str">
        <x:v>Eligible</x:v>
      </x:c>
      <x:c r="V79" t="str">
        <x:v>Payment breakdown confirmed at $160.29.</x:v>
      </x:c>
      <x:c r="W79" t="str">
        <x:v>User-verified payment breakdown record</x:v>
      </x:c>
      <x:c r="X79" t="str">
        <x:v>Included</x:v>
      </x:c>
      <x:c r="Y79"/>
      <x:c r="Z79" t="str">
        <x:v>Yes</x:v>
      </x:c>
    </x:row>
    <x:row r="80">
      <x:c r="A80" t="n">
        <x:v>79</x:v>
      </x:c>
      <x:c r="B80" t="str">
        <x:v>EVT-0079</x:v>
      </x:c>
      <x:c r="C80" s="618" t="n">
        <x:v>46225</x:v>
      </x:c>
      <x:c r="D80" t="str">
        <x:v>Wednesday</x:v>
      </x:c>
      <x:c r="E80" t="n">
        <x:v>14</x:v>
      </x:c>
      <x:c r="F80" t="str">
        <x:v>MY_MONTH 4</x:v>
      </x:c>
      <x:c r="G80" t="str">
        <x:v>CL-006</x:v>
      </x:c>
      <x:c r="H80" t="str">
        <x:v>7-Eleven</x:v>
      </x:c>
      <x:c r="I80" t="str">
        <x:v>7-Eleven — Fallston</x:v>
      </x:c>
      <x:c r="J80" t="str">
        <x:v>2400 Pleasantville Rd</x:v>
      </x:c>
      <x:c r="K80" t="str">
        <x:v>Fallston</x:v>
      </x:c>
      <x:c r="L80" t="str">
        <x:v>Maryland</x:v>
      </x:c>
      <x:c r="M80" t="str">
        <x:v>21047</x:v>
      </x:c>
      <x:c r="N80" t="str">
        <x:v>MD</x:v>
      </x:c>
      <x:c r="O80" t="str">
        <x:v>Fallston|MD</x:v>
      </x:c>
      <x:c r="P80" t="str">
        <x:v>Completed</x:v>
      </x:c>
      <x:c r="Q80" t="str">
        <x:v>Physical Service Visit</x:v>
      </x:c>
      <x:c r="R80" t="n">
        <x:v>1</x:v>
      </x:c>
      <x:c r="S80" t="str">
        <x:v>5921549</x:v>
      </x:c>
      <x:c r="T80" t="n">
        <x:v>168.75</x:v>
      </x:c>
      <x:c r="U80" t="str">
        <x:v>Eligible</x:v>
      </x:c>
      <x:c r="V80" t="str">
        <x:v>Digital menu board service completed. Payment breakdown confirmed at $168.75; no deductions.</x:v>
      </x:c>
      <x:c r="W80" t="str">
        <x:v>User chronology + Gmail WO assignment and payment breakdown</x:v>
      </x:c>
      <x:c r="X80" t="str">
        <x:v>Included</x:v>
      </x:c>
      <x:c r="Y80"/>
      <x:c r="Z80" t="str">
        <x:v>Yes</x:v>
      </x:c>
    </x:row>
    <x:row r="81">
      <x:c r="A81" t="n">
        <x:v>80</x:v>
      </x:c>
      <x:c r="B81" t="str">
        <x:v>EVT-0080</x:v>
      </x:c>
      <x:c r="C81" s="618" t="n">
        <x:v>46226</x:v>
      </x:c>
      <x:c r="D81" t="str">
        <x:v>Thursday</x:v>
      </x:c>
      <x:c r="E81" t="n">
        <x:v>14</x:v>
      </x:c>
      <x:c r="F81" t="str">
        <x:v>MY_MONTH 4</x:v>
      </x:c>
      <x:c r="G81" t="str">
        <x:v>CL-022</x:v>
      </x:c>
      <x:c r="H81" t="str">
        <x:v>Marshalls</x:v>
      </x:c>
      <x:c r="I81" t="str">
        <x:v>Marshalls — Westminster</x:v>
      </x:c>
      <x:c r="J81" t="str">
        <x:v>200 Clifton Blvd, Suite C</x:v>
      </x:c>
      <x:c r="K81" t="str">
        <x:v>Westminster</x:v>
      </x:c>
      <x:c r="L81" t="str">
        <x:v>Maryland</x:v>
      </x:c>
      <x:c r="M81" t="str">
        <x:v>21157</x:v>
      </x:c>
      <x:c r="N81" t="str">
        <x:v>MD</x:v>
      </x:c>
      <x:c r="O81" t="str">
        <x:v>Westminster|MD</x:v>
      </x:c>
      <x:c r="P81" t="str">
        <x:v>Completed</x:v>
      </x:c>
      <x:c r="Q81" t="str">
        <x:v>Physical Service Visit</x:v>
      </x:c>
      <x:c r="R81" t="n">
        <x:v>1</x:v>
      </x:c>
      <x:c r="S81" t="str">
        <x:v>5906863</x:v>
      </x:c>
      <x:c r="T81" t="n">
        <x:v>163.33</x:v>
      </x:c>
      <x:c r="U81" t="str">
        <x:v>Eligible</x:v>
      </x:c>
      <x:c r="V81" t="str">
        <x:v>TJX server-refresh work completed. Payment breakdown confirmed at $163.33; no deductions.</x:v>
      </x:c>
      <x:c r="W81" t="str">
        <x:v>User chronology + Gmail WO assignment and payment breakdown</x:v>
      </x:c>
      <x:c r="X81" t="str">
        <x:v>Included</x:v>
      </x:c>
      <x:c r="Y81"/>
      <x:c r="Z81" t="str">
        <x:v>Yes</x:v>
      </x:c>
    </x:row>
    <x:row r="82">
      <x:c r="A82" t="n">
        <x:v>81</x:v>
      </x:c>
      <x:c r="B82" t="str">
        <x:v>EVT-0081</x:v>
      </x:c>
      <x:c r="C82" s="618" t="n">
        <x:v>46226</x:v>
      </x:c>
      <x:c r="D82" t="str">
        <x:v>Thursday</x:v>
      </x:c>
      <x:c r="E82" t="n">
        <x:v>14</x:v>
      </x:c>
      <x:c r="F82" t="str">
        <x:v>MY_MONTH 4</x:v>
      </x:c>
      <x:c r="G82" t="str">
        <x:v>CL-016</x:v>
      </x:c>
      <x:c r="H82" t="str">
        <x:v>HomeGoods</x:v>
      </x:c>
      <x:c r="I82" t="str">
        <x:v>HomeGoods — Fairfax</x:v>
      </x:c>
      <x:c r="J82"/>
      <x:c r="K82" t="str">
        <x:v>Fairfax</x:v>
      </x:c>
      <x:c r="L82" t="str">
        <x:v>Virginia</x:v>
      </x:c>
      <x:c r="M82"/>
      <x:c r="N82" t="str">
        <x:v>VA</x:v>
      </x:c>
      <x:c r="O82" t="str">
        <x:v>Fairfax|VA</x:v>
      </x:c>
      <x:c r="P82" t="str">
        <x:v>Completed</x:v>
      </x:c>
      <x:c r="Q82" t="str">
        <x:v>Physical Service Visit</x:v>
      </x:c>
      <x:c r="R82" t="n">
        <x:v>1</x:v>
      </x:c>
      <x:c r="S82" t="str">
        <x:v>5922660</x:v>
      </x:c>
      <x:c r="T82" t="n">
        <x:v>125</x:v>
      </x:c>
      <x:c r="U82" t="str">
        <x:v>Eligible</x:v>
      </x:c>
      <x:c r="V82" t="str">
        <x:v>Power USB cable service completed. Payment breakdown confirmed at $125.00; no deductions.</x:v>
      </x:c>
      <x:c r="W82" t="str">
        <x:v>User chronology + Gmail ETA and payment breakdown</x:v>
      </x:c>
      <x:c r="X82" t="str">
        <x:v>Included</x:v>
      </x:c>
      <x:c r="Y82"/>
      <x:c r="Z82" t="str">
        <x:v>Yes</x:v>
      </x:c>
    </x:row>
    <x:row r="83">
      <x:c r="A83" t="n">
        <x:v>82</x:v>
      </x:c>
      <x:c r="B83" t="str">
        <x:v>EVT-0082</x:v>
      </x:c>
      <x:c r="C83" s="618" t="n">
        <x:v>46226</x:v>
      </x:c>
      <x:c r="D83" t="str">
        <x:v>Thursday</x:v>
      </x:c>
      <x:c r="E83" t="n">
        <x:v>14</x:v>
      </x:c>
      <x:c r="F83" t="str">
        <x:v>MY_MONTH 4</x:v>
      </x:c>
      <x:c r="G83" t="str">
        <x:v>CL-020</x:v>
      </x:c>
      <x:c r="H83" t="str">
        <x:v>TJ Maxx</x:v>
      </x:c>
      <x:c r="I83" t="str">
        <x:v>TJ Maxx — Alexandria</x:v>
      </x:c>
      <x:c r="J83"/>
      <x:c r="K83" t="str">
        <x:v>Alexandria</x:v>
      </x:c>
      <x:c r="L83" t="str">
        <x:v>Virginia</x:v>
      </x:c>
      <x:c r="M83"/>
      <x:c r="N83" t="str">
        <x:v>VA</x:v>
      </x:c>
      <x:c r="O83" t="str">
        <x:v>Alexandria|VA</x:v>
      </x:c>
      <x:c r="P83" t="str">
        <x:v>Completed</x:v>
      </x:c>
      <x:c r="Q83" t="str">
        <x:v>Physical Service Visit</x:v>
      </x:c>
      <x:c r="R83" t="n">
        <x:v>1</x:v>
      </x:c>
      <x:c r="S83" t="str">
        <x:v>5922683</x:v>
      </x:c>
      <x:c r="T83" t="n">
        <x:v>110</x:v>
      </x:c>
      <x:c r="U83" t="str">
        <x:v>Eligible</x:v>
      </x:c>
      <x:c r="V83" t="str">
        <x:v>BERG adapter service completed. Payment breakdown confirmed at $110.00; no deductions.</x:v>
      </x:c>
      <x:c r="W83" t="str">
        <x:v>User chronology + Gmail ETA and payment breakdown</x:v>
      </x:c>
      <x:c r="X83" t="str">
        <x:v>Included</x:v>
      </x:c>
      <x:c r="Y83"/>
      <x:c r="Z83" t="str">
        <x:v>Yes</x:v>
      </x:c>
    </x:row>
    <x:row r="84">
      <x:c r="A84" t="n">
        <x:v>83</x:v>
      </x:c>
      <x:c r="B84" t="str">
        <x:v>EVT-0083</x:v>
      </x:c>
      <x:c r="C84" s="618" t="n">
        <x:v>46227</x:v>
      </x:c>
      <x:c r="D84" t="str">
        <x:v>Friday</x:v>
      </x:c>
      <x:c r="E84" t="n">
        <x:v>14</x:v>
      </x:c>
      <x:c r="F84" t="str">
        <x:v>MY_MONTH 4</x:v>
      </x:c>
      <x:c r="G84" t="str">
        <x:v>CL-027</x:v>
      </x:c>
      <x:c r="H84" t="str">
        <x:v>Carvana</x:v>
      </x:c>
      <x:c r="I84" t="str">
        <x:v>Carvana — Baltimore</x:v>
      </x:c>
      <x:c r="J84" t="str">
        <x:v>4901 Holabird Ave</x:v>
      </x:c>
      <x:c r="K84" t="str">
        <x:v>Baltimore</x:v>
      </x:c>
      <x:c r="L84" t="str">
        <x:v>Maryland</x:v>
      </x:c>
      <x:c r="M84" t="str">
        <x:v>21224</x:v>
      </x:c>
      <x:c r="N84" t="str">
        <x:v>MD</x:v>
      </x:c>
      <x:c r="O84" t="str">
        <x:v>Baltimore|MD</x:v>
      </x:c>
      <x:c r="P84" t="str">
        <x:v>Completed</x:v>
      </x:c>
      <x:c r="Q84" t="str">
        <x:v>Physical Service Visit</x:v>
      </x:c>
      <x:c r="R84" t="n">
        <x:v>1</x:v>
      </x:c>
      <x:c r="S84" t="str">
        <x:v>5919318</x:v>
      </x:c>
      <x:c r="T84" t="n">
        <x:v>65</x:v>
      </x:c>
      <x:c r="U84" t="str">
        <x:v>Eligible</x:v>
      </x:c>
      <x:c r="V84" t="str">
        <x:v>HP Color LaserJet Managed MFP fuser replaced and ticket completed. Payment breakdown confirmed at $65.00; no deductions.</x:v>
      </x:c>
      <x:c r="W84" t="str">
        <x:v>User completion + Gmail WO assignment and payment breakdown</x:v>
      </x:c>
      <x:c r="X84" t="str">
        <x:v>Included</x:v>
      </x:c>
      <x:c r="Y84"/>
      <x:c r="Z84" t="str">
        <x:v>Yes</x:v>
      </x:c>
    </x:row>
    <x:row r="85">
      <x:c r="A85" t="n">
        <x:v>84</x:v>
      </x:c>
      <x:c r="B85" t="str">
        <x:v>EVT-0084</x:v>
      </x:c>
      <x:c r="C85" s="618" t="n">
        <x:v>46227</x:v>
      </x:c>
      <x:c r="D85" t="str">
        <x:v>Friday</x:v>
      </x:c>
      <x:c r="E85" t="n">
        <x:v>14</x:v>
      </x:c>
      <x:c r="F85" t="str">
        <x:v>MY_MONTH 4</x:v>
      </x:c>
      <x:c r="G85" t="str">
        <x:v>CL-007</x:v>
      </x:c>
      <x:c r="H85" t="str">
        <x:v>Giant Food Stores</x:v>
      </x:c>
      <x:c r="I85" t="str">
        <x:v>Giant Food — Wheaton</x:v>
      </x:c>
      <x:c r="J85" t="str">
        <x:v>2900 University Boulevard West</x:v>
      </x:c>
      <x:c r="K85" t="str">
        <x:v>Wheaton</x:v>
      </x:c>
      <x:c r="L85" t="str">
        <x:v>Maryland</x:v>
      </x:c>
      <x:c r="M85" t="str">
        <x:v>20902</x:v>
      </x:c>
      <x:c r="N85" t="str">
        <x:v>MD</x:v>
      </x:c>
      <x:c r="O85" t="str">
        <x:v>Wheaton|MD</x:v>
      </x:c>
      <x:c r="P85" t="str">
        <x:v>Completed</x:v>
      </x:c>
      <x:c r="Q85" t="str">
        <x:v>Physical Service Visit</x:v>
      </x:c>
      <x:c r="R85" t="n">
        <x:v>1</x:v>
      </x:c>
      <x:c r="S85" t="str">
        <x:v>5922604</x:v>
      </x:c>
      <x:c r="T85"/>
      <x:c r="U85" t="str">
        <x:v>Pending</x:v>
      </x:c>
      <x:c r="V85" t="str">
        <x:v>Cradlepoint outage resolved after replacing the rooftop unit and PoE injector; Port 42 restored and site operational. Payment breakdown pending.</x:v>
      </x:c>
      <x:c r="W85" t="str">
        <x:v>User-authoritative completion + Gmail WO assignment and closeout correspondence</x:v>
      </x:c>
      <x:c r="X85" t="str">
        <x:v>Included</x:v>
      </x:c>
      <x:c r="Y85"/>
      <x:c r="Z85" t="str">
        <x:v>Yes</x:v>
      </x:c>
    </x:row>
  </x:sheetData>
  <x:conditionalFormatting sqref="I2:I63">
    <x:cfRule type="expression" dxfId="3" priority="1">
      <x:formula>I2="Completed"</x:formula>
    </x:cfRule>
  </x:conditionalFormatting>
  <x:conditionalFormatting sqref="P2:P66">
    <x:cfRule type="expression" dxfId="49" priority="2">
      <x:formula>$P2="Completed"</x:formula>
    </x:cfRule>
    <x:cfRule type="expression" dxfId="50" priority="3">
      <x:formula>$P2="Scheduled"</x:formula>
    </x:cfRule>
    <x:cfRule type="expression" dxfId="51" priority="4">
      <x:formula>OR($P2="Cancelled",$P2="Dispatched/Reassigned")</x:formula>
    </x:cfRule>
    <x:cfRule type="expression" dxfId="52" priority="5">
      <x:formula>OR($P2="Incomplete",$P2="No Access",$P2="Failed")</x:formula>
    </x:cfRule>
  </x:conditionalFormatting>
  <x:conditionalFormatting sqref="T2:T66">
    <x:cfRule type="expression" dxfId="53" priority="6">
      <x:formula>AND($X2="Included",$Z2="Yes",$U2="Eligible")</x:formula>
    </x:cfRule>
    <x:cfRule type="expression" dxfId="54" priority="7">
      <x:formula>AND($X2="Included",$Z2="Yes",$U2="Excluded")</x:formula>
    </x:cfRule>
    <x:cfRule type="expression" dxfId="55" priority="8">
      <x:formula>$X2="Excluded"</x:formula>
    </x:cfRule>
  </x:conditionalFormatting>
  <x:conditionalFormatting sqref="U2:U66">
    <x:cfRule type="expression" dxfId="56" priority="9">
      <x:formula>$U2="Eligible"</x:formula>
    </x:cfRule>
    <x:cfRule type="expression" dxfId="57" priority="10">
      <x:formula>AND($U2="Excluded",$X2="Included")</x:formula>
    </x:cfRule>
    <x:cfRule type="expression" dxfId="58" priority="11">
      <x:formula>$X2="Excluded"</x:formula>
    </x:cfRule>
  </x:conditionalFormatting>
  <x:conditionalFormatting sqref="V2:W66">
    <x:cfRule type="expression" dxfId="59" priority="12">
      <x:formula>AND($X2="Included",$Z2="Yes",$U2="Excluded")</x:formula>
    </x:cfRule>
    <x:cfRule type="expression" dxfId="60" priority="13">
      <x:formula>$X2="Excluded"</x:formula>
    </x:cfRule>
  </x:conditionalFormatting>
  <x:conditionalFormatting sqref="X2:X66">
    <x:cfRule type="expression" dxfId="61" priority="14">
      <x:formula>$X2="Included"</x:formula>
    </x:cfRule>
    <x:cfRule type="expression" dxfId="62" priority="15">
      <x:formula>$X2="Excluded"</x:formula>
    </x:cfRule>
  </x:conditionalFormatting>
  <x:conditionalFormatting sqref="Y2:Y66">
    <x:cfRule type="expression" dxfId="63" priority="16">
      <x:formula>$X2="Excluded"</x:formula>
    </x:cfRule>
  </x:conditionalFormatting>
  <x:conditionalFormatting sqref="Z2:Z66">
    <x:cfRule type="expression" dxfId="64" priority="17">
      <x:formula>$Z2="Yes"</x:formula>
    </x:cfRule>
    <x:cfRule type="expression" dxfId="65" priority="18">
      <x:formula>$Z2="No"</x:formula>
    </x:cfRule>
  </x:conditionalFormatting>
  <x:dataValidations count="7">
    <x:dataValidation type="list" sqref="I2:I63">
      <x:formula1>"Completed,Scheduled,Cancelled,No Access,Closed"</x:formula1>
    </x:dataValidation>
    <x:dataValidation type="list" sqref="J2:J63">
      <x:formula1>"Physical Service Visit,Same-site multi-WO visit,Project Deployment,Repair,Install,No Access"</x:formula1>
    </x:dataValidation>
    <x:dataValidation type="list" sqref="P2:P63">
      <x:formula1>"Completed,Scheduled,Cancelled,No Access,Closed"</x:formula1>
    </x:dataValidation>
    <x:dataValidation type="list" sqref="Q2:Q63">
      <x:formula1>"Physical Service Visit,Same-site multi-WO visit,Project Deployment,Repair,Install,No Access"</x:formula1>
    </x:dataValidation>
    <x:dataValidation type="list" sqref="X2:X500">
      <x:formula1>"Included,Excluded"</x:formula1>
    </x:dataValidation>
    <x:dataValidation type="list" sqref="Z2:Z500">
      <x:formula1>"Yes,No"</x:formula1>
    </x:dataValidation>
    <x:dataValidation type="list" sqref="U2:U500">
      <x:formula1>"Eligible,Excluded"</x:formula1>
    </x:dataValidation>
  </x:dataValidations>
  <x:pageMargins left="0.7" right="0.7" top="0.75" bottom="0.75" header="0.3" footer="0.3"/>
  <x:tableParts count="1">
    <x:tablePart xmlns:r="http://schemas.openxmlformats.org/officeDocument/2006/relationships" r:id="R03fbae766ff941a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10" hidden="0" customWidth="1"/>
    <x:col min="4" max="4" width="18" hidden="0" customWidth="1"/>
    <x:col min="5" max="5" width="12" hidden="0" customWidth="1"/>
    <x:col min="6" max="6" width="28" hidden="0" customWidth="1"/>
    <x:col min="7" max="7" width="13" hidden="0" customWidth="1"/>
    <x:col min="8" max="8" width="12" hidden="0" customWidth="1"/>
    <x:col min="9" max="9" width="24" hidden="0" customWidth="1"/>
    <x:col min="10" max="10" width="22" hidden="0" customWidth="1"/>
    <x:col min="11" max="11" width="18" hidden="0" customWidth="1"/>
    <x:col min="12" max="12" width="18" hidden="0" customWidth="1"/>
    <x:col min="13" max="13" width="10" hidden="0" customWidth="1"/>
    <x:col min="14" max="14" width="14" hidden="0" customWidth="1"/>
    <x:col min="15" max="15" width="22" hidden="0" customWidth="1"/>
    <x:col min="16" max="16" width="14" hidden="0" customWidth="1"/>
    <x:col min="17" max="17" width="14" hidden="0" customWidth="1"/>
    <x:col min="18" max="18" width="18" hidden="0" customWidth="1"/>
    <x:col min="19" max="19" width="16" hidden="0" customWidth="1"/>
    <x:col min="20" max="20" width="13" hidden="0" customWidth="1"/>
    <x:col min="21" max="21" width="16" hidden="0" customWidth="1"/>
    <x:col min="22" max="22" width="15" hidden="0" customWidth="1"/>
    <x:col min="23" max="23" width="14" hidden="0" customWidth="1"/>
    <x:col min="24" max="24" width="13" hidden="0" customWidth="1"/>
    <x:col min="25" max="25" width="14" hidden="0" customWidth="1"/>
    <x:col min="26" max="26" width="24" hidden="0" customWidth="1"/>
    <x:col min="27" max="27" width="20" hidden="0" customWidth="1"/>
    <x:col min="28" max="28" width="28" hidden="0" customWidth="1"/>
    <x:col min="29" max="29" width="44" hidden="0" customWidth="1"/>
    <x:col min="30" max="30" width="30" hidden="0" customWidth="1"/>
  </x:cols>
  <x:sheetData>
    <x:row r="1">
      <x:c r="A1" s="51" t="str">
        <x:v>Ledger Record ID</x:v>
      </x:c>
      <x:c r="B1" s="51" t="str">
        <x:v>Work Order #</x:v>
      </x:c>
      <x:c r="C1" s="51" t="str">
        <x:v>Event #</x:v>
      </x:c>
      <x:c r="D1" s="51" t="str">
        <x:v>Candidate Event(s)</x:v>
      </x:c>
      <x:c r="E1" s="51" t="str">
        <x:v>Client ID</x:v>
      </x:c>
      <x:c r="F1" s="51" t="str">
        <x:v>Client</x:v>
      </x:c>
      <x:c r="G1" s="51" t="str">
        <x:v>Service Date</x:v>
      </x:c>
      <x:c r="H1" s="51" t="str">
        <x:v>Weekday</x:v>
      </x:c>
      <x:c r="I1" s="51" t="str">
        <x:v>Site Name</x:v>
      </x:c>
      <x:c r="J1" s="51" t="str">
        <x:v>Address</x:v>
      </x:c>
      <x:c r="K1" s="51" t="str">
        <x:v>City</x:v>
      </x:c>
      <x:c r="L1" s="51" t="str">
        <x:v>State</x:v>
      </x:c>
      <x:c r="M1" s="51" t="str">
        <x:v>ZIP</x:v>
      </x:c>
      <x:c r="N1" s="51" t="str">
        <x:v>Jurisdiction</x:v>
      </x:c>
      <x:c r="O1" s="51" t="str">
        <x:v>Location Key</x:v>
      </x:c>
      <x:c r="P1" s="51" t="str">
        <x:v>Agreed Amount</x:v>
      </x:c>
      <x:c r="Q1" s="51" t="str">
        <x:v>Pay Type</x:v>
      </x:c>
      <x:c r="R1" s="51" t="str">
        <x:v>Breakdown Confirmed</x:v>
      </x:c>
      <x:c r="S1" s="51" t="str">
        <x:v>Breakdown Amount</x:v>
      </x:c>
      <x:c r="T1" s="51" t="str">
        <x:v>Breakdown Date</x:v>
      </x:c>
      <x:c r="U1" s="51" t="str">
        <x:v>Expected Payment Date</x:v>
      </x:c>
      <x:c r="V1" s="51" t="str">
        <x:v>ACH Confirmed</x:v>
      </x:c>
      <x:c r="W1" s="51" t="str">
        <x:v>ACH Amount</x:v>
      </x:c>
      <x:c r="X1" s="51" t="str">
        <x:v>ACH Date</x:v>
      </x:c>
      <x:c r="Y1" s="51" t="str">
        <x:v>Variance</x:v>
      </x:c>
      <x:c r="Z1" s="51" t="str">
        <x:v>Reconciliation Status</x:v>
      </x:c>
      <x:c r="AA1" s="51" t="str">
        <x:v>Mapping Status</x:v>
      </x:c>
      <x:c r="AB1" s="51" t="str">
        <x:v>Alias / Related WO</x:v>
      </x:c>
      <x:c r="AC1" s="51" t="str">
        <x:v>Notes</x:v>
      </x:c>
      <x:c r="AD1" s="51" t="str">
        <x:v>Source / Evidence</x:v>
      </x:c>
      <x:c r="AE1" s="52"/>
    </x:row>
    <x:row r="2">
      <x:c r="A2" s="329" t="str">
        <x:v>LED-0001</x:v>
      </x:c>
      <x:c r="B2" s="329" t="str">
        <x:v>5847113</x:v>
      </x:c>
      <x:c r="C2" s="329" t="n">
        <x:v>1</x:v>
      </x:c>
      <x:c r="D2" s="532"/>
      <x:c r="E2" s="329" t="str">
        <x:v>CL-001</x:v>
      </x:c>
      <x:c r="F2" s="329" t="str">
        <x:v>Macy's</x:v>
      </x:c>
      <x:c r="G2" s="532" t="n">
        <x:v>46132</x:v>
      </x:c>
      <x:c r="H2" s="567" t="str">
        <x:v>Monday</x:v>
      </x:c>
      <x:c r="I2" s="329" t="str">
        <x:v>Macy's</x:v>
      </x:c>
      <x:c r="J2" s="329"/>
      <x:c r="K2" s="566" t="str">
        <x:v>Fairfax</x:v>
      </x:c>
      <x:c r="L2" s="532" t="str">
        <x:v>Virginia</x:v>
      </x:c>
      <x:c r="M2" s="532"/>
      <x:c r="N2" s="329" t="str">
        <x:v>VA</x:v>
      </x:c>
      <x:c r="O2" s="567" t="str">
        <x:v>Fairfax|VA</x:v>
      </x:c>
      <x:c r="P2" s="566"/>
      <x:c r="Q2" s="566"/>
      <x:c r="R2" s="329" t="str">
        <x:v>Yes</x:v>
      </x:c>
      <x:c r="S2" s="566" t="n">
        <x:v>90</x:v>
      </x:c>
      <x:c r="T2" s="532"/>
      <x:c r="U2" s="532"/>
      <x:c r="V2" s="329" t="str">
        <x:v>Yes</x:v>
      </x:c>
      <x:c r="W2" s="566" t="n">
        <x:v>90</x:v>
      </x:c>
      <x:c r="X2" s="532"/>
      <x:c r="Y2" s="567" t="str"/>
      <x:c r="Z2" s="329" t="str">
        <x:v>Complete with note</x:v>
      </x:c>
      <x:c r="AA2" s="329" t="str">
        <x:v>Unique</x:v>
      </x:c>
      <x:c r="AB2" s="329"/>
      <x:c r="AC2" s="329" t="str">
        <x:v>VA model from prior approved calculation.</x:v>
      </x:c>
      <x:c r="AD2" s="329" t="str">
        <x:v>WO Alias Index + Canonical Ledger</x:v>
      </x:c>
      <x:c r="AE2" s="329"/>
    </x:row>
    <x:row r="3">
      <x:c r="A3" s="329" t="str">
        <x:v>LED-0002</x:v>
      </x:c>
      <x:c r="B3" s="329" t="str">
        <x:v>5860365</x:v>
      </x:c>
      <x:c r="C3" s="329" t="n">
        <x:v>2</x:v>
      </x:c>
      <x:c r="D3" s="532"/>
      <x:c r="E3" s="329" t="str">
        <x:v>CL-002</x:v>
      </x:c>
      <x:c r="F3" s="329" t="str">
        <x:v>Bloomingdale's</x:v>
      </x:c>
      <x:c r="G3" s="532" t="n">
        <x:v>46133</x:v>
      </x:c>
      <x:c r="H3" s="567" t="str">
        <x:v>Tuesday</x:v>
      </x:c>
      <x:c r="I3" s="329" t="str">
        <x:v>Bloomingdale's</x:v>
      </x:c>
      <x:c r="J3" s="329"/>
      <x:c r="K3" s="566" t="str">
        <x:v>Tysons</x:v>
      </x:c>
      <x:c r="L3" s="532" t="str">
        <x:v>Virginia</x:v>
      </x:c>
      <x:c r="M3" s="532"/>
      <x:c r="N3" s="329" t="str">
        <x:v>VA</x:v>
      </x:c>
      <x:c r="O3" s="567" t="str">
        <x:v>Tysons|VA</x:v>
      </x:c>
      <x:c r="P3" s="566"/>
      <x:c r="Q3" s="566"/>
      <x:c r="R3" s="329" t="str">
        <x:v>Yes</x:v>
      </x:c>
      <x:c r="S3" s="566" t="n">
        <x:v>344</x:v>
      </x:c>
      <x:c r="T3" s="532"/>
      <x:c r="U3" s="532"/>
      <x:c r="V3" s="329" t="str">
        <x:v>Yes</x:v>
      </x:c>
      <x:c r="W3" s="566" t="n">
        <x:v>344</x:v>
      </x:c>
      <x:c r="X3" s="532"/>
      <x:c r="Y3" s="567" t="str"/>
      <x:c r="Z3" s="329" t="str">
        <x:v>Complete</x:v>
      </x:c>
      <x:c r="AA3" s="329" t="str">
        <x:v>Unique</x:v>
      </x:c>
      <x:c r="AB3" s="329"/>
      <x:c r="AC3" s="329" t="str">
        <x:v>8-hour assist tech; effective $43/hr.</x:v>
      </x:c>
      <x:c r="AD3" s="329" t="str">
        <x:v>WO Alias Index + Canonical Ledger</x:v>
      </x:c>
      <x:c r="AE3" s="329"/>
    </x:row>
    <x:row r="4">
      <x:c r="A4" s="329" t="str">
        <x:v>LED-0003</x:v>
      </x:c>
      <x:c r="B4" s="329" t="str">
        <x:v>5860393</x:v>
      </x:c>
      <x:c r="C4" s="329" t="n">
        <x:v>3</x:v>
      </x:c>
      <x:c r="D4" s="532"/>
      <x:c r="E4" s="329" t="str">
        <x:v>CL-002</x:v>
      </x:c>
      <x:c r="F4" s="329" t="str">
        <x:v>Bloomingdale's</x:v>
      </x:c>
      <x:c r="G4" s="532" t="n">
        <x:v>46134</x:v>
      </x:c>
      <x:c r="H4" s="567" t="str">
        <x:v>Wednesday</x:v>
      </x:c>
      <x:c r="I4" s="329" t="str">
        <x:v>Bloomingdale's</x:v>
      </x:c>
      <x:c r="J4" s="329"/>
      <x:c r="K4" s="566" t="str">
        <x:v>Tysons</x:v>
      </x:c>
      <x:c r="L4" s="532" t="str">
        <x:v>Virginia</x:v>
      </x:c>
      <x:c r="M4" s="532"/>
      <x:c r="N4" s="329" t="str">
        <x:v>VA</x:v>
      </x:c>
      <x:c r="O4" s="567" t="str">
        <x:v>Tysons|VA</x:v>
      </x:c>
      <x:c r="P4" s="566"/>
      <x:c r="Q4" s="566"/>
      <x:c r="R4" s="329" t="str">
        <x:v>Yes</x:v>
      </x:c>
      <x:c r="S4" s="566" t="n">
        <x:v>344</x:v>
      </x:c>
      <x:c r="T4" s="532"/>
      <x:c r="U4" s="532"/>
      <x:c r="V4" s="329" t="str">
        <x:v>Yes</x:v>
      </x:c>
      <x:c r="W4" s="566" t="n">
        <x:v>344</x:v>
      </x:c>
      <x:c r="X4" s="532"/>
      <x:c r="Y4" s="567" t="str"/>
      <x:c r="Z4" s="329" t="str">
        <x:v>Complete</x:v>
      </x:c>
      <x:c r="AA4" s="329" t="str">
        <x:v>Unique</x:v>
      </x:c>
      <x:c r="AB4" s="329"/>
      <x:c r="AC4" s="329" t="str">
        <x:v>8-hour assist tech; effective $43/hr.</x:v>
      </x:c>
      <x:c r="AD4" s="329" t="str">
        <x:v>WO Alias Index + Canonical Ledger</x:v>
      </x:c>
      <x:c r="AE4" s="329"/>
    </x:row>
    <x:row r="5">
      <x:c r="A5" s="329" t="str">
        <x:v>LED-0004</x:v>
      </x:c>
      <x:c r="B5" s="329" t="str">
        <x:v>5874484</x:v>
      </x:c>
      <x:c r="C5" s="329" t="n">
        <x:v>4</x:v>
      </x:c>
      <x:c r="D5" s="532"/>
      <x:c r="E5" s="329" t="str">
        <x:v>CL-001</x:v>
      </x:c>
      <x:c r="F5" s="329" t="str">
        <x:v>Macy's</x:v>
      </x:c>
      <x:c r="G5" s="532" t="n">
        <x:v>46135</x:v>
      </x:c>
      <x:c r="H5" s="567" t="str">
        <x:v>Thursday</x:v>
      </x:c>
      <x:c r="I5" s="329" t="str">
        <x:v>Macy's</x:v>
      </x:c>
      <x:c r="J5" s="329"/>
      <x:c r="K5" s="566" t="str">
        <x:v>Frederick</x:v>
      </x:c>
      <x:c r="L5" s="532" t="str">
        <x:v>Maryland</x:v>
      </x:c>
      <x:c r="M5" s="532"/>
      <x:c r="N5" s="329" t="str">
        <x:v>MD</x:v>
      </x:c>
      <x:c r="O5" s="567" t="str">
        <x:v>Frederick|MD</x:v>
      </x:c>
      <x:c r="P5" s="566"/>
      <x:c r="Q5" s="566"/>
      <x:c r="R5" s="329" t="str">
        <x:v>Yes</x:v>
      </x:c>
      <x:c r="S5" s="566" t="n">
        <x:v>180</x:v>
      </x:c>
      <x:c r="T5" s="532"/>
      <x:c r="U5" s="532"/>
      <x:c r="V5" s="329" t="str">
        <x:v>Yes</x:v>
      </x:c>
      <x:c r="W5" s="566" t="n">
        <x:v>180</x:v>
      </x:c>
      <x:c r="X5" s="532"/>
      <x:c r="Y5" s="567" t="str"/>
      <x:c r="Z5" s="329" t="str">
        <x:v>Complete</x:v>
      </x:c>
      <x:c r="AA5" s="329" t="str">
        <x:v>Unique</x:v>
      </x:c>
      <x:c r="AB5" s="329"/>
      <x:c r="AC5" s="329" t="str">
        <x:v>Maryland revenue included; hours inferred at $45/hr.</x:v>
      </x:c>
      <x:c r="AD5" s="329" t="str">
        <x:v>WO Alias Index + Canonical Ledger</x:v>
      </x:c>
      <x:c r="AE5" s="329"/>
    </x:row>
    <x:row r="6">
      <x:c r="A6" s="329" t="str">
        <x:v>LED-0005</x:v>
      </x:c>
      <x:c r="B6" s="329" t="str">
        <x:v>5876589</x:v>
      </x:c>
      <x:c r="C6" s="329" t="n">
        <x:v>5</x:v>
      </x:c>
      <x:c r="D6" s="532"/>
      <x:c r="E6" s="329" t="str">
        <x:v>CL-003</x:v>
      </x:c>
      <x:c r="F6" s="329" t="str">
        <x:v>Hampton Inn &amp; Suites</x:v>
      </x:c>
      <x:c r="G6" s="532" t="n">
        <x:v>46136</x:v>
      </x:c>
      <x:c r="H6" s="567" t="str">
        <x:v>Friday</x:v>
      </x:c>
      <x:c r="I6" s="329" t="str">
        <x:v>Hampton Inn &amp; Suites</x:v>
      </x:c>
      <x:c r="J6" s="329"/>
      <x:c r="K6" s="566" t="str">
        <x:v>Washington</x:v>
      </x:c>
      <x:c r="L6" s="532" t="str">
        <x:v>Washington, DC</x:v>
      </x:c>
      <x:c r="M6" s="532"/>
      <x:c r="N6" s="329" t="str">
        <x:v>DC</x:v>
      </x:c>
      <x:c r="O6" s="567" t="str">
        <x:v>Washington|DC</x:v>
      </x:c>
      <x:c r="P6" s="566"/>
      <x:c r="Q6" s="566"/>
      <x:c r="R6" s="329" t="str">
        <x:v>Yes</x:v>
      </x:c>
      <x:c r="S6" s="566" t="n">
        <x:v>50</x:v>
      </x:c>
      <x:c r="T6" s="532"/>
      <x:c r="U6" s="532"/>
      <x:c r="V6" s="329" t="str">
        <x:v>Yes</x:v>
      </x:c>
      <x:c r="W6" s="566" t="n">
        <x:v>50</x:v>
      </x:c>
      <x:c r="X6" s="532"/>
      <x:c r="Y6" s="567" t="str"/>
      <x:c r="Z6" s="329" t="str">
        <x:v>Complete</x:v>
      </x:c>
      <x:c r="AA6" s="329" t="str">
        <x:v>Unique</x:v>
      </x:c>
      <x:c r="AB6" s="329"/>
      <x:c r="AC6" s="329" t="str">
        <x:v>DC flat/equivalent event.</x:v>
      </x:c>
      <x:c r="AD6" s="329" t="str">
        <x:v>WO Alias Index + Canonical Ledger</x:v>
      </x:c>
      <x:c r="AE6" s="329"/>
    </x:row>
    <x:row r="7">
      <x:c r="A7" s="329" t="str">
        <x:v>LED-0006</x:v>
      </x:c>
      <x:c r="B7" s="329" t="str">
        <x:v>5874982</x:v>
      </x:c>
      <x:c r="C7" s="329" t="n">
        <x:v>6</x:v>
      </x:c>
      <x:c r="D7" s="532"/>
      <x:c r="E7" s="329" t="str">
        <x:v>CL-001</x:v>
      </x:c>
      <x:c r="F7" s="329" t="str">
        <x:v>Macy's</x:v>
      </x:c>
      <x:c r="G7" s="532" t="n">
        <x:v>46139</x:v>
      </x:c>
      <x:c r="H7" s="567" t="str">
        <x:v>Monday</x:v>
      </x:c>
      <x:c r="I7" s="329" t="str">
        <x:v>Macy's</x:v>
      </x:c>
      <x:c r="J7" s="329"/>
      <x:c r="K7" s="566" t="str">
        <x:v>Frederick</x:v>
      </x:c>
      <x:c r="L7" s="532" t="str">
        <x:v>Maryland</x:v>
      </x:c>
      <x:c r="M7" s="532"/>
      <x:c r="N7" s="329" t="str">
        <x:v>MD</x:v>
      </x:c>
      <x:c r="O7" s="567" t="str">
        <x:v>Frederick|MD</x:v>
      </x:c>
      <x:c r="P7" s="566"/>
      <x:c r="Q7" s="566"/>
      <x:c r="R7" s="329" t="str">
        <x:v>Yes</x:v>
      </x:c>
      <x:c r="S7" s="566" t="n">
        <x:v>180</x:v>
      </x:c>
      <x:c r="T7" s="532"/>
      <x:c r="U7" s="532"/>
      <x:c r="V7" s="329" t="str">
        <x:v>Yes</x:v>
      </x:c>
      <x:c r="W7" s="566" t="n">
        <x:v>180</x:v>
      </x:c>
      <x:c r="X7" s="532"/>
      <x:c r="Y7" s="567" t="str"/>
      <x:c r="Z7" s="329" t="str">
        <x:v>Complete</x:v>
      </x:c>
      <x:c r="AA7" s="329" t="str">
        <x:v>Unique</x:v>
      </x:c>
      <x:c r="AB7" s="329"/>
      <x:c r="AC7" s="329" t="str">
        <x:v>Maryland revenue included; hours inferred at $45/hr.</x:v>
      </x:c>
      <x:c r="AD7" s="329" t="str">
        <x:v>WO Alias Index + Canonical Ledger</x:v>
      </x:c>
      <x:c r="AE7" s="329"/>
    </x:row>
    <x:row r="8">
      <x:c r="A8" s="329" t="str">
        <x:v>LED-0007</x:v>
      </x:c>
      <x:c r="B8" s="329" t="str">
        <x:v>5876638</x:v>
      </x:c>
      <x:c r="C8" s="329" t="n">
        <x:v>7</x:v>
      </x:c>
      <x:c r="D8" s="532"/>
      <x:c r="E8" s="329" t="str">
        <x:v>CL-004</x:v>
      </x:c>
      <x:c r="F8" s="329" t="str">
        <x:v>Davis Polk &amp; Wardwell</x:v>
      </x:c>
      <x:c r="G8" s="532" t="n">
        <x:v>46141</x:v>
      </x:c>
      <x:c r="H8" s="567" t="str">
        <x:v>Wednesday</x:v>
      </x:c>
      <x:c r="I8" s="329" t="str">
        <x:v>Davis Polk &amp; Wardwell</x:v>
      </x:c>
      <x:c r="J8" s="329"/>
      <x:c r="K8" s="566" t="str">
        <x:v>Washington</x:v>
      </x:c>
      <x:c r="L8" s="532" t="str">
        <x:v>Washington, DC</x:v>
      </x:c>
      <x:c r="M8" s="532"/>
      <x:c r="N8" s="329" t="str">
        <x:v>DC</x:v>
      </x:c>
      <x:c r="O8" s="567" t="str">
        <x:v>Washington|DC</x:v>
      </x:c>
      <x:c r="P8" s="566"/>
      <x:c r="Q8" s="566"/>
      <x:c r="R8" s="329" t="str">
        <x:v>Yes</x:v>
      </x:c>
      <x:c r="S8" s="566" t="n">
        <x:v>50</x:v>
      </x:c>
      <x:c r="T8" s="532"/>
      <x:c r="U8" s="532"/>
      <x:c r="V8" s="329" t="str">
        <x:v>Yes</x:v>
      </x:c>
      <x:c r="W8" s="566" t="n">
        <x:v>50</x:v>
      </x:c>
      <x:c r="X8" s="532"/>
      <x:c r="Y8" s="567" t="str"/>
      <x:c r="Z8" s="329" t="str">
        <x:v>Complete</x:v>
      </x:c>
      <x:c r="AA8" s="329" t="str">
        <x:v>Unique</x:v>
      </x:c>
      <x:c r="AB8" s="329"/>
      <x:c r="AC8" s="329" t="str">
        <x:v>DC flat/equivalent event.</x:v>
      </x:c>
      <x:c r="AD8" s="329" t="str">
        <x:v>WO Alias Index + Canonical Ledger</x:v>
      </x:c>
      <x:c r="AE8" s="329"/>
    </x:row>
    <x:row r="9">
      <x:c r="A9" s="329" t="str">
        <x:v>LED-0008</x:v>
      </x:c>
      <x:c r="B9" s="329" t="str">
        <x:v>5878985</x:v>
      </x:c>
      <x:c r="C9" s="329" t="n">
        <x:v>8</x:v>
      </x:c>
      <x:c r="D9" s="532"/>
      <x:c r="E9" s="329" t="str">
        <x:v>CL-005</x:v>
      </x:c>
      <x:c r="F9" s="329" t="str">
        <x:v>Hebrew Home of Greater Washington</x:v>
      </x:c>
      <x:c r="G9" s="532" t="n">
        <x:v>46141</x:v>
      </x:c>
      <x:c r="H9" s="567" t="str">
        <x:v>Wednesday</x:v>
      </x:c>
      <x:c r="I9" s="329" t="str">
        <x:v>Hebrew Home of Greater Washington</x:v>
      </x:c>
      <x:c r="J9" s="329"/>
      <x:c r="K9" s="566" t="str">
        <x:v>North Bethesda</x:v>
      </x:c>
      <x:c r="L9" s="532" t="str">
        <x:v>Maryland</x:v>
      </x:c>
      <x:c r="M9" s="532"/>
      <x:c r="N9" s="329" t="str">
        <x:v>MD</x:v>
      </x:c>
      <x:c r="O9" s="567" t="str">
        <x:v>North Bethesda|MD</x:v>
      </x:c>
      <x:c r="P9" s="566"/>
      <x:c r="Q9" s="566"/>
      <x:c r="R9" s="329" t="str">
        <x:v>Yes</x:v>
      </x:c>
      <x:c r="S9" s="566" t="n">
        <x:v>45</x:v>
      </x:c>
      <x:c r="T9" s="532"/>
      <x:c r="U9" s="532"/>
      <x:c r="V9" s="329" t="str">
        <x:v>Yes</x:v>
      </x:c>
      <x:c r="W9" s="566" t="n">
        <x:v>45</x:v>
      </x:c>
      <x:c r="X9" s="532"/>
      <x:c r="Y9" s="567" t="str"/>
      <x:c r="Z9" s="329" t="str">
        <x:v>Complete</x:v>
      </x:c>
      <x:c r="AA9" s="329" t="str">
        <x:v>Unique</x:v>
      </x:c>
      <x:c r="AB9" s="329"/>
      <x:c r="AC9" s="329" t="str">
        <x:v>Maryland revenue included.</x:v>
      </x:c>
      <x:c r="AD9" s="329" t="str">
        <x:v>WO Alias Index + Canonical Ledger</x:v>
      </x:c>
      <x:c r="AE9" s="329"/>
    </x:row>
    <x:row r="10">
      <x:c r="A10" s="329" t="str">
        <x:v>LED-0009</x:v>
      </x:c>
      <x:c r="B10" s="329" t="str">
        <x:v>UNRESOLVED-E009</x:v>
      </x:c>
      <x:c r="C10" s="329" t="n">
        <x:v>9</x:v>
      </x:c>
      <x:c r="D10" s="532"/>
      <x:c r="E10" s="329" t="str">
        <x:v>CL-006</x:v>
      </x:c>
      <x:c r="F10" s="329" t="str">
        <x:v>7-Eleven</x:v>
      </x:c>
      <x:c r="G10" s="532" t="n">
        <x:v>46142</x:v>
      </x:c>
      <x:c r="H10" s="567" t="str">
        <x:v>Thursday</x:v>
      </x:c>
      <x:c r="I10" s="329" t="str">
        <x:v>7-Eleven</x:v>
      </x:c>
      <x:c r="J10" s="329"/>
      <x:c r="K10" s="566" t="str">
        <x:v>Baltimore</x:v>
      </x:c>
      <x:c r="L10" s="532" t="str">
        <x:v>Maryland</x:v>
      </x:c>
      <x:c r="M10" s="532"/>
      <x:c r="N10" s="329" t="str">
        <x:v>MD</x:v>
      </x:c>
      <x:c r="O10" s="567" t="str">
        <x:v>Baltimore|MD</x:v>
      </x:c>
      <x:c r="P10" s="566"/>
      <x:c r="Q10" s="566" t="str">
        <x:v>User-confirmed compensation</x:v>
      </x:c>
      <x:c r="R10" s="329" t="str">
        <x:v>Yes</x:v>
      </x:c>
      <x:c r="S10" s="566" t="n">
        <x:v>135</x:v>
      </x:c>
      <x:c r="T10" s="532" t="n">
        <x:v>46229</x:v>
      </x:c>
      <x:c r="U10" s="532"/>
      <x:c r="V10" s="329" t="str">
        <x:v>No</x:v>
      </x:c>
      <x:c r="W10" s="566"/>
      <x:c r="X10" s="532"/>
      <x:c r="Y10" s="567" t="n">
        <x:v>0</x:v>
      </x:c>
      <x:c r="Z10" s="329" t="str">
        <x:v>ACH missing</x:v>
      </x:c>
      <x:c r="AA10" s="329" t="str">
        <x:v>Unique</x:v>
      </x:c>
      <x:c r="AB10" s="329"/>
      <x:c r="AC10" s="329" t="str">
        <x:v>User-authoritative financial correction: 3 hours × $45 = $135.00.</x:v>
      </x:c>
      <x:c r="AD10" s="329" t="str">
        <x:v>User-authoritative correction 2026-07-26</x:v>
      </x:c>
      <x:c r="AE10" s="329"/>
    </x:row>
    <x:row r="11">
      <x:c r="A11" s="329" t="str">
        <x:v>LED-0010</x:v>
      </x:c>
      <x:c r="B11" s="329" t="str">
        <x:v>5882097</x:v>
      </x:c>
      <x:c r="C11" s="329" t="n">
        <x:v>10</x:v>
      </x:c>
      <x:c r="D11" s="532"/>
      <x:c r="E11" s="329" t="str">
        <x:v>CL-007</x:v>
      </x:c>
      <x:c r="F11" s="329" t="str">
        <x:v>Giant Food Stores</x:v>
      </x:c>
      <x:c r="G11" s="532" t="n">
        <x:v>46147</x:v>
      </x:c>
      <x:c r="H11" s="567" t="str">
        <x:v>Tuesday</x:v>
      </x:c>
      <x:c r="I11" s="329" t="str">
        <x:v>Giant Food Stores</x:v>
      </x:c>
      <x:c r="J11" s="329"/>
      <x:c r="K11" s="566" t="str">
        <x:v>Hanover</x:v>
      </x:c>
      <x:c r="L11" s="532" t="str">
        <x:v>Pennsylvania</x:v>
      </x:c>
      <x:c r="M11" s="532"/>
      <x:c r="N11" s="329" t="str">
        <x:v>PA</x:v>
      </x:c>
      <x:c r="O11" s="567" t="str">
        <x:v>Hanover|PA</x:v>
      </x:c>
      <x:c r="P11" s="566"/>
      <x:c r="Q11" s="566"/>
      <x:c r="R11" s="329" t="str">
        <x:v>Yes</x:v>
      </x:c>
      <x:c r="S11" s="566" t="n">
        <x:v>212.5</x:v>
      </x:c>
      <x:c r="T11" s="532"/>
      <x:c r="U11" s="532"/>
      <x:c r="V11" s="329" t="str">
        <x:v>Yes</x:v>
      </x:c>
      <x:c r="W11" s="566" t="n">
        <x:v>212.5</x:v>
      </x:c>
      <x:c r="X11" s="532"/>
      <x:c r="Y11" s="567" t="str"/>
      <x:c r="Z11" s="329" t="str">
        <x:v>Complete</x:v>
      </x:c>
      <x:c r="AA11" s="329" t="str">
        <x:v>Unique</x:v>
      </x:c>
      <x:c r="AB11" s="329"/>
      <x:c r="AC11" s="329" t="str">
        <x:v>Corrected: Hanover PA WO 5882097.</x:v>
      </x:c>
      <x:c r="AD11" s="329" t="str">
        <x:v>WO Alias Index + Canonical Ledger</x:v>
      </x:c>
      <x:c r="AE11" s="329"/>
    </x:row>
    <x:row r="12">
      <x:c r="A12" s="329" t="str">
        <x:v>LED-0011</x:v>
      </x:c>
      <x:c r="B12" s="329" t="str">
        <x:v>5884987</x:v>
      </x:c>
      <x:c r="C12" s="329" t="n">
        <x:v>11</x:v>
      </x:c>
      <x:c r="D12" s="532"/>
      <x:c r="E12" s="329" t="str">
        <x:v>CL-008</x:v>
      </x:c>
      <x:c r="F12" s="329" t="str">
        <x:v>Food Lion</x:v>
      </x:c>
      <x:c r="G12" s="532" t="n">
        <x:v>46153</x:v>
      </x:c>
      <x:c r="H12" s="567" t="str">
        <x:v>Monday</x:v>
      </x:c>
      <x:c r="I12" s="329" t="str">
        <x:v>Food Lion</x:v>
      </x:c>
      <x:c r="J12" s="329"/>
      <x:c r="K12" s="566" t="str">
        <x:v>Leesburg</x:v>
      </x:c>
      <x:c r="L12" s="532" t="str">
        <x:v>Virginia</x:v>
      </x:c>
      <x:c r="M12" s="532"/>
      <x:c r="N12" s="329" t="str">
        <x:v>VA</x:v>
      </x:c>
      <x:c r="O12" s="567" t="str">
        <x:v>Leesburg|VA</x:v>
      </x:c>
      <x:c r="P12" s="566"/>
      <x:c r="Q12" s="566"/>
      <x:c r="R12" s="329" t="str">
        <x:v>Yes</x:v>
      </x:c>
      <x:c r="S12" s="566" t="n">
        <x:v>157.5</x:v>
      </x:c>
      <x:c r="T12" s="532"/>
      <x:c r="U12" s="532"/>
      <x:c r="V12" s="329" t="str">
        <x:v>Yes</x:v>
      </x:c>
      <x:c r="W12" s="566" t="n">
        <x:v>157.5</x:v>
      </x:c>
      <x:c r="X12" s="532"/>
      <x:c r="Y12" s="567" t="str"/>
      <x:c r="Z12" s="329" t="str">
        <x:v>Complete with note</x:v>
      </x:c>
      <x:c r="AA12" s="329" t="str">
        <x:v>Unique</x:v>
      </x:c>
      <x:c r="AB12" s="329"/>
      <x:c r="AC12" s="329" t="str">
        <x:v>VA model uses payment breakdown amount.</x:v>
      </x:c>
      <x:c r="AD12" s="329" t="str">
        <x:v>WO Alias Index + Canonical Ledger</x:v>
      </x:c>
      <x:c r="AE12" s="329"/>
    </x:row>
    <x:row r="13">
      <x:c r="A13" s="329" t="str">
        <x:v>LED-0012</x:v>
      </x:c>
      <x:c r="B13" s="329" t="str">
        <x:v>5884369</x:v>
      </x:c>
      <x:c r="C13" s="329" t="n">
        <x:v>12</x:v>
      </x:c>
      <x:c r="D13" s="532"/>
      <x:c r="E13" s="329" t="str">
        <x:v>CL-009</x:v>
      </x:c>
      <x:c r="F13" s="329" t="str">
        <x:v>Weis Markets</x:v>
      </x:c>
      <x:c r="G13" s="532" t="n">
        <x:v>46154</x:v>
      </x:c>
      <x:c r="H13" s="567" t="str">
        <x:v>Tuesday</x:v>
      </x:c>
      <x:c r="I13" s="329" t="str">
        <x:v>Weis Markets</x:v>
      </x:c>
      <x:c r="J13" s="329"/>
      <x:c r="K13" s="566" t="str">
        <x:v>Chambersburg</x:v>
      </x:c>
      <x:c r="L13" s="532" t="str">
        <x:v>Pennsylvania</x:v>
      </x:c>
      <x:c r="M13" s="532"/>
      <x:c r="N13" s="329" t="str">
        <x:v>PA</x:v>
      </x:c>
      <x:c r="O13" s="567" t="str">
        <x:v>Chambersburg|PA</x:v>
      </x:c>
      <x:c r="P13" s="566"/>
      <x:c r="Q13" s="566"/>
      <x:c r="R13" s="329" t="str">
        <x:v>Yes</x:v>
      </x:c>
      <x:c r="S13" s="566" t="n">
        <x:v>85</x:v>
      </x:c>
      <x:c r="T13" s="532"/>
      <x:c r="U13" s="532"/>
      <x:c r="V13" s="329" t="str">
        <x:v>Yes</x:v>
      </x:c>
      <x:c r="W13" s="566" t="n">
        <x:v>85</x:v>
      </x:c>
      <x:c r="X13" s="532"/>
      <x:c r="Y13" s="567" t="str"/>
      <x:c r="Z13" s="329" t="str">
        <x:v>Complete</x:v>
      </x:c>
      <x:c r="AA13" s="329" t="str">
        <x:v>Unique</x:v>
      </x:c>
      <x:c r="AB13" s="329"/>
      <x:c r="AC13" s="329" t="str">
        <x:v>User approved 2-hour $42.50/hr equivalent.</x:v>
      </x:c>
      <x:c r="AD13" s="329" t="str">
        <x:v>WO Alias Index + Canonical Ledger</x:v>
      </x:c>
      <x:c r="AE13" s="329"/>
    </x:row>
    <x:row r="14">
      <x:c r="A14" s="329" t="str">
        <x:v>LED-0013</x:v>
      </x:c>
      <x:c r="B14" s="329" t="str">
        <x:v>5885429</x:v>
      </x:c>
      <x:c r="C14" s="329" t="n">
        <x:v>13</x:v>
      </x:c>
      <x:c r="D14" s="532"/>
      <x:c r="E14" s="329" t="str">
        <x:v>CL-010</x:v>
      </x:c>
      <x:c r="F14" s="329" t="str">
        <x:v>Office of MD Senator Chris Van Hollen</x:v>
      </x:c>
      <x:c r="G14" s="532" t="n">
        <x:v>46155</x:v>
      </x:c>
      <x:c r="H14" s="567" t="str">
        <x:v>Wednesday</x:v>
      </x:c>
      <x:c r="I14" s="329" t="str">
        <x:v>Office of MD Senator Chris Van Hollen</x:v>
      </x:c>
      <x:c r="J14" s="329"/>
      <x:c r="K14" s="566" t="str">
        <x:v>Rockville</x:v>
      </x:c>
      <x:c r="L14" s="532" t="str">
        <x:v>Maryland</x:v>
      </x:c>
      <x:c r="M14" s="532"/>
      <x:c r="N14" s="329" t="str">
        <x:v>MD</x:v>
      </x:c>
      <x:c r="O14" s="567" t="str">
        <x:v>Rockville|MD</x:v>
      </x:c>
      <x:c r="P14" s="566"/>
      <x:c r="Q14" s="566"/>
      <x:c r="R14" s="329" t="str">
        <x:v>Yes</x:v>
      </x:c>
      <x:c r="S14" s="566" t="n">
        <x:v>50</x:v>
      </x:c>
      <x:c r="T14" s="532"/>
      <x:c r="U14" s="532"/>
      <x:c r="V14" s="329" t="str">
        <x:v>Yes</x:v>
      </x:c>
      <x:c r="W14" s="566" t="n">
        <x:v>50</x:v>
      </x:c>
      <x:c r="X14" s="532"/>
      <x:c r="Y14" s="567" t="str"/>
      <x:c r="Z14" s="329" t="str">
        <x:v>Complete</x:v>
      </x:c>
      <x:c r="AA14" s="329" t="str">
        <x:v>Unique</x:v>
      </x:c>
      <x:c r="AB14" s="329"/>
      <x:c r="AC14" s="329" t="str">
        <x:v>Maryland revenue included; Senate model estimated at $40/hr.</x:v>
      </x:c>
      <x:c r="AD14" s="329" t="str">
        <x:v>WO Alias Index + Canonical Ledger</x:v>
      </x:c>
      <x:c r="AE14" s="329"/>
    </x:row>
    <x:row r="15">
      <x:c r="A15" s="329" t="str">
        <x:v>LED-0014</x:v>
      </x:c>
      <x:c r="B15" s="329" t="str">
        <x:v>UNRESOLVED-E014</x:v>
      </x:c>
      <x:c r="C15" s="329" t="n">
        <x:v>14</x:v>
      </x:c>
      <x:c r="D15" s="532"/>
      <x:c r="E15" s="329" t="str">
        <x:v>CL-011</x:v>
      </x:c>
      <x:c r="F15" s="329" t="str">
        <x:v>Residential – Annapolis Neck, MD</x:v>
      </x:c>
      <x:c r="G15" s="532" t="n">
        <x:v>46155</x:v>
      </x:c>
      <x:c r="H15" s="567" t="str">
        <x:v>Wednesday</x:v>
      </x:c>
      <x:c r="I15" s="329" t="str">
        <x:v>Residential</x:v>
      </x:c>
      <x:c r="J15" s="329"/>
      <x:c r="K15" s="566" t="str">
        <x:v>Annapolis Neck</x:v>
      </x:c>
      <x:c r="L15" s="532" t="str">
        <x:v>Maryland</x:v>
      </x:c>
      <x:c r="M15" s="532"/>
      <x:c r="N15" s="329" t="str">
        <x:v>MD</x:v>
      </x:c>
      <x:c r="O15" s="567" t="str">
        <x:v>Annapolis Neck|MD</x:v>
      </x:c>
      <x:c r="P15" s="566"/>
      <x:c r="Q15" s="566" t="str">
        <x:v>User-confirmed compensation</x:v>
      </x:c>
      <x:c r="R15" s="329" t="str">
        <x:v>Yes</x:v>
      </x:c>
      <x:c r="S15" s="566" t="n">
        <x:v>25</x:v>
      </x:c>
      <x:c r="T15" s="532" t="n">
        <x:v>46229</x:v>
      </x:c>
      <x:c r="U15" s="532"/>
      <x:c r="V15" s="329" t="str">
        <x:v>No</x:v>
      </x:c>
      <x:c r="W15" s="566"/>
      <x:c r="X15" s="532"/>
      <x:c r="Y15" s="567" t="n">
        <x:v>0</x:v>
      </x:c>
      <x:c r="Z15" s="329" t="str">
        <x:v>ACH missing</x:v>
      </x:c>
      <x:c r="AA15" s="329" t="str">
        <x:v>Unique</x:v>
      </x:c>
      <x:c r="AB15" s="329"/>
      <x:c r="AC15" s="329" t="str">
        <x:v>User-authoritative no-show compensation: $25.00.</x:v>
      </x:c>
      <x:c r="AD15" s="329" t="str">
        <x:v>User-authoritative correction 2026-07-26</x:v>
      </x:c>
      <x:c r="AE15" s="329"/>
    </x:row>
    <x:row r="16">
      <x:c r="A16" s="329" t="str">
        <x:v>LED-0015</x:v>
      </x:c>
      <x:c r="B16" s="329" t="str">
        <x:v>5886658</x:v>
      </x:c>
      <x:c r="C16" s="329" t="n">
        <x:v>15</x:v>
      </x:c>
      <x:c r="D16" s="532"/>
      <x:c r="E16" s="329" t="str">
        <x:v>CL-012</x:v>
      </x:c>
      <x:c r="F16" s="329" t="str">
        <x:v>Verizon</x:v>
      </x:c>
      <x:c r="G16" s="532" t="n">
        <x:v>46156</x:v>
      </x:c>
      <x:c r="H16" s="567" t="str">
        <x:v>Thursday</x:v>
      </x:c>
      <x:c r="I16" s="329" t="str">
        <x:v>Verizon</x:v>
      </x:c>
      <x:c r="J16" s="329"/>
      <x:c r="K16" s="566" t="str">
        <x:v>College Park</x:v>
      </x:c>
      <x:c r="L16" s="532" t="str">
        <x:v>Maryland</x:v>
      </x:c>
      <x:c r="M16" s="532"/>
      <x:c r="N16" s="329" t="str">
        <x:v>MD</x:v>
      </x:c>
      <x:c r="O16" s="567" t="str">
        <x:v>College Park|MD</x:v>
      </x:c>
      <x:c r="P16" s="566"/>
      <x:c r="Q16" s="566"/>
      <x:c r="R16" s="329" t="str">
        <x:v>Yes</x:v>
      </x:c>
      <x:c r="S16" s="566" t="n">
        <x:v>75</x:v>
      </x:c>
      <x:c r="T16" s="532"/>
      <x:c r="U16" s="532"/>
      <x:c r="V16" s="329" t="str">
        <x:v>Yes</x:v>
      </x:c>
      <x:c r="W16" s="566" t="n">
        <x:v>75</x:v>
      </x:c>
      <x:c r="X16" s="532"/>
      <x:c r="Y16" s="567" t="str"/>
      <x:c r="Z16" s="329" t="str">
        <x:v>Complete</x:v>
      </x:c>
      <x:c r="AA16" s="329" t="str">
        <x:v>Unique</x:v>
      </x:c>
      <x:c r="AB16" s="329"/>
      <x:c r="AC16" s="329" t="str">
        <x:v>Maryland revenue included; hours inferred.</x:v>
      </x:c>
      <x:c r="AD16" s="329" t="str">
        <x:v>WO Alias Index + Canonical Ledger</x:v>
      </x:c>
      <x:c r="AE16" s="329"/>
    </x:row>
    <x:row r="17">
      <x:c r="A17" s="329" t="str">
        <x:v>LED-0016</x:v>
      </x:c>
      <x:c r="B17" s="329" t="str">
        <x:v>5887090</x:v>
      </x:c>
      <x:c r="C17" s="329" t="n">
        <x:v>16</x:v>
      </x:c>
      <x:c r="D17" s="532"/>
      <x:c r="E17" s="329" t="str">
        <x:v>CL-013</x:v>
      </x:c>
      <x:c r="F17" s="329" t="str">
        <x:v>Atrium Village</x:v>
      </x:c>
      <x:c r="G17" s="532" t="n">
        <x:v>46157</x:v>
      </x:c>
      <x:c r="H17" s="567" t="str">
        <x:v>Friday</x:v>
      </x:c>
      <x:c r="I17" s="329" t="str">
        <x:v>Atrium Village</x:v>
      </x:c>
      <x:c r="J17" s="329"/>
      <x:c r="K17" s="566" t="str">
        <x:v>Owings Mills</x:v>
      </x:c>
      <x:c r="L17" s="532" t="str">
        <x:v>Maryland</x:v>
      </x:c>
      <x:c r="M17" s="532"/>
      <x:c r="N17" s="329" t="str">
        <x:v>MD</x:v>
      </x:c>
      <x:c r="O17" s="567" t="str">
        <x:v>Owings Mills|MD</x:v>
      </x:c>
      <x:c r="P17" s="566"/>
      <x:c r="Q17" s="566"/>
      <x:c r="R17" s="329" t="str">
        <x:v>Yes</x:v>
      </x:c>
      <x:c r="S17" s="566" t="n">
        <x:v>45</x:v>
      </x:c>
      <x:c r="T17" s="532"/>
      <x:c r="U17" s="532"/>
      <x:c r="V17" s="329" t="str">
        <x:v>Yes</x:v>
      </x:c>
      <x:c r="W17" s="566" t="n">
        <x:v>45</x:v>
      </x:c>
      <x:c r="X17" s="532"/>
      <x:c r="Y17" s="567" t="str"/>
      <x:c r="Z17" s="329" t="str">
        <x:v>Complete</x:v>
      </x:c>
      <x:c r="AA17" s="329" t="str">
        <x:v>Unique</x:v>
      </x:c>
      <x:c r="AB17" s="329"/>
      <x:c r="AC17" s="329" t="str">
        <x:v>Maryland revenue included.</x:v>
      </x:c>
      <x:c r="AD17" s="329" t="str">
        <x:v>WO Alias Index + Canonical Ledger</x:v>
      </x:c>
      <x:c r="AE17" s="329"/>
    </x:row>
    <x:row r="18">
      <x:c r="A18" s="329" t="str">
        <x:v>LED-0017</x:v>
      </x:c>
      <x:c r="B18" s="329" t="str">
        <x:v>5887094</x:v>
      </x:c>
      <x:c r="C18" s="329" t="n">
        <x:v>17</x:v>
      </x:c>
      <x:c r="D18" s="532"/>
      <x:c r="E18" s="329" t="str">
        <x:v>CL-014</x:v>
      </x:c>
      <x:c r="F18" s="329" t="str">
        <x:v>Maryland Baptist Age Home</x:v>
      </x:c>
      <x:c r="G18" s="532" t="n">
        <x:v>46161</x:v>
      </x:c>
      <x:c r="H18" s="567" t="str">
        <x:v>Tuesday</x:v>
      </x:c>
      <x:c r="I18" s="329" t="str">
        <x:v>Maryland Baptist Age Home</x:v>
      </x:c>
      <x:c r="J18" s="329"/>
      <x:c r="K18" s="566" t="str">
        <x:v>Baltimore</x:v>
      </x:c>
      <x:c r="L18" s="532" t="str">
        <x:v>Maryland</x:v>
      </x:c>
      <x:c r="M18" s="532"/>
      <x:c r="N18" s="329" t="str">
        <x:v>MD</x:v>
      </x:c>
      <x:c r="O18" s="567" t="str">
        <x:v>Baltimore|MD</x:v>
      </x:c>
      <x:c r="P18" s="566"/>
      <x:c r="Q18" s="566"/>
      <x:c r="R18" s="329" t="str">
        <x:v>Yes</x:v>
      </x:c>
      <x:c r="S18" s="566" t="n">
        <x:v>50</x:v>
      </x:c>
      <x:c r="T18" s="532"/>
      <x:c r="U18" s="532"/>
      <x:c r="V18" s="329" t="str">
        <x:v>Yes</x:v>
      </x:c>
      <x:c r="W18" s="566" t="n">
        <x:v>50</x:v>
      </x:c>
      <x:c r="X18" s="532"/>
      <x:c r="Y18" s="567" t="str"/>
      <x:c r="Z18" s="329" t="str">
        <x:v>Complete</x:v>
      </x:c>
      <x:c r="AA18" s="329" t="str">
        <x:v>Unique</x:v>
      </x:c>
      <x:c r="AB18" s="329"/>
      <x:c r="AC18" s="329" t="str">
        <x:v>Maryland revenue included.</x:v>
      </x:c>
      <x:c r="AD18" s="329" t="str">
        <x:v>WO Alias Index + Canonical Ledger</x:v>
      </x:c>
      <x:c r="AE18" s="329"/>
    </x:row>
    <x:row r="19">
      <x:c r="A19" s="329" t="str">
        <x:v>LED-0018</x:v>
      </x:c>
      <x:c r="B19" s="329" t="str">
        <x:v>5889356</x:v>
      </x:c>
      <x:c r="C19" s="329" t="n">
        <x:v>18</x:v>
      </x:c>
      <x:c r="D19" s="532"/>
      <x:c r="E19" s="329" t="str">
        <x:v>CL-015</x:v>
      </x:c>
      <x:c r="F19" s="329" t="str">
        <x:v>Under Armour</x:v>
      </x:c>
      <x:c r="G19" s="532" t="n">
        <x:v>46162</x:v>
      </x:c>
      <x:c r="H19" s="567" t="str">
        <x:v>Wednesday</x:v>
      </x:c>
      <x:c r="I19" s="329" t="str">
        <x:v>Under Armour Day 1</x:v>
      </x:c>
      <x:c r="J19" s="329"/>
      <x:c r="K19" s="566" t="str">
        <x:v>Hanover</x:v>
      </x:c>
      <x:c r="L19" s="532" t="str">
        <x:v>Maryland</x:v>
      </x:c>
      <x:c r="M19" s="532"/>
      <x:c r="N19" s="329" t="str">
        <x:v>MD</x:v>
      </x:c>
      <x:c r="O19" s="567" t="str">
        <x:v>Hanover|MD</x:v>
      </x:c>
      <x:c r="P19" s="566"/>
      <x:c r="Q19" s="566"/>
      <x:c r="R19" s="329" t="str">
        <x:v>Yes</x:v>
      </x:c>
      <x:c r="S19" s="566" t="n">
        <x:v>106.67</x:v>
      </x:c>
      <x:c r="T19" s="532"/>
      <x:c r="U19" s="532"/>
      <x:c r="V19" s="329" t="str">
        <x:v>Yes</x:v>
      </x:c>
      <x:c r="W19" s="566" t="n">
        <x:v>106.67</x:v>
      </x:c>
      <x:c r="X19" s="532"/>
      <x:c r="Y19" s="567" t="str"/>
      <x:c r="Z19" s="329" t="str">
        <x:v>Complete</x:v>
      </x:c>
      <x:c r="AA19" s="329" t="str">
        <x:v>Unique</x:v>
      </x:c>
      <x:c r="AB19" s="329"/>
      <x:c r="AC19" s="329" t="str">
        <x:v>Under Armour Day 1 split; total UA rounded to $260 with Day 2.</x:v>
      </x:c>
      <x:c r="AD19" s="329" t="str">
        <x:v>WO Alias Index + Canonical Ledger</x:v>
      </x:c>
      <x:c r="AE19" s="329"/>
    </x:row>
    <x:row r="20">
      <x:c r="A20" s="329" t="str">
        <x:v>LED-0019</x:v>
      </x:c>
      <x:c r="B20" s="329" t="str">
        <x:v>5889356-D2</x:v>
      </x:c>
      <x:c r="C20" s="329" t="n">
        <x:v>19</x:v>
      </x:c>
      <x:c r="D20" s="532"/>
      <x:c r="E20" s="329" t="str">
        <x:v>CL-015</x:v>
      </x:c>
      <x:c r="F20" s="329" t="str">
        <x:v>Under Armour</x:v>
      </x:c>
      <x:c r="G20" s="532" t="n">
        <x:v>46163</x:v>
      </x:c>
      <x:c r="H20" s="567" t="str">
        <x:v>Thursday</x:v>
      </x:c>
      <x:c r="I20" s="329" t="str">
        <x:v>Under Armour Day 2</x:v>
      </x:c>
      <x:c r="J20" s="329"/>
      <x:c r="K20" s="566" t="str">
        <x:v>Hanover</x:v>
      </x:c>
      <x:c r="L20" s="532" t="str">
        <x:v>Maryland</x:v>
      </x:c>
      <x:c r="M20" s="532"/>
      <x:c r="N20" s="329" t="str">
        <x:v>MD</x:v>
      </x:c>
      <x:c r="O20" s="567" t="str">
        <x:v>Hanover|MD</x:v>
      </x:c>
      <x:c r="P20" s="566"/>
      <x:c r="Q20" s="566"/>
      <x:c r="R20" s="329" t="str">
        <x:v>Yes</x:v>
      </x:c>
      <x:c r="S20" s="566" t="n">
        <x:v>153.33</x:v>
      </x:c>
      <x:c r="T20" s="532"/>
      <x:c r="U20" s="532"/>
      <x:c r="V20" s="329" t="str">
        <x:v>Yes</x:v>
      </x:c>
      <x:c r="W20" s="566" t="n">
        <x:v>153.33</x:v>
      </x:c>
      <x:c r="X20" s="532"/>
      <x:c r="Y20" s="567" t="str"/>
      <x:c r="Z20" s="329" t="str">
        <x:v>Complete</x:v>
      </x:c>
      <x:c r="AA20" s="329" t="str">
        <x:v>Unique</x:v>
      </x:c>
      <x:c r="AB20" s="329"/>
      <x:c r="AC20" s="329" t="str">
        <x:v>Under Armour Day 2 split; total UA rounded to $260 with Day 1.</x:v>
      </x:c>
      <x:c r="AD20" s="329" t="str">
        <x:v>WO Alias Index + Canonical Ledger</x:v>
      </x:c>
      <x:c r="AE20" s="329"/>
    </x:row>
    <x:row r="21">
      <x:c r="A21" s="329" t="str">
        <x:v>LED-0020</x:v>
      </x:c>
      <x:c r="B21" s="329" t="str">
        <x:v>5890220</x:v>
      </x:c>
      <x:c r="C21" s="329" t="n">
        <x:v>20</x:v>
      </x:c>
      <x:c r="D21" s="532"/>
      <x:c r="E21" s="329" t="str">
        <x:v>CL-007</x:v>
      </x:c>
      <x:c r="F21" s="329" t="str">
        <x:v>Giant Food Stores</x:v>
      </x:c>
      <x:c r="G21" s="532" t="n">
        <x:v>46163</x:v>
      </x:c>
      <x:c r="H21" s="567" t="str">
        <x:v>Thursday</x:v>
      </x:c>
      <x:c r="I21" s="329" t="str">
        <x:v>Giant / Martin's</x:v>
      </x:c>
      <x:c r="J21" s="329"/>
      <x:c r="K21" s="566" t="str">
        <x:v>Red Lion</x:v>
      </x:c>
      <x:c r="L21" s="532" t="str">
        <x:v>Pennsylvania</x:v>
      </x:c>
      <x:c r="M21" s="532"/>
      <x:c r="N21" s="329" t="str">
        <x:v>PA</x:v>
      </x:c>
      <x:c r="O21" s="567" t="str">
        <x:v>Red Lion|PA</x:v>
      </x:c>
      <x:c r="P21" s="566"/>
      <x:c r="Q21" s="566"/>
      <x:c r="R21" s="329" t="str">
        <x:v>Yes</x:v>
      </x:c>
      <x:c r="S21" s="566" t="n">
        <x:v>112.5</x:v>
      </x:c>
      <x:c r="T21" s="532"/>
      <x:c r="U21" s="532"/>
      <x:c r="V21" s="329" t="str">
        <x:v>Yes</x:v>
      </x:c>
      <x:c r="W21" s="566" t="n">
        <x:v>112.5</x:v>
      </x:c>
      <x:c r="X21" s="532"/>
      <x:c r="Y21" s="567" t="str"/>
      <x:c r="Z21" s="329" t="str">
        <x:v>Complete</x:v>
      </x:c>
      <x:c r="AA21" s="329" t="str">
        <x:v>Unique</x:v>
      </x:c>
      <x:c r="AB21" s="329"/>
      <x:c r="AC21" s="329" t="str">
        <x:v>Corrected: Red Lion PA WO 5890220.</x:v>
      </x:c>
      <x:c r="AD21" s="329" t="str">
        <x:v>WO Alias Index + Canonical Ledger</x:v>
      </x:c>
      <x:c r="AE21" s="329"/>
    </x:row>
    <x:row r="22">
      <x:c r="A22" s="329" t="str">
        <x:v>LED-0021</x:v>
      </x:c>
      <x:c r="B22" s="329" t="str">
        <x:v>5892123</x:v>
      </x:c>
      <x:c r="C22" s="329" t="n">
        <x:v>21</x:v>
      </x:c>
      <x:c r="D22" s="532"/>
      <x:c r="E22" s="329" t="str">
        <x:v>CL-008</x:v>
      </x:c>
      <x:c r="F22" s="329" t="str">
        <x:v>Food Lion</x:v>
      </x:c>
      <x:c r="G22" s="532" t="n">
        <x:v>46168</x:v>
      </x:c>
      <x:c r="H22" s="567" t="str">
        <x:v>Tuesday</x:v>
      </x:c>
      <x:c r="I22" s="329" t="str">
        <x:v>Food Lion</x:v>
      </x:c>
      <x:c r="J22" s="329"/>
      <x:c r="K22" s="566" t="str">
        <x:v>Middle River</x:v>
      </x:c>
      <x:c r="L22" s="532" t="str">
        <x:v>Maryland</x:v>
      </x:c>
      <x:c r="M22" s="532"/>
      <x:c r="N22" s="329" t="str">
        <x:v>MD</x:v>
      </x:c>
      <x:c r="O22" s="567" t="str">
        <x:v>Middle River|MD</x:v>
      </x:c>
      <x:c r="P22" s="566"/>
      <x:c r="Q22" s="566"/>
      <x:c r="R22" s="329" t="str">
        <x:v>Yes</x:v>
      </x:c>
      <x:c r="S22" s="566" t="n">
        <x:v>97.91</x:v>
      </x:c>
      <x:c r="T22" s="532"/>
      <x:c r="U22" s="532"/>
      <x:c r="V22" s="329" t="str">
        <x:v>Yes</x:v>
      </x:c>
      <x:c r="W22" s="566" t="n">
        <x:v>97.91</x:v>
      </x:c>
      <x:c r="X22" s="532"/>
      <x:c r="Y22" s="567" t="str"/>
      <x:c r="Z22" s="329" t="str">
        <x:v>Complete</x:v>
      </x:c>
      <x:c r="AA22" s="329" t="str">
        <x:v>Unique</x:v>
      </x:c>
      <x:c r="AB22" s="329"/>
      <x:c r="AC22" s="329" t="str">
        <x:v>Maryland revenue included; hours inferred.</x:v>
      </x:c>
      <x:c r="AD22" s="329" t="str">
        <x:v>WO Alias Index + Canonical Ledger</x:v>
      </x:c>
      <x:c r="AE22" s="329"/>
    </x:row>
    <x:row r="23">
      <x:c r="A23" s="329" t="str">
        <x:v>LED-0022</x:v>
      </x:c>
      <x:c r="B23" s="329" t="str">
        <x:v>5889718</x:v>
      </x:c>
      <x:c r="C23" s="329" t="n">
        <x:v>22</x:v>
      </x:c>
      <x:c r="D23" s="532"/>
      <x:c r="E23" s="329" t="str">
        <x:v>CL-016</x:v>
      </x:c>
      <x:c r="F23" s="329" t="str">
        <x:v>HomeGoods</x:v>
      </x:c>
      <x:c r="G23" s="532" t="n">
        <x:v>46168</x:v>
      </x:c>
      <x:c r="H23" s="567" t="str">
        <x:v>Tuesday</x:v>
      </x:c>
      <x:c r="I23" s="329" t="str">
        <x:v>HomeGoods</x:v>
      </x:c>
      <x:c r="J23" s="329"/>
      <x:c r="K23" s="566" t="str">
        <x:v>Gaithersburg</x:v>
      </x:c>
      <x:c r="L23" s="532" t="str">
        <x:v>Maryland</x:v>
      </x:c>
      <x:c r="M23" s="532"/>
      <x:c r="N23" s="329" t="str">
        <x:v>MD</x:v>
      </x:c>
      <x:c r="O23" s="567" t="str">
        <x:v>Gaithersburg|MD</x:v>
      </x:c>
      <x:c r="P23" s="566"/>
      <x:c r="Q23" s="566"/>
      <x:c r="R23" s="329" t="str">
        <x:v>Yes</x:v>
      </x:c>
      <x:c r="S23" s="566" t="n">
        <x:v>50</x:v>
      </x:c>
      <x:c r="T23" s="532"/>
      <x:c r="U23" s="532"/>
      <x:c r="V23" s="329" t="str">
        <x:v>Yes</x:v>
      </x:c>
      <x:c r="W23" s="566" t="n">
        <x:v>50</x:v>
      </x:c>
      <x:c r="X23" s="532"/>
      <x:c r="Y23" s="567" t="str"/>
      <x:c r="Z23" s="329" t="str">
        <x:v>Complete</x:v>
      </x:c>
      <x:c r="AA23" s="329" t="str">
        <x:v>Unique</x:v>
      </x:c>
      <x:c r="AB23" s="329"/>
      <x:c r="AC23" s="329" t="str">
        <x:v>Maryland revenue included; hours inferred.</x:v>
      </x:c>
      <x:c r="AD23" s="329" t="str">
        <x:v>WO Alias Index + Canonical Ledger</x:v>
      </x:c>
      <x:c r="AE23" s="329"/>
    </x:row>
    <x:row r="24">
      <x:c r="A24" s="329" t="str">
        <x:v>LED-0023</x:v>
      </x:c>
      <x:c r="B24" s="329" t="str">
        <x:v>UNRESOLVED-E023</x:v>
      </x:c>
      <x:c r="C24" s="329" t="n">
        <x:v>23</x:v>
      </x:c>
      <x:c r="D24" s="532"/>
      <x:c r="E24" s="329" t="str">
        <x:v>CL-017</x:v>
      </x:c>
      <x:c r="F24" s="329" t="str">
        <x:v>Joint Base Andrews</x:v>
      </x:c>
      <x:c r="G24" s="532" t="n">
        <x:v>46169</x:v>
      </x:c>
      <x:c r="H24" s="567" t="str">
        <x:v>Wednesday</x:v>
      </x:c>
      <x:c r="I24" s="329" t="str">
        <x:v>Joint Base Andrews</x:v>
      </x:c>
      <x:c r="J24" s="329"/>
      <x:c r="K24" s="566" t="str">
        <x:v>Andrews AFB</x:v>
      </x:c>
      <x:c r="L24" s="532" t="str">
        <x:v>Maryland</x:v>
      </x:c>
      <x:c r="M24" s="532"/>
      <x:c r="N24" s="329" t="str">
        <x:v>MD</x:v>
      </x:c>
      <x:c r="O24" s="567" t="str">
        <x:v>Andrews AFB|MD</x:v>
      </x:c>
      <x:c r="P24" s="566"/>
      <x:c r="Q24" s="566" t="str">
        <x:v>User-confirmed compensation</x:v>
      </x:c>
      <x:c r="R24" s="329" t="str">
        <x:v>Yes</x:v>
      </x:c>
      <x:c r="S24" s="566" t="n">
        <x:v>50</x:v>
      </x:c>
      <x:c r="T24" s="532" t="n">
        <x:v>46229</x:v>
      </x:c>
      <x:c r="U24" s="532"/>
      <x:c r="V24" s="329" t="str">
        <x:v>No</x:v>
      </x:c>
      <x:c r="W24" s="566"/>
      <x:c r="X24" s="532"/>
      <x:c r="Y24" s="567" t="n">
        <x:v>0</x:v>
      </x:c>
      <x:c r="Z24" s="329" t="str">
        <x:v>ACH missing</x:v>
      </x:c>
      <x:c r="AA24" s="329" t="str">
        <x:v>Unique</x:v>
      </x:c>
      <x:c r="AB24" s="329"/>
      <x:c r="AC24" s="329" t="str">
        <x:v>User-authoritative first-hour no-show compensation: $50.00.</x:v>
      </x:c>
      <x:c r="AD24" s="329" t="str">
        <x:v>User-authoritative correction 2026-07-26</x:v>
      </x:c>
      <x:c r="AE24" s="329"/>
    </x:row>
    <x:row r="25">
      <x:c r="A25" s="329" t="str">
        <x:v>LED-0024</x:v>
      </x:c>
      <x:c r="B25" s="329" t="str">
        <x:v>USDA-SPECIAL-E024</x:v>
      </x:c>
      <x:c r="C25" s="329" t="n">
        <x:v>24</x:v>
      </x:c>
      <x:c r="D25" s="532"/>
      <x:c r="E25" s="329" t="str">
        <x:v>CL-018</x:v>
      </x:c>
      <x:c r="F25" s="329" t="str">
        <x:v>USDA</x:v>
      </x:c>
      <x:c r="G25" s="532" t="n">
        <x:v>46169</x:v>
      </x:c>
      <x:c r="H25" s="567" t="str">
        <x:v>Wednesday</x:v>
      </x:c>
      <x:c r="I25" s="329" t="str">
        <x:v>USDA Day 1</x:v>
      </x:c>
      <x:c r="J25" s="329"/>
      <x:c r="K25" s="566" t="str">
        <x:v>Washington</x:v>
      </x:c>
      <x:c r="L25" s="532" t="str">
        <x:v>Washington, DC</x:v>
      </x:c>
      <x:c r="M25" s="532"/>
      <x:c r="N25" s="329" t="str">
        <x:v>DC</x:v>
      </x:c>
      <x:c r="O25" s="567" t="str">
        <x:v>Washington|DC</x:v>
      </x:c>
      <x:c r="P25" s="566"/>
      <x:c r="Q25" s="566"/>
      <x:c r="R25" s="329" t="str">
        <x:v>Yes</x:v>
      </x:c>
      <x:c r="S25" s="566" t="n">
        <x:v>200</x:v>
      </x:c>
      <x:c r="T25" s="532"/>
      <x:c r="U25" s="532"/>
      <x:c r="V25" s="329" t="str">
        <x:v>Yes</x:v>
      </x:c>
      <x:c r="W25" s="566" t="n">
        <x:v>200</x:v>
      </x:c>
      <x:c r="X25" s="532"/>
      <x:c r="Y25" s="567" t="str"/>
      <x:c r="Z25" s="329" t="str">
        <x:v>Complete</x:v>
      </x:c>
      <x:c r="AA25" s="329" t="str">
        <x:v>DUPLICATE / REVIEW</x:v>
      </x:c>
      <x:c r="AB25" s="329"/>
      <x:c r="AC25" s="329" t="str">
        <x:v>USDA corrected day allocation: $200 / 5 hrs @ $40/hr.</x:v>
      </x:c>
      <x:c r="AD25" s="329" t="str">
        <x:v>WO Alias Index + Canonical Ledger</x:v>
      </x:c>
      <x:c r="AE25" s="329"/>
    </x:row>
    <x:row r="26">
      <x:c r="A26" s="329" t="str">
        <x:v>LED-0025</x:v>
      </x:c>
      <x:c r="B26" s="329" t="str">
        <x:v>UNRESOLVED-E025</x:v>
      </x:c>
      <x:c r="C26" s="329" t="n">
        <x:v>25</x:v>
      </x:c>
      <x:c r="D26" s="532"/>
      <x:c r="E26" s="329" t="str">
        <x:v>CL-019</x:v>
      </x:c>
      <x:c r="F26" s="329" t="str">
        <x:v>PepsiCo</x:v>
      </x:c>
      <x:c r="G26" s="532" t="n">
        <x:v>46170</x:v>
      </x:c>
      <x:c r="H26" s="567" t="str">
        <x:v>Thursday</x:v>
      </x:c>
      <x:c r="I26" s="329" t="str">
        <x:v>PepsiCo</x:v>
      </x:c>
      <x:c r="J26" s="329"/>
      <x:c r="K26" s="566" t="str">
        <x:v>Cheverly</x:v>
      </x:c>
      <x:c r="L26" s="532" t="str">
        <x:v>Maryland</x:v>
      </x:c>
      <x:c r="M26" s="532"/>
      <x:c r="N26" s="329" t="str">
        <x:v>MD</x:v>
      </x:c>
      <x:c r="O26" s="567" t="str">
        <x:v>Cheverly|MD</x:v>
      </x:c>
      <x:c r="P26" s="566"/>
      <x:c r="Q26" s="566" t="str">
        <x:v>User-confirmed compensation</x:v>
      </x:c>
      <x:c r="R26" s="329" t="str">
        <x:v>Yes</x:v>
      </x:c>
      <x:c r="S26" s="566" t="n">
        <x:v>50</x:v>
      </x:c>
      <x:c r="T26" s="532" t="n">
        <x:v>46229</x:v>
      </x:c>
      <x:c r="U26" s="532"/>
      <x:c r="V26" s="329" t="str">
        <x:v>No</x:v>
      </x:c>
      <x:c r="W26" s="566"/>
      <x:c r="X26" s="532"/>
      <x:c r="Y26" s="567" t="n">
        <x:v>0</x:v>
      </x:c>
      <x:c r="Z26" s="329" t="str">
        <x:v>ACH missing</x:v>
      </x:c>
      <x:c r="AA26" s="329" t="str">
        <x:v>Unique</x:v>
      </x:c>
      <x:c r="AB26" s="329"/>
      <x:c r="AC26" s="329" t="str">
        <x:v>User-authoritative first-hour no-show compensation: $50.00.</x:v>
      </x:c>
      <x:c r="AD26" s="329" t="str">
        <x:v>User-authoritative correction 2026-07-26</x:v>
      </x:c>
      <x:c r="AE26" s="329"/>
    </x:row>
    <x:row r="27">
      <x:c r="A27" s="329" t="str">
        <x:v>LED-0026</x:v>
      </x:c>
      <x:c r="B27" s="329" t="str">
        <x:v>USDA-SPECIAL-E026</x:v>
      </x:c>
      <x:c r="C27" s="329" t="n">
        <x:v>26</x:v>
      </x:c>
      <x:c r="D27" s="532"/>
      <x:c r="E27" s="329" t="str">
        <x:v>CL-018</x:v>
      </x:c>
      <x:c r="F27" s="329" t="str">
        <x:v>USDA</x:v>
      </x:c>
      <x:c r="G27" s="532" t="n">
        <x:v>46170</x:v>
      </x:c>
      <x:c r="H27" s="567" t="str">
        <x:v>Thursday</x:v>
      </x:c>
      <x:c r="I27" s="329" t="str">
        <x:v>USDA Day 2</x:v>
      </x:c>
      <x:c r="J27" s="329"/>
      <x:c r="K27" s="566" t="str">
        <x:v>Washington</x:v>
      </x:c>
      <x:c r="L27" s="532" t="str">
        <x:v>Washington, DC</x:v>
      </x:c>
      <x:c r="M27" s="532"/>
      <x:c r="N27" s="329" t="str">
        <x:v>DC</x:v>
      </x:c>
      <x:c r="O27" s="567" t="str">
        <x:v>Washington|DC</x:v>
      </x:c>
      <x:c r="P27" s="566"/>
      <x:c r="Q27" s="566"/>
      <x:c r="R27" s="329" t="str">
        <x:v>Yes</x:v>
      </x:c>
      <x:c r="S27" s="566" t="n">
        <x:v>175</x:v>
      </x:c>
      <x:c r="T27" s="532"/>
      <x:c r="U27" s="532"/>
      <x:c r="V27" s="329" t="str">
        <x:v>Yes</x:v>
      </x:c>
      <x:c r="W27" s="566" t="n">
        <x:v>175</x:v>
      </x:c>
      <x:c r="X27" s="532"/>
      <x:c r="Y27" s="567" t="str"/>
      <x:c r="Z27" s="329" t="str">
        <x:v>Complete</x:v>
      </x:c>
      <x:c r="AA27" s="329" t="str">
        <x:v>DUPLICATE / REVIEW</x:v>
      </x:c>
      <x:c r="AB27" s="329"/>
      <x:c r="AC27" s="329" t="str">
        <x:v>USDA corrected day allocation: $175 / 4.375 hrs @ $40/hr.</x:v>
      </x:c>
      <x:c r="AD27" s="329" t="str">
        <x:v>WO Alias Index + Canonical Ledger</x:v>
      </x:c>
      <x:c r="AE27" s="329"/>
    </x:row>
    <x:row r="28">
      <x:c r="A28" s="329" t="str">
        <x:v>LED-0027</x:v>
      </x:c>
      <x:c r="B28" s="329" t="str">
        <x:v>USDA-SPECIAL-E027</x:v>
      </x:c>
      <x:c r="C28" s="329" t="n">
        <x:v>27</x:v>
      </x:c>
      <x:c r="D28" s="532"/>
      <x:c r="E28" s="329" t="str">
        <x:v>CL-018</x:v>
      </x:c>
      <x:c r="F28" s="329" t="str">
        <x:v>USDA</x:v>
      </x:c>
      <x:c r="G28" s="532" t="n">
        <x:v>46174</x:v>
      </x:c>
      <x:c r="H28" s="567" t="str">
        <x:v>Monday</x:v>
      </x:c>
      <x:c r="I28" s="329" t="str">
        <x:v>USDA Day 3</x:v>
      </x:c>
      <x:c r="J28" s="329"/>
      <x:c r="K28" s="566" t="str">
        <x:v>Washington</x:v>
      </x:c>
      <x:c r="L28" s="532" t="str">
        <x:v>Washington, DC</x:v>
      </x:c>
      <x:c r="M28" s="532"/>
      <x:c r="N28" s="329" t="str">
        <x:v>DC</x:v>
      </x:c>
      <x:c r="O28" s="567" t="str">
        <x:v>Washington|DC</x:v>
      </x:c>
      <x:c r="P28" s="566"/>
      <x:c r="Q28" s="566"/>
      <x:c r="R28" s="329" t="str">
        <x:v>Yes</x:v>
      </x:c>
      <x:c r="S28" s="566" t="n">
        <x:v>320</x:v>
      </x:c>
      <x:c r="T28" s="532"/>
      <x:c r="U28" s="532"/>
      <x:c r="V28" s="329" t="str">
        <x:v>Yes</x:v>
      </x:c>
      <x:c r="W28" s="566" t="n">
        <x:v>320</x:v>
      </x:c>
      <x:c r="X28" s="532"/>
      <x:c r="Y28" s="567" t="str"/>
      <x:c r="Z28" s="329" t="str">
        <x:v>Complete</x:v>
      </x:c>
      <x:c r="AA28" s="329" t="str">
        <x:v>DUPLICATE / REVIEW</x:v>
      </x:c>
      <x:c r="AB28" s="329"/>
      <x:c r="AC28" s="329" t="str">
        <x:v>USDA corrected day allocation: $320 / 8 hrs @ $40/hr.</x:v>
      </x:c>
      <x:c r="AD28" s="329" t="str">
        <x:v>WO Alias Index + Canonical Ledger</x:v>
      </x:c>
      <x:c r="AE28" s="329"/>
    </x:row>
    <x:row r="29">
      <x:c r="A29" s="329" t="str">
        <x:v>LED-0028</x:v>
      </x:c>
      <x:c r="B29" s="329" t="str">
        <x:v>USDA-SPECIAL-E028</x:v>
      </x:c>
      <x:c r="C29" s="329" t="n">
        <x:v>28</x:v>
      </x:c>
      <x:c r="D29" s="532"/>
      <x:c r="E29" s="329" t="str">
        <x:v>CL-018</x:v>
      </x:c>
      <x:c r="F29" s="329" t="str">
        <x:v>USDA</x:v>
      </x:c>
      <x:c r="G29" s="532" t="n">
        <x:v>46175</x:v>
      </x:c>
      <x:c r="H29" s="567" t="str">
        <x:v>Tuesday</x:v>
      </x:c>
      <x:c r="I29" s="329" t="str">
        <x:v>USDA Day 4</x:v>
      </x:c>
      <x:c r="J29" s="329"/>
      <x:c r="K29" s="566" t="str">
        <x:v>Washington</x:v>
      </x:c>
      <x:c r="L29" s="532" t="str">
        <x:v>Washington, DC</x:v>
      </x:c>
      <x:c r="M29" s="532"/>
      <x:c r="N29" s="329" t="str">
        <x:v>DC</x:v>
      </x:c>
      <x:c r="O29" s="567" t="str">
        <x:v>Washington|DC</x:v>
      </x:c>
      <x:c r="P29" s="566"/>
      <x:c r="Q29" s="566"/>
      <x:c r="R29" s="329" t="str">
        <x:v>Yes</x:v>
      </x:c>
      <x:c r="S29" s="566" t="n">
        <x:v>320</x:v>
      </x:c>
      <x:c r="T29" s="532"/>
      <x:c r="U29" s="532"/>
      <x:c r="V29" s="329" t="str">
        <x:v>Yes</x:v>
      </x:c>
      <x:c r="W29" s="566" t="n">
        <x:v>320</x:v>
      </x:c>
      <x:c r="X29" s="532"/>
      <x:c r="Y29" s="567" t="str"/>
      <x:c r="Z29" s="329" t="str">
        <x:v>Complete</x:v>
      </x:c>
      <x:c r="AA29" s="329" t="str">
        <x:v>DUPLICATE / REVIEW</x:v>
      </x:c>
      <x:c r="AB29" s="329"/>
      <x:c r="AC29" s="329" t="str">
        <x:v>USDA corrected day allocation: $320 / 8 hrs @ $40/hr.</x:v>
      </x:c>
      <x:c r="AD29" s="329" t="str">
        <x:v>WO Alias Index + Canonical Ledger</x:v>
      </x:c>
      <x:c r="AE29" s="329"/>
    </x:row>
    <x:row r="30">
      <x:c r="A30" s="329" t="str">
        <x:v>LED-0029</x:v>
      </x:c>
      <x:c r="B30" s="329" t="str">
        <x:v>USDA-SPECIAL-E029</x:v>
      </x:c>
      <x:c r="C30" s="329" t="n">
        <x:v>29</x:v>
      </x:c>
      <x:c r="D30" s="532"/>
      <x:c r="E30" s="329" t="str">
        <x:v>CL-018</x:v>
      </x:c>
      <x:c r="F30" s="329" t="str">
        <x:v>USDA</x:v>
      </x:c>
      <x:c r="G30" s="532" t="n">
        <x:v>46176</x:v>
      </x:c>
      <x:c r="H30" s="567" t="str">
        <x:v>Wednesday</x:v>
      </x:c>
      <x:c r="I30" s="329" t="str">
        <x:v>USDA Day 5</x:v>
      </x:c>
      <x:c r="J30" s="329"/>
      <x:c r="K30" s="566" t="str">
        <x:v>Washington</x:v>
      </x:c>
      <x:c r="L30" s="532" t="str">
        <x:v>Washington, DC</x:v>
      </x:c>
      <x:c r="M30" s="532"/>
      <x:c r="N30" s="329" t="str">
        <x:v>DC</x:v>
      </x:c>
      <x:c r="O30" s="567" t="str">
        <x:v>Washington|DC</x:v>
      </x:c>
      <x:c r="P30" s="566"/>
      <x:c r="Q30" s="566"/>
      <x:c r="R30" s="329" t="str">
        <x:v>Yes</x:v>
      </x:c>
      <x:c r="S30" s="566" t="n">
        <x:v>200</x:v>
      </x:c>
      <x:c r="T30" s="532"/>
      <x:c r="U30" s="532"/>
      <x:c r="V30" s="329" t="str">
        <x:v>Yes</x:v>
      </x:c>
      <x:c r="W30" s="566" t="n">
        <x:v>200</x:v>
      </x:c>
      <x:c r="X30" s="532"/>
      <x:c r="Y30" s="567" t="str"/>
      <x:c r="Z30" s="329" t="str">
        <x:v>Complete</x:v>
      </x:c>
      <x:c r="AA30" s="329" t="str">
        <x:v>DUPLICATE / REVIEW</x:v>
      </x:c>
      <x:c r="AB30" s="329"/>
      <x:c r="AC30" s="329" t="str">
        <x:v>USDA corrected day allocation: $200 / 5 hrs @ $40/hr.</x:v>
      </x:c>
      <x:c r="AD30" s="329" t="str">
        <x:v>WO Alias Index + Canonical Ledger</x:v>
      </x:c>
      <x:c r="AE30" s="329"/>
    </x:row>
    <x:row r="31">
      <x:c r="A31" s="329" t="str">
        <x:v>LED-0030</x:v>
      </x:c>
      <x:c r="B31" s="329" t="str">
        <x:v>5896733</x:v>
      </x:c>
      <x:c r="C31" s="329" t="n">
        <x:v>30</x:v>
      </x:c>
      <x:c r="D31" s="532"/>
      <x:c r="E31" s="329" t="str">
        <x:v>CL-020</x:v>
      </x:c>
      <x:c r="F31" s="329" t="str">
        <x:v>TJ Maxx</x:v>
      </x:c>
      <x:c r="G31" s="532" t="n">
        <x:v>46176</x:v>
      </x:c>
      <x:c r="H31" s="567" t="str">
        <x:v>Wednesday</x:v>
      </x:c>
      <x:c r="I31" s="329" t="str">
        <x:v>TJ Maxx</x:v>
      </x:c>
      <x:c r="J31" s="329"/>
      <x:c r="K31" s="566" t="str">
        <x:v>Rockville</x:v>
      </x:c>
      <x:c r="L31" s="532" t="str">
        <x:v>Maryland</x:v>
      </x:c>
      <x:c r="M31" s="532"/>
      <x:c r="N31" s="329" t="str">
        <x:v>MD</x:v>
      </x:c>
      <x:c r="O31" s="567" t="str">
        <x:v>Rockville|MD</x:v>
      </x:c>
      <x:c r="P31" s="566"/>
      <x:c r="Q31" s="566"/>
      <x:c r="R31" s="329" t="str">
        <x:v>Yes</x:v>
      </x:c>
      <x:c r="S31" s="566" t="n">
        <x:v>96.66</x:v>
      </x:c>
      <x:c r="T31" s="532"/>
      <x:c r="U31" s="532"/>
      <x:c r="V31" s="329" t="str">
        <x:v>Yes</x:v>
      </x:c>
      <x:c r="W31" s="566" t="n">
        <x:v>96.66</x:v>
      </x:c>
      <x:c r="X31" s="532"/>
      <x:c r="Y31" s="567" t="str"/>
      <x:c r="Z31" s="329" t="str">
        <x:v>Complete</x:v>
      </x:c>
      <x:c r="AA31" s="329" t="str">
        <x:v>Unique</x:v>
      </x:c>
      <x:c r="AB31" s="329"/>
      <x:c r="AC31" s="329" t="str">
        <x:v>Event #30 TJ Maxx Rockville verified at $96.66.</x:v>
      </x:c>
      <x:c r="AD31" s="329" t="str">
        <x:v>WO Alias Index + Canonical Ledger</x:v>
      </x:c>
      <x:c r="AE31" s="329"/>
    </x:row>
    <x:row r="32">
      <x:c r="A32" s="329" t="str">
        <x:v>LED-0031</x:v>
      </x:c>
      <x:c r="B32" s="329" t="str">
        <x:v>USDA-SPECIAL-E031</x:v>
      </x:c>
      <x:c r="C32" s="329" t="n">
        <x:v>31</x:v>
      </x:c>
      <x:c r="D32" s="532"/>
      <x:c r="E32" s="329" t="str">
        <x:v>CL-018</x:v>
      </x:c>
      <x:c r="F32" s="329" t="str">
        <x:v>USDA</x:v>
      </x:c>
      <x:c r="G32" s="532" t="n">
        <x:v>46177</x:v>
      </x:c>
      <x:c r="H32" s="567" t="str">
        <x:v>Thursday</x:v>
      </x:c>
      <x:c r="I32" s="329" t="str">
        <x:v>USDA Day 6</x:v>
      </x:c>
      <x:c r="J32" s="329"/>
      <x:c r="K32" s="566" t="str">
        <x:v>Washington</x:v>
      </x:c>
      <x:c r="L32" s="532" t="str">
        <x:v>Washington, DC</x:v>
      </x:c>
      <x:c r="M32" s="532"/>
      <x:c r="N32" s="329" t="str">
        <x:v>DC</x:v>
      </x:c>
      <x:c r="O32" s="567" t="str">
        <x:v>Washington|DC</x:v>
      </x:c>
      <x:c r="P32" s="566"/>
      <x:c r="Q32" s="566"/>
      <x:c r="R32" s="329" t="str">
        <x:v>Yes</x:v>
      </x:c>
      <x:c r="S32" s="566" t="n">
        <x:v>140</x:v>
      </x:c>
      <x:c r="T32" s="532"/>
      <x:c r="U32" s="532"/>
      <x:c r="V32" s="329" t="str">
        <x:v>Yes</x:v>
      </x:c>
      <x:c r="W32" s="566" t="n">
        <x:v>140</x:v>
      </x:c>
      <x:c r="X32" s="532"/>
      <x:c r="Y32" s="567" t="str"/>
      <x:c r="Z32" s="329" t="str">
        <x:v>Complete</x:v>
      </x:c>
      <x:c r="AA32" s="329" t="str">
        <x:v>DUPLICATE / REVIEW</x:v>
      </x:c>
      <x:c r="AB32" s="329"/>
      <x:c r="AC32" s="329" t="str">
        <x:v>USDA corrected day allocation: $140 / 3.5 hrs @ $40/hr.</x:v>
      </x:c>
      <x:c r="AD32" s="329" t="str">
        <x:v>WO Alias Index + Canonical Ledger</x:v>
      </x:c>
      <x:c r="AE32" s="329"/>
    </x:row>
    <x:row r="33">
      <x:c r="A33" s="329" t="str">
        <x:v>LED-0032</x:v>
      </x:c>
      <x:c r="B33" s="329" t="str">
        <x:v>5898007</x:v>
      </x:c>
      <x:c r="C33" s="329" t="n">
        <x:v>32</x:v>
      </x:c>
      <x:c r="D33" s="532"/>
      <x:c r="E33" s="329" t="str">
        <x:v>CL-021</x:v>
      </x:c>
      <x:c r="F33" s="329" t="str">
        <x:v>Hilton Garden Inn</x:v>
      </x:c>
      <x:c r="G33" s="532" t="n">
        <x:v>46178</x:v>
      </x:c>
      <x:c r="H33" s="567" t="str">
        <x:v>Friday</x:v>
      </x:c>
      <x:c r="I33" s="329" t="str">
        <x:v>Hilton Garden Inn</x:v>
      </x:c>
      <x:c r="J33" s="329"/>
      <x:c r="K33" s="566" t="str">
        <x:v>Fairfax</x:v>
      </x:c>
      <x:c r="L33" s="532" t="str">
        <x:v>Virginia</x:v>
      </x:c>
      <x:c r="M33" s="532"/>
      <x:c r="N33" s="329" t="str">
        <x:v>VA</x:v>
      </x:c>
      <x:c r="O33" s="567" t="str">
        <x:v>Fairfax|VA</x:v>
      </x:c>
      <x:c r="P33" s="566"/>
      <x:c r="Q33" s="566"/>
      <x:c r="R33" s="329" t="str">
        <x:v>Yes</x:v>
      </x:c>
      <x:c r="S33" s="566" t="n">
        <x:v>25</x:v>
      </x:c>
      <x:c r="T33" s="532"/>
      <x:c r="U33" s="532"/>
      <x:c r="V33" s="329" t="str">
        <x:v>Yes</x:v>
      </x:c>
      <x:c r="W33" s="566" t="n">
        <x:v>25</x:v>
      </x:c>
      <x:c r="X33" s="532"/>
      <x:c r="Y33" s="567" t="str"/>
      <x:c r="Z33" s="329" t="str">
        <x:v>Complete</x:v>
      </x:c>
      <x:c r="AA33" s="329" t="str">
        <x:v>Unique</x:v>
      </x:c>
      <x:c r="AB33" s="329"/>
      <x:c r="AC33" s="329" t="str">
        <x:v>VA Hilton Garden Inn historical row.</x:v>
      </x:c>
      <x:c r="AD33" s="329" t="str">
        <x:v>WO Alias Index + Canonical Ledger</x:v>
      </x:c>
      <x:c r="AE33" s="329"/>
    </x:row>
    <x:row r="34">
      <x:c r="A34" s="329" t="str">
        <x:v>LED-0033</x:v>
      </x:c>
      <x:c r="B34" s="329" t="str">
        <x:v>5896039</x:v>
      </x:c>
      <x:c r="C34" s="329" t="n">
        <x:v>33</x:v>
      </x:c>
      <x:c r="D34" s="532"/>
      <x:c r="E34" s="329" t="str">
        <x:v>CL-005</x:v>
      </x:c>
      <x:c r="F34" s="329" t="str">
        <x:v>Hebrew Home of Greater Washington</x:v>
      </x:c>
      <x:c r="G34" s="532" t="n">
        <x:v>46178</x:v>
      </x:c>
      <x:c r="H34" s="567" t="str">
        <x:v>Friday</x:v>
      </x:c>
      <x:c r="I34" s="329" t="str">
        <x:v>Hebrew Home of Greater Washington</x:v>
      </x:c>
      <x:c r="J34" s="329"/>
      <x:c r="K34" s="566" t="str">
        <x:v>North Bethesda</x:v>
      </x:c>
      <x:c r="L34" s="532" t="str">
        <x:v>Maryland</x:v>
      </x:c>
      <x:c r="M34" s="532"/>
      <x:c r="N34" s="329" t="str">
        <x:v>MD</x:v>
      </x:c>
      <x:c r="O34" s="567" t="str">
        <x:v>North Bethesda|MD</x:v>
      </x:c>
      <x:c r="P34" s="566"/>
      <x:c r="Q34" s="566"/>
      <x:c r="R34" s="329" t="str">
        <x:v>Yes</x:v>
      </x:c>
      <x:c r="S34" s="566" t="n">
        <x:v>50</x:v>
      </x:c>
      <x:c r="T34" s="532"/>
      <x:c r="U34" s="532"/>
      <x:c r="V34" s="329" t="str">
        <x:v>Yes</x:v>
      </x:c>
      <x:c r="W34" s="566" t="n">
        <x:v>50</x:v>
      </x:c>
      <x:c r="X34" s="532"/>
      <x:c r="Y34" s="567" t="str"/>
      <x:c r="Z34" s="329" t="str">
        <x:v>Complete</x:v>
      </x:c>
      <x:c r="AA34" s="329" t="str">
        <x:v>Unique</x:v>
      </x:c>
      <x:c r="AB34" s="329"/>
      <x:c r="AC34" s="329" t="str">
        <x:v>Maryland revenue included.</x:v>
      </x:c>
      <x:c r="AD34" s="329" t="str">
        <x:v>WO Alias Index + Canonical Ledger</x:v>
      </x:c>
      <x:c r="AE34" s="329"/>
    </x:row>
    <x:row r="35">
      <x:c r="A35" s="329" t="str">
        <x:v>LED-0034</x:v>
      </x:c>
      <x:c r="B35" s="329" t="str">
        <x:v>5898904</x:v>
      </x:c>
      <x:c r="C35" s="329" t="n">
        <x:v>34</x:v>
      </x:c>
      <x:c r="D35" s="532"/>
      <x:c r="E35" s="329" t="str">
        <x:v>CL-020</x:v>
      </x:c>
      <x:c r="F35" s="329" t="str">
        <x:v>TJ Maxx</x:v>
      </x:c>
      <x:c r="G35" s="532" t="n">
        <x:v>46178</x:v>
      </x:c>
      <x:c r="H35" s="567" t="str">
        <x:v>Friday</x:v>
      </x:c>
      <x:c r="I35" s="329" t="str">
        <x:v>TJ Maxx</x:v>
      </x:c>
      <x:c r="J35" s="329"/>
      <x:c r="K35" s="566" t="str">
        <x:v>Annapolis</x:v>
      </x:c>
      <x:c r="L35" s="532" t="str">
        <x:v>Maryland</x:v>
      </x:c>
      <x:c r="M35" s="532"/>
      <x:c r="N35" s="329" t="str">
        <x:v>MD</x:v>
      </x:c>
      <x:c r="O35" s="567" t="str">
        <x:v>Annapolis|MD</x:v>
      </x:c>
      <x:c r="P35" s="566"/>
      <x:c r="Q35" s="566"/>
      <x:c r="R35" s="329" t="str">
        <x:v>Yes</x:v>
      </x:c>
      <x:c r="S35" s="566" t="n">
        <x:v>70</x:v>
      </x:c>
      <x:c r="T35" s="532"/>
      <x:c r="U35" s="532"/>
      <x:c r="V35" s="329" t="str">
        <x:v>Yes</x:v>
      </x:c>
      <x:c r="W35" s="566" t="n">
        <x:v>70</x:v>
      </x:c>
      <x:c r="X35" s="532"/>
      <x:c r="Y35" s="567" t="str"/>
      <x:c r="Z35" s="329" t="str">
        <x:v>Complete</x:v>
      </x:c>
      <x:c r="AA35" s="329" t="str">
        <x:v>Unique</x:v>
      </x:c>
      <x:c r="AB35" s="329"/>
      <x:c r="AC35" s="329" t="str">
        <x:v>Maryland revenue included.</x:v>
      </x:c>
      <x:c r="AD35" s="329" t="str">
        <x:v>WO Alias Index + Canonical Ledger</x:v>
      </x:c>
      <x:c r="AE35" s="329"/>
    </x:row>
    <x:row r="36">
      <x:c r="A36" s="329" t="str">
        <x:v>LED-0035</x:v>
      </x:c>
      <x:c r="B36" s="329" t="str">
        <x:v>5899056</x:v>
      </x:c>
      <x:c r="C36" s="329" t="n">
        <x:v>35</x:v>
      </x:c>
      <x:c r="D36" s="532"/>
      <x:c r="E36" s="329" t="str">
        <x:v>CL-022</x:v>
      </x:c>
      <x:c r="F36" s="329" t="str">
        <x:v>Marshalls</x:v>
      </x:c>
      <x:c r="G36" s="532" t="n">
        <x:v>46181</x:v>
      </x:c>
      <x:c r="H36" s="567" t="str">
        <x:v>Monday</x:v>
      </x:c>
      <x:c r="I36" s="329" t="str">
        <x:v>Marshalls</x:v>
      </x:c>
      <x:c r="J36" s="329"/>
      <x:c r="K36" s="566" t="str">
        <x:v>Dunkirk</x:v>
      </x:c>
      <x:c r="L36" s="532" t="str">
        <x:v>Maryland</x:v>
      </x:c>
      <x:c r="M36" s="532"/>
      <x:c r="N36" s="329" t="str">
        <x:v>MD</x:v>
      </x:c>
      <x:c r="O36" s="567" t="str">
        <x:v>Dunkirk|MD</x:v>
      </x:c>
      <x:c r="P36" s="566"/>
      <x:c r="Q36" s="566"/>
      <x:c r="R36" s="329" t="str">
        <x:v>Yes</x:v>
      </x:c>
      <x:c r="S36" s="566" t="n">
        <x:v>70</x:v>
      </x:c>
      <x:c r="T36" s="532"/>
      <x:c r="U36" s="532"/>
      <x:c r="V36" s="329" t="str">
        <x:v>Yes</x:v>
      </x:c>
      <x:c r="W36" s="566" t="n">
        <x:v>70</x:v>
      </x:c>
      <x:c r="X36" s="532"/>
      <x:c r="Y36" s="567" t="str"/>
      <x:c r="Z36" s="329" t="str">
        <x:v>Complete</x:v>
      </x:c>
      <x:c r="AA36" s="329" t="str">
        <x:v>Unique</x:v>
      </x:c>
      <x:c r="AB36" s="329"/>
      <x:c r="AC36" s="329" t="str">
        <x:v>Payment breakdown reissued/verified; no financial change.</x:v>
      </x:c>
      <x:c r="AD36" s="329" t="str">
        <x:v>WO Alias Index + Canonical Ledger</x:v>
      </x:c>
      <x:c r="AE36" s="329"/>
    </x:row>
    <x:row r="37">
      <x:c r="A37" s="329" t="str">
        <x:v>LED-0036</x:v>
      </x:c>
      <x:c r="B37" s="329" t="str">
        <x:v>5899295</x:v>
      </x:c>
      <x:c r="C37" s="329" t="n">
        <x:v>36</x:v>
      </x:c>
      <x:c r="D37" s="532"/>
      <x:c r="E37" s="329" t="str">
        <x:v>CL-003</x:v>
      </x:c>
      <x:c r="F37" s="329" t="str">
        <x:v>Hampton Inn &amp; Suites</x:v>
      </x:c>
      <x:c r="G37" s="532" t="n">
        <x:v>46182</x:v>
      </x:c>
      <x:c r="H37" s="567" t="str">
        <x:v>Tuesday</x:v>
      </x:c>
      <x:c r="I37" s="329" t="str">
        <x:v>Hampton Inn &amp; Suites</x:v>
      </x:c>
      <x:c r="J37" s="329"/>
      <x:c r="K37" s="566" t="str">
        <x:v>Edgewood</x:v>
      </x:c>
      <x:c r="L37" s="532" t="str">
        <x:v>Maryland</x:v>
      </x:c>
      <x:c r="M37" s="532"/>
      <x:c r="N37" s="329" t="str">
        <x:v>MD</x:v>
      </x:c>
      <x:c r="O37" s="567" t="str">
        <x:v>Edgewood|MD</x:v>
      </x:c>
      <x:c r="P37" s="566"/>
      <x:c r="Q37" s="566"/>
      <x:c r="R37" s="329" t="str">
        <x:v>Yes</x:v>
      </x:c>
      <x:c r="S37" s="566" t="n">
        <x:v>65</x:v>
      </x:c>
      <x:c r="T37" s="532"/>
      <x:c r="U37" s="532"/>
      <x:c r="V37" s="329" t="str">
        <x:v>Yes</x:v>
      </x:c>
      <x:c r="W37" s="566" t="n">
        <x:v>65</x:v>
      </x:c>
      <x:c r="X37" s="532"/>
      <x:c r="Y37" s="567" t="str"/>
      <x:c r="Z37" s="329" t="str">
        <x:v>Complete</x:v>
      </x:c>
      <x:c r="AA37" s="329" t="str">
        <x:v>Unique</x:v>
      </x:c>
      <x:c r="AB37" s="329"/>
      <x:c r="AC37" s="329" t="str">
        <x:v>Maryland revenue included.</x:v>
      </x:c>
      <x:c r="AD37" s="329" t="str">
        <x:v>WO Alias Index + Canonical Ledger</x:v>
      </x:c>
      <x:c r="AE37" s="329"/>
    </x:row>
    <x:row r="38">
      <x:c r="A38" s="329" t="str">
        <x:v>LED-0037</x:v>
      </x:c>
      <x:c r="B38" s="329" t="str">
        <x:v>5899715</x:v>
      </x:c>
      <x:c r="C38" s="329" t="n">
        <x:v>37</x:v>
      </x:c>
      <x:c r="D38" s="532"/>
      <x:c r="E38" s="329" t="str">
        <x:v>CL-016</x:v>
      </x:c>
      <x:c r="F38" s="329" t="str">
        <x:v>HomeGoods</x:v>
      </x:c>
      <x:c r="G38" s="532" t="n">
        <x:v>46182</x:v>
      </x:c>
      <x:c r="H38" s="567" t="str">
        <x:v>Tuesday</x:v>
      </x:c>
      <x:c r="I38" s="329" t="str">
        <x:v>HomeGoods</x:v>
      </x:c>
      <x:c r="J38" s="329"/>
      <x:c r="K38" s="566" t="str">
        <x:v>Sterling</x:v>
      </x:c>
      <x:c r="L38" s="532" t="str">
        <x:v>Virginia</x:v>
      </x:c>
      <x:c r="M38" s="532"/>
      <x:c r="N38" s="329" t="str">
        <x:v>VA</x:v>
      </x:c>
      <x:c r="O38" s="567" t="str">
        <x:v>Sterling|VA</x:v>
      </x:c>
      <x:c r="P38" s="566"/>
      <x:c r="Q38" s="566"/>
      <x:c r="R38" s="329" t="str">
        <x:v>Yes</x:v>
      </x:c>
      <x:c r="S38" s="566" t="n">
        <x:v>90</x:v>
      </x:c>
      <x:c r="T38" s="532"/>
      <x:c r="U38" s="532"/>
      <x:c r="V38" s="329" t="str">
        <x:v>Yes</x:v>
      </x:c>
      <x:c r="W38" s="566" t="n">
        <x:v>90</x:v>
      </x:c>
      <x:c r="X38" s="532"/>
      <x:c r="Y38" s="567" t="str"/>
      <x:c r="Z38" s="329" t="str">
        <x:v>Complete</x:v>
      </x:c>
      <x:c r="AA38" s="329" t="str">
        <x:v>Unique</x:v>
      </x:c>
      <x:c r="AB38" s="329"/>
      <x:c r="AC38" s="329" t="str">
        <x:v>VA revenue included.</x:v>
      </x:c>
      <x:c r="AD38" s="329" t="str">
        <x:v>WO Alias Index + Canonical Ledger</x:v>
      </x:c>
      <x:c r="AE38" s="329"/>
    </x:row>
    <x:row r="39">
      <x:c r="A39" s="329" t="str">
        <x:v>LED-0038</x:v>
      </x:c>
      <x:c r="B39" s="329" t="str">
        <x:v>5900102</x:v>
      </x:c>
      <x:c r="C39" s="329" t="n">
        <x:v>38</x:v>
      </x:c>
      <x:c r="D39" s="532"/>
      <x:c r="E39" s="329" t="str">
        <x:v>CL-006</x:v>
      </x:c>
      <x:c r="F39" s="329" t="str">
        <x:v>7-Eleven</x:v>
      </x:c>
      <x:c r="G39" s="532" t="n">
        <x:v>46183</x:v>
      </x:c>
      <x:c r="H39" s="567" t="str">
        <x:v>Wednesday</x:v>
      </x:c>
      <x:c r="I39" s="329" t="str">
        <x:v>7-Eleven</x:v>
      </x:c>
      <x:c r="J39" s="329"/>
      <x:c r="K39" s="566" t="str">
        <x:v>Lanham</x:v>
      </x:c>
      <x:c r="L39" s="532" t="str">
        <x:v>Maryland</x:v>
      </x:c>
      <x:c r="M39" s="532"/>
      <x:c r="N39" s="329" t="str">
        <x:v>MD</x:v>
      </x:c>
      <x:c r="O39" s="567" t="str">
        <x:v>Lanham|MD</x:v>
      </x:c>
      <x:c r="P39" s="566"/>
      <x:c r="Q39" s="566"/>
      <x:c r="R39" s="329" t="str">
        <x:v>Yes</x:v>
      </x:c>
      <x:c r="S39" s="566" t="n">
        <x:v>240</x:v>
      </x:c>
      <x:c r="T39" s="532"/>
      <x:c r="U39" s="532"/>
      <x:c r="V39" s="329" t="str">
        <x:v>Yes</x:v>
      </x:c>
      <x:c r="W39" s="566" t="n">
        <x:v>240</x:v>
      </x:c>
      <x:c r="X39" s="532"/>
      <x:c r="Y39" s="567" t="str"/>
      <x:c r="Z39" s="329" t="str">
        <x:v>Complete with note</x:v>
      </x:c>
      <x:c r="AA39" s="329" t="str">
        <x:v>Unique</x:v>
      </x:c>
      <x:c r="AB39" s="329"/>
      <x:c r="AC39" s="329" t="str">
        <x:v>7-Eleven dispute cleared at $240.</x:v>
      </x:c>
      <x:c r="AD39" s="329" t="str">
        <x:v>WO Alias Index + Canonical Ledger</x:v>
      </x:c>
      <x:c r="AE39" s="329"/>
    </x:row>
    <x:row r="40">
      <x:c r="A40" s="329" t="str">
        <x:v>LED-0039</x:v>
      </x:c>
      <x:c r="B40" s="329" t="str">
        <x:v>5900492</x:v>
      </x:c>
      <x:c r="C40" s="329" t="n">
        <x:v>39</x:v>
      </x:c>
      <x:c r="D40" s="532"/>
      <x:c r="E40" s="329" t="str">
        <x:v>CL-020</x:v>
      </x:c>
      <x:c r="F40" s="329" t="str">
        <x:v>TJ Maxx</x:v>
      </x:c>
      <x:c r="G40" s="532" t="n">
        <x:v>46183</x:v>
      </x:c>
      <x:c r="H40" s="567" t="str">
        <x:v>Wednesday</x:v>
      </x:c>
      <x:c r="I40" s="329" t="str">
        <x:v>TJ Maxx</x:v>
      </x:c>
      <x:c r="J40" s="329"/>
      <x:c r="K40" s="566" t="str">
        <x:v>Annapolis</x:v>
      </x:c>
      <x:c r="L40" s="532" t="str">
        <x:v>Maryland</x:v>
      </x:c>
      <x:c r="M40" s="532"/>
      <x:c r="N40" s="329" t="str">
        <x:v>MD</x:v>
      </x:c>
      <x:c r="O40" s="567" t="str">
        <x:v>Annapolis|MD</x:v>
      </x:c>
      <x:c r="P40" s="566"/>
      <x:c r="Q40" s="566"/>
      <x:c r="R40" s="329" t="str">
        <x:v>Yes</x:v>
      </x:c>
      <x:c r="S40" s="566" t="n">
        <x:v>90</x:v>
      </x:c>
      <x:c r="T40" s="532"/>
      <x:c r="U40" s="532"/>
      <x:c r="V40" s="329" t="str">
        <x:v>Yes</x:v>
      </x:c>
      <x:c r="W40" s="566" t="n">
        <x:v>90</x:v>
      </x:c>
      <x:c r="X40" s="532"/>
      <x:c r="Y40" s="567" t="str"/>
      <x:c r="Z40" s="329" t="str">
        <x:v>Complete</x:v>
      </x:c>
      <x:c r="AA40" s="329" t="str">
        <x:v>Unique</x:v>
      </x:c>
      <x:c r="AB40" s="329"/>
      <x:c r="AC40" s="329" t="str">
        <x:v>Payment breakdown reissued/verified; no financial change.</x:v>
      </x:c>
      <x:c r="AD40" s="329" t="str">
        <x:v>WO Alias Index + Canonical Ledger</x:v>
      </x:c>
      <x:c r="AE40" s="329"/>
    </x:row>
    <x:row r="41">
      <x:c r="A41" s="329" t="str">
        <x:v>LED-0040</x:v>
      </x:c>
      <x:c r="B41" s="329" t="str">
        <x:v>5877236</x:v>
      </x:c>
      <x:c r="C41" s="329" t="n">
        <x:v>40</x:v>
      </x:c>
      <x:c r="D41" s="532"/>
      <x:c r="E41" s="329" t="str">
        <x:v>CL-011</x:v>
      </x:c>
      <x:c r="F41" s="329" t="str">
        <x:v>Residential – Annapolis Neck, MD</x:v>
      </x:c>
      <x:c r="G41" s="532" t="n">
        <x:v>46183</x:v>
      </x:c>
      <x:c r="H41" s="567" t="str">
        <x:v>Wednesday</x:v>
      </x:c>
      <x:c r="I41" s="329" t="str">
        <x:v>Residential</x:v>
      </x:c>
      <x:c r="J41" s="329"/>
      <x:c r="K41" s="566" t="str">
        <x:v>Annapolis Neck</x:v>
      </x:c>
      <x:c r="L41" s="532" t="str">
        <x:v>Maryland</x:v>
      </x:c>
      <x:c r="M41" s="532"/>
      <x:c r="N41" s="329" t="str">
        <x:v>MD</x:v>
      </x:c>
      <x:c r="O41" s="567" t="str">
        <x:v>Annapolis Neck|MD</x:v>
      </x:c>
      <x:c r="P41" s="566"/>
      <x:c r="Q41" s="566"/>
      <x:c r="R41" s="329" t="str">
        <x:v>Yes</x:v>
      </x:c>
      <x:c r="S41" s="566" t="n">
        <x:v>60</x:v>
      </x:c>
      <x:c r="T41" s="532"/>
      <x:c r="U41" s="532"/>
      <x:c r="V41" s="329" t="str">
        <x:v>Yes</x:v>
      </x:c>
      <x:c r="W41" s="566" t="n">
        <x:v>60</x:v>
      </x:c>
      <x:c r="X41" s="532"/>
      <x:c r="Y41" s="567" t="str"/>
      <x:c r="Z41" s="329" t="str">
        <x:v>Complete</x:v>
      </x:c>
      <x:c r="AA41" s="329" t="str">
        <x:v>Unique</x:v>
      </x:c>
      <x:c r="AB41" s="329"/>
      <x:c r="AC41" s="329" t="str">
        <x:v>Dynabook repair completed.</x:v>
      </x:c>
      <x:c r="AD41" s="329" t="str">
        <x:v>WO Alias Index + Canonical Ledger</x:v>
      </x:c>
      <x:c r="AE41" s="329"/>
    </x:row>
    <x:row r="42">
      <x:c r="A42" s="329" t="str">
        <x:v>LED-0041</x:v>
      </x:c>
      <x:c r="B42" s="329" t="str">
        <x:v>5887374</x:v>
      </x:c>
      <x:c r="C42" s="329" t="n">
        <x:v>41</x:v>
      </x:c>
      <x:c r="D42" s="532"/>
      <x:c r="E42" s="329" t="str">
        <x:v>CL-023</x:v>
      </x:c>
      <x:c r="F42" s="329" t="str">
        <x:v>Baskin-Robbins</x:v>
      </x:c>
      <x:c r="G42" s="532" t="n">
        <x:v>46184</x:v>
      </x:c>
      <x:c r="H42" s="567" t="str">
        <x:v>Thursday</x:v>
      </x:c>
      <x:c r="I42" s="329" t="str">
        <x:v>Baskin Robbins</x:v>
      </x:c>
      <x:c r="J42" s="329"/>
      <x:c r="K42" s="566" t="str">
        <x:v>Falls Church</x:v>
      </x:c>
      <x:c r="L42" s="532" t="str">
        <x:v>Virginia</x:v>
      </x:c>
      <x:c r="M42" s="532"/>
      <x:c r="N42" s="329" t="str">
        <x:v>VA</x:v>
      </x:c>
      <x:c r="O42" s="567" t="str">
        <x:v>Falls Church|VA</x:v>
      </x:c>
      <x:c r="P42" s="566"/>
      <x:c r="Q42" s="566"/>
      <x:c r="R42" s="329" t="str">
        <x:v>Yes</x:v>
      </x:c>
      <x:c r="S42" s="566" t="n">
        <x:v>45</x:v>
      </x:c>
      <x:c r="T42" s="532"/>
      <x:c r="U42" s="532"/>
      <x:c r="V42" s="329" t="str">
        <x:v>Yes</x:v>
      </x:c>
      <x:c r="W42" s="566" t="n">
        <x:v>45</x:v>
      </x:c>
      <x:c r="X42" s="532"/>
      <x:c r="Y42" s="567" t="str"/>
      <x:c r="Z42" s="329" t="str">
        <x:v>Complete</x:v>
      </x:c>
      <x:c r="AA42" s="329" t="str">
        <x:v>Unique</x:v>
      </x:c>
      <x:c r="AB42" s="329"/>
      <x:c r="AC42" s="329" t="str">
        <x:v>Corrected: WO 5887374 = Baskin Robbins. Breakdown and ACH confirmed at $45.</x:v>
      </x:c>
      <x:c r="AD42" s="329" t="str">
        <x:v>WO Alias Index + Canonical Ledger</x:v>
      </x:c>
      <x:c r="AE42" s="329"/>
    </x:row>
    <x:row r="43">
      <x:c r="A43" s="329" t="str">
        <x:v>LED-0042</x:v>
      </x:c>
      <x:c r="B43" s="329" t="str">
        <x:v>5901061</x:v>
      </x:c>
      <x:c r="C43" s="329" t="n">
        <x:v>42</x:v>
      </x:c>
      <x:c r="D43" s="532"/>
      <x:c r="E43" s="329" t="str">
        <x:v>CL-012</x:v>
      </x:c>
      <x:c r="F43" s="329" t="str">
        <x:v>Verizon</x:v>
      </x:c>
      <x:c r="G43" s="532" t="n">
        <x:v>46184</x:v>
      </x:c>
      <x:c r="H43" s="567" t="str">
        <x:v>Thursday</x:v>
      </x:c>
      <x:c r="I43" s="329" t="str">
        <x:v>Verizon</x:v>
      </x:c>
      <x:c r="J43" s="329"/>
      <x:c r="K43" s="566" t="str">
        <x:v>Ellicott City</x:v>
      </x:c>
      <x:c r="L43" s="532" t="str">
        <x:v>Maryland</x:v>
      </x:c>
      <x:c r="M43" s="532"/>
      <x:c r="N43" s="329" t="str">
        <x:v>MD</x:v>
      </x:c>
      <x:c r="O43" s="567" t="str">
        <x:v>Ellicott City|MD</x:v>
      </x:c>
      <x:c r="P43" s="566"/>
      <x:c r="Q43" s="566"/>
      <x:c r="R43" s="329" t="str">
        <x:v>Yes</x:v>
      </x:c>
      <x:c r="S43" s="566" t="n">
        <x:v>50</x:v>
      </x:c>
      <x:c r="T43" s="532"/>
      <x:c r="U43" s="532"/>
      <x:c r="V43" s="329" t="str">
        <x:v>Yes</x:v>
      </x:c>
      <x:c r="W43" s="566" t="n">
        <x:v>50</x:v>
      </x:c>
      <x:c r="X43" s="532"/>
      <x:c r="Y43" s="567" t="str"/>
      <x:c r="Z43" s="329" t="str">
        <x:v>Breakdown missing / ACH confirmed</x:v>
      </x:c>
      <x:c r="AA43" s="329" t="str">
        <x:v>Unique</x:v>
      </x:c>
      <x:c r="AB43" s="329"/>
      <x:c r="AC43" s="329" t="str">
        <x:v>Payment breakdown found; ACH B5901061T1 confirmed.</x:v>
      </x:c>
      <x:c r="AD43" s="329" t="str">
        <x:v>WO Alias Index + Canonical Ledger</x:v>
      </x:c>
      <x:c r="AE43" s="329"/>
    </x:row>
    <x:row r="44">
      <x:c r="A44" s="329" t="str">
        <x:v>LED-0043</x:v>
      </x:c>
      <x:c r="B44" s="329" t="str">
        <x:v>5902689</x:v>
      </x:c>
      <x:c r="C44" s="329" t="n">
        <x:v>43</x:v>
      </x:c>
      <x:c r="D44" s="532"/>
      <x:c r="E44" s="329" t="str">
        <x:v>CL-012</x:v>
      </x:c>
      <x:c r="F44" s="329" t="str">
        <x:v>Verizon</x:v>
      </x:c>
      <x:c r="G44" s="532" t="n">
        <x:v>46185</x:v>
      </x:c>
      <x:c r="H44" s="567" t="str">
        <x:v>Friday</x:v>
      </x:c>
      <x:c r="I44" s="329" t="str">
        <x:v>Verizon</x:v>
      </x:c>
      <x:c r="J44" s="329"/>
      <x:c r="K44" s="566" t="str">
        <x:v>Lanham</x:v>
      </x:c>
      <x:c r="L44" s="532" t="str">
        <x:v>Maryland</x:v>
      </x:c>
      <x:c r="M44" s="532"/>
      <x:c r="N44" s="329" t="str">
        <x:v>MD</x:v>
      </x:c>
      <x:c r="O44" s="567" t="str">
        <x:v>Lanham|MD</x:v>
      </x:c>
      <x:c r="P44" s="566"/>
      <x:c r="Q44" s="566"/>
      <x:c r="R44" s="329" t="str">
        <x:v>Yes</x:v>
      </x:c>
      <x:c r="S44" s="566" t="n">
        <x:v>50</x:v>
      </x:c>
      <x:c r="T44" s="532"/>
      <x:c r="U44" s="532"/>
      <x:c r="V44" s="329" t="str">
        <x:v>Yes</x:v>
      </x:c>
      <x:c r="W44" s="566" t="n">
        <x:v>50</x:v>
      </x:c>
      <x:c r="X44" s="532"/>
      <x:c r="Y44" s="567" t="str"/>
      <x:c r="Z44" s="329" t="str">
        <x:v>Complete</x:v>
      </x:c>
      <x:c r="AA44" s="329" t="str">
        <x:v>Unique</x:v>
      </x:c>
      <x:c r="AB44" s="329"/>
      <x:c r="AC44" s="329" t="str">
        <x:v>Verizon Lanham amount locked at $50.</x:v>
      </x:c>
      <x:c r="AD44" s="329" t="str">
        <x:v>WO Alias Index + Canonical Ledger</x:v>
      </x:c>
      <x:c r="AE44" s="329"/>
    </x:row>
    <x:row r="45">
      <x:c r="A45" s="329" t="str">
        <x:v>LED-0044</x:v>
      </x:c>
      <x:c r="B45" s="329" t="str">
        <x:v>5902930</x:v>
      </x:c>
      <x:c r="C45" s="329" t="n">
        <x:v>44</x:v>
      </x:c>
      <x:c r="D45" s="532"/>
      <x:c r="E45" s="329" t="str">
        <x:v>CL-022</x:v>
      </x:c>
      <x:c r="F45" s="329" t="str">
        <x:v>Marshalls</x:v>
      </x:c>
      <x:c r="G45" s="532" t="n">
        <x:v>46188</x:v>
      </x:c>
      <x:c r="H45" s="567" t="str">
        <x:v>Monday</x:v>
      </x:c>
      <x:c r="I45" s="329" t="str">
        <x:v>Marshalls</x:v>
      </x:c>
      <x:c r="J45" s="329"/>
      <x:c r="K45" s="566" t="str">
        <x:v>Frederick</x:v>
      </x:c>
      <x:c r="L45" s="532" t="str">
        <x:v>Maryland</x:v>
      </x:c>
      <x:c r="M45" s="532"/>
      <x:c r="N45" s="329" t="str">
        <x:v>MD</x:v>
      </x:c>
      <x:c r="O45" s="567" t="str">
        <x:v>Frederick|MD</x:v>
      </x:c>
      <x:c r="P45" s="566"/>
      <x:c r="Q45" s="566"/>
      <x:c r="R45" s="329" t="str">
        <x:v>Yes</x:v>
      </x:c>
      <x:c r="S45" s="566" t="n">
        <x:v>123.75</x:v>
      </x:c>
      <x:c r="T45" s="532"/>
      <x:c r="U45" s="532"/>
      <x:c r="V45" s="329" t="str">
        <x:v>Yes</x:v>
      </x:c>
      <x:c r="W45" s="566" t="n">
        <x:v>123.75</x:v>
      </x:c>
      <x:c r="X45" s="532"/>
      <x:c r="Y45" s="567" t="str"/>
      <x:c r="Z45" s="329" t="str">
        <x:v>Complete</x:v>
      </x:c>
      <x:c r="AA45" s="329" t="str">
        <x:v>Unique</x:v>
      </x:c>
      <x:c r="AB45" s="329"/>
      <x:c r="AC45" s="329" t="str">
        <x:v>ACH confirmed B5902930T2 at $123.75.</x:v>
      </x:c>
      <x:c r="AD45" s="329" t="str">
        <x:v>WO Alias Index + Canonical Ledger</x:v>
      </x:c>
      <x:c r="AE45" s="329"/>
    </x:row>
    <x:row r="46">
      <x:c r="A46" s="329" t="str">
        <x:v>LED-0045</x:v>
      </x:c>
      <x:c r="B46" s="329" t="str">
        <x:v>5900963</x:v>
      </x:c>
      <x:c r="C46" s="329" t="n">
        <x:v>45</x:v>
      </x:c>
      <x:c r="D46" s="532"/>
      <x:c r="E46" s="329" t="str">
        <x:v>CL-024</x:v>
      </x:c>
      <x:c r="F46" s="329" t="str">
        <x:v>Montpelier Liquors</x:v>
      </x:c>
      <x:c r="G46" s="532" t="n">
        <x:v>46190</x:v>
      </x:c>
      <x:c r="H46" s="567" t="str">
        <x:v>Wednesday</x:v>
      </x:c>
      <x:c r="I46" s="329" t="str">
        <x:v>Montpelier Liquors</x:v>
      </x:c>
      <x:c r="J46" s="329"/>
      <x:c r="K46" s="566" t="str">
        <x:v>Laurel</x:v>
      </x:c>
      <x:c r="L46" s="532" t="str">
        <x:v>Maryland</x:v>
      </x:c>
      <x:c r="M46" s="532"/>
      <x:c r="N46" s="329" t="str">
        <x:v>MD</x:v>
      </x:c>
      <x:c r="O46" s="567" t="str">
        <x:v>Laurel|MD</x:v>
      </x:c>
      <x:c r="P46" s="566"/>
      <x:c r="Q46" s="566"/>
      <x:c r="R46" s="329" t="str">
        <x:v>Yes</x:v>
      </x:c>
      <x:c r="S46" s="566" t="n">
        <x:v>128</x:v>
      </x:c>
      <x:c r="T46" s="532"/>
      <x:c r="U46" s="532"/>
      <x:c r="V46" s="329" t="str">
        <x:v>Yes</x:v>
      </x:c>
      <x:c r="W46" s="566" t="n">
        <x:v>128</x:v>
      </x:c>
      <x:c r="X46" s="532"/>
      <x:c r="Y46" s="567" t="str"/>
      <x:c r="Z46" s="329" t="str">
        <x:v>Complete</x:v>
      </x:c>
      <x:c r="AA46" s="329" t="str">
        <x:v>Unique</x:v>
      </x:c>
      <x:c r="AB46" s="329"/>
      <x:c r="AC46" s="329" t="str">
        <x:v>Montpelier Liquors WO 5900963; ACH confirmed July 1 at $128.</x:v>
      </x:c>
      <x:c r="AD46" s="329" t="str">
        <x:v>WO Alias Index + Canonical Ledger</x:v>
      </x:c>
      <x:c r="AE46" s="329"/>
    </x:row>
    <x:row r="47">
      <x:c r="A47" s="329" t="str">
        <x:v>LED-0046</x:v>
      </x:c>
      <x:c r="B47" s="329" t="str">
        <x:v>5904843</x:v>
      </x:c>
      <x:c r="C47" s="329" t="n">
        <x:v>46</x:v>
      </x:c>
      <x:c r="D47" s="532"/>
      <x:c r="E47" s="329" t="str">
        <x:v>CL-022</x:v>
      </x:c>
      <x:c r="F47" s="329" t="str">
        <x:v>Marshalls</x:v>
      </x:c>
      <x:c r="G47" s="532" t="n">
        <x:v>46190</x:v>
      </x:c>
      <x:c r="H47" s="567" t="str">
        <x:v>Wednesday</x:v>
      </x:c>
      <x:c r="I47" s="329" t="str">
        <x:v>Marshalls</x:v>
      </x:c>
      <x:c r="J47" s="329"/>
      <x:c r="K47" s="566" t="str">
        <x:v>Laurel</x:v>
      </x:c>
      <x:c r="L47" s="532" t="str">
        <x:v>Maryland</x:v>
      </x:c>
      <x:c r="M47" s="532"/>
      <x:c r="N47" s="329" t="str">
        <x:v>MD</x:v>
      </x:c>
      <x:c r="O47" s="567" t="str">
        <x:v>Laurel|MD</x:v>
      </x:c>
      <x:c r="P47" s="566"/>
      <x:c r="Q47" s="566"/>
      <x:c r="R47" s="329" t="str">
        <x:v>Yes</x:v>
      </x:c>
      <x:c r="S47" s="566" t="n">
        <x:v>90</x:v>
      </x:c>
      <x:c r="T47" s="532"/>
      <x:c r="U47" s="532"/>
      <x:c r="V47" s="329" t="str">
        <x:v>Yes</x:v>
      </x:c>
      <x:c r="W47" s="566" t="n">
        <x:v>90</x:v>
      </x:c>
      <x:c r="X47" s="532"/>
      <x:c r="Y47" s="567" t="str"/>
      <x:c r="Z47" s="329" t="str">
        <x:v>Complete</x:v>
      </x:c>
      <x:c r="AA47" s="329" t="str">
        <x:v>Unique</x:v>
      </x:c>
      <x:c r="AB47" s="329"/>
      <x:c r="AC47" s="329" t="str">
        <x:v>Marshalls Laurel WO 5904843; payment breakdown $90 and ACH confirmed July 1.</x:v>
      </x:c>
      <x:c r="AD47" s="329" t="str">
        <x:v>WO Alias Index + Canonical Ledger</x:v>
      </x:c>
      <x:c r="AE47" s="329"/>
    </x:row>
    <x:row r="48">
      <x:c r="A48" s="329" t="str">
        <x:v>LED-0047</x:v>
      </x:c>
      <x:c r="B48" s="329" t="str">
        <x:v>5898644</x:v>
      </x:c>
      <x:c r="C48" s="329" t="n">
        <x:v>47</x:v>
      </x:c>
      <x:c r="D48" s="532"/>
      <x:c r="E48" s="329" t="str">
        <x:v>CL-025</x:v>
      </x:c>
      <x:c r="F48" s="329" t="str">
        <x:v>Office of MD Senator Angela Alsobrooks</x:v>
      </x:c>
      <x:c r="G48" s="532" t="n">
        <x:v>46191</x:v>
      </x:c>
      <x:c r="H48" s="567" t="str">
        <x:v>Thursday</x:v>
      </x:c>
      <x:c r="I48" s="329" t="str">
        <x:v>Office of MD Senator Angela Alsobrooks</x:v>
      </x:c>
      <x:c r="J48" s="329"/>
      <x:c r="K48" s="566" t="str">
        <x:v>Bowie</x:v>
      </x:c>
      <x:c r="L48" s="532" t="str">
        <x:v>Maryland</x:v>
      </x:c>
      <x:c r="M48" s="532"/>
      <x:c r="N48" s="329" t="str">
        <x:v>MD</x:v>
      </x:c>
      <x:c r="O48" s="567" t="str">
        <x:v>Bowie|MD</x:v>
      </x:c>
      <x:c r="P48" s="566"/>
      <x:c r="Q48" s="566"/>
      <x:c r="R48" s="329" t="str">
        <x:v>Yes</x:v>
      </x:c>
      <x:c r="S48" s="566" t="n">
        <x:v>130</x:v>
      </x:c>
      <x:c r="T48" s="532"/>
      <x:c r="U48" s="532"/>
      <x:c r="V48" s="329" t="str">
        <x:v>Yes</x:v>
      </x:c>
      <x:c r="W48" s="566" t="n">
        <x:v>130</x:v>
      </x:c>
      <x:c r="X48" s="532"/>
      <x:c r="Y48" s="567" t="str"/>
      <x:c r="Z48" s="329" t="str">
        <x:v>Complete</x:v>
      </x:c>
      <x:c r="AA48" s="329" t="str">
        <x:v>Unique</x:v>
      </x:c>
      <x:c r="AB48" s="329"/>
      <x:c r="AC48" s="329" t="str">
        <x:v>Office of MD Senator Angela Alsobrooks Bowie WO 5898644; breakdown $130 and ACH confirmed July 2.</x:v>
      </x:c>
      <x:c r="AD48" s="329" t="str">
        <x:v>WO Alias Index + Canonical Ledger</x:v>
      </x:c>
      <x:c r="AE48" s="329"/>
    </x:row>
    <x:row r="49">
      <x:c r="A49" s="329" t="str">
        <x:v>LED-0048</x:v>
      </x:c>
      <x:c r="B49" s="329" t="str">
        <x:v>5905576</x:v>
      </x:c>
      <x:c r="C49" s="329" t="n">
        <x:v>48</x:v>
      </x:c>
      <x:c r="D49" s="532"/>
      <x:c r="E49" s="329" t="str">
        <x:v>CL-005</x:v>
      </x:c>
      <x:c r="F49" s="329" t="str">
        <x:v>Hebrew Home of Greater Washington</x:v>
      </x:c>
      <x:c r="G49" s="532" t="n">
        <x:v>46191</x:v>
      </x:c>
      <x:c r="H49" s="567" t="str">
        <x:v>Thursday</x:v>
      </x:c>
      <x:c r="I49" s="329" t="str">
        <x:v>Hebrew Home of Greater Washington</x:v>
      </x:c>
      <x:c r="J49" s="329"/>
      <x:c r="K49" s="566" t="str">
        <x:v>North Bethesda</x:v>
      </x:c>
      <x:c r="L49" s="532" t="str">
        <x:v>Maryland</x:v>
      </x:c>
      <x:c r="M49" s="532"/>
      <x:c r="N49" s="329" t="str">
        <x:v>MD</x:v>
      </x:c>
      <x:c r="O49" s="567" t="str">
        <x:v>North Bethesda|MD</x:v>
      </x:c>
      <x:c r="P49" s="566"/>
      <x:c r="Q49" s="566"/>
      <x:c r="R49" s="329" t="str">
        <x:v>Yes</x:v>
      </x:c>
      <x:c r="S49" s="566" t="n">
        <x:v>70</x:v>
      </x:c>
      <x:c r="T49" s="532"/>
      <x:c r="U49" s="532"/>
      <x:c r="V49" s="329" t="str">
        <x:v>Mapping Review</x:v>
      </x:c>
      <x:c r="W49" s="566"/>
      <x:c r="X49" s="532"/>
      <x:c r="Y49" s="567" t="str"/>
      <x:c r="Z49" s="329" t="str">
        <x:v>Companion WO mapping review</x:v>
      </x:c>
      <x:c r="AA49" s="329" t="str">
        <x:v>Unique</x:v>
      </x:c>
      <x:c r="AB49" s="329" t="str">
        <x:v>5905576 / 5905579</x:v>
      </x:c>
      <x:c r="AC49" s="329" t="str">
        <x:v>Companion WO issue 5905576 / 5905579 remains under ACH mapping review; $35 ACH for 5905579 may relate to companion split or later no-show row.</x:v>
      </x:c>
      <x:c r="AD49" s="329" t="str">
        <x:v>WO Alias Index + Canonical Ledger</x:v>
      </x:c>
      <x:c r="AE49" s="329"/>
    </x:row>
    <x:row r="50">
      <x:c r="A50" s="329" t="str">
        <x:v>LED-0049</x:v>
      </x:c>
      <x:c r="B50" s="329" t="str">
        <x:v>5899546</x:v>
      </x:c>
      <x:c r="C50" s="329" t="n">
        <x:v>49</x:v>
      </x:c>
      <x:c r="D50" s="532"/>
      <x:c r="E50" s="329" t="str">
        <x:v>CL-009</x:v>
      </x:c>
      <x:c r="F50" s="329" t="str">
        <x:v>Weis Markets</x:v>
      </x:c>
      <x:c r="G50" s="532" t="n">
        <x:v>46192</x:v>
      </x:c>
      <x:c r="H50" s="567" t="str">
        <x:v>Friday</x:v>
      </x:c>
      <x:c r="I50" s="329" t="str">
        <x:v>Weis Markets</x:v>
      </x:c>
      <x:c r="J50" s="329"/>
      <x:c r="K50" s="566" t="str">
        <x:v>Callaway</x:v>
      </x:c>
      <x:c r="L50" s="532" t="str">
        <x:v>Maryland</x:v>
      </x:c>
      <x:c r="M50" s="532"/>
      <x:c r="N50" s="329" t="str">
        <x:v>MD</x:v>
      </x:c>
      <x:c r="O50" s="567" t="str">
        <x:v>Callaway|MD</x:v>
      </x:c>
      <x:c r="P50" s="566"/>
      <x:c r="Q50" s="566"/>
      <x:c r="R50" s="329" t="str">
        <x:v>Yes</x:v>
      </x:c>
      <x:c r="S50" s="566" t="n">
        <x:v>90</x:v>
      </x:c>
      <x:c r="T50" s="532"/>
      <x:c r="U50" s="532"/>
      <x:c r="V50" s="329" t="str">
        <x:v>Yes</x:v>
      </x:c>
      <x:c r="W50" s="566" t="n">
        <x:v>90</x:v>
      </x:c>
      <x:c r="X50" s="532"/>
      <x:c r="Y50" s="567" t="str"/>
      <x:c r="Z50" s="329" t="str">
        <x:v>Complete</x:v>
      </x:c>
      <x:c r="AA50" s="329" t="str">
        <x:v>Unique</x:v>
      </x:c>
      <x:c r="AB50" s="329"/>
      <x:c r="AC50" s="329" t="str">
        <x:v>Weis Markets Callaway WO 5899546; breakdown $90 and ACH confirmed July 2.</x:v>
      </x:c>
      <x:c r="AD50" s="329" t="str">
        <x:v>WO Alias Index + Canonical Ledger</x:v>
      </x:c>
      <x:c r="AE50" s="329"/>
    </x:row>
    <x:row r="51">
      <x:c r="A51" s="329" t="str">
        <x:v>LED-0050</x:v>
      </x:c>
      <x:c r="B51" s="329" t="str">
        <x:v>5903036</x:v>
      </x:c>
      <x:c r="C51" s="329" t="n">
        <x:v>50</x:v>
      </x:c>
      <x:c r="D51" s="532"/>
      <x:c r="E51" s="329" t="str">
        <x:v>CL-007</x:v>
      </x:c>
      <x:c r="F51" s="329" t="str">
        <x:v>Giant Food Stores</x:v>
      </x:c>
      <x:c r="G51" s="532" t="n">
        <x:v>46192</x:v>
      </x:c>
      <x:c r="H51" s="567" t="str">
        <x:v>Friday</x:v>
      </x:c>
      <x:c r="I51" s="329" t="str">
        <x:v>Giant Food Stores</x:v>
      </x:c>
      <x:c r="J51" s="329"/>
      <x:c r="K51" s="566" t="str">
        <x:v>Washington</x:v>
      </x:c>
      <x:c r="L51" s="532" t="str">
        <x:v>Washington, DC</x:v>
      </x:c>
      <x:c r="M51" s="532"/>
      <x:c r="N51" s="329" t="str">
        <x:v>DC</x:v>
      </x:c>
      <x:c r="O51" s="567" t="str">
        <x:v>Washington|DC</x:v>
      </x:c>
      <x:c r="P51" s="566"/>
      <x:c r="Q51" s="566"/>
      <x:c r="R51" s="329" t="str">
        <x:v>Yes</x:v>
      </x:c>
      <x:c r="S51" s="566" t="n">
        <x:v>50</x:v>
      </x:c>
      <x:c r="T51" s="532"/>
      <x:c r="U51" s="532"/>
      <x:c r="V51" s="329" t="str">
        <x:v>Yes</x:v>
      </x:c>
      <x:c r="W51" s="566" t="n">
        <x:v>50</x:v>
      </x:c>
      <x:c r="X51" s="532"/>
      <x:c r="Y51" s="567" t="str"/>
      <x:c r="Z51" s="329" t="str">
        <x:v>Complete</x:v>
      </x:c>
      <x:c r="AA51" s="329" t="str">
        <x:v>Unique</x:v>
      </x:c>
      <x:c r="AB51" s="329"/>
      <x:c r="AC51" s="329" t="str">
        <x:v>Giant Food Stores DC/Wisconsin Ave WO 5903036; breakdown $50 and ACH confirmed July 2. Corrected from prior TBD/missing state.</x:v>
      </x:c>
      <x:c r="AD51" s="329" t="str">
        <x:v>WO Alias Index + Canonical Ledger</x:v>
      </x:c>
      <x:c r="AE51" s="329"/>
    </x:row>
    <x:row r="52">
      <x:c r="A52" s="329" t="str">
        <x:v>LED-0051</x:v>
      </x:c>
      <x:c r="B52" s="329" t="str">
        <x:v>5906380</x:v>
      </x:c>
      <x:c r="C52" s="329" t="n">
        <x:v>52</x:v>
      </x:c>
      <x:c r="D52" s="532"/>
      <x:c r="E52" s="329" t="str">
        <x:v>CL-008</x:v>
      </x:c>
      <x:c r="F52" s="329" t="str">
        <x:v>Food Lion</x:v>
      </x:c>
      <x:c r="G52" s="532" t="n">
        <x:v>46196</x:v>
      </x:c>
      <x:c r="H52" s="567" t="str">
        <x:v>Tuesday</x:v>
      </x:c>
      <x:c r="I52" s="329" t="str">
        <x:v>Food Lion</x:v>
      </x:c>
      <x:c r="J52" s="329"/>
      <x:c r="K52" s="566" t="str">
        <x:v>Upper Marlboro</x:v>
      </x:c>
      <x:c r="L52" s="532" t="str">
        <x:v>Maryland</x:v>
      </x:c>
      <x:c r="M52" s="532"/>
      <x:c r="N52" s="329" t="str">
        <x:v>MD</x:v>
      </x:c>
      <x:c r="O52" s="567" t="str">
        <x:v>Upper Marlboro|MD</x:v>
      </x:c>
      <x:c r="P52" s="566"/>
      <x:c r="Q52" s="566"/>
      <x:c r="R52" s="329" t="str">
        <x:v>Yes</x:v>
      </x:c>
      <x:c r="S52" s="566" t="n">
        <x:v>116.24</x:v>
      </x:c>
      <x:c r="T52" s="532"/>
      <x:c r="U52" s="532" t="str">
        <x:v>2026-07-07</x:v>
      </x:c>
      <x:c r="V52" s="329" t="str">
        <x:v>No</x:v>
      </x:c>
      <x:c r="W52" s="566"/>
      <x:c r="X52" s="532"/>
      <x:c r="Y52" s="567" t="str"/>
      <x:c r="Z52" s="329" t="str">
        <x:v>ACH missing</x:v>
      </x:c>
      <x:c r="AA52" s="329" t="str">
        <x:v>Unique</x:v>
      </x:c>
      <x:c r="AB52" s="329"/>
      <x:c r="AC52" s="329" t="str">
        <x:v>Food Lion payment breakdown confirmed.</x:v>
      </x:c>
      <x:c r="AD52" s="329" t="str">
        <x:v>WO Alias Index + Canonical Ledger</x:v>
      </x:c>
      <x:c r="AE52" s="329"/>
    </x:row>
    <x:row r="53">
      <x:c r="A53" s="329" t="str">
        <x:v>LED-0052</x:v>
      </x:c>
      <x:c r="B53" s="329" t="str">
        <x:v>5907571</x:v>
      </x:c>
      <x:c r="C53" s="329" t="n">
        <x:v>53</x:v>
      </x:c>
      <x:c r="D53" s="532"/>
      <x:c r="E53" s="329" t="str">
        <x:v>CL-021</x:v>
      </x:c>
      <x:c r="F53" s="329" t="str">
        <x:v>Hilton Garden Inn</x:v>
      </x:c>
      <x:c r="G53" s="532" t="n">
        <x:v>46197</x:v>
      </x:c>
      <x:c r="H53" s="567" t="str">
        <x:v>Wednesday</x:v>
      </x:c>
      <x:c r="I53" s="329" t="str">
        <x:v>Hilton Garden Inn DC</x:v>
      </x:c>
      <x:c r="J53" s="329"/>
      <x:c r="K53" s="566" t="str">
        <x:v>Washington</x:v>
      </x:c>
      <x:c r="L53" s="532" t="str">
        <x:v>Washington, DC</x:v>
      </x:c>
      <x:c r="M53" s="532"/>
      <x:c r="N53" s="329" t="str">
        <x:v>DC</x:v>
      </x:c>
      <x:c r="O53" s="567" t="str">
        <x:v>Washington|DC</x:v>
      </x:c>
      <x:c r="P53" s="566"/>
      <x:c r="Q53" s="566"/>
      <x:c r="R53" s="329" t="str">
        <x:v>Yes</x:v>
      </x:c>
      <x:c r="S53" s="566" t="n">
        <x:v>132.03</x:v>
      </x:c>
      <x:c r="T53" s="532"/>
      <x:c r="U53" s="532" t="str">
        <x:v>2026-07-08</x:v>
      </x:c>
      <x:c r="V53" s="329" t="str">
        <x:v>Yes</x:v>
      </x:c>
      <x:c r="W53" s="566" t="n">
        <x:v>132.03</x:v>
      </x:c>
      <x:c r="X53" s="532"/>
      <x:c r="Y53" s="567" t="str"/>
      <x:c r="Z53" s="329" t="str">
        <x:v>Complete</x:v>
      </x:c>
      <x:c r="AA53" s="329" t="str">
        <x:v>Unique</x:v>
      </x:c>
      <x:c r="AB53" s="329"/>
      <x:c r="AC53" s="329" t="str">
        <x:v>ACH B5907571T1 processed $132.03 on 2026-07-08.</x:v>
      </x:c>
      <x:c r="AD53" s="329" t="str">
        <x:v>WO Alias Index + Canonical Ledger</x:v>
      </x:c>
      <x:c r="AE53" s="329"/>
    </x:row>
    <x:row r="54">
      <x:c r="A54" s="329" t="str">
        <x:v>LED-0053</x:v>
      </x:c>
      <x:c r="B54" s="329" t="str">
        <x:v>5910094</x:v>
      </x:c>
      <x:c r="C54" s="329" t="n">
        <x:v>54</x:v>
      </x:c>
      <x:c r="D54" s="532"/>
      <x:c r="E54" s="329" t="str">
        <x:v>CL-006</x:v>
      </x:c>
      <x:c r="F54" s="329" t="str">
        <x:v>7-Eleven</x:v>
      </x:c>
      <x:c r="G54" s="532" t="n">
        <x:v>46203</x:v>
      </x:c>
      <x:c r="H54" s="567" t="str">
        <x:v>Tuesday</x:v>
      </x:c>
      <x:c r="I54" s="329" t="str">
        <x:v>7-Eleven</x:v>
      </x:c>
      <x:c r="J54" s="329"/>
      <x:c r="K54" s="566" t="str">
        <x:v>Owings Mills</x:v>
      </x:c>
      <x:c r="L54" s="532" t="str">
        <x:v>Maryland</x:v>
      </x:c>
      <x:c r="M54" s="532"/>
      <x:c r="N54" s="329" t="str">
        <x:v>MD</x:v>
      </x:c>
      <x:c r="O54" s="567" t="str">
        <x:v>Owings Mills|MD</x:v>
      </x:c>
      <x:c r="P54" s="566"/>
      <x:c r="Q54" s="566"/>
      <x:c r="R54" s="329" t="str">
        <x:v>Yes</x:v>
      </x:c>
      <x:c r="S54" s="566" t="n">
        <x:v>120</x:v>
      </x:c>
      <x:c r="T54" s="532"/>
      <x:c r="U54" s="532" t="str">
        <x:v>2026-07-14</x:v>
      </x:c>
      <x:c r="V54" s="329" t="str">
        <x:v>Yes</x:v>
      </x:c>
      <x:c r="W54" s="566" t="n">
        <x:v>120</x:v>
      </x:c>
      <x:c r="X54" s="532" t="n">
        <x:v>46217</x:v>
      </x:c>
      <x:c r="Y54" s="567"/>
      <x:c r="Z54" s="329" t="str">
        <x:v>Complete</x:v>
      </x:c>
      <x:c r="AA54" s="329" t="str">
        <x:v>Unique</x:v>
      </x:c>
      <x:c r="AB54" s="329"/>
      <x:c r="AC54" s="329" t="str">
        <x:v>ACH B5910094T1 processed $120.00 on 2026-07-14; deposit expected within 1–3 business days.</x:v>
      </x:c>
      <x:c r="AD54" s="329" t="str">
        <x:v>Gmail ACH confirmation 2026-07-14 + Canonical Ledger</x:v>
      </x:c>
      <x:c r="AE54" s="329"/>
    </x:row>
    <x:row r="55">
      <x:c r="A55" s="329" t="str">
        <x:v>LED-0054</x:v>
      </x:c>
      <x:c r="B55" s="329" t="str">
        <x:v>5898645</x:v>
      </x:c>
      <x:c r="C55" s="329" t="n">
        <x:v>55</x:v>
      </x:c>
      <x:c r="D55" s="532"/>
      <x:c r="E55" s="329" t="str">
        <x:v>CL-025</x:v>
      </x:c>
      <x:c r="F55" s="329" t="str">
        <x:v>Office of MD Senator Angela Alsobrooks</x:v>
      </x:c>
      <x:c r="G55" s="532" t="n">
        <x:v>46204</x:v>
      </x:c>
      <x:c r="H55" s="567" t="str">
        <x:v>Wednesday</x:v>
      </x:c>
      <x:c r="I55" s="329" t="str">
        <x:v>Office of MD Senator Angela Alsobrooks</x:v>
      </x:c>
      <x:c r="J55" s="329"/>
      <x:c r="K55" s="566" t="str">
        <x:v>Largo</x:v>
      </x:c>
      <x:c r="L55" s="532" t="str">
        <x:v>Maryland</x:v>
      </x:c>
      <x:c r="M55" s="532"/>
      <x:c r="N55" s="329" t="str">
        <x:v>MD</x:v>
      </x:c>
      <x:c r="O55" s="567" t="str">
        <x:v>Largo|MD</x:v>
      </x:c>
      <x:c r="P55" s="566"/>
      <x:c r="Q55" s="566"/>
      <x:c r="R55" s="329" t="str">
        <x:v>Yes</x:v>
      </x:c>
      <x:c r="S55" s="566" t="n">
        <x:v>120</x:v>
      </x:c>
      <x:c r="T55" s="532"/>
      <x:c r="U55" s="532" t="str">
        <x:v>2026-07-15</x:v>
      </x:c>
      <x:c r="V55" s="329" t="str">
        <x:v>No</x:v>
      </x:c>
      <x:c r="W55" s="566"/>
      <x:c r="X55" s="532"/>
      <x:c r="Y55" s="567" t="str"/>
      <x:c r="Z55" s="329" t="str">
        <x:v>ACH missing</x:v>
      </x:c>
      <x:c r="AA55" s="329" t="str">
        <x:v>Unique</x:v>
      </x:c>
      <x:c r="AB55" s="329"/>
      <x:c r="AC55" s="329" t="str">
        <x:v>Payment breakdown $120 received; ACH pending.</x:v>
      </x:c>
      <x:c r="AD55" s="329" t="str">
        <x:v>WO Alias Index + Canonical Ledger</x:v>
      </x:c>
      <x:c r="AE55" s="329"/>
    </x:row>
    <x:row r="56">
      <x:c r="A56" s="329" t="str">
        <x:v>LED-0055</x:v>
      </x:c>
      <x:c r="B56" s="329" t="str">
        <x:v>5900784</x:v>
      </x:c>
      <x:c r="C56" s="329" t="n">
        <x:v>56</x:v>
      </x:c>
      <x:c r="D56" s="532"/>
      <x:c r="E56" s="329" t="str">
        <x:v>CL-026</x:v>
      </x:c>
      <x:c r="F56" s="329" t="str">
        <x:v>Dunkin</x:v>
      </x:c>
      <x:c r="G56" s="532" t="n">
        <x:v>46205</x:v>
      </x:c>
      <x:c r="H56" s="567" t="str">
        <x:v>Thursday</x:v>
      </x:c>
      <x:c r="I56" s="329" t="str">
        <x:v>Dunkin</x:v>
      </x:c>
      <x:c r="J56" s="329"/>
      <x:c r="K56" s="566" t="str">
        <x:v>Reisterstown</x:v>
      </x:c>
      <x:c r="L56" s="532" t="str">
        <x:v>Maryland</x:v>
      </x:c>
      <x:c r="M56" s="532"/>
      <x:c r="N56" s="329" t="str">
        <x:v>MD</x:v>
      </x:c>
      <x:c r="O56" s="567" t="str">
        <x:v>Reisterstown|MD</x:v>
      </x:c>
      <x:c r="P56" s="566"/>
      <x:c r="Q56" s="566"/>
      <x:c r="R56" s="329" t="str">
        <x:v>Yes</x:v>
      </x:c>
      <x:c r="S56" s="566" t="n">
        <x:v>170.66</x:v>
      </x:c>
      <x:c r="T56" s="532"/>
      <x:c r="U56" s="532" t="str">
        <x:v>2026-07-16</x:v>
      </x:c>
      <x:c r="V56" s="329" t="str">
        <x:v>Yes</x:v>
      </x:c>
      <x:c r="W56" s="566" t="n">
        <x:v>170.66</x:v>
      </x:c>
      <x:c r="X56" s="532" t="n">
        <x:v>46219</x:v>
      </x:c>
      <x:c r="Y56" s="567" t="str"/>
      <x:c r="Z56" s="329" t="str">
        <x:v>Complete</x:v>
      </x:c>
      <x:c r="AA56" s="329" t="str">
        <x:v>Unique</x:v>
      </x:c>
      <x:c r="AB56" s="329"/>
      <x:c r="AC56" s="329" t="str">
        <x:v>ACH processed $170.66 on 2026-07-16.</x:v>
      </x:c>
      <x:c r="AD56" s="329" t="str">
        <x:v>Gmail ACH confirmation 2026-07-16 + Canonical Ledger</x:v>
      </x:c>
      <x:c r="AE56" s="329"/>
    </x:row>
    <x:row r="57">
      <x:c r="A57" s="329" t="str">
        <x:v>LED-0056</x:v>
      </x:c>
      <x:c r="B57" s="329" t="str">
        <x:v>5911577</x:v>
      </x:c>
      <x:c r="C57" s="329" t="n">
        <x:v>57</x:v>
      </x:c>
      <x:c r="D57" s="532"/>
      <x:c r="E57" s="329" t="str">
        <x:v>CL-024</x:v>
      </x:c>
      <x:c r="F57" s="329" t="str">
        <x:v>Montpelier Liquors</x:v>
      </x:c>
      <x:c r="G57" s="532" t="n">
        <x:v>46209</x:v>
      </x:c>
      <x:c r="H57" s="567" t="str">
        <x:v>Monday</x:v>
      </x:c>
      <x:c r="I57" s="329" t="str">
        <x:v>Montpelier Liquors</x:v>
      </x:c>
      <x:c r="J57" s="329"/>
      <x:c r="K57" s="566" t="str">
        <x:v>Laurel</x:v>
      </x:c>
      <x:c r="L57" s="532" t="str">
        <x:v>Maryland</x:v>
      </x:c>
      <x:c r="M57" s="532"/>
      <x:c r="N57" s="329" t="str">
        <x:v>MD</x:v>
      </x:c>
      <x:c r="O57" s="567" t="str">
        <x:v>Laurel|MD</x:v>
      </x:c>
      <x:c r="P57" s="566"/>
      <x:c r="Q57" s="566"/>
      <x:c r="R57" s="329" t="str">
        <x:v>Yes</x:v>
      </x:c>
      <x:c r="S57" s="566" t="n">
        <x:v>66.74</x:v>
      </x:c>
      <x:c r="T57" s="532"/>
      <x:c r="U57" s="532" t="str">
        <x:v>2026-07-20</x:v>
      </x:c>
      <x:c r="V57" s="329" t="str">
        <x:v>Yes</x:v>
      </x:c>
      <x:c r="W57" s="566" t="n">
        <x:v>66.74</x:v>
      </x:c>
      <x:c r="X57" s="532" t="n">
        <x:v>46223</x:v>
      </x:c>
      <x:c r="Y57" s="567" t="str"/>
      <x:c r="Z57" s="329" t="str">
        <x:v>Complete</x:v>
      </x:c>
      <x:c r="AA57" s="329" t="str">
        <x:v>Unique</x:v>
      </x:c>
      <x:c r="AB57" s="329"/>
      <x:c r="AC57" s="329" t="str">
        <x:v>No-access visit paid breakdown. ACH mapped to 2026-07-20 processed deposit.</x:v>
      </x:c>
      <x:c r="AD57" s="329" t="str">
        <x:v>WO Alias Index + Canonical Ledger + Gmail ACH 2026-07-20</x:v>
      </x:c>
      <x:c r="AE57" s="329"/>
    </x:row>
    <x:row r="58">
      <x:c r="A58" s="329" t="str">
        <x:v>LED-0057</x:v>
      </x:c>
      <x:c r="B58" s="329" t="str">
        <x:v>5900780</x:v>
      </x:c>
      <x:c r="C58" s="329" t="n">
        <x:v>58</x:v>
      </x:c>
      <x:c r="D58" s="532"/>
      <x:c r="E58" s="329" t="str">
        <x:v>CL-026</x:v>
      </x:c>
      <x:c r="F58" s="329" t="str">
        <x:v>Dunkin</x:v>
      </x:c>
      <x:c r="G58" s="532" t="n">
        <x:v>46209</x:v>
      </x:c>
      <x:c r="H58" s="567" t="str">
        <x:v>Monday</x:v>
      </x:c>
      <x:c r="I58" s="329" t="str">
        <x:v>Dunkin</x:v>
      </x:c>
      <x:c r="J58" s="329"/>
      <x:c r="K58" s="566" t="str">
        <x:v>Lutherville</x:v>
      </x:c>
      <x:c r="L58" s="532" t="str">
        <x:v>Maryland</x:v>
      </x:c>
      <x:c r="M58" s="532"/>
      <x:c r="N58" s="329" t="str">
        <x:v>MD</x:v>
      </x:c>
      <x:c r="O58" s="567" t="str">
        <x:v>Lutherville|MD</x:v>
      </x:c>
      <x:c r="P58" s="566"/>
      <x:c r="Q58" s="566"/>
      <x:c r="R58" s="329" t="str">
        <x:v>Yes</x:v>
      </x:c>
      <x:c r="S58" s="566" t="n">
        <x:v>202.5</x:v>
      </x:c>
      <x:c r="T58" s="532"/>
      <x:c r="U58" s="532" t="str">
        <x:v>2026-07-20</x:v>
      </x:c>
      <x:c r="V58" s="329" t="str">
        <x:v>Yes</x:v>
      </x:c>
      <x:c r="W58" s="566" t="n">
        <x:v>202.5</x:v>
      </x:c>
      <x:c r="X58" s="532" t="n">
        <x:v>46223</x:v>
      </x:c>
      <x:c r="Y58" s="567" t="str"/>
      <x:c r="Z58" s="329" t="str">
        <x:v>Complete</x:v>
      </x:c>
      <x:c r="AA58" s="329" t="str">
        <x:v>Unique</x:v>
      </x:c>
      <x:c r="AB58" s="329"/>
      <x:c r="AC58" s="329" t="str">
        <x:v>Dunkin Lutherville payment breakdown confirmed. ACH mapped to 2026-07-20 processed deposit.</x:v>
      </x:c>
      <x:c r="AD58" s="329" t="str">
        <x:v>WO Alias Index + Canonical Ledger + Gmail ACH 2026-07-20</x:v>
      </x:c>
      <x:c r="AE58" s="329"/>
    </x:row>
    <x:row r="59">
      <x:c r="A59" s="329" t="str">
        <x:v>LED-0058</x:v>
      </x:c>
      <x:c r="B59" s="329" t="str">
        <x:v>5900830</x:v>
      </x:c>
      <x:c r="C59" s="329" t="n">
        <x:v>59</x:v>
      </x:c>
      <x:c r="D59" s="532"/>
      <x:c r="E59" s="329" t="str">
        <x:v>CL-026</x:v>
      </x:c>
      <x:c r="F59" s="329" t="str">
        <x:v>Dunkin</x:v>
      </x:c>
      <x:c r="G59" s="532" t="n">
        <x:v>46210</x:v>
      </x:c>
      <x:c r="H59" s="567" t="str">
        <x:v>Tuesday</x:v>
      </x:c>
      <x:c r="I59" s="329" t="str">
        <x:v>Dunkin</x:v>
      </x:c>
      <x:c r="J59" s="329"/>
      <x:c r="K59" s="566" t="str">
        <x:v>Aberdeen</x:v>
      </x:c>
      <x:c r="L59" s="532" t="str">
        <x:v>Maryland</x:v>
      </x:c>
      <x:c r="M59" s="532"/>
      <x:c r="N59" s="329" t="str">
        <x:v>MD</x:v>
      </x:c>
      <x:c r="O59" s="567" t="str">
        <x:v>Aberdeen|MD</x:v>
      </x:c>
      <x:c r="P59" s="566"/>
      <x:c r="Q59" s="566"/>
      <x:c r="R59" s="329" t="str">
        <x:v>Yes</x:v>
      </x:c>
      <x:c r="S59" s="566" t="n">
        <x:v>250</x:v>
      </x:c>
      <x:c r="T59" s="532"/>
      <x:c r="U59" s="532" t="str">
        <x:v>2026-07-21</x:v>
      </x:c>
      <x:c r="V59" s="329" t="str">
        <x:v>No</x:v>
      </x:c>
      <x:c r="W59" s="566"/>
      <x:c r="X59" s="532"/>
      <x:c r="Y59" s="567" t="str"/>
      <x:c r="Z59" s="329" t="str">
        <x:v>ACH missing</x:v>
      </x:c>
      <x:c r="AA59" s="329" t="str">
        <x:v>Unique</x:v>
      </x:c>
      <x:c r="AB59" s="329"/>
      <x:c r="AC59" s="329" t="str">
        <x:v>Dunkin Aberdeen payment breakdown confirmed.</x:v>
      </x:c>
      <x:c r="AD59" s="329" t="str">
        <x:v>WO Alias Index + Canonical Ledger</x:v>
      </x:c>
      <x:c r="AE59" s="329"/>
    </x:row>
    <x:row r="60">
      <x:c r="A60" s="329" t="str">
        <x:v>LED-0059</x:v>
      </x:c>
      <x:c r="B60" s="329" t="str">
        <x:v>5912364</x:v>
      </x:c>
      <x:c r="C60" s="329" t="n">
        <x:v>60</x:v>
      </x:c>
      <x:c r="D60" s="532"/>
      <x:c r="E60" s="329" t="str">
        <x:v>CL-027</x:v>
      </x:c>
      <x:c r="F60" s="329" t="str">
        <x:v>Carvana</x:v>
      </x:c>
      <x:c r="G60" s="532" t="n">
        <x:v>46211</x:v>
      </x:c>
      <x:c r="H60" s="567" t="str">
        <x:v>Wednesday</x:v>
      </x:c>
      <x:c r="I60" s="329" t="str">
        <x:v>Carvana</x:v>
      </x:c>
      <x:c r="J60" s="329"/>
      <x:c r="K60" s="566" t="str">
        <x:v>Baltimore</x:v>
      </x:c>
      <x:c r="L60" s="532" t="str">
        <x:v>Maryland</x:v>
      </x:c>
      <x:c r="M60" s="532"/>
      <x:c r="N60" s="329" t="str">
        <x:v>MD</x:v>
      </x:c>
      <x:c r="O60" s="567" t="str">
        <x:v>Baltimore|MD</x:v>
      </x:c>
      <x:c r="P60" s="566"/>
      <x:c r="Q60" s="566"/>
      <x:c r="R60" s="329" t="str">
        <x:v>Pending</x:v>
      </x:c>
      <x:c r="S60" s="566"/>
      <x:c r="T60" s="532"/>
      <x:c r="U60" s="532" t="str">
        <x:v>2026-07-22 / pending</x:v>
      </x:c>
      <x:c r="V60" s="329" t="str">
        <x:v>No</x:v>
      </x:c>
      <x:c r="W60" s="566"/>
      <x:c r="X60" s="532"/>
      <x:c r="Y60" s="567" t="str"/>
      <x:c r="Z60" s="329" t="str">
        <x:v>Combined visit / partial breakdown</x:v>
      </x:c>
      <x:c r="AA60" s="329" t="str">
        <x:v>MULTI-WO VISIT</x:v>
      </x:c>
      <x:c r="AB60" s="329" t="str">
        <x:v>5914049 / 5912364</x:v>
      </x:c>
      <x:c r="AC60" s="329" t="str">
        <x:v>Alias maps to combined one-visit Carvana event; 5912364 closed by user, breakdown pending.</x:v>
      </x:c>
      <x:c r="AD60" s="329" t="str">
        <x:v>WO Alias Index + Canonical Ledger</x:v>
      </x:c>
      <x:c r="AE60" s="329"/>
    </x:row>
    <x:row r="61">
      <x:c r="A61" s="329" t="str">
        <x:v>LED-0060</x:v>
      </x:c>
      <x:c r="B61" s="329" t="str">
        <x:v>5914049</x:v>
      </x:c>
      <x:c r="C61" s="329" t="n">
        <x:v>60</x:v>
      </x:c>
      <x:c r="D61" s="532"/>
      <x:c r="E61" s="329" t="str">
        <x:v>CL-027</x:v>
      </x:c>
      <x:c r="F61" s="329" t="str">
        <x:v>Carvana</x:v>
      </x:c>
      <x:c r="G61" s="532" t="n">
        <x:v>46211</x:v>
      </x:c>
      <x:c r="H61" s="567" t="str">
        <x:v>Wednesday</x:v>
      </x:c>
      <x:c r="I61" s="329" t="str">
        <x:v>Carvana</x:v>
      </x:c>
      <x:c r="J61" s="329"/>
      <x:c r="K61" s="566" t="str">
        <x:v>Baltimore</x:v>
      </x:c>
      <x:c r="L61" s="532" t="str">
        <x:v>Maryland</x:v>
      </x:c>
      <x:c r="M61" s="532"/>
      <x:c r="N61" s="329" t="str">
        <x:v>MD</x:v>
      </x:c>
      <x:c r="O61" s="567" t="str">
        <x:v>Baltimore|MD</x:v>
      </x:c>
      <x:c r="P61" s="566"/>
      <x:c r="Q61" s="566"/>
      <x:c r="R61" s="329" t="str">
        <x:v>Partial</x:v>
      </x:c>
      <x:c r="S61" s="566" t="n">
        <x:v>65</x:v>
      </x:c>
      <x:c r="T61" s="532"/>
      <x:c r="U61" s="532" t="str">
        <x:v>2026-07-22 / pending</x:v>
      </x:c>
      <x:c r="V61" s="329" t="str">
        <x:v>No</x:v>
      </x:c>
      <x:c r="W61" s="566"/>
      <x:c r="X61" s="532"/>
      <x:c r="Y61" s="567" t="str"/>
      <x:c r="Z61" s="329" t="str">
        <x:v>Combined visit / partial breakdown</x:v>
      </x:c>
      <x:c r="AA61" s="329" t="str">
        <x:v>MULTI-WO VISIT</x:v>
      </x:c>
      <x:c r="AB61" s="329" t="str">
        <x:v>5914049 / 5912364</x:v>
      </x:c>
      <x:c r="AC61" s="329" t="str">
        <x:v>Alias maps to combined one-visit Carvana event; 5914049 breakdown $65 received.</x:v>
      </x:c>
      <x:c r="AD61" s="329" t="str">
        <x:v>WO Alias Index + Canonical Ledger</x:v>
      </x:c>
      <x:c r="AE61" s="329"/>
    </x:row>
    <x:row r="62">
      <x:c r="A62" s="329" t="str">
        <x:v>LED-0061</x:v>
      </x:c>
      <x:c r="B62" s="329" t="str">
        <x:v>5909344</x:v>
      </x:c>
      <x:c r="C62" s="329" t="n">
        <x:v>61</x:v>
      </x:c>
      <x:c r="D62" s="532"/>
      <x:c r="E62" s="329" t="str">
        <x:v>CL-020</x:v>
      </x:c>
      <x:c r="F62" s="329" t="str">
        <x:v>TJ Maxx</x:v>
      </x:c>
      <x:c r="G62" s="532" t="n">
        <x:v>46212</x:v>
      </x:c>
      <x:c r="H62" s="567" t="str">
        <x:v>Thursday</x:v>
      </x:c>
      <x:c r="I62" s="329" t="str">
        <x:v>TJ Maxx</x:v>
      </x:c>
      <x:c r="J62" s="329"/>
      <x:c r="K62" s="566" t="str">
        <x:v>Germantown</x:v>
      </x:c>
      <x:c r="L62" s="532" t="str">
        <x:v>Maryland</x:v>
      </x:c>
      <x:c r="M62" s="532"/>
      <x:c r="N62" s="329" t="str">
        <x:v>MD</x:v>
      </x:c>
      <x:c r="O62" s="567" t="str">
        <x:v>Germantown|MD</x:v>
      </x:c>
      <x:c r="P62" s="566"/>
      <x:c r="Q62" s="566"/>
      <x:c r="R62" s="329" t="str">
        <x:v>Yes</x:v>
      </x:c>
      <x:c r="S62" s="566" t="n">
        <x:v>194.99</x:v>
      </x:c>
      <x:c r="T62" s="532" t="n">
        <x:v>46214</x:v>
      </x:c>
      <x:c r="U62" s="532" t="n">
        <x:v>46226</x:v>
      </x:c>
      <x:c r="V62" s="329" t="str">
        <x:v>Yes</x:v>
      </x:c>
      <x:c r="W62" s="566" t="n">
        <x:v>194.99</x:v>
      </x:c>
      <x:c r="X62" s="624" t="n">
        <x:v>46226</x:v>
      </x:c>
      <x:c r="Y62" s="567" t="str"/>
      <x:c r="Z62" s="329" t="str">
        <x:v>Complete</x:v>
      </x:c>
      <x:c r="AA62" s="329" t="str">
        <x:v>Unique</x:v>
      </x:c>
      <x:c r="AB62" s="329"/>
      <x:c r="AC62" s="329" t="str">
        <x:v>ACH confirmed 2026-07-23 for $194.99.</x:v>
      </x:c>
      <x:c r="AD62" s="329" t="str">
        <x:v>Gmail ACH processed notice 2026-07-23, Bill B5909344T1</x:v>
      </x:c>
      <x:c r="AE62" s="329"/>
    </x:row>
    <x:row r="63">
      <x:c r="A63" s="329" t="str">
        <x:v>LED-0062</x:v>
      </x:c>
      <x:c r="B63" s="329" t="str">
        <x:v>5913868</x:v>
      </x:c>
      <x:c r="C63" s="329" t="n">
        <x:v>62</x:v>
      </x:c>
      <x:c r="D63" s="532"/>
      <x:c r="E63" s="329" t="str">
        <x:v>CL-020</x:v>
      </x:c>
      <x:c r="F63" s="329" t="str">
        <x:v>TJ Maxx</x:v>
      </x:c>
      <x:c r="G63" s="532" t="n">
        <x:v>46212</x:v>
      </x:c>
      <x:c r="H63" s="567" t="str">
        <x:v>Thursday</x:v>
      </x:c>
      <x:c r="I63" s="329" t="str">
        <x:v>TJ Maxx</x:v>
      </x:c>
      <x:c r="J63" s="329"/>
      <x:c r="K63" s="566" t="str">
        <x:v>Martinsburg</x:v>
      </x:c>
      <x:c r="L63" s="532" t="str">
        <x:v>West Virginia</x:v>
      </x:c>
      <x:c r="M63" s="532"/>
      <x:c r="N63" s="329" t="str">
        <x:v>WV</x:v>
      </x:c>
      <x:c r="O63" s="567" t="str">
        <x:v>Martinsburg|WV</x:v>
      </x:c>
      <x:c r="P63" s="566" t="n">
        <x:v>150</x:v>
      </x:c>
      <x:c r="Q63" s="566"/>
      <x:c r="R63" s="329" t="str">
        <x:v>Yes</x:v>
      </x:c>
      <x:c r="S63" s="566" t="n">
        <x:v>100.83</x:v>
      </x:c>
      <x:c r="T63" s="532"/>
      <x:c r="U63" s="532" t="str">
        <x:v>2026-07-23</x:v>
      </x:c>
      <x:c r="V63" s="329" t="str">
        <x:v>Yes</x:v>
      </x:c>
      <x:c r="W63" s="566" t="n">
        <x:v>100.83</x:v>
      </x:c>
      <x:c r="X63" s="624" t="n">
        <x:v>46226</x:v>
      </x:c>
      <x:c r="Y63" s="567" t="n">
        <x:v>-49.17</x:v>
      </x:c>
      <x:c r="Z63" s="329" t="str">
        <x:v>Complete with variance</x:v>
      </x:c>
      <x:c r="AA63" s="329" t="str">
        <x:v>Unique</x:v>
      </x:c>
      <x:c r="AB63" s="329"/>
      <x:c r="AC63" s="329" t="str">
        <x:v>ACH confirmed 2026-07-23 for $100.83; remains $49.17 below negotiated $150.00.</x:v>
      </x:c>
      <x:c r="AD63" s="329" t="str">
        <x:v>Gmail ACH processed notice 2026-07-23, Bill B5913868T1</x:v>
      </x:c>
      <x:c r="AE63" s="329"/>
    </x:row>
    <x:row r="64">
      <x:c r="A64" s="329" t="str">
        <x:v>LED-0063</x:v>
      </x:c>
      <x:c r="B64" s="329" t="str">
        <x:v>5905579</x:v>
      </x:c>
      <x:c r="C64" s="329"/>
      <x:c r="D64" s="532" t="str">
        <x:v>48 / 51</x:v>
      </x:c>
      <x:c r="E64" s="329" t="str">
        <x:v>CL-005</x:v>
      </x:c>
      <x:c r="F64" s="329" t="str">
        <x:v>Hebrew Home of Greater Washington</x:v>
      </x:c>
      <x:c r="G64" s="532"/>
      <x:c r="H64" s="567" t="str"/>
      <x:c r="I64" s="329" t="str">
        <x:v>Hebrew Home of Greater Washington</x:v>
      </x:c>
      <x:c r="J64" s="329"/>
      <x:c r="K64" s="566" t="str">
        <x:v>North Bethesda</x:v>
      </x:c>
      <x:c r="L64" s="532" t="str">
        <x:v>Maryland</x:v>
      </x:c>
      <x:c r="M64" s="532"/>
      <x:c r="N64" s="329" t="str">
        <x:v>MD</x:v>
      </x:c>
      <x:c r="O64" s="567" t="str">
        <x:v>North Bethesda|MD</x:v>
      </x:c>
      <x:c r="P64" s="566"/>
      <x:c r="Q64" s="566"/>
      <x:c r="R64" s="329" t="str">
        <x:v>Mapping Hold</x:v>
      </x:c>
      <x:c r="S64" s="566"/>
      <x:c r="T64" s="532"/>
      <x:c r="U64" s="532"/>
      <x:c r="V64" s="329" t="str">
        <x:v>Partial</x:v>
      </x:c>
      <x:c r="W64" s="566" t="n">
        <x:v>35</x:v>
      </x:c>
      <x:c r="X64" s="532"/>
      <x:c r="Y64" s="567" t="str"/>
      <x:c r="Z64" s="329" t="str">
        <x:v>MAPPING_HOLD</x:v>
      </x:c>
      <x:c r="AA64" s="329" t="str">
        <x:v>MAPPING_HOLD</x:v>
      </x:c>
      <x:c r="AB64" s="329" t="str">
        <x:v>Candidate Events 48 / 51; companion WO 5905576</x:v>
      </x:c>
      <x:c r="AC64" s="329" t="str">
        <x:v>Duplicate WO collision preserved without guessing. Event 48 legacy breakdown $70; Event 51 legacy breakdown $60; ACH $35. Human mapping required before assigning this WO.</x:v>
      </x:c>
      <x:c r="AD64" s="329" t="str">
        <x:v>Phase 1 duplicate rows consolidated</x:v>
      </x:c>
      <x:c r="AE64" s="329"/>
    </x:row>
    <x:row r="65">
      <x:c r="A65" s="329" t="str">
        <x:v>LED-0064</x:v>
      </x:c>
      <x:c r="B65" s="329" t="str">
        <x:v>5909368</x:v>
      </x:c>
      <x:c r="C65" s="329" t="n">
        <x:v>63</x:v>
      </x:c>
      <x:c r="D65" s="532"/>
      <x:c r="E65" s="329" t="str">
        <x:v>CL-022</x:v>
      </x:c>
      <x:c r="F65" s="329" t="str">
        <x:v>Marshalls</x:v>
      </x:c>
      <x:c r="G65" s="532" t="n">
        <x:v>46216</x:v>
      </x:c>
      <x:c r="H65" s="567" t="str">
        <x:v>Monday</x:v>
      </x:c>
      <x:c r="I65" s="329" t="str">
        <x:v>Marshalls — Hunt Valley Town Center</x:v>
      </x:c>
      <x:c r="J65" s="329" t="str">
        <x:v>118 Shawan Rd Ste W</x:v>
      </x:c>
      <x:c r="K65" s="566" t="str">
        <x:v>Cockeysville</x:v>
      </x:c>
      <x:c r="L65" s="532" t="str">
        <x:v>Maryland</x:v>
      </x:c>
      <x:c r="M65" s="532" t="str">
        <x:v>21030</x:v>
      </x:c>
      <x:c r="N65" s="329" t="str">
        <x:v>MD</x:v>
      </x:c>
      <x:c r="O65" s="567" t="str">
        <x:v>Cockeysville|MD</x:v>
      </x:c>
      <x:c r="P65" s="532"/>
      <x:c r="Q65" s="566" t="str">
        <x:v>Hourly</x:v>
      </x:c>
      <x:c r="R65" s="329" t="str">
        <x:v>Pending</x:v>
      </x:c>
      <x:c r="S65" s="329"/>
      <x:c r="T65" s="329"/>
      <x:c r="U65" s="329" t="str">
        <x:v>2026-07-27 / pending breakdown</x:v>
      </x:c>
      <x:c r="V65" s="329" t="str">
        <x:v>No</x:v>
      </x:c>
      <x:c r="W65" s="329"/>
      <x:c r="X65" s="329"/>
      <x:c r="Y65" s="483" t="str"/>
      <x:c r="Z65" s="329" t="str">
        <x:v>Breakdown pending</x:v>
      </x:c>
      <x:c r="AA65" s="329" t="str">
        <x:v>Unique</x:v>
      </x:c>
      <x:c r="AB65" s="329"/>
      <x:c r="AC65" s="329" t="str">
        <x:v>Hourly rate $40.00. Server refresh completed; final payable hours and breakdown pending.</x:v>
      </x:c>
      <x:c r="AD65" s="329" t="str">
        <x:v>5909368_MarshallsCockeysville.pdf + user-authoritative completion 2026-07-13</x:v>
      </x:c>
      <x:c r="AE65" s="329"/>
    </x:row>
    <x:row r="66">
      <x:c r="A66" s="329" t="str">
        <x:v>LED-0065</x:v>
      </x:c>
      <x:c r="B66" s="329" t="str">
        <x:v>5916961</x:v>
      </x:c>
      <x:c r="C66" s="329" t="n">
        <x:v>64</x:v>
      </x:c>
      <x:c r="D66" s="329"/>
      <x:c r="E66" s="329" t="str">
        <x:v>CL-022</x:v>
      </x:c>
      <x:c r="F66" s="329" t="str">
        <x:v>Marshalls</x:v>
      </x:c>
      <x:c r="G66" s="532" t="n">
        <x:v>46216</x:v>
      </x:c>
      <x:c r="H66" s="483" t="str">
        <x:v>Monday</x:v>
      </x:c>
      <x:c r="I66" s="329" t="str">
        <x:v>Marshalls 0764</x:v>
      </x:c>
      <x:c r="J66" s="329" t="str">
        <x:v>17646 Garland Groh Blvd</x:v>
      </x:c>
      <x:c r="K66" s="329" t="str">
        <x:v>Hagerstown</x:v>
      </x:c>
      <x:c r="L66" s="329" t="str">
        <x:v>Maryland</x:v>
      </x:c>
      <x:c r="M66" s="329" t="str">
        <x:v>21740</x:v>
      </x:c>
      <x:c r="N66" s="329" t="str">
        <x:v>MD</x:v>
      </x:c>
      <x:c r="O66" s="483" t="str">
        <x:v>Hagerstown|MD</x:v>
      </x:c>
      <x:c r="P66" s="329"/>
      <x:c r="Q66" s="329" t="str">
        <x:v>Hourly</x:v>
      </x:c>
      <x:c r="R66" s="329" t="str">
        <x:v>Pending</x:v>
      </x:c>
      <x:c r="S66" s="329"/>
      <x:c r="T66" s="329"/>
      <x:c r="U66" s="329" t="str">
        <x:v>2026-07-27 / pending breakdown</x:v>
      </x:c>
      <x:c r="V66" s="329" t="str">
        <x:v>No</x:v>
      </x:c>
      <x:c r="W66" s="329"/>
      <x:c r="X66" s="329"/>
      <x:c r="Y66" s="483" t="str"/>
      <x:c r="Z66" s="329" t="str">
        <x:v>Breakdown pending</x:v>
      </x:c>
      <x:c r="AA66" s="329" t="str">
        <x:v>Unique</x:v>
      </x:c>
      <x:c r="AB66" s="329"/>
      <x:c r="AC66" s="329" t="str">
        <x:v>Hourly rate $55.00. Documented onsite window began 12:55 PM. Extended time was heavily communicated and documented; delay resulted from support unavailability and incorrect ticket network information. Barrister guaranteed documented onsite hours would be paid. Final breakdown pending.</x:v>
      </x:c>
      <x:c r="AD66" s="329" t="str">
        <x:v>5916961_MarshallsHagerstown.pdf + onsite notes + user-authoritative completion 2026-07-13</x:v>
      </x:c>
      <x:c r="AE66" s="329"/>
    </x:row>
    <x:row r="67">
      <x:c r="A67" s="329" t="str">
        <x:v>LED-0066</x:v>
      </x:c>
      <x:c r="B67" s="329" t="str">
        <x:v>5917407</x:v>
      </x:c>
      <x:c r="C67" s="329" t="n">
        <x:v>65</x:v>
      </x:c>
      <x:c r="D67" s="329"/>
      <x:c r="E67" s="329" t="str">
        <x:v>CL-016</x:v>
      </x:c>
      <x:c r="F67" s="329" t="str">
        <x:v>HomeGoods</x:v>
      </x:c>
      <x:c r="G67" s="532" t="n">
        <x:v>46216</x:v>
      </x:c>
      <x:c r="H67" s="483" t="str">
        <x:v>Monday</x:v>
      </x:c>
      <x:c r="I67" s="329" t="str">
        <x:v>HomeGoods 0652</x:v>
      </x:c>
      <x:c r="J67" s="329" t="str">
        <x:v>606 Quince Orchard Road</x:v>
      </x:c>
      <x:c r="K67" s="329" t="str">
        <x:v>Gaithersburg</x:v>
      </x:c>
      <x:c r="L67" s="329" t="str">
        <x:v>Maryland</x:v>
      </x:c>
      <x:c r="M67" s="329" t="str">
        <x:v>20878</x:v>
      </x:c>
      <x:c r="N67" s="329" t="str">
        <x:v>MD</x:v>
      </x:c>
      <x:c r="O67" s="483" t="str">
        <x:v>Gaithersburg|MD</x:v>
      </x:c>
      <x:c r="P67" s="329"/>
      <x:c r="Q67" s="329" t="str">
        <x:v>Hourly</x:v>
      </x:c>
      <x:c r="R67" s="329" t="str">
        <x:v>Yes</x:v>
      </x:c>
      <x:c r="S67" s="329" t="n">
        <x:v>129.16</x:v>
      </x:c>
      <x:c r="T67" s="329" t="n">
        <x:v>46229</x:v>
      </x:c>
      <x:c r="U67" s="329" t="str">
        <x:v>2026-07-27 / pending breakdown</x:v>
      </x:c>
      <x:c r="V67" s="329" t="str">
        <x:v>No</x:v>
      </x:c>
      <x:c r="W67" s="329"/>
      <x:c r="X67" s="329"/>
      <x:c r="Y67" s="483" t="n">
        <x:v>0</x:v>
      </x:c>
      <x:c r="Z67" s="329" t="str">
        <x:v>ACH missing</x:v>
      </x:c>
      <x:c r="AA67" s="329" t="str">
        <x:v>Unique</x:v>
      </x:c>
      <x:c r="AB67" s="329"/>
      <x:c r="AC67" s="329" t="str">
        <x:v>Payment breakdown confirmed at $129.16.</x:v>
      </x:c>
      <x:c r="AD67" s="329" t="str">
        <x:v>User-verified payment breakdown record</x:v>
      </x:c>
      <x:c r="AE67" s="329"/>
    </x:row>
    <x:row r="68">
      <x:c r="A68" s="329" t="str">
        <x:v>LED-0067</x:v>
      </x:c>
      <x:c r="B68" s="329" t="str">
        <x:v>5909385</x:v>
      </x:c>
      <x:c r="C68" s="329" t="n">
        <x:v>66</x:v>
      </x:c>
      <x:c r="D68" s="329"/>
      <x:c r="E68" s="329" t="str">
        <x:v>CL-020</x:v>
      </x:c>
      <x:c r="F68" s="329" t="str">
        <x:v>TJ Maxx</x:v>
      </x:c>
      <x:c r="G68" s="532" t="n">
        <x:v>46217</x:v>
      </x:c>
      <x:c r="H68" s="329" t="str">
        <x:v>Tuesday</x:v>
      </x:c>
      <x:c r="I68" s="329" t="str">
        <x:v>TJ Maxx — Tollgate Mall</x:v>
      </x:c>
      <x:c r="J68" s="329" t="str">
        <x:v>615 Bel Air Road</x:v>
      </x:c>
      <x:c r="K68" s="329" t="str">
        <x:v>Bel Air</x:v>
      </x:c>
      <x:c r="L68" s="329" t="str">
        <x:v>Maryland</x:v>
      </x:c>
      <x:c r="M68" s="329" t="str">
        <x:v>21014</x:v>
      </x:c>
      <x:c r="N68" s="329" t="str">
        <x:v>MD</x:v>
      </x:c>
      <x:c r="O68" s="329" t="str">
        <x:v>Bel Air|MD</x:v>
      </x:c>
      <x:c r="P68" s="329"/>
      <x:c r="Q68" s="329" t="str">
        <x:v>Hourly</x:v>
      </x:c>
      <x:c r="R68" s="329" t="str">
        <x:v>Pending</x:v>
      </x:c>
      <x:c r="S68" s="329"/>
      <x:c r="T68" s="329"/>
      <x:c r="U68" s="329" t="str">
        <x:v>2026-07-28 / pending breakdown</x:v>
      </x:c>
      <x:c r="V68" s="329" t="str">
        <x:v>No</x:v>
      </x:c>
      <x:c r="W68" s="329"/>
      <x:c r="X68" s="329"/>
      <x:c r="Y68" s="329" t="str"/>
      <x:c r="Z68" s="329" t="str">
        <x:v>Breakdown pending</x:v>
      </x:c>
      <x:c r="AA68" s="329" t="str">
        <x:v>Unique</x:v>
      </x:c>
      <x:c r="AB68" s="329"/>
      <x:c r="AC68" s="329" t="str">
        <x:v>Hourly rate $45.00. NextGen 11 server installed and validated; VH1 decommissioned, boxed, and labeled for return. Final payable hours and payment breakdown pending.</x:v>
      </x:c>
      <x:c r="AD68" s="329" t="str">
        <x:v>WO 5909385 RFS + FastField/photo evidence + user-authoritative completion 2026-07-14</x:v>
      </x:c>
      <x:c r="AE68" s="329"/>
    </x:row>
    <x:row r="69">
      <x:c r="A69" s="329" t="str">
        <x:v>LED-0068</x:v>
      </x:c>
      <x:c r="B69" s="329" t="str">
        <x:v>5914898</x:v>
      </x:c>
      <x:c r="C69" s="329" t="n">
        <x:v>67</x:v>
      </x:c>
      <x:c r="D69" s="329"/>
      <x:c r="E69" s="329" t="str">
        <x:v>CL-026</x:v>
      </x:c>
      <x:c r="F69" s="329" t="str">
        <x:v>Dunkin</x:v>
      </x:c>
      <x:c r="G69" s="532" t="n">
        <x:v>46217</x:v>
      </x:c>
      <x:c r="H69" s="329" t="str">
        <x:v>Tuesday</x:v>
      </x:c>
      <x:c r="I69" s="329" t="str">
        <x:v>Dunkin Donuts #342406</x:v>
      </x:c>
      <x:c r="J69" s="329" t="str">
        <x:v>645 S. Philadelphia Blvd</x:v>
      </x:c>
      <x:c r="K69" s="329" t="str">
        <x:v>Aberdeen</x:v>
      </x:c>
      <x:c r="L69" s="329" t="str">
        <x:v>Maryland</x:v>
      </x:c>
      <x:c r="M69" s="329" t="str">
        <x:v>21001</x:v>
      </x:c>
      <x:c r="N69" s="329" t="str">
        <x:v>MD</x:v>
      </x:c>
      <x:c r="O69" s="329" t="str">
        <x:v>Aberdeen|MD</x:v>
      </x:c>
      <x:c r="P69" s="329"/>
      <x:c r="Q69" s="329" t="str">
        <x:v>Hourly</x:v>
      </x:c>
      <x:c r="R69" s="329" t="str">
        <x:v>Yes</x:v>
      </x:c>
      <x:c r="S69" s="566" t="n">
        <x:v>183.74</x:v>
      </x:c>
      <x:c r="T69" s="532" t="n">
        <x:v>46217</x:v>
      </x:c>
      <x:c r="U69" s="532" t="n">
        <x:v>46231</x:v>
      </x:c>
      <x:c r="V69" s="329" t="str">
        <x:v>No</x:v>
      </x:c>
      <x:c r="W69" s="329"/>
      <x:c r="X69" s="329"/>
      <x:c r="Y69" s="329" t="str"/>
      <x:c r="Z69" s="329" t="str">
        <x:v>ACH missing</x:v>
      </x:c>
      <x:c r="AA69" s="329" t="str">
        <x:v>Unique</x:v>
      </x:c>
      <x:c r="AB69" s="329"/>
      <x:c r="AC69" s="329" t="str">
        <x:v>Return visit completed after extended Verifone, kiosk-vendor, and United Service Desk troubleshooting. Support released the technician after escalation. Payment breakdown $183.74, deductions $0.00, expected payment 2026-07-28; ACH pending.</x:v>
      </x:c>
      <x:c r="AD69" s="329" t="str">
        <x:v>WO 5914898 RFS + user-authoritative completion + Gmail payment breakdown received 2026-07-14</x:v>
      </x:c>
      <x:c r="AE69" s="329"/>
    </x:row>
    <x:row r="70">
      <x:c r="A70" s="329" t="str">
        <x:v>LED-0069</x:v>
      </x:c>
      <x:c r="B70" s="329" t="str">
        <x:v>5900854</x:v>
      </x:c>
      <x:c r="C70" s="329" t="n">
        <x:v>68</x:v>
      </x:c>
      <x:c r="D70" s="329"/>
      <x:c r="E70" s="329" t="str">
        <x:v>CL-026</x:v>
      </x:c>
      <x:c r="F70" s="329" t="str">
        <x:v>Dunkin</x:v>
      </x:c>
      <x:c r="G70" s="329" t="n">
        <x:v>46218</x:v>
      </x:c>
      <x:c r="H70" s="329" t="str">
        <x:v>Wednesday</x:v>
      </x:c>
      <x:c r="I70" s="329" t="str">
        <x:v>Dunkin — Fallston</x:v>
      </x:c>
      <x:c r="J70" s="329"/>
      <x:c r="K70" s="329" t="str">
        <x:v>Fallston</x:v>
      </x:c>
      <x:c r="L70" s="329" t="str">
        <x:v>Maryland</x:v>
      </x:c>
      <x:c r="M70" s="329"/>
      <x:c r="N70" s="329" t="str">
        <x:v>MD</x:v>
      </x:c>
      <x:c r="O70" s="329" t="str">
        <x:v>Fallston|MD</x:v>
      </x:c>
      <x:c r="P70" s="329" t="n">
        <x:v>350</x:v>
      </x:c>
      <x:c r="Q70" s="329" t="str">
        <x:v>Speed ACH</x:v>
      </x:c>
      <x:c r="R70" s="329" t="str">
        <x:v>Yes</x:v>
      </x:c>
      <x:c r="S70" s="329" t="n">
        <x:v>350</x:v>
      </x:c>
      <x:c r="T70" s="329" t="n">
        <x:v>46218</x:v>
      </x:c>
      <x:c r="U70" s="329" t="n">
        <x:v>46232</x:v>
      </x:c>
      <x:c r="V70" s="329" t="str">
        <x:v>No</x:v>
      </x:c>
      <x:c r="W70" s="329"/>
      <x:c r="X70" s="329"/>
      <x:c r="Y70" s="329" t="n">
        <x:v>0</x:v>
      </x:c>
      <x:c r="Z70" s="329" t="str">
        <x:v>ACH missing</x:v>
      </x:c>
      <x:c r="AA70" s="329" t="str">
        <x:v>Unique</x:v>
      </x:c>
      <x:c r="AB70" s="329"/>
      <x:c r="AC70" s="329" t="str">
        <x:v>Payment breakdown confirmed at $350.00; Speed ACH expected 2026-07-29.</x:v>
      </x:c>
      <x:c r="AD70" s="329" t="str">
        <x:v>User-authoritative completion + Gmail payment breakdown</x:v>
      </x:c>
      <x:c r="AE70" s="329"/>
    </x:row>
    <x:row r="71">
      <x:c r="A71" s="329" t="str">
        <x:v>LED-0070</x:v>
      </x:c>
      <x:c r="B71" s="329" t="str">
        <x:v>5909418</x:v>
      </x:c>
      <x:c r="C71" s="329" t="n">
        <x:v>69</x:v>
      </x:c>
      <x:c r="D71" s="329"/>
      <x:c r="E71" s="329" t="str">
        <x:v>CL-020</x:v>
      </x:c>
      <x:c r="F71" s="329" t="str">
        <x:v>TJ Maxx</x:v>
      </x:c>
      <x:c r="G71" s="329" t="n">
        <x:v>46219</x:v>
      </x:c>
      <x:c r="H71" s="329" t="str">
        <x:v>Thursday</x:v>
      </x:c>
      <x:c r="I71" s="329" t="str">
        <x:v>TJ Maxx — Columbia</x:v>
      </x:c>
      <x:c r="J71" s="329"/>
      <x:c r="K71" s="329" t="str">
        <x:v>Columbia</x:v>
      </x:c>
      <x:c r="L71" s="329" t="str">
        <x:v>Maryland</x:v>
      </x:c>
      <x:c r="M71" s="329"/>
      <x:c r="N71" s="329" t="str">
        <x:v>MD</x:v>
      </x:c>
      <x:c r="O71" s="329" t="str">
        <x:v>Columbia|MD</x:v>
      </x:c>
      <x:c r="P71" s="329"/>
      <x:c r="Q71" s="329" t="str">
        <x:v>Hourly</x:v>
      </x:c>
      <x:c r="R71" s="329" t="str">
        <x:v>Yes</x:v>
      </x:c>
      <x:c r="S71" s="329" t="n">
        <x:v>180</x:v>
      </x:c>
      <x:c r="T71" s="329" t="n">
        <x:v>46223</x:v>
      </x:c>
      <x:c r="U71" s="329" t="n">
        <x:v>46233</x:v>
      </x:c>
      <x:c r="V71" s="329" t="str">
        <x:v>No</x:v>
      </x:c>
      <x:c r="W71" s="329"/>
      <x:c r="X71" s="329"/>
      <x:c r="Y71" s="329" t="n">
        <x:v>0</x:v>
      </x:c>
      <x:c r="Z71" s="329" t="str">
        <x:v>ACH missing</x:v>
      </x:c>
      <x:c r="AA71" s="329" t="str">
        <x:v>Unique</x:v>
      </x:c>
      <x:c r="AB71" s="329"/>
      <x:c r="AC71" s="329" t="str">
        <x:v>Hourly rate $40.00; final payment breakdown pending. Payment breakdown confirmed at $180.00; no deductions; expected payment 2026-07-30.</x:v>
      </x:c>
      <x:c r="AD71" s="329" t="str">
        <x:v>User-authoritative completion + ticket details + Gmail payment breakdown</x:v>
      </x:c>
      <x:c r="AE71" s="329"/>
    </x:row>
    <x:row r="72">
      <x:c r="A72" s="329" t="str">
        <x:v>LED-0071</x:v>
      </x:c>
      <x:c r="B72" s="329" t="str">
        <x:v>5918899</x:v>
      </x:c>
      <x:c r="C72" s="329" t="n">
        <x:v>70</x:v>
      </x:c>
      <x:c r="D72" s="329"/>
      <x:c r="E72" s="329" t="str">
        <x:v>CL-007</x:v>
      </x:c>
      <x:c r="F72" s="329" t="str">
        <x:v>Giant Food Stores</x:v>
      </x:c>
      <x:c r="G72" s="329" t="n">
        <x:v>46219</x:v>
      </x:c>
      <x:c r="H72" s="329" t="str">
        <x:v>Thursday</x:v>
      </x:c>
      <x:c r="I72" s="329" t="str">
        <x:v>Giant Food — Olney</x:v>
      </x:c>
      <x:c r="J72" s="329"/>
      <x:c r="K72" s="329" t="str">
        <x:v>Olney</x:v>
      </x:c>
      <x:c r="L72" s="329" t="str">
        <x:v>Maryland</x:v>
      </x:c>
      <x:c r="M72" s="329"/>
      <x:c r="N72" s="329" t="str">
        <x:v>MD</x:v>
      </x:c>
      <x:c r="O72" s="329" t="str">
        <x:v>Olney|MD</x:v>
      </x:c>
      <x:c r="P72" s="329"/>
      <x:c r="Q72" s="329"/>
      <x:c r="R72" s="329" t="str">
        <x:v>Yes</x:v>
      </x:c>
      <x:c r="S72" s="329" t="n">
        <x:v>103.33</x:v>
      </x:c>
      <x:c r="T72" s="329" t="n">
        <x:v>46223</x:v>
      </x:c>
      <x:c r="U72" s="329" t="n">
        <x:v>46233</x:v>
      </x:c>
      <x:c r="V72" s="329" t="str">
        <x:v>No</x:v>
      </x:c>
      <x:c r="W72" s="329"/>
      <x:c r="X72" s="329"/>
      <x:c r="Y72" s="329" t="n">
        <x:v>0</x:v>
      </x:c>
      <x:c r="Z72" s="329" t="str">
        <x:v>ACH missing</x:v>
      </x:c>
      <x:c r="AA72" s="329" t="str">
        <x:v>Unique</x:v>
      </x:c>
      <x:c r="AB72" s="329"/>
      <x:c r="AC72" s="329" t="str">
        <x:v>HCL network troubleshooting completed; final payment breakdown pending. Payment breakdown confirmed at $103.33; no deductions; expected payment 2026-07-30.</x:v>
      </x:c>
      <x:c r="AD72" s="329" t="str">
        <x:v>User-authoritative completion + onsite notes + Gmail payment breakdown</x:v>
      </x:c>
      <x:c r="AE72" s="329"/>
    </x:row>
    <x:row r="73">
      <x:c r="A73" s="329" t="str">
        <x:v>LED-0072</x:v>
      </x:c>
      <x:c r="B73" s="329" t="str">
        <x:v>5918348</x:v>
      </x:c>
      <x:c r="C73" s="329" t="n">
        <x:v>71</x:v>
      </x:c>
      <x:c r="D73" s="329"/>
      <x:c r="E73" s="329" t="str">
        <x:v>CL-028</x:v>
      </x:c>
      <x:c r="F73" s="329" t="str">
        <x:v>WeWork</x:v>
      </x:c>
      <x:c r="G73" s="329" t="n">
        <x:v>46220</x:v>
      </x:c>
      <x:c r="H73" s="329" t="str">
        <x:v>Friday</x:v>
      </x:c>
      <x:c r="I73" s="329" t="str">
        <x:v>WeWork DC18</x:v>
      </x:c>
      <x:c r="J73" s="329" t="str">
        <x:v>200 Massachusetts Ave NW</x:v>
      </x:c>
      <x:c r="K73" s="329" t="str">
        <x:v>Washington</x:v>
      </x:c>
      <x:c r="L73" s="329" t="str">
        <x:v>Washington, DC</x:v>
      </x:c>
      <x:c r="M73" s="329" t="str">
        <x:v>20001</x:v>
      </x:c>
      <x:c r="N73" s="329" t="str">
        <x:v>DC</x:v>
      </x:c>
      <x:c r="O73" s="329" t="str">
        <x:v>Washington|DC</x:v>
      </x:c>
      <x:c r="P73" s="329"/>
      <x:c r="Q73" s="329" t="str">
        <x:v>User-confirmed compensation</x:v>
      </x:c>
      <x:c r="R73" s="329" t="str">
        <x:v>Yes</x:v>
      </x:c>
      <x:c r="S73" s="329" t="n">
        <x:v>90</x:v>
      </x:c>
      <x:c r="T73" s="329" t="n">
        <x:v>46229</x:v>
      </x:c>
      <x:c r="U73" s="329" t="str">
        <x:v>Pending breakdown</x:v>
      </x:c>
      <x:c r="V73" s="329" t="str">
        <x:v>No</x:v>
      </x:c>
      <x:c r="W73" s="329"/>
      <x:c r="X73" s="329"/>
      <x:c r="Y73" s="329" t="n">
        <x:v>0</x:v>
      </x:c>
      <x:c r="Z73" s="329" t="str">
        <x:v>ACH missing</x:v>
      </x:c>
      <x:c r="AA73" s="329" t="str">
        <x:v>Unique</x:v>
      </x:c>
      <x:c r="AB73" s="329"/>
      <x:c r="AC73" s="329" t="str">
        <x:v>User-authoritative confirmed amount: 2 hours × $45 = $90.00.</x:v>
      </x:c>
      <x:c r="AD73" s="329" t="str">
        <x:v>User-authoritative correction 2026-07-26</x:v>
      </x:c>
      <x:c r="AE73" s="329"/>
    </x:row>
    <x:row r="74">
      <x:c r="A74" s="329" t="str">
        <x:v>LED-0074</x:v>
      </x:c>
      <x:c r="B74" s="329" t="str">
        <x:v>5906821</x:v>
      </x:c>
      <x:c r="C74" s="329" t="n">
        <x:v>73</x:v>
      </x:c>
      <x:c r="D74" s="329"/>
      <x:c r="E74" s="329" t="str">
        <x:v>CL-030</x:v>
      </x:c>
      <x:c r="F74" s="329" t="str">
        <x:v>Homesense</x:v>
      </x:c>
      <x:c r="G74" s="624" t="n">
        <x:v>46223</x:v>
      </x:c>
      <x:c r="H74" s="329" t="str">
        <x:v>Monday</x:v>
      </x:c>
      <x:c r="I74" s="329" t="str">
        <x:v>Homesense TJH0030</x:v>
      </x:c>
      <x:c r="J74" s="329" t="str">
        <x:v>10220 Mill Run Cir</x:v>
      </x:c>
      <x:c r="K74" s="329" t="str">
        <x:v>Owings Mills</x:v>
      </x:c>
      <x:c r="L74" s="329" t="str">
        <x:v>Maryland</x:v>
      </x:c>
      <x:c r="M74" s="329" t="str">
        <x:v>21117</x:v>
      </x:c>
      <x:c r="N74" s="329" t="str">
        <x:v>MD</x:v>
      </x:c>
      <x:c r="O74" s="329" t="str">
        <x:v>Owings Mills|MD</x:v>
      </x:c>
      <x:c r="P74" s="329" t="n">
        <x:v>40</x:v>
      </x:c>
      <x:c r="Q74" s="329" t="str">
        <x:v>Hourly / Speed ACH</x:v>
      </x:c>
      <x:c r="R74" s="329" t="str">
        <x:v>Yes</x:v>
      </x:c>
      <x:c r="S74" s="329" t="n">
        <x:v>180</x:v>
      </x:c>
      <x:c r="T74" s="624" t="n">
        <x:v>46223</x:v>
      </x:c>
      <x:c r="U74" s="624" t="n">
        <x:v>46237</x:v>
      </x:c>
      <x:c r="V74" s="329" t="str">
        <x:v>No</x:v>
      </x:c>
      <x:c r="W74" s="329"/>
      <x:c r="X74" s="329"/>
      <x:c r="Y74" s="329" t="n">
        <x:v>0</x:v>
      </x:c>
      <x:c r="Z74" s="329" t="str">
        <x:v>ACH missing</x:v>
      </x:c>
      <x:c r="AA74" s="329" t="str">
        <x:v>Unique</x:v>
      </x:c>
      <x:c r="AB74" s="329"/>
      <x:c r="AC74" s="329" t="str">
        <x:v>VH2 deinstall completed after support/coordination delays. Payment breakdown confirmed at $180.00; no deductions; expected payment 2026-08-03.</x:v>
      </x:c>
      <x:c r="AD74" s="329" t="str">
        <x:v>WO 5906821 RFS + completion notes + Gmail payment breakdown</x:v>
      </x:c>
      <x:c r="AE74" s="329"/>
    </x:row>
    <x:row r="75">
      <x:c r="A75" s="329" t="str">
        <x:v>LED-0075</x:v>
      </x:c>
      <x:c r="B75" s="329" t="str">
        <x:v>5919707</x:v>
      </x:c>
      <x:c r="C75" s="329" t="n">
        <x:v>74</x:v>
      </x:c>
      <x:c r="D75" s="329"/>
      <x:c r="E75" s="329" t="str">
        <x:v>CL-031</x:v>
      </x:c>
      <x:c r="F75" s="329" t="str">
        <x:v>Autumn Lake Healthcare</x:v>
      </x:c>
      <x:c r="G75" s="624" t="n">
        <x:v>46223</x:v>
      </x:c>
      <x:c r="H75" s="329" t="str">
        <x:v>Monday</x:v>
      </x:c>
      <x:c r="I75" s="329" t="str">
        <x:v>Autumn Lake at Baltimore Washington</x:v>
      </x:c>
      <x:c r="J75" s="329" t="str">
        <x:v>313 Hospital Dr</x:v>
      </x:c>
      <x:c r="K75" s="329" t="str">
        <x:v>Glen Burnie</x:v>
      </x:c>
      <x:c r="L75" s="329" t="str">
        <x:v>Maryland</x:v>
      </x:c>
      <x:c r="M75" s="329" t="str">
        <x:v>21061</x:v>
      </x:c>
      <x:c r="N75" s="329" t="str">
        <x:v>MD</x:v>
      </x:c>
      <x:c r="O75" s="329" t="str">
        <x:v>Glen Burnie|MD</x:v>
      </x:c>
      <x:c r="P75" s="566" t="n">
        <x:v>50</x:v>
      </x:c>
      <x:c r="Q75" s="566" t="str">
        <x:v>Per Trip / Speed ACH</x:v>
      </x:c>
      <x:c r="R75" s="566" t="str">
        <x:v>Yes</x:v>
      </x:c>
      <x:c r="S75" s="566" t="n">
        <x:v>50</x:v>
      </x:c>
      <x:c r="T75" s="624" t="n">
        <x:v>46224</x:v>
      </x:c>
      <x:c r="U75" s="624"/>
      <x:c r="V75" s="532" t="str">
        <x:v>No</x:v>
      </x:c>
      <x:c r="W75" s="532"/>
      <x:c r="X75" s="532"/>
      <x:c r="Y75" s="566" t="n">
        <x:v>0</x:v>
      </x:c>
      <x:c r="Z75" s="329" t="str">
        <x:v>ACH missing</x:v>
      </x:c>
      <x:c r="AA75" s="329" t="str">
        <x:v>Unique</x:v>
      </x:c>
      <x:c r="AB75" s="329"/>
      <x:c r="AC75" s="329" t="str">
        <x:v>Customer/site no-show compensation confirmed at $50.00; no deductions. ACH pending.</x:v>
      </x:c>
      <x:c r="AD75" s="329" t="str">
        <x:v>WO 5919707 RFS + user-authoritative no-show completion notes + Gmail payment breakdown 2026-07-21</x:v>
      </x:c>
      <x:c r="AE75" s="329"/>
    </x:row>
    <x:row r="76">
      <x:c r="A76" s="329" t="str">
        <x:v>LED-0076</x:v>
      </x:c>
      <x:c r="B76" s="329" t="str">
        <x:v>5920784</x:v>
      </x:c>
      <x:c r="C76" s="329" t="n">
        <x:v>75</x:v>
      </x:c>
      <x:c r="D76" s="329"/>
      <x:c r="E76" s="329" t="str">
        <x:v>CL-031</x:v>
      </x:c>
      <x:c r="F76" s="329" t="str">
        <x:v>Autumn Lake Healthcare</x:v>
      </x:c>
      <x:c r="G76" s="624" t="n">
        <x:v>46223</x:v>
      </x:c>
      <x:c r="H76" s="329" t="str">
        <x:v>Monday</x:v>
      </x:c>
      <x:c r="I76" s="329" t="str">
        <x:v>Autumn Lake at Glen Burnie — Rosemary Unit</x:v>
      </x:c>
      <x:c r="J76" s="329" t="str">
        <x:v>7355 E Furnace Branch Rd</x:v>
      </x:c>
      <x:c r="K76" s="329" t="str">
        <x:v>Glen Burnie</x:v>
      </x:c>
      <x:c r="L76" s="329" t="str">
        <x:v>Maryland</x:v>
      </x:c>
      <x:c r="M76" s="329" t="str">
        <x:v>21060</x:v>
      </x:c>
      <x:c r="N76" s="329" t="str">
        <x:v>MD</x:v>
      </x:c>
      <x:c r="O76" s="329" t="str">
        <x:v>Glen Burnie|MD</x:v>
      </x:c>
      <x:c r="P76" s="566" t="n">
        <x:v>50</x:v>
      </x:c>
      <x:c r="Q76" s="566" t="str">
        <x:v>Per Trip / Speed ACH</x:v>
      </x:c>
      <x:c r="R76" s="566" t="str">
        <x:v>Yes</x:v>
      </x:c>
      <x:c r="S76" s="566" t="n">
        <x:v>50</x:v>
      </x:c>
      <x:c r="T76" s="624" t="n">
        <x:v>46223</x:v>
      </x:c>
      <x:c r="U76" s="624" t="n">
        <x:v>46237</x:v>
      </x:c>
      <x:c r="V76" s="532" t="str">
        <x:v>No</x:v>
      </x:c>
      <x:c r="W76" s="532"/>
      <x:c r="X76" s="532"/>
      <x:c r="Y76" s="566" t="n">
        <x:v>0</x:v>
      </x:c>
      <x:c r="Z76" s="329" t="str">
        <x:v>ACH missing</x:v>
      </x:c>
      <x:c r="AA76" s="329" t="str">
        <x:v>Unique</x:v>
      </x:c>
      <x:c r="AB76" s="329"/>
      <x:c r="AC76" s="329" t="str">
        <x:v>Sharp MX-B427W installation completed. Facility fax line failed testing; Omnicare Wade confirmed line repair is required and will coordinate next steps. Payment breakdown confirmed at $50.00; no deductions; expected payment 2026-08-03.</x:v>
      </x:c>
      <x:c r="AD76" s="329" t="str">
        <x:v>WO 5920784 RFS + signed form/photo + Omnicare call + Gmail payment breakdown</x:v>
      </x:c>
      <x:c r="AE76" s="329"/>
    </x:row>
    <x:row r="77">
      <x:c r="A77" s="329" t="str">
        <x:v>LED-0077</x:v>
      </x:c>
      <x:c r="B77" s="329" t="str">
        <x:v>UNRESOLVED-E076</x:v>
      </x:c>
      <x:c r="C77" s="329" t="n">
        <x:v>76</x:v>
      </x:c>
      <x:c r="D77" s="329"/>
      <x:c r="E77" s="329" t="str">
        <x:v>CL-022</x:v>
      </x:c>
      <x:c r="F77" s="329" t="str">
        <x:v>Marshalls</x:v>
      </x:c>
      <x:c r="G77" s="624" t="n">
        <x:v>46224</x:v>
      </x:c>
      <x:c r="H77" s="329" t="str">
        <x:v>Tuesday</x:v>
      </x:c>
      <x:c r="I77" s="329" t="str">
        <x:v>Marshalls — Owings Mills</x:v>
      </x:c>
      <x:c r="J77" s="329"/>
      <x:c r="K77" s="329" t="str">
        <x:v>Owings Mills</x:v>
      </x:c>
      <x:c r="L77" s="329" t="str">
        <x:v>Maryland</x:v>
      </x:c>
      <x:c r="M77" s="329"/>
      <x:c r="N77" s="329" t="str">
        <x:v>MD</x:v>
      </x:c>
      <x:c r="O77" s="329" t="str">
        <x:v>Owings Mills|MD</x:v>
      </x:c>
      <x:c r="P77" s="566"/>
      <x:c r="Q77" s="566"/>
      <x:c r="R77" s="566" t="str">
        <x:v>Pending</x:v>
      </x:c>
      <x:c r="S77" s="566"/>
      <x:c r="T77" s="624"/>
      <x:c r="U77" s="624" t="str">
        <x:v>Pending breakdown</x:v>
      </x:c>
      <x:c r="V77" s="532" t="str">
        <x:v>No</x:v>
      </x:c>
      <x:c r="W77" s="532"/>
      <x:c r="X77" s="532"/>
      <x:c r="Y77" s="566"/>
      <x:c r="Z77" s="329" t="str">
        <x:v>Breakdown pending</x:v>
      </x:c>
      <x:c r="AA77" s="329" t="str">
        <x:v>Unique</x:v>
      </x:c>
      <x:c r="AB77" s="329"/>
      <x:c r="AC77" s="329" t="str">
        <x:v>Completed visit; exact WO mapping pending.</x:v>
      </x:c>
      <x:c r="AD77" s="329" t="str">
        <x:v>User-authoritative chronology correction</x:v>
      </x:c>
      <x:c r="AE77" s="329"/>
    </x:row>
    <x:row r="78">
      <x:c r="A78" t="str">
        <x:v>LED-0078</x:v>
      </x:c>
      <x:c r="B78" t="str">
        <x:v>5906834</x:v>
      </x:c>
      <x:c r="C78" t="n">
        <x:v>77</x:v>
      </x:c>
      <x:c r="D78"/>
      <x:c r="E78" t="str">
        <x:v>CL-022</x:v>
      </x:c>
      <x:c r="F78" t="str">
        <x:v>Marshalls</x:v>
      </x:c>
      <x:c r="G78" s="618" t="n">
        <x:v>46225</x:v>
      </x:c>
      <x:c r="H78" t="str">
        <x:v>Wednesday</x:v>
      </x:c>
      <x:c r="I78" t="str">
        <x:v>Marshalls — Towson</x:v>
      </x:c>
      <x:c r="J78"/>
      <x:c r="K78" t="str">
        <x:v>Towson</x:v>
      </x:c>
      <x:c r="L78" t="str">
        <x:v>Maryland</x:v>
      </x:c>
      <x:c r="M78"/>
      <x:c r="N78" t="str">
        <x:v>MD</x:v>
      </x:c>
      <x:c r="O78" t="str">
        <x:v>Towson|MD</x:v>
      </x:c>
      <x:c r="P78"/>
      <x:c r="Q78"/>
      <x:c r="R78" t="str">
        <x:v>Yes</x:v>
      </x:c>
      <x:c r="S78" t="n">
        <x:v>120</x:v>
      </x:c>
      <x:c r="T78" s="618" t="n">
        <x:v>46229</x:v>
      </x:c>
      <x:c r="U78" s="618" t="str">
        <x:v>Pending breakdown</x:v>
      </x:c>
      <x:c r="V78" t="str">
        <x:v>No</x:v>
      </x:c>
      <x:c r="W78"/>
      <x:c r="X78"/>
      <x:c r="Y78" t="n">
        <x:v>0</x:v>
      </x:c>
      <x:c r="Z78" t="str">
        <x:v>ACH missing</x:v>
      </x:c>
      <x:c r="AA78" t="str">
        <x:v>Unique</x:v>
      </x:c>
      <x:c r="AB78"/>
      <x:c r="AC78" t="str">
        <x:v>Payment breakdown confirmed at $120.00.</x:v>
      </x:c>
      <x:c r="AD78" t="str">
        <x:v>User-verified payment breakdown record</x:v>
      </x:c>
    </x:row>
    <x:row r="79">
      <x:c r="A79" t="str">
        <x:v>LED-0079</x:v>
      </x:c>
      <x:c r="B79" t="str">
        <x:v>UNRESOLVED-E078</x:v>
      </x:c>
      <x:c r="C79" t="n">
        <x:v>78</x:v>
      </x:c>
      <x:c r="D79"/>
      <x:c r="E79" t="str">
        <x:v>CL-026</x:v>
      </x:c>
      <x:c r="F79" t="str">
        <x:v>Dunkin</x:v>
      </x:c>
      <x:c r="G79" s="618" t="n">
        <x:v>46225</x:v>
      </x:c>
      <x:c r="H79" t="str">
        <x:v>Wednesday</x:v>
      </x:c>
      <x:c r="I79" t="str">
        <x:v>Dunkin — Owings Mills</x:v>
      </x:c>
      <x:c r="J79"/>
      <x:c r="K79" t="str">
        <x:v>Owings Mills</x:v>
      </x:c>
      <x:c r="L79" t="str">
        <x:v>Maryland</x:v>
      </x:c>
      <x:c r="M79"/>
      <x:c r="N79" t="str">
        <x:v>MD</x:v>
      </x:c>
      <x:c r="O79" t="str">
        <x:v>Owings Mills|MD</x:v>
      </x:c>
      <x:c r="P79"/>
      <x:c r="Q79"/>
      <x:c r="R79" t="str">
        <x:v>Pending</x:v>
      </x:c>
      <x:c r="S79"/>
      <x:c r="T79" s="618"/>
      <x:c r="U79" s="618" t="str">
        <x:v>Pending breakdown</x:v>
      </x:c>
      <x:c r="V79" t="str">
        <x:v>No</x:v>
      </x:c>
      <x:c r="W79"/>
      <x:c r="X79"/>
      <x:c r="Y79"/>
      <x:c r="Z79" t="str">
        <x:v>Breakdown pending</x:v>
      </x:c>
      <x:c r="AA79" t="str">
        <x:v>Unique</x:v>
      </x:c>
      <x:c r="AB79"/>
      <x:c r="AC79" t="str">
        <x:v>Completed visit; exact WO mapping pending.</x:v>
      </x:c>
      <x:c r="AD79" t="str">
        <x:v>User-authoritative chronology correction</x:v>
      </x:c>
    </x:row>
    <x:row r="80">
      <x:c r="A80" t="str">
        <x:v>LED-0080</x:v>
      </x:c>
      <x:c r="B80" t="str">
        <x:v>5900769</x:v>
      </x:c>
      <x:c r="C80" t="n">
        <x:v>79</x:v>
      </x:c>
      <x:c r="D80"/>
      <x:c r="E80" t="str">
        <x:v>CL-006</x:v>
      </x:c>
      <x:c r="F80" t="str">
        <x:v>7-Eleven</x:v>
      </x:c>
      <x:c r="G80" s="618" t="n">
        <x:v>46225</x:v>
      </x:c>
      <x:c r="H80" t="str">
        <x:v>Wednesday</x:v>
      </x:c>
      <x:c r="I80" t="str">
        <x:v>7-Eleven — Fallston</x:v>
      </x:c>
      <x:c r="J80" t="str">
        <x:v>2400 Pleasantville Rd</x:v>
      </x:c>
      <x:c r="K80" t="str">
        <x:v>Fallston</x:v>
      </x:c>
      <x:c r="L80" t="str">
        <x:v>Maryland</x:v>
      </x:c>
      <x:c r="M80" t="str">
        <x:v>21047</x:v>
      </x:c>
      <x:c r="N80" t="str">
        <x:v>MD</x:v>
      </x:c>
      <x:c r="O80" t="str">
        <x:v>Fallston|MD</x:v>
      </x:c>
      <x:c r="P80"/>
      <x:c r="Q80"/>
      <x:c r="R80" t="str">
        <x:v>Yes</x:v>
      </x:c>
      <x:c r="S80" t="n">
        <x:v>160.29</x:v>
      </x:c>
      <x:c r="T80" s="618" t="n">
        <x:v>46229</x:v>
      </x:c>
      <x:c r="U80" s="618"/>
      <x:c r="V80" t="str">
        <x:v>No</x:v>
      </x:c>
      <x:c r="W80"/>
      <x:c r="X80"/>
      <x:c r="Y80" t="n">
        <x:v>0</x:v>
      </x:c>
      <x:c r="Z80" t="str">
        <x:v>ACH missing</x:v>
      </x:c>
      <x:c r="AA80" t="str">
        <x:v>Unique</x:v>
      </x:c>
      <x:c r="AB80"/>
      <x:c r="AC80" t="str">
        <x:v>Payment breakdown confirmed at $160.29.</x:v>
      </x:c>
      <x:c r="AD80" t="str">
        <x:v>User-verified payment breakdown record</x:v>
      </x:c>
    </x:row>
    <x:row r="81">
      <x:c r="A81" t="str">
        <x:v>LED-0081</x:v>
      </x:c>
      <x:c r="B81" t="str">
        <x:v>5906863</x:v>
      </x:c>
      <x:c r="C81" t="n">
        <x:v>80</x:v>
      </x:c>
      <x:c r="D81"/>
      <x:c r="E81" t="str">
        <x:v>CL-022</x:v>
      </x:c>
      <x:c r="F81" t="str">
        <x:v>Marshalls</x:v>
      </x:c>
      <x:c r="G81" s="618" t="n">
        <x:v>46226</x:v>
      </x:c>
      <x:c r="H81" t="str">
        <x:v>Thursday</x:v>
      </x:c>
      <x:c r="I81" t="str">
        <x:v>Marshalls — Westminster</x:v>
      </x:c>
      <x:c r="J81" t="str">
        <x:v>200 Clifton Blvd, Suite C</x:v>
      </x:c>
      <x:c r="K81" t="str">
        <x:v>Westminster</x:v>
      </x:c>
      <x:c r="L81" t="str">
        <x:v>Maryland</x:v>
      </x:c>
      <x:c r="M81" t="str">
        <x:v>21157</x:v>
      </x:c>
      <x:c r="N81" t="str">
        <x:v>MD</x:v>
      </x:c>
      <x:c r="O81" t="str">
        <x:v>Westminster|MD</x:v>
      </x:c>
      <x:c r="P81"/>
      <x:c r="Q81"/>
      <x:c r="R81" t="str">
        <x:v>Yes</x:v>
      </x:c>
      <x:c r="S81" t="n">
        <x:v>163.33</x:v>
      </x:c>
      <x:c r="T81" s="618" t="n">
        <x:v>46226</x:v>
      </x:c>
      <x:c r="U81" s="618"/>
      <x:c r="V81" t="str">
        <x:v>No</x:v>
      </x:c>
      <x:c r="W81"/>
      <x:c r="X81"/>
      <x:c r="Y81" t="n">
        <x:v>0</x:v>
      </x:c>
      <x:c r="Z81" t="str">
        <x:v>ACH missing</x:v>
      </x:c>
      <x:c r="AA81" t="str">
        <x:v>Unique</x:v>
      </x:c>
      <x:c r="AB81"/>
      <x:c r="AC81" t="str">
        <x:v>Payment breakdown confirmed at $163.33; no deductions.</x:v>
      </x:c>
      <x:c r="AD81" t="str">
        <x:v>Gmail WO assignment + payment breakdown</x:v>
      </x:c>
    </x:row>
    <x:row r="82">
      <x:c r="A82" t="str">
        <x:v>LED-0082</x:v>
      </x:c>
      <x:c r="B82" t="str">
        <x:v>5922660</x:v>
      </x:c>
      <x:c r="C82" t="n">
        <x:v>81</x:v>
      </x:c>
      <x:c r="D82"/>
      <x:c r="E82" t="str">
        <x:v>CL-016</x:v>
      </x:c>
      <x:c r="F82" t="str">
        <x:v>HomeGoods</x:v>
      </x:c>
      <x:c r="G82" s="618" t="n">
        <x:v>46226</x:v>
      </x:c>
      <x:c r="H82" t="str">
        <x:v>Thursday</x:v>
      </x:c>
      <x:c r="I82" t="str">
        <x:v>HomeGoods — Fairfax</x:v>
      </x:c>
      <x:c r="J82"/>
      <x:c r="K82" t="str">
        <x:v>Fairfax</x:v>
      </x:c>
      <x:c r="L82" t="str">
        <x:v>Virginia</x:v>
      </x:c>
      <x:c r="M82"/>
      <x:c r="N82" t="str">
        <x:v>VA</x:v>
      </x:c>
      <x:c r="O82" t="str">
        <x:v>Fairfax|VA</x:v>
      </x:c>
      <x:c r="P82"/>
      <x:c r="Q82"/>
      <x:c r="R82" t="str">
        <x:v>Yes</x:v>
      </x:c>
      <x:c r="S82" t="n">
        <x:v>125</x:v>
      </x:c>
      <x:c r="T82" s="618" t="n">
        <x:v>46226</x:v>
      </x:c>
      <x:c r="U82" s="618"/>
      <x:c r="V82" t="str">
        <x:v>No</x:v>
      </x:c>
      <x:c r="W82"/>
      <x:c r="X82"/>
      <x:c r="Y82" t="n">
        <x:v>0</x:v>
      </x:c>
      <x:c r="Z82" t="str">
        <x:v>ACH missing</x:v>
      </x:c>
      <x:c r="AA82" t="str">
        <x:v>Unique</x:v>
      </x:c>
      <x:c r="AB82"/>
      <x:c r="AC82" t="str">
        <x:v>Power USB cable service; payment breakdown confirmed at $125.00.</x:v>
      </x:c>
      <x:c r="AD82" t="str">
        <x:v>User chronology + Gmail ETA and payment breakdown</x:v>
      </x:c>
    </x:row>
    <x:row r="83">
      <x:c r="A83" t="str">
        <x:v>LED-0083</x:v>
      </x:c>
      <x:c r="B83" t="str">
        <x:v>5922683</x:v>
      </x:c>
      <x:c r="C83" t="n">
        <x:v>82</x:v>
      </x:c>
      <x:c r="D83"/>
      <x:c r="E83" t="str">
        <x:v>CL-020</x:v>
      </x:c>
      <x:c r="F83" t="str">
        <x:v>TJ Maxx</x:v>
      </x:c>
      <x:c r="G83" s="618" t="n">
        <x:v>46226</x:v>
      </x:c>
      <x:c r="H83" t="str">
        <x:v>Thursday</x:v>
      </x:c>
      <x:c r="I83" t="str">
        <x:v>TJ Maxx — Alexandria</x:v>
      </x:c>
      <x:c r="J83"/>
      <x:c r="K83" t="str">
        <x:v>Alexandria</x:v>
      </x:c>
      <x:c r="L83" t="str">
        <x:v>Virginia</x:v>
      </x:c>
      <x:c r="M83"/>
      <x:c r="N83" t="str">
        <x:v>VA</x:v>
      </x:c>
      <x:c r="O83" t="str">
        <x:v>Alexandria|VA</x:v>
      </x:c>
      <x:c r="P83"/>
      <x:c r="Q83"/>
      <x:c r="R83" t="str">
        <x:v>Yes</x:v>
      </x:c>
      <x:c r="S83" t="n">
        <x:v>110</x:v>
      </x:c>
      <x:c r="T83" s="618" t="n">
        <x:v>46226</x:v>
      </x:c>
      <x:c r="U83" s="618"/>
      <x:c r="V83" t="str">
        <x:v>No</x:v>
      </x:c>
      <x:c r="W83"/>
      <x:c r="X83"/>
      <x:c r="Y83" t="n">
        <x:v>0</x:v>
      </x:c>
      <x:c r="Z83" t="str">
        <x:v>ACH missing</x:v>
      </x:c>
      <x:c r="AA83" t="str">
        <x:v>Unique</x:v>
      </x:c>
      <x:c r="AB83"/>
      <x:c r="AC83" t="str">
        <x:v>BERG adapter service; payment breakdown confirmed at $110.00.</x:v>
      </x:c>
      <x:c r="AD83" t="str">
        <x:v>User chronology + Gmail ETA and payment breakdown</x:v>
      </x:c>
    </x:row>
    <x:row r="84">
      <x:c r="A84" t="str">
        <x:v>LED-0084</x:v>
      </x:c>
      <x:c r="B84" t="str">
        <x:v>5919318</x:v>
      </x:c>
      <x:c r="C84" t="n">
        <x:v>83</x:v>
      </x:c>
      <x:c r="D84"/>
      <x:c r="E84" t="str">
        <x:v>CL-027</x:v>
      </x:c>
      <x:c r="F84" t="str">
        <x:v>Carvana</x:v>
      </x:c>
      <x:c r="G84" s="618" t="n">
        <x:v>46227</x:v>
      </x:c>
      <x:c r="H84" t="str">
        <x:v>Friday</x:v>
      </x:c>
      <x:c r="I84" t="str">
        <x:v>Carvana — Baltimore</x:v>
      </x:c>
      <x:c r="J84" t="str">
        <x:v>4901 Holabird Ave</x:v>
      </x:c>
      <x:c r="K84" t="str">
        <x:v>Baltimore</x:v>
      </x:c>
      <x:c r="L84" t="str">
        <x:v>Maryland</x:v>
      </x:c>
      <x:c r="M84" t="str">
        <x:v>21224</x:v>
      </x:c>
      <x:c r="N84" t="str">
        <x:v>MD</x:v>
      </x:c>
      <x:c r="O84" t="str">
        <x:v>Baltimore|MD</x:v>
      </x:c>
      <x:c r="P84"/>
      <x:c r="Q84"/>
      <x:c r="R84" t="str">
        <x:v>Yes</x:v>
      </x:c>
      <x:c r="S84" t="n">
        <x:v>65</x:v>
      </x:c>
      <x:c r="T84" s="618" t="n">
        <x:v>46227</x:v>
      </x:c>
      <x:c r="U84" s="618"/>
      <x:c r="V84" t="str">
        <x:v>No</x:v>
      </x:c>
      <x:c r="W84"/>
      <x:c r="X84"/>
      <x:c r="Y84" t="n">
        <x:v>0</x:v>
      </x:c>
      <x:c r="Z84" t="str">
        <x:v>ACH missing</x:v>
      </x:c>
      <x:c r="AA84" t="str">
        <x:v>Unique</x:v>
      </x:c>
      <x:c r="AB84"/>
      <x:c r="AC84" t="str">
        <x:v>HP fuser replacement completed; payment breakdown confirmed at $65.00.</x:v>
      </x:c>
      <x:c r="AD84" t="str">
        <x:v>User completion + Gmail WO assignment and payment breakdown</x:v>
      </x:c>
    </x:row>
    <x:row r="85">
      <x:c r="A85" t="str">
        <x:v>LED-0085</x:v>
      </x:c>
      <x:c r="B85" t="str">
        <x:v>5922604</x:v>
      </x:c>
      <x:c r="C85" t="n">
        <x:v>84</x:v>
      </x:c>
      <x:c r="D85"/>
      <x:c r="E85" t="str">
        <x:v>CL-007</x:v>
      </x:c>
      <x:c r="F85" t="str">
        <x:v>Giant Food Stores</x:v>
      </x:c>
      <x:c r="G85" s="618" t="n">
        <x:v>46227</x:v>
      </x:c>
      <x:c r="H85" t="str">
        <x:v>Friday</x:v>
      </x:c>
      <x:c r="I85" t="str">
        <x:v>Giant Food — Wheaton</x:v>
      </x:c>
      <x:c r="J85" t="str">
        <x:v>2900 University Boulevard West</x:v>
      </x:c>
      <x:c r="K85" t="str">
        <x:v>Wheaton</x:v>
      </x:c>
      <x:c r="L85" t="str">
        <x:v>Maryland</x:v>
      </x:c>
      <x:c r="M85" t="str">
        <x:v>20902</x:v>
      </x:c>
      <x:c r="N85" t="str">
        <x:v>MD</x:v>
      </x:c>
      <x:c r="O85" t="str">
        <x:v>Wheaton|MD</x:v>
      </x:c>
      <x:c r="P85"/>
      <x:c r="Q85"/>
      <x:c r="R85" t="str">
        <x:v>Pending</x:v>
      </x:c>
      <x:c r="S85"/>
      <x:c r="T85" s="618"/>
      <x:c r="U85" s="618" t="str">
        <x:v>Pending breakdown</x:v>
      </x:c>
      <x:c r="V85" t="str">
        <x:v>No</x:v>
      </x:c>
      <x:c r="W85"/>
      <x:c r="X85"/>
      <x:c r="Y85"/>
      <x:c r="Z85" t="str">
        <x:v>Breakdown pending</x:v>
      </x:c>
      <x:c r="AA85" t="str">
        <x:v>Unique</x:v>
      </x:c>
      <x:c r="AB85"/>
      <x:c r="AC85" t="str">
        <x:v>Cradlepoint and PoE injector replaced; site restored. Payment breakdown pending.</x:v>
      </x:c>
      <x:c r="AD85" t="str">
        <x:v>User completion + Gmail WO assignment and closeout correspondence</x:v>
      </x:c>
    </x:row>
  </x:sheetData>
  <x:conditionalFormatting sqref="J2:J65">
    <x:cfRule type="expression" dxfId="0" priority="1">
      <x:formula>J2="No"</x:formula>
    </x:cfRule>
  </x:conditionalFormatting>
  <x:conditionalFormatting sqref="N2:N65">
    <x:cfRule type="expression" dxfId="1" priority="2">
      <x:formula>N2="No"</x:formula>
    </x:cfRule>
  </x:conditionalFormatting>
  <x:conditionalFormatting sqref="Q2:Q65">
    <x:cfRule type="expression" dxfId="2" priority="3">
      <x:formula>Q2&lt;&gt;0</x:formula>
    </x:cfRule>
  </x:conditionalFormatting>
  <x:conditionalFormatting sqref="R2:R64">
    <x:cfRule type="expression" dxfId="4" priority="4">
      <x:formula>R2="No"</x:formula>
    </x:cfRule>
  </x:conditionalFormatting>
  <x:conditionalFormatting sqref="V2:V64">
    <x:cfRule type="expression" dxfId="5" priority="5">
      <x:formula>V2="No"</x:formula>
    </x:cfRule>
  </x:conditionalFormatting>
  <x:conditionalFormatting sqref="Y2:Y64">
    <x:cfRule type="expression" dxfId="6" priority="6">
      <x:formula>Y2&lt;&gt;0</x:formula>
    </x:cfRule>
  </x:conditionalFormatting>
  <x:conditionalFormatting sqref="Z2:Z64">
    <x:cfRule type="expression" dxfId="7" priority="7">
      <x:formula>OR(Z2="MAPPING_HOLD",Z2="BREAKDOWN_MISMATCH")</x:formula>
    </x:cfRule>
  </x:conditionalFormatting>
  <x:conditionalFormatting sqref="R2:R67">
    <x:cfRule type="expression" dxfId="66" priority="8">
      <x:formula>$R2="Yes"</x:formula>
    </x:cfRule>
    <x:cfRule type="expression" dxfId="67" priority="9">
      <x:formula>AND(OR($R2="No",$R2="Pending"),IFERROR(INDEX(tblServiceEvents[Financial Scope],MATCH($C2,tblServiceEvents[Event #],0)),"Included")="Included")</x:formula>
    </x:cfRule>
    <x:cfRule type="expression" dxfId="68" priority="10">
      <x:formula>$R2="Partial"</x:formula>
    </x:cfRule>
    <x:cfRule type="expression" dxfId="69" priority="11">
      <x:formula>$R2="Mapping Hold"</x:formula>
    </x:cfRule>
    <x:cfRule type="expression" dxfId="70" priority="12">
      <x:formula>IFERROR(INDEX(tblServiceEvents[Financial Scope],MATCH($C2,tblServiceEvents[Event #],0)),"Included")="Excluded"</x:formula>
    </x:cfRule>
  </x:conditionalFormatting>
  <x:conditionalFormatting sqref="V2:V67">
    <x:cfRule type="expression" dxfId="71" priority="13">
      <x:formula>$V2="Yes"</x:formula>
    </x:cfRule>
    <x:cfRule type="expression" dxfId="72" priority="14">
      <x:formula>AND(OR($V2="No",$V2="Pending"),IFERROR(INDEX(tblServiceEvents[Financial Scope],MATCH($C2,tblServiceEvents[Event #],0)),"Included")="Included")</x:formula>
    </x:cfRule>
    <x:cfRule type="expression" dxfId="73" priority="15">
      <x:formula>OR($V2="Partial",$V2="Mapping Review")</x:formula>
    </x:cfRule>
    <x:cfRule type="expression" dxfId="74" priority="16">
      <x:formula>IFERROR(INDEX(tblServiceEvents[Financial Scope],MATCH($C2,tblServiceEvents[Event #],0)),"Included")="Excluded"</x:formula>
    </x:cfRule>
  </x:conditionalFormatting>
  <x:conditionalFormatting sqref="Y2:Y67">
    <x:cfRule type="expression" dxfId="75" priority="17">
      <x:formula>AND(ISNUMBER($Y2),$Y2&lt;&gt;0)</x:formula>
    </x:cfRule>
    <x:cfRule type="expression" dxfId="76" priority="18">
      <x:formula>AND(ISNUMBER($Y2),$Y2=0)</x:formula>
    </x:cfRule>
  </x:conditionalFormatting>
  <x:conditionalFormatting sqref="U2:U67">
    <x:cfRule type="expression" dxfId="77" priority="19">
      <x:formula>AND(ISNUMBER($U2),$V2&lt;&gt;"Yes",$U2&lt;TODAY())</x:formula>
    </x:cfRule>
    <x:cfRule type="expression" dxfId="78" priority="20">
      <x:formula>AND(ISNUMBER($U2),$V2&lt;&gt;"Yes",$U2&gt;=TODAY(),$U2&lt;=TODAY()+3)</x:formula>
    </x:cfRule>
  </x:conditionalFormatting>
  <x:conditionalFormatting sqref="Z2:Z67">
    <x:cfRule type="expression" dxfId="79" priority="21">
      <x:formula>OR($Z2="Complete",$Z2="Complete with note")</x:formula>
    </x:cfRule>
    <x:cfRule type="expression" dxfId="80" priority="22">
      <x:formula>OR($Z2="ACH missing",$Z2="Breakdown pending",$Z2="Breakdown missing / ACH confirmed")</x:formula>
    </x:cfRule>
    <x:cfRule type="expression" dxfId="81" priority="23">
      <x:formula>OR($Z2="Combined visit / partial breakdown",$Z2="Companion WO mapping review")</x:formula>
    </x:cfRule>
    <x:cfRule type="expression" dxfId="82" priority="24">
      <x:formula>OR($Z2="BREAKDOWN_MISMATCH",$Z2="ACH_MISMATCH",$Z2="MAPPING_HOLD")</x:formula>
    </x:cfRule>
    <x:cfRule type="expression" dxfId="83" priority="25">
      <x:formula>$Z2="Operational complete / excluded financial metric"</x:formula>
    </x:cfRule>
  </x:conditionalFormatting>
  <x:conditionalFormatting sqref="AA2:AA67">
    <x:cfRule type="expression" dxfId="84" priority="26">
      <x:formula>$AA2="Unique"</x:formula>
    </x:cfRule>
    <x:cfRule type="expression" dxfId="85" priority="27">
      <x:formula>$AA2="MULTI-WO VISIT"</x:formula>
    </x:cfRule>
    <x:cfRule type="expression" dxfId="86" priority="28">
      <x:formula>$AA2="Nonstandard"</x:formula>
    </x:cfRule>
    <x:cfRule type="expression" dxfId="87" priority="29">
      <x:formula>$AA2="DUPLICATE / REVIEW"</x:formula>
    </x:cfRule>
    <x:cfRule type="expression" dxfId="88" priority="30">
      <x:formula>$AA2="MAPPING_HOLD"</x:formula>
    </x:cfRule>
  </x:conditionalFormatting>
  <x:conditionalFormatting sqref="S2:S67">
    <x:cfRule type="dataBar" priority="31">
      <x:dataBar>
        <x:cfvo type="min"/>
        <x:cfvo type="max"/>
        <x:color rgb="FF5B9BD5"/>
      </x:dataBar>
      <x:extLst>
        <x:ext xmlns:x14="http://schemas.microsoft.com/office/spreadsheetml/2009/9/main" uri="{B025F937-C7B1-47D3-B67F-A62EFF666E3E}">
          <x14:id>{43AF3C7A-245C-43C5-F232-81CD81D20DFC}</x14:id>
        </x:ext>
      </x:extLst>
    </x:cfRule>
  </x:conditionalFormatting>
  <x:conditionalFormatting sqref="W2:W67">
    <x:cfRule type="dataBar" priority="32">
      <x:dataBar>
        <x:cfvo type="min"/>
        <x:cfvo type="max"/>
        <x:color rgb="FF70AD47"/>
      </x:dataBar>
      <x:extLst>
        <x:ext xmlns:x14="http://schemas.microsoft.com/office/spreadsheetml/2009/9/main" uri="{B025F937-C7B1-47D3-B67F-A62EFF666E3E}">
          <x14:id>{69B593C9-53A6-A6FB-FBF0-7F298597B8E7}</x14:id>
        </x:ext>
      </x:extLst>
    </x:cfRule>
  </x:conditionalFormatting>
  <x:dataValidations count="10">
    <x:dataValidation type="list" sqref="I2:I65">
      <x:formula1>"Speed ACH,Terms,Hourly,Flat,Unknown"</x:formula1>
    </x:dataValidation>
    <x:dataValidation type="list" sqref="J2:J65">
      <x:formula1>"Yes,No,Partial,Pending"</x:formula1>
    </x:dataValidation>
    <x:dataValidation type="list" sqref="N2:N65">
      <x:formula1>"Yes,No,Partial,Mapping Review,Pending"</x:formula1>
    </x:dataValidation>
    <x:dataValidation type="list" sqref="Q2:Q64">
      <x:formula1>"Speed ACH,Terms,Hourly,Flat,Unknown"</x:formula1>
    </x:dataValidation>
    <x:dataValidation type="list" sqref="R2:R64">
      <x:formula1>"Yes,No,Partial,Pending,Mapping Hold"</x:formula1>
    </x:dataValidation>
    <x:dataValidation type="list" sqref="V2:V64">
      <x:formula1>"Yes,No,Partial,Pending,Mapping Review"</x:formula1>
    </x:dataValidation>
    <x:dataValidation type="list" sqref="AA2:AA64">
      <x:formula1>"CLEAN_MATCH,ACH_MISMATCH,BREAKDOWN_MISMATCH,MAPPING_HOLD,PENDING_BREAKDOWN,PENDING_ACH,PARTIAL_CONFIRMATION,Complete,Complete with note,ACH missing,Breakdown pending"</x:formula1>
    </x:dataValidation>
    <x:dataValidation type="list" sqref="R2:R500">
      <x:formula1>"Yes,No,Pending,Partial,Mapping Hold"</x:formula1>
    </x:dataValidation>
    <x:dataValidation type="list" sqref="V2:V500">
      <x:formula1>"Yes,No,Pending,Partial,Mapping Review"</x:formula1>
    </x:dataValidation>
    <x:dataValidation type="list" sqref="AA2:AA500">
      <x:formula1>"Unique,MULTI-WO VISIT,MAPPING_HOLD"</x:formula1>
    </x:dataValidation>
  </x:dataValidations>
  <x:pageMargins left="0.7" right="0.7" top="0.75" bottom="0.75" header="0.3" footer="0.3"/>
  <x:tableParts count="1">
    <x:tablePart xmlns:r="http://schemas.openxmlformats.org/officeDocument/2006/relationships" r:id="Rfd74a54eca264715"/>
  </x:tableParts>
  <x:extLst>
    <x:ext xmlns:x14="http://schemas.microsoft.com/office/spreadsheetml/2009/9/main" xmlns:xm="http://schemas.microsoft.com/office/excel/2006/main" uri="{78C0D931-6437-407d-A8EE-F0AAD7539E65}">
      <x14:conditionalFormattings>
        <x14:conditionalFormatting>
          <x14:cfRule type="dataBar" priority="31" id="{43AF3C7A-245C-43C5-F232-81CD81D20DFC}">
            <x14:dataBar gradient="1">
              <x14:cfvo type="min"/>
              <x14:cfvo type="max"/>
              <x14:fillColor rgb="FF5B9BD5"/>
            </x14:dataBar>
          </x14:cfRule>
          <xm:sqref>S2:S67</xm:sqref>
        </x14:conditionalFormatting>
        <x14:conditionalFormatting>
          <x14:cfRule type="dataBar" priority="32" id="{69B593C9-53A6-A6FB-FBF0-7F298597B8E7}">
            <x14:dataBar gradient="1">
              <x14:cfvo type="min"/>
              <x14:cfvo type="max"/>
              <x14:fillColor rgb="FF70AD47"/>
            </x14:dataBar>
          </x14:cfRule>
          <xm:sqref>W2:W67</xm:sqref>
        </x14:conditionalFormatting>
      </x14:conditionalFormattings>
    </x:ext>
  </x:extLst>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30" hidden="0" customWidth="1"/>
    <x:col min="3" max="3" width="15" hidden="0" customWidth="1"/>
    <x:col min="4" max="4" width="12" hidden="0" customWidth="1"/>
    <x:col min="5" max="5" width="15" hidden="0" customWidth="1"/>
    <x:col min="6" max="6" width="15" hidden="0" customWidth="1"/>
    <x:col min="7" max="7" width="18" hidden="0" customWidth="1"/>
    <x:col min="8" max="8" width="10" hidden="0" customWidth="1"/>
    <x:col min="9" max="9" width="28" hidden="0" customWidth="1"/>
    <x:col min="10" max="10" width="14" hidden="0" customWidth="1"/>
    <x:col min="11" max="11" width="15" hidden="0" customWidth="1"/>
    <x:col min="12" max="12" width="15" hidden="0" customWidth="1"/>
    <x:col min="13" max="13" width="15" hidden="0" customWidth="1"/>
    <x:col min="14" max="14" width="14" hidden="0" customWidth="1"/>
    <x:col min="15" max="15" width="10" hidden="0" customWidth="1"/>
    <x:col min="16" max="16" width="28" hidden="0" customWidth="1"/>
    <x:col min="17" max="17" width="15" hidden="0" customWidth="1"/>
    <x:col min="18" max="18" width="15" hidden="0" customWidth="1"/>
    <x:col min="19" max="19" width="15" hidden="0" customWidth="1"/>
    <x:col min="20" max="20" width="15" hidden="0" customWidth="1"/>
    <x:col min="22" max="22" width="18" hidden="0" customWidth="1"/>
    <x:col min="23" max="23" width="18" hidden="0" customWidth="1"/>
    <x:col min="24" max="24" width="14" hidden="0" customWidth="1"/>
    <x:col min="25" max="25" width="14" hidden="0" customWidth="1"/>
    <x:col min="26" max="26" width="16" hidden="0" customWidth="1"/>
    <x:col min="27" max="27" width="16" hidden="0" customWidth="1"/>
    <x:col min="28" max="28" width="18" hidden="0" customWidth="1"/>
    <x:col min="29" max="29" width="20" hidden="0" customWidth="1"/>
    <x:col min="30" max="30" width="18" hidden="0" customWidth="1"/>
    <x:col min="35" max="35" width="14" hidden="0" customWidth="1"/>
    <x:col min="36" max="36" width="12" hidden="0" customWidth="1"/>
    <x:col min="37" max="37" width="14" hidden="0" customWidth="1"/>
    <x:col min="38" max="38" width="16" hidden="0" customWidth="1"/>
    <x:col min="39" max="39" width="16" hidden="0" customWidth="1"/>
    <x:col min="40" max="40" width="18" hidden="0" customWidth="1"/>
  </x:cols>
  <x:sheetData>
    <x:row r="1">
      <x:c r="A1" s="77" t="str">
        <x:v>Barrister Analytics Engine — Phase 3F</x:v>
      </x:c>
      <x:c r="B1" s="77"/>
      <x:c r="C1" s="77"/>
      <x:c r="D1" s="77"/>
      <x:c r="E1" s="77"/>
      <x:c r="F1" s="77"/>
      <x:c r="G1" s="77"/>
      <x:c r="H1" s="77"/>
      <x:c r="I1" s="77"/>
      <x:c r="J1" s="77"/>
      <x:c r="K1" s="77"/>
      <x:c r="L1" s="77"/>
      <x:c r="M1" s="77"/>
      <x:c r="N1" s="77"/>
      <x:c r="O1" s="77"/>
      <x:c r="P1" s="77"/>
      <x:c r="Q1" s="77"/>
      <x:c r="R1" s="77"/>
      <x:c r="S1" s="239"/>
      <x:c r="T1" s="239"/>
      <x:c r="U1" s="52"/>
      <x:c r="V1" s="230" t="str">
        <x:v>Client ID</x:v>
      </x:c>
      <x:c r="W1" s="230" t="str">
        <x:v>Client</x:v>
      </x:c>
      <x:c r="X1" s="230" t="str">
        <x:v>Events</x:v>
      </x:c>
      <x:c r="Y1" s="230" t="str">
        <x:v>Work Orders</x:v>
      </x:c>
      <x:c r="Z1" s="230" t="str">
        <x:v>Revenue</x:v>
      </x:c>
      <x:c r="AA1" s="230" t="str">
        <x:v>Avg/Event</x:v>
      </x:c>
      <x:c r="AB1" s="230" t="str">
        <x:v>Avg/WO</x:v>
      </x:c>
      <x:c r="AC1" s="230" t="str">
        <x:v>Repeat</x:v>
      </x:c>
      <x:c r="AD1" s="230" t="str">
        <x:v>First Event</x:v>
      </x:c>
      <x:c r="AE1" s="230" t="str">
        <x:v>Revenue Key</x:v>
      </x:c>
      <x:c r="AF1" s="231" t="str">
        <x:v>Repeat Key</x:v>
      </x:c>
      <x:c r="AG1" s="231" t="str">
        <x:v>Avg Key</x:v>
      </x:c>
      <x:c r="AI1" s="313" t="str">
        <x:v>Service Date</x:v>
      </x:c>
      <x:c r="AJ1" s="313" t="str">
        <x:v>Events</x:v>
      </x:c>
      <x:c r="AK1" s="313" t="str">
        <x:v>Eligible Events</x:v>
      </x:c>
      <x:c r="AL1" s="313" t="str">
        <x:v>Daily Revenue</x:v>
      </x:c>
      <x:c r="AM1" s="313" t="str">
        <x:v>Running Revenue</x:v>
      </x:c>
      <x:c r="AN1" s="313" t="str">
        <x:v>Rolling 5-Day Avg</x:v>
      </x:c>
    </x:row>
    <x:row r="2">
      <x:c r="A2" s="87"/>
      <x:c r="B2" s="87"/>
      <x:c r="C2" s="87"/>
      <x:c r="D2" s="87"/>
      <x:c r="E2" s="87"/>
      <x:c r="F2" s="87"/>
      <x:c r="G2" s="87"/>
      <x:c r="H2" s="87"/>
      <x:c r="I2" s="87"/>
      <x:c r="J2" s="87"/>
      <x:c r="K2" s="87"/>
      <x:c r="L2" s="87"/>
      <x:c r="M2" s="87"/>
      <x:c r="N2" s="87"/>
      <x:c r="O2" s="87"/>
      <x:c r="P2" s="87"/>
      <x:c r="Q2" s="87"/>
      <x:c r="R2" s="87"/>
      <x:c r="V2" t="str">
        <x:f>A12</x:f>
        <x:v>CL-001</x:v>
      </x:c>
      <x:c r="W2" t="str">
        <x:f>B12</x:f>
        <x:v>Macy's</x:v>
      </x:c>
      <x:c r="X2" t="n">
        <x:f>E12</x:f>
        <x:v>3</x:v>
      </x:c>
      <x:c r="Y2" t="n">
        <x:f>F12</x:f>
        <x:v>3</x:v>
      </x:c>
      <x:c r="Z2" s="24" t="n">
        <x:f>G12</x:f>
        <x:v>450</x:v>
      </x:c>
      <x:c r="AA2" s="24" t="n">
        <x:f>H12</x:f>
        <x:v>150</x:v>
      </x:c>
      <x:c r="AB2" s="24" t="n">
        <x:f>I12</x:f>
        <x:v>150</x:v>
      </x:c>
      <x:c r="AC2" t="str">
        <x:f>L12</x:f>
        <x:v>Yes</x:v>
      </x:c>
      <x:c r="AD2" t="n">
        <x:f>C12</x:f>
        <x:v>1</x:v>
      </x:c>
      <x:c r="AE2" t="n">
        <x:f>G12+(1000-C12)/1000000000</x:f>
        <x:v>450.000000999</x:v>
      </x:c>
      <x:c r="AF2" t="n">
        <x:f>E12+G12/1000000000</x:f>
        <x:v>3.00000045</x:v>
      </x:c>
      <x:c r="AG2" t="n">
        <x:f>IF(E12&gt;1,H12+G12/1000000000,0)</x:f>
        <x:v>150.00000045</x:v>
      </x:c>
      <x:c r="AI2" s="35" t="n">
        <x:v>46132</x:v>
      </x:c>
      <x:c r="AJ2" t="n">
        <x:v>1</x:v>
      </x:c>
      <x:c r="AK2" t="n">
        <x:v>1</x:v>
      </x:c>
      <x:c r="AL2" s="24" t="n">
        <x:v>90</x:v>
      </x:c>
      <x:c r="AM2" s="24" t="n">
        <x:v>90</x:v>
      </x:c>
      <x:c r="AN2" s="24" t="n">
        <x:v>90</x:v>
      </x:c>
    </x:row>
    <x:row r="3">
      <x:c r="V3" t="str">
        <x:f>A13</x:f>
        <x:v>CL-002</x:v>
      </x:c>
      <x:c r="W3" t="str">
        <x:f>B13</x:f>
        <x:v>Bloomingdale's</x:v>
      </x:c>
      <x:c r="X3" t="n">
        <x:f>E13</x:f>
        <x:v>2</x:v>
      </x:c>
      <x:c r="Y3" t="n">
        <x:f>F13</x:f>
        <x:v>2</x:v>
      </x:c>
      <x:c r="Z3" s="24" t="n">
        <x:f>G13</x:f>
        <x:v>688</x:v>
      </x:c>
      <x:c r="AA3" s="24" t="n">
        <x:f>H13</x:f>
        <x:v>344</x:v>
      </x:c>
      <x:c r="AB3" s="24" t="n">
        <x:f>I13</x:f>
        <x:v>344</x:v>
      </x:c>
      <x:c r="AC3" t="str">
        <x:f>L13</x:f>
        <x:v>Yes</x:v>
      </x:c>
      <x:c r="AD3" t="n">
        <x:f>C13</x:f>
        <x:v>2</x:v>
      </x:c>
      <x:c r="AE3" t="n">
        <x:f>G13+(1000-C13)/1000000000</x:f>
        <x:v>688.000000998</x:v>
      </x:c>
      <x:c r="AF3" t="n">
        <x:f>E13+G13/1000000000</x:f>
        <x:v>2.000000688</x:v>
      </x:c>
      <x:c r="AG3" t="n">
        <x:f>IF(E13&gt;1,H13+G13/1000000000,0)</x:f>
        <x:v>344.000000688</x:v>
      </x:c>
      <x:c r="AI3" s="35" t="n">
        <x:v>46133</x:v>
      </x:c>
      <x:c r="AJ3" t="n">
        <x:v>1</x:v>
      </x:c>
      <x:c r="AK3" t="n">
        <x:v>1</x:v>
      </x:c>
      <x:c r="AL3" s="24" t="n">
        <x:v>344</x:v>
      </x:c>
      <x:c r="AM3" s="24" t="n">
        <x:v>434</x:v>
      </x:c>
      <x:c r="AN3" s="24" t="n">
        <x:v>217</x:v>
      </x:c>
    </x:row>
    <x:row r="4">
      <x:c r="A4" s="91" t="str">
        <x:v>Analytics Controls</x:v>
      </x:c>
      <x:c r="B4" s="91"/>
      <x:c r="C4" s="91"/>
      <x:c r="D4" s="91"/>
      <x:c r="E4" s="29"/>
      <x:c r="F4" s="29"/>
      <x:c r="G4" s="29"/>
      <x:c r="V4" t="str">
        <x:f>A14</x:f>
        <x:v>CL-003</x:v>
      </x:c>
      <x:c r="W4" t="str">
        <x:f>B14</x:f>
        <x:v>Hampton Inn &amp; Suites</x:v>
      </x:c>
      <x:c r="X4" t="n">
        <x:f>E14</x:f>
        <x:v>2</x:v>
      </x:c>
      <x:c r="Y4" t="n">
        <x:f>F14</x:f>
        <x:v>2</x:v>
      </x:c>
      <x:c r="Z4" s="24" t="n">
        <x:f>G14</x:f>
        <x:v>115</x:v>
      </x:c>
      <x:c r="AA4" s="24" t="n">
        <x:f>H14</x:f>
        <x:v>57.5</x:v>
      </x:c>
      <x:c r="AB4" s="24" t="n">
        <x:f>I14</x:f>
        <x:v>57.5</x:v>
      </x:c>
      <x:c r="AC4" t="str">
        <x:f>L14</x:f>
        <x:v>Yes</x:v>
      </x:c>
      <x:c r="AD4" t="n">
        <x:f>C14</x:f>
        <x:v>5</x:v>
      </x:c>
      <x:c r="AE4" t="n">
        <x:f>G14+(1000-C14)/1000000000</x:f>
        <x:v>115.000000995</x:v>
      </x:c>
      <x:c r="AF4" t="n">
        <x:f>E14+G14/1000000000</x:f>
        <x:v>2.000000115</x:v>
      </x:c>
      <x:c r="AG4" t="n">
        <x:f>IF(E14&gt;1,H14+G14/1000000000,0)</x:f>
        <x:v>57.500000115</x:v>
      </x:c>
      <x:c r="AI4" s="35" t="n">
        <x:v>46134</x:v>
      </x:c>
      <x:c r="AJ4" t="n">
        <x:v>1</x:v>
      </x:c>
      <x:c r="AK4" t="n">
        <x:v>1</x:v>
      </x:c>
      <x:c r="AL4" s="24" t="n">
        <x:v>344</x:v>
      </x:c>
      <x:c r="AM4" s="24" t="n">
        <x:v>778</x:v>
      </x:c>
      <x:c r="AN4" s="24" t="n">
        <x:v>259.33</x:v>
      </x:c>
    </x:row>
    <x:row r="5">
      <x:c r="A5" s="93" t="str">
        <x:v>Complete Workweeks</x:v>
      </x:c>
      <x:c r="B5" s="24" t="n">
        <x:v>12</x:v>
      </x:c>
      <x:c r="C5"/>
      <x:c r="D5" s="24"/>
      <x:c r="E5"/>
      <x:c r="F5"/>
      <x:c r="G5" s="33"/>
      <x:c r="V5" t="str">
        <x:f>A15</x:f>
        <x:v>CL-004</x:v>
      </x:c>
      <x:c r="W5" t="str">
        <x:f>B15</x:f>
        <x:v>Davis Polk &amp; Wardwell</x:v>
      </x:c>
      <x:c r="X5" t="n">
        <x:f>E15</x:f>
        <x:v>1</x:v>
      </x:c>
      <x:c r="Y5" t="n">
        <x:f>F15</x:f>
        <x:v>1</x:v>
      </x:c>
      <x:c r="Z5" s="24" t="n">
        <x:f>G15</x:f>
        <x:v>50</x:v>
      </x:c>
      <x:c r="AA5" s="24" t="n">
        <x:f>H15</x:f>
        <x:v>50</x:v>
      </x:c>
      <x:c r="AB5" s="24" t="n">
        <x:f>I15</x:f>
        <x:v>50</x:v>
      </x:c>
      <x:c r="AC5" t="str">
        <x:f>L15</x:f>
        <x:v>No</x:v>
      </x:c>
      <x:c r="AD5" t="n">
        <x:f>C15</x:f>
        <x:v>7</x:v>
      </x:c>
      <x:c r="AE5" t="n">
        <x:f>G15+(1000-C15)/1000000000</x:f>
        <x:v>50.000000993</x:v>
      </x:c>
      <x:c r="AF5" t="n">
        <x:f>E15+G15/1000000000</x:f>
        <x:v>1.00000005</x:v>
      </x:c>
      <x:c r="AG5" t="n">
        <x:f>IF(E15&gt;1,H15+G15/1000000000,0)</x:f>
        <x:v>0</x:v>
      </x:c>
      <x:c r="AI5" s="35" t="n">
        <x:v>46135</x:v>
      </x:c>
      <x:c r="AJ5" t="n">
        <x:v>1</x:v>
      </x:c>
      <x:c r="AK5" t="n">
        <x:v>1</x:v>
      </x:c>
      <x:c r="AL5" s="24" t="n">
        <x:v>180</x:v>
      </x:c>
      <x:c r="AM5" s="24" t="n">
        <x:v>958</x:v>
      </x:c>
      <x:c r="AN5" s="24" t="n">
        <x:v>239.5</x:v>
      </x:c>
    </x:row>
    <x:row r="6">
      <x:c r="A6" s="93" t="str">
        <x:v>Completed Events</x:v>
      </x:c>
      <x:c r="B6" s="24" t="n">
        <x:v>72</x:v>
      </x:c>
      <x:c r="C6"/>
      <x:c r="D6" s="24"/>
      <x:c r="E6"/>
      <x:c r="F6"/>
      <x:c r="G6" s="33"/>
      <x:c r="V6" t="str">
        <x:f>A16</x:f>
        <x:v>CL-005</x:v>
      </x:c>
      <x:c r="W6" t="str">
        <x:f>B16</x:f>
        <x:v>Hebrew Home of Greater Washington</x:v>
      </x:c>
      <x:c r="X6" t="n">
        <x:f>E16</x:f>
        <x:v>4</x:v>
      </x:c>
      <x:c r="Y6" t="n">
        <x:f>F16</x:f>
        <x:v>4</x:v>
      </x:c>
      <x:c r="Z6" s="24" t="n">
        <x:f>G16</x:f>
        <x:v>225</x:v>
      </x:c>
      <x:c r="AA6" s="24" t="n">
        <x:f>H16</x:f>
        <x:v>56.25</x:v>
      </x:c>
      <x:c r="AB6" s="24" t="n">
        <x:f>I16</x:f>
        <x:v>55</x:v>
      </x:c>
      <x:c r="AC6" t="str">
        <x:f>L16</x:f>
        <x:v>Yes</x:v>
      </x:c>
      <x:c r="AD6" t="n">
        <x:f>C16</x:f>
        <x:v>8</x:v>
      </x:c>
      <x:c r="AE6" t="n">
        <x:f>G16+(1000-C16)/1000000000</x:f>
        <x:v>225.000000992</x:v>
      </x:c>
      <x:c r="AF6" t="n">
        <x:f>E16+G16/1000000000</x:f>
        <x:v>4.000000225</x:v>
      </x:c>
      <x:c r="AG6" t="n">
        <x:f>IF(E16&gt;1,H16+G16/1000000000,0)</x:f>
        <x:v>56.250000225</x:v>
      </x:c>
      <x:c r="AI6" s="35" t="n">
        <x:v>46136</x:v>
      </x:c>
      <x:c r="AJ6" t="n">
        <x:v>1</x:v>
      </x:c>
      <x:c r="AK6" t="n">
        <x:v>1</x:v>
      </x:c>
      <x:c r="AL6" s="24" t="n">
        <x:v>50</x:v>
      </x:c>
      <x:c r="AM6" s="24" t="n">
        <x:v>1008</x:v>
      </x:c>
      <x:c r="AN6" s="24" t="n">
        <x:v>201.6</x:v>
      </x:c>
    </x:row>
    <x:row r="7">
      <x:c r="A7" s="93" t="str">
        <x:v>Eligible Confirmed Revenue</x:v>
      </x:c>
      <x:c r="B7" s="24" t="n">
        <x:v>7584.55</x:v>
      </x:c>
      <x:c r="C7"/>
      <x:c r="D7" s="24"/>
      <x:c r="E7"/>
      <x:c r="F7"/>
      <x:c r="G7" s="33"/>
      <x:c r="V7" t="str">
        <x:f>A17</x:f>
        <x:v>CL-006</x:v>
      </x:c>
      <x:c r="W7" t="str">
        <x:f>B17</x:f>
        <x:v>7-Eleven</x:v>
      </x:c>
      <x:c r="X7" t="n">
        <x:f>E17</x:f>
        <x:v>4</x:v>
      </x:c>
      <x:c r="Y7" t="n">
        <x:f>F17</x:f>
        <x:v>4</x:v>
      </x:c>
      <x:c r="Z7" s="24" t="n">
        <x:f>G17</x:f>
        <x:v>663.75</x:v>
      </x:c>
      <x:c r="AA7" s="24" t="n">
        <x:f>H17</x:f>
        <x:v>165.9375</x:v>
      </x:c>
      <x:c r="AB7" s="24" t="n">
        <x:f>I17</x:f>
        <x:v>163.8225</x:v>
      </x:c>
      <x:c r="AC7" t="str">
        <x:f>L17</x:f>
        <x:v>Yes</x:v>
      </x:c>
      <x:c r="AD7" t="n">
        <x:f>C17</x:f>
        <x:v>9</x:v>
      </x:c>
      <x:c r="AE7" t="n">
        <x:f>G17+(1000-C17)/1000000000</x:f>
        <x:v>663.750000991</x:v>
      </x:c>
      <x:c r="AF7" t="n">
        <x:f>E17+G17/1000000000</x:f>
        <x:v>4.00000066375</x:v>
      </x:c>
      <x:c r="AG7" t="n">
        <x:f>IF(E17&gt;1,H17+G17/1000000000,0)</x:f>
        <x:v>165.93750066375</x:v>
      </x:c>
      <x:c r="AI7" s="35" t="n">
        <x:v>46139</x:v>
      </x:c>
      <x:c r="AJ7" t="n">
        <x:v>1</x:v>
      </x:c>
      <x:c r="AK7" t="n">
        <x:v>1</x:v>
      </x:c>
      <x:c r="AL7" s="24" t="n">
        <x:v>180</x:v>
      </x:c>
      <x:c r="AM7" s="24" t="n">
        <x:v>1188</x:v>
      </x:c>
      <x:c r="AN7" s="24" t="n">
        <x:v>219.6</x:v>
      </x:c>
    </x:row>
    <x:row r="8">
      <x:c r="A8" s="93" t="str">
        <x:v>Eligible Events</x:v>
      </x:c>
      <x:c r="B8" s="24" t="n">
        <x:f>COUNTIFS(tblServiceEvents[Revenue Eligibility],"Eligible")</x:f>
        <x:v>76</x:v>
      </x:c>
      <x:c r="C8"/>
      <x:c r="D8" s="24"/>
      <x:c r="E8"/>
      <x:c r="F8"/>
      <x:c r="G8" s="33"/>
      <x:c r="V8" t="str">
        <x:f>A18</x:f>
        <x:v>CL-007</x:v>
      </x:c>
      <x:c r="W8" t="str">
        <x:f>B18</x:f>
        <x:v>Giant Food Stores</x:v>
      </x:c>
      <x:c r="X8" t="n">
        <x:f>E18</x:f>
        <x:v>4</x:v>
      </x:c>
      <x:c r="Y8" t="n">
        <x:f>F18</x:f>
        <x:v>4</x:v>
      </x:c>
      <x:c r="Z8" s="24" t="n">
        <x:f>G18</x:f>
        <x:v>478.33</x:v>
      </x:c>
      <x:c r="AA8" s="24" t="n">
        <x:f>H18</x:f>
        <x:v>119.5825</x:v>
      </x:c>
      <x:c r="AB8" s="24" t="n">
        <x:f>I18</x:f>
        <x:v>119.5825</x:v>
      </x:c>
      <x:c r="AC8" t="str">
        <x:f>L18</x:f>
        <x:v>Yes</x:v>
      </x:c>
      <x:c r="AD8" t="n">
        <x:f>C18</x:f>
        <x:v>10</x:v>
      </x:c>
      <x:c r="AE8" t="n">
        <x:f>G18+(1000-C18)/1000000000</x:f>
        <x:v>478.33000099</x:v>
      </x:c>
      <x:c r="AF8" t="n">
        <x:f>E18+G18/1000000000</x:f>
        <x:v>4.00000047833</x:v>
      </x:c>
      <x:c r="AG8" t="n">
        <x:f>IF(E18&gt;1,H18+G18/1000000000,0)</x:f>
        <x:v>119.58250047832999</x:v>
      </x:c>
      <x:c r="AI8" s="35" t="n">
        <x:v>46141</x:v>
      </x:c>
      <x:c r="AJ8" t="n">
        <x:v>2</x:v>
      </x:c>
      <x:c r="AK8" t="n">
        <x:v>2</x:v>
      </x:c>
      <x:c r="AL8" s="24" t="n">
        <x:v>95</x:v>
      </x:c>
      <x:c r="AM8" s="24" t="n">
        <x:v>1283</x:v>
      </x:c>
      <x:c r="AN8" s="24" t="n">
        <x:v>169.8</x:v>
      </x:c>
    </x:row>
    <x:row r="9">
      <x:c r="A9" s="340" t="str">
        <x:v>Financial-Scope Events</x:v>
      </x:c>
      <x:c r="B9" s="342" t="n">
        <x:v>68</x:v>
      </x:c>
      <x:c r="C9" s="343"/>
      <x:c r="D9" s="342" t="str">
        <x:v>Chronology-Only Events</x:v>
      </x:c>
      <x:c r="E9" s="343" t="n">
        <x:v>4</x:v>
      </x:c>
      <x:c r="F9"/>
      <x:c r="G9" s="33"/>
      <x:c r="V9" t="str">
        <x:f>A19</x:f>
        <x:v>CL-008</x:v>
      </x:c>
      <x:c r="W9" t="str">
        <x:f>B19</x:f>
        <x:v>Food Lion</x:v>
      </x:c>
      <x:c r="X9" t="n">
        <x:f>E19</x:f>
        <x:v>3</x:v>
      </x:c>
      <x:c r="Y9" t="n">
        <x:f>F19</x:f>
        <x:v>3</x:v>
      </x:c>
      <x:c r="Z9" s="24" t="n">
        <x:f>G19</x:f>
        <x:v>371.65</x:v>
      </x:c>
      <x:c r="AA9" s="24" t="n">
        <x:f>H19</x:f>
        <x:v>123.88333333333333</x:v>
      </x:c>
      <x:c r="AB9" s="24" t="n">
        <x:f>I19</x:f>
        <x:v>123.88333333333333</x:v>
      </x:c>
      <x:c r="AC9" t="str">
        <x:f>L19</x:f>
        <x:v>Yes</x:v>
      </x:c>
      <x:c r="AD9" t="n">
        <x:f>C19</x:f>
        <x:v>11</x:v>
      </x:c>
      <x:c r="AE9" t="n">
        <x:f>G19+(1000-C19)/1000000000</x:f>
        <x:v>371.650000989</x:v>
      </x:c>
      <x:c r="AF9" t="n">
        <x:f>E19+G19/1000000000</x:f>
        <x:v>3.00000037165</x:v>
      </x:c>
      <x:c r="AG9" t="n">
        <x:f>IF(E19&gt;1,H19+G19/1000000000,0)</x:f>
        <x:v>123.88333370498333</x:v>
      </x:c>
      <x:c r="AI9" s="35" t="n">
        <x:v>46142</x:v>
      </x:c>
      <x:c r="AJ9" t="n">
        <x:v>1</x:v>
      </x:c>
      <x:c r="AK9" t="n">
        <x:v>0</x:v>
      </x:c>
      <x:c r="AL9" s="24" t="n">
        <x:v>0</x:v>
      </x:c>
      <x:c r="AM9" s="24" t="n">
        <x:v>1283</x:v>
      </x:c>
      <x:c r="AN9" s="24" t="n">
        <x:v>101</x:v>
      </x:c>
    </x:row>
    <x:row r="10">
      <x:c r="A10" s="95" t="str">
        <x:v>Client Summary</x:v>
      </x:c>
      <x:c r="B10" s="95"/>
      <x:c r="C10" s="95"/>
      <x:c r="D10" s="95"/>
      <x:c r="E10" s="95"/>
      <x:c r="F10" s="95"/>
      <x:c r="G10" s="95"/>
      <x:c r="H10" s="95"/>
      <x:c r="I10" s="95"/>
      <x:c r="J10" s="95"/>
      <x:c r="K10" s="95"/>
      <x:c r="L10" s="95"/>
      <x:c r="V10" t="str">
        <x:f>A20</x:f>
        <x:v>CL-009</x:v>
      </x:c>
      <x:c r="W10" t="str">
        <x:f>B20</x:f>
        <x:v>Weis Markets</x:v>
      </x:c>
      <x:c r="X10" t="n">
        <x:f>E20</x:f>
        <x:v>2</x:v>
      </x:c>
      <x:c r="Y10" t="n">
        <x:f>F20</x:f>
        <x:v>2</x:v>
      </x:c>
      <x:c r="Z10" s="24" t="n">
        <x:f>G20</x:f>
        <x:v>175</x:v>
      </x:c>
      <x:c r="AA10" s="24" t="n">
        <x:f>H20</x:f>
        <x:v>87.5</x:v>
      </x:c>
      <x:c r="AB10" s="24" t="n">
        <x:f>I20</x:f>
        <x:v>87.5</x:v>
      </x:c>
      <x:c r="AC10" t="str">
        <x:f>L20</x:f>
        <x:v>Yes</x:v>
      </x:c>
      <x:c r="AD10" t="n">
        <x:f>C20</x:f>
        <x:v>12</x:v>
      </x:c>
      <x:c r="AE10" t="n">
        <x:f>G20+(1000-C20)/1000000000</x:f>
        <x:v>175.000000988</x:v>
      </x:c>
      <x:c r="AF10" t="n">
        <x:f>E20+G20/1000000000</x:f>
        <x:v>2.000000175</x:v>
      </x:c>
      <x:c r="AG10" t="n">
        <x:f>IF(E20&gt;1,H20+G20/1000000000,0)</x:f>
        <x:v>87.500000175</x:v>
      </x:c>
      <x:c r="AI10" s="35" t="n">
        <x:v>46147</x:v>
      </x:c>
      <x:c r="AJ10" t="n">
        <x:v>1</x:v>
      </x:c>
      <x:c r="AK10" t="n">
        <x:v>1</x:v>
      </x:c>
      <x:c r="AL10" s="24" t="n">
        <x:v>212.5</x:v>
      </x:c>
      <x:c r="AM10" s="24" t="n">
        <x:v>1495.5</x:v>
      </x:c>
      <x:c r="AN10" s="24" t="n">
        <x:v>107.5</x:v>
      </x:c>
    </x:row>
    <x:row r="11">
      <x:c r="A11" s="98" t="str">
        <x:v>Client ID</x:v>
      </x:c>
      <x:c r="B11" s="98" t="str">
        <x:v>Client Name</x:v>
      </x:c>
      <x:c r="C11" s="98" t="str">
        <x:v>First Event</x:v>
      </x:c>
      <x:c r="D11" s="98" t="str">
        <x:v>Latest Event</x:v>
      </x:c>
      <x:c r="E11" s="98" t="str">
        <x:v>Total Events</x:v>
      </x:c>
      <x:c r="F11" s="98" t="str">
        <x:v>Total Work Orders</x:v>
      </x:c>
      <x:c r="G11" s="98" t="str">
        <x:v>Confirmed Revenue</x:v>
      </x:c>
      <x:c r="H11" s="98" t="str">
        <x:v>Avg Revenue / Event</x:v>
      </x:c>
      <x:c r="I11" s="98" t="str">
        <x:v>Avg Revenue / WO</x:v>
      </x:c>
      <x:c r="J11" s="98" t="str">
        <x:v>States Worked</x:v>
      </x:c>
      <x:c r="K11" s="98" t="str">
        <x:v>Cities Worked</x:v>
      </x:c>
      <x:c r="L11" s="98" t="str">
        <x:v>Repeat Client</x:v>
      </x:c>
      <x:c r="V11" t="str">
        <x:f>A21</x:f>
        <x:v>CL-010</x:v>
      </x:c>
      <x:c r="W11" t="str">
        <x:f>B21</x:f>
        <x:v>Office of MD Senator Chris Van Hollen</x:v>
      </x:c>
      <x:c r="X11" t="n">
        <x:f>E21</x:f>
        <x:v>1</x:v>
      </x:c>
      <x:c r="Y11" t="n">
        <x:f>F21</x:f>
        <x:v>1</x:v>
      </x:c>
      <x:c r="Z11" s="24" t="n">
        <x:f>G21</x:f>
        <x:v>50</x:v>
      </x:c>
      <x:c r="AA11" s="24" t="n">
        <x:f>H21</x:f>
        <x:v>50</x:v>
      </x:c>
      <x:c r="AB11" s="24" t="n">
        <x:f>I21</x:f>
        <x:v>50</x:v>
      </x:c>
      <x:c r="AC11" t="str">
        <x:f>L21</x:f>
        <x:v>No</x:v>
      </x:c>
      <x:c r="AD11" t="n">
        <x:f>C21</x:f>
        <x:v>13</x:v>
      </x:c>
      <x:c r="AE11" t="n">
        <x:f>G21+(1000-C21)/1000000000</x:f>
        <x:v>50.000000987</x:v>
      </x:c>
      <x:c r="AF11" t="n">
        <x:f>E21+G21/1000000000</x:f>
        <x:v>1.00000005</x:v>
      </x:c>
      <x:c r="AG11" t="n">
        <x:f>IF(E21&gt;1,H21+G21/1000000000,0)</x:f>
        <x:v>0</x:v>
      </x:c>
      <x:c r="AI11" s="35" t="n">
        <x:v>46153</x:v>
      </x:c>
      <x:c r="AJ11" t="n">
        <x:v>1</x:v>
      </x:c>
      <x:c r="AK11" t="n">
        <x:v>1</x:v>
      </x:c>
      <x:c r="AL11" s="24" t="n">
        <x:v>157.5</x:v>
      </x:c>
      <x:c r="AM11" s="24" t="n">
        <x:v>1653</x:v>
      </x:c>
      <x:c r="AN11" s="24" t="n">
        <x:v>129</x:v>
      </x:c>
    </x:row>
    <x:row r="12">
      <x:c r="A12" s="12" t="str">
        <x:v>CL-001</x:v>
      </x:c>
      <x:c r="B12" s="12" t="str">
        <x:v>Macy's</x:v>
      </x:c>
      <x:c r="C12" s="12" t="n">
        <x:f>MINIFS(tblServiceEvents[Event #],tblServiceEvents[Client],B12)</x:f>
        <x:v>1</x:v>
      </x:c>
      <x:c r="D12" s="12" t="n">
        <x:f>MAXIFS(tblServiceEvents[Event #],tblServiceEvents[Client],B12)</x:f>
        <x:v>6</x:v>
      </x:c>
      <x:c r="E12" s="12" t="n">
        <x:f>COUNTIFS(tblServiceEvents[Client],B12,tblServiceEvents[Status],"Completed")</x:f>
        <x:v>3</x:v>
      </x:c>
      <x:c r="F12" s="12" t="n">
        <x:f>COUNTIF(tblLedger[Client],B12)</x:f>
        <x:v>3</x:v>
      </x:c>
      <x:c r="G12" s="69" t="n">
        <x:f>SUMIFS(tblServiceEvents[Confirmed Revenue],tblServiceEvents[Client],B12,tblServiceEvents[Revenue Eligibility],"Eligible")</x:f>
        <x:v>450</x:v>
      </x:c>
      <x:c r="H12" s="24" t="n">
        <x:f>IFERROR(G12/COUNTIFS(tblServiceEvents[Client],B12,tblServiceEvents[Revenue Eligibility],"Eligible"),0)</x:f>
        <x:v>150</x:v>
      </x:c>
      <x:c r="I12" s="24" t="n">
        <x:f>IFERROR(SUMIFS(tblLedger[Breakdown Amount],tblLedger[Client],B12,tblLedger[Breakdown Confirmed],"Yes")/COUNTIFS(tblLedger[Client],B12,tblLedger[Breakdown Confirmed],"Yes"),0)</x:f>
        <x:v>150</x:v>
      </x:c>
      <x:c r="J12" t="n">
        <x:v>2</x:v>
      </x:c>
      <x:c r="K12" t="n">
        <x:v>2</x:v>
      </x:c>
      <x:c r="L12" t="str">
        <x:f>IF(E12&gt;1,"Yes","No")</x:f>
        <x:v>Yes</x:v>
      </x:c>
      <x:c r="V12" t="str">
        <x:f>A22</x:f>
        <x:v>CL-011</x:v>
      </x:c>
      <x:c r="W12" t="str">
        <x:f>B22</x:f>
        <x:v>Residential – Annapolis Neck, MD</x:v>
      </x:c>
      <x:c r="X12" t="n">
        <x:f>E22</x:f>
        <x:v>2</x:v>
      </x:c>
      <x:c r="Y12" t="n">
        <x:f>F22</x:f>
        <x:v>2</x:v>
      </x:c>
      <x:c r="Z12" s="24" t="n">
        <x:f>G22</x:f>
        <x:v>85</x:v>
      </x:c>
      <x:c r="AA12" s="24" t="n">
        <x:f>H22</x:f>
        <x:v>42.5</x:v>
      </x:c>
      <x:c r="AB12" s="24" t="n">
        <x:f>I22</x:f>
        <x:v>42.5</x:v>
      </x:c>
      <x:c r="AC12" t="str">
        <x:f>L22</x:f>
        <x:v>Yes</x:v>
      </x:c>
      <x:c r="AD12" t="n">
        <x:f>C22</x:f>
        <x:v>14</x:v>
      </x:c>
      <x:c r="AE12" t="n">
        <x:f>G22+(1000-C22)/1000000000</x:f>
        <x:v>85.000000986</x:v>
      </x:c>
      <x:c r="AF12" t="n">
        <x:f>E22+G22/1000000000</x:f>
        <x:v>2.000000085</x:v>
      </x:c>
      <x:c r="AG12" t="n">
        <x:f>IF(E22&gt;1,H22+G22/1000000000,0)</x:f>
        <x:v>42.500000085</x:v>
      </x:c>
      <x:c r="AI12" s="35" t="n">
        <x:v>46154</x:v>
      </x:c>
      <x:c r="AJ12" t="n">
        <x:v>1</x:v>
      </x:c>
      <x:c r="AK12" t="n">
        <x:v>1</x:v>
      </x:c>
      <x:c r="AL12" s="24" t="n">
        <x:v>85</x:v>
      </x:c>
      <x:c r="AM12" s="24" t="n">
        <x:v>1738</x:v>
      </x:c>
      <x:c r="AN12" s="24" t="n">
        <x:v>110</x:v>
      </x:c>
    </x:row>
    <x:row r="13">
      <x:c r="A13" s="29" t="str">
        <x:v>CL-002</x:v>
      </x:c>
      <x:c r="B13" s="29" t="str">
        <x:v>Bloomingdale's</x:v>
      </x:c>
      <x:c r="C13" s="29" t="n">
        <x:f>MINIFS(tblServiceEvents[Event #],tblServiceEvents[Client],B13)</x:f>
        <x:v>2</x:v>
      </x:c>
      <x:c r="D13" s="29" t="n">
        <x:f>MAXIFS(tblServiceEvents[Event #],tblServiceEvents[Client],B13)</x:f>
        <x:v>3</x:v>
      </x:c>
      <x:c r="E13" s="29" t="n">
        <x:f>COUNTIFS(tblServiceEvents[Client],B13,tblServiceEvents[Status],"Completed")</x:f>
        <x:v>2</x:v>
      </x:c>
      <x:c r="F13" s="29" t="n">
        <x:f>COUNTIF(tblLedger[Client],B13)</x:f>
        <x:v>2</x:v>
      </x:c>
      <x:c r="G13" s="70" t="n">
        <x:f>SUMIFS(tblServiceEvents[Confirmed Revenue],tblServiceEvents[Client],B13,tblServiceEvents[Revenue Eligibility],"Eligible")</x:f>
        <x:v>688</x:v>
      </x:c>
      <x:c r="H13" s="24" t="n">
        <x:f>IFERROR(G13/COUNTIFS(tblServiceEvents[Client],B13,tblServiceEvents[Revenue Eligibility],"Eligible"),0)</x:f>
        <x:v>344</x:v>
      </x:c>
      <x:c r="I13" s="24" t="n">
        <x:f>IFERROR(SUMIFS(tblLedger[Breakdown Amount],tblLedger[Client],B13,tblLedger[Breakdown Confirmed],"Yes")/COUNTIFS(tblLedger[Client],B13,tblLedger[Breakdown Confirmed],"Yes"),0)</x:f>
        <x:v>344</x:v>
      </x:c>
      <x:c r="J13" t="n">
        <x:v>1</x:v>
      </x:c>
      <x:c r="K13" t="n">
        <x:v>1</x:v>
      </x:c>
      <x:c r="L13" t="str">
        <x:f>IF(E13&gt;1,"Yes","No")</x:f>
        <x:v>Yes</x:v>
      </x:c>
      <x:c r="V13" t="str">
        <x:f>A23</x:f>
        <x:v>CL-012</x:v>
      </x:c>
      <x:c r="W13" t="str">
        <x:f>B23</x:f>
        <x:v>Verizon</x:v>
      </x:c>
      <x:c r="X13" t="n">
        <x:f>E23</x:f>
        <x:v>3</x:v>
      </x:c>
      <x:c r="Y13" t="n">
        <x:f>F23</x:f>
        <x:v>3</x:v>
      </x:c>
      <x:c r="Z13" s="24" t="n">
        <x:f>G23</x:f>
        <x:v>175</x:v>
      </x:c>
      <x:c r="AA13" s="24" t="n">
        <x:f>H23</x:f>
        <x:v>58.333333333333336</x:v>
      </x:c>
      <x:c r="AB13" s="24" t="n">
        <x:f>I23</x:f>
        <x:v>58.333333333333336</x:v>
      </x:c>
      <x:c r="AC13" t="str">
        <x:f>L23</x:f>
        <x:v>Yes</x:v>
      </x:c>
      <x:c r="AD13" t="n">
        <x:f>C23</x:f>
        <x:v>15</x:v>
      </x:c>
      <x:c r="AE13" t="n">
        <x:f>G23+(1000-C23)/1000000000</x:f>
        <x:v>175.000000985</x:v>
      </x:c>
      <x:c r="AF13" t="n">
        <x:f>E23+G23/1000000000</x:f>
        <x:v>3.000000175</x:v>
      </x:c>
      <x:c r="AG13" t="n">
        <x:f>IF(E23&gt;1,H23+G23/1000000000,0)</x:f>
        <x:v>58.33333350833333</x:v>
      </x:c>
      <x:c r="AI13" s="35" t="n">
        <x:v>46155</x:v>
      </x:c>
      <x:c r="AJ13" t="n">
        <x:v>2</x:v>
      </x:c>
      <x:c r="AK13" t="n">
        <x:v>1</x:v>
      </x:c>
      <x:c r="AL13" s="24" t="n">
        <x:v>50</x:v>
      </x:c>
      <x:c r="AM13" s="24" t="n">
        <x:v>1788</x:v>
      </x:c>
      <x:c r="AN13" s="24" t="n">
        <x:v>101</x:v>
      </x:c>
    </x:row>
    <x:row r="14">
      <x:c r="A14" t="str">
        <x:v>CL-003</x:v>
      </x:c>
      <x:c r="B14" t="str">
        <x:v>Hampton Inn &amp; Suites</x:v>
      </x:c>
      <x:c r="C14" t="n">
        <x:f>MINIFS(tblServiceEvents[Event #],tblServiceEvents[Client],B14)</x:f>
        <x:v>5</x:v>
      </x:c>
      <x:c r="D14" t="n">
        <x:f>MAXIFS(tblServiceEvents[Event #],tblServiceEvents[Client],B14)</x:f>
        <x:v>36</x:v>
      </x:c>
      <x:c r="E14" t="n">
        <x:f>COUNTIFS(tblServiceEvents[Client],B14,tblServiceEvents[Status],"Completed")</x:f>
        <x:v>2</x:v>
      </x:c>
      <x:c r="F14" t="n">
        <x:f>COUNTIF(tblLedger[Client],B14)</x:f>
        <x:v>2</x:v>
      </x:c>
      <x:c r="G14" s="24" t="n">
        <x:f>SUMIFS(tblServiceEvents[Confirmed Revenue],tblServiceEvents[Client],B14,tblServiceEvents[Revenue Eligibility],"Eligible")</x:f>
        <x:v>115</x:v>
      </x:c>
      <x:c r="H14" s="24" t="n">
        <x:f>IFERROR(G14/COUNTIFS(tblServiceEvents[Client],B14,tblServiceEvents[Revenue Eligibility],"Eligible"),0)</x:f>
        <x:v>57.5</x:v>
      </x:c>
      <x:c r="I14" s="24" t="n">
        <x:f>IFERROR(SUMIFS(tblLedger[Breakdown Amount],tblLedger[Client],B14,tblLedger[Breakdown Confirmed],"Yes")/COUNTIFS(tblLedger[Client],B14,tblLedger[Breakdown Confirmed],"Yes"),0)</x:f>
        <x:v>57.5</x:v>
      </x:c>
      <x:c r="J14" t="n">
        <x:v>2</x:v>
      </x:c>
      <x:c r="K14" t="n">
        <x:v>2</x:v>
      </x:c>
      <x:c r="L14" t="str">
        <x:f>IF(E14&gt;1,"Yes","No")</x:f>
        <x:v>Yes</x:v>
      </x:c>
      <x:c r="V14" t="str">
        <x:f>A24</x:f>
        <x:v>CL-013</x:v>
      </x:c>
      <x:c r="W14" t="str">
        <x:f>B24</x:f>
        <x:v>Atrium Village</x:v>
      </x:c>
      <x:c r="X14" t="n">
        <x:f>E24</x:f>
        <x:v>1</x:v>
      </x:c>
      <x:c r="Y14" t="n">
        <x:f>F24</x:f>
        <x:v>1</x:v>
      </x:c>
      <x:c r="Z14" s="24" t="n">
        <x:f>G24</x:f>
        <x:v>45</x:v>
      </x:c>
      <x:c r="AA14" s="24" t="n">
        <x:f>H24</x:f>
        <x:v>45</x:v>
      </x:c>
      <x:c r="AB14" s="24" t="n">
        <x:f>I24</x:f>
        <x:v>45</x:v>
      </x:c>
      <x:c r="AC14" t="str">
        <x:f>L24</x:f>
        <x:v>No</x:v>
      </x:c>
      <x:c r="AD14" t="n">
        <x:f>C24</x:f>
        <x:v>16</x:v>
      </x:c>
      <x:c r="AE14" t="n">
        <x:f>G24+(1000-C24)/1000000000</x:f>
        <x:v>45.000000984</x:v>
      </x:c>
      <x:c r="AF14" t="n">
        <x:f>E24+G24/1000000000</x:f>
        <x:v>1.000000045</x:v>
      </x:c>
      <x:c r="AG14" t="n">
        <x:f>IF(E24&gt;1,H24+G24/1000000000,0)</x:f>
        <x:v>0</x:v>
      </x:c>
      <x:c r="AI14" s="35" t="n">
        <x:v>46156</x:v>
      </x:c>
      <x:c r="AJ14" t="n">
        <x:v>1</x:v>
      </x:c>
      <x:c r="AK14" t="n">
        <x:v>1</x:v>
      </x:c>
      <x:c r="AL14" s="24" t="n">
        <x:v>75</x:v>
      </x:c>
      <x:c r="AM14" s="24" t="n">
        <x:v>1863</x:v>
      </x:c>
      <x:c r="AN14" s="24" t="n">
        <x:v>116</x:v>
      </x:c>
    </x:row>
    <x:row r="15">
      <x:c r="A15" t="str">
        <x:v>CL-004</x:v>
      </x:c>
      <x:c r="B15" t="str">
        <x:v>Davis Polk &amp; Wardwell</x:v>
      </x:c>
      <x:c r="C15" t="n">
        <x:f>MINIFS(tblServiceEvents[Event #],tblServiceEvents[Client],B15)</x:f>
        <x:v>7</x:v>
      </x:c>
      <x:c r="D15" t="n">
        <x:f>MAXIFS(tblServiceEvents[Event #],tblServiceEvents[Client],B15)</x:f>
        <x:v>7</x:v>
      </x:c>
      <x:c r="E15" t="n">
        <x:f>COUNTIFS(tblServiceEvents[Client],B15,tblServiceEvents[Status],"Completed")</x:f>
        <x:v>1</x:v>
      </x:c>
      <x:c r="F15" t="n">
        <x:f>COUNTIF(tblLedger[Client],B15)</x:f>
        <x:v>1</x:v>
      </x:c>
      <x:c r="G15" s="24" t="n">
        <x:f>SUMIFS(tblServiceEvents[Confirmed Revenue],tblServiceEvents[Client],B15,tblServiceEvents[Revenue Eligibility],"Eligible")</x:f>
        <x:v>50</x:v>
      </x:c>
      <x:c r="H15" s="24" t="n">
        <x:f>IFERROR(G15/COUNTIFS(tblServiceEvents[Client],B15,tblServiceEvents[Revenue Eligibility],"Eligible"),0)</x:f>
        <x:v>50</x:v>
      </x:c>
      <x:c r="I15" s="24" t="n">
        <x:f>IFERROR(SUMIFS(tblLedger[Breakdown Amount],tblLedger[Client],B15,tblLedger[Breakdown Confirmed],"Yes")/COUNTIFS(tblLedger[Client],B15,tblLedger[Breakdown Confirmed],"Yes"),0)</x:f>
        <x:v>50</x:v>
      </x:c>
      <x:c r="J15" t="n">
        <x:v>1</x:v>
      </x:c>
      <x:c r="K15" t="n">
        <x:v>1</x:v>
      </x:c>
      <x:c r="L15" t="str">
        <x:f>IF(E15&gt;1,"Yes","No")</x:f>
        <x:v>No</x:v>
      </x:c>
      <x:c r="V15" t="str">
        <x:f>A25</x:f>
        <x:v>CL-014</x:v>
      </x:c>
      <x:c r="W15" t="str">
        <x:f>B25</x:f>
        <x:v>Maryland Baptist Age Home</x:v>
      </x:c>
      <x:c r="X15" t="n">
        <x:f>E25</x:f>
        <x:v>1</x:v>
      </x:c>
      <x:c r="Y15" t="n">
        <x:f>F25</x:f>
        <x:v>1</x:v>
      </x:c>
      <x:c r="Z15" s="24" t="n">
        <x:f>G25</x:f>
        <x:v>50</x:v>
      </x:c>
      <x:c r="AA15" s="24" t="n">
        <x:f>H25</x:f>
        <x:v>50</x:v>
      </x:c>
      <x:c r="AB15" s="24" t="n">
        <x:f>I25</x:f>
        <x:v>50</x:v>
      </x:c>
      <x:c r="AC15" t="str">
        <x:f>L25</x:f>
        <x:v>No</x:v>
      </x:c>
      <x:c r="AD15" t="n">
        <x:f>C25</x:f>
        <x:v>17</x:v>
      </x:c>
      <x:c r="AE15" t="n">
        <x:f>G25+(1000-C25)/1000000000</x:f>
        <x:v>50.000000983</x:v>
      </x:c>
      <x:c r="AF15" t="n">
        <x:f>E25+G25/1000000000</x:f>
        <x:v>1.00000005</x:v>
      </x:c>
      <x:c r="AG15" t="n">
        <x:f>IF(E25&gt;1,H25+G25/1000000000,0)</x:f>
        <x:v>0</x:v>
      </x:c>
      <x:c r="AI15" s="35" t="n">
        <x:v>46157</x:v>
      </x:c>
      <x:c r="AJ15" t="n">
        <x:v>1</x:v>
      </x:c>
      <x:c r="AK15" t="n">
        <x:v>1</x:v>
      </x:c>
      <x:c r="AL15" s="24" t="n">
        <x:v>45</x:v>
      </x:c>
      <x:c r="AM15" s="24" t="n">
        <x:v>1908</x:v>
      </x:c>
      <x:c r="AN15" s="24" t="n">
        <x:v>82.5</x:v>
      </x:c>
    </x:row>
    <x:row r="16">
      <x:c r="A16" t="str">
        <x:v>CL-005</x:v>
      </x:c>
      <x:c r="B16" t="str">
        <x:v>Hebrew Home of Greater Washington</x:v>
      </x:c>
      <x:c r="C16" t="n">
        <x:f>MINIFS(tblServiceEvents[Event #],tblServiceEvents[Client],B16)</x:f>
        <x:v>8</x:v>
      </x:c>
      <x:c r="D16" t="n">
        <x:f>MAXIFS(tblServiceEvents[Event #],tblServiceEvents[Client],B16)</x:f>
        <x:v>51</x:v>
      </x:c>
      <x:c r="E16" t="n">
        <x:f>COUNTIFS(tblServiceEvents[Client],B16,tblServiceEvents[Status],"Completed")</x:f>
        <x:v>4</x:v>
      </x:c>
      <x:c r="F16" t="n">
        <x:f>COUNTIF(tblLedger[Client],B16)</x:f>
        <x:v>4</x:v>
      </x:c>
      <x:c r="G16" s="24" t="n">
        <x:f>SUMIFS(tblServiceEvents[Confirmed Revenue],tblServiceEvents[Client],B16,tblServiceEvents[Revenue Eligibility],"Eligible")</x:f>
        <x:v>225</x:v>
      </x:c>
      <x:c r="H16" s="24" t="n">
        <x:f>IFERROR(G16/COUNTIFS(tblServiceEvents[Client],B16,tblServiceEvents[Revenue Eligibility],"Eligible"),0)</x:f>
        <x:v>56.25</x:v>
      </x:c>
      <x:c r="I16" s="24" t="n">
        <x:f>IFERROR(SUMIFS(tblLedger[Breakdown Amount],tblLedger[Client],B16,tblLedger[Breakdown Confirmed],"Yes")/COUNTIFS(tblLedger[Client],B16,tblLedger[Breakdown Confirmed],"Yes"),0)</x:f>
        <x:v>55</x:v>
      </x:c>
      <x:c r="J16" t="n">
        <x:v>1</x:v>
      </x:c>
      <x:c r="K16" t="n">
        <x:v>1</x:v>
      </x:c>
      <x:c r="L16" t="str">
        <x:f>IF(E16&gt;1,"Yes","No")</x:f>
        <x:v>Yes</x:v>
      </x:c>
      <x:c r="V16" t="str">
        <x:f>A26</x:f>
        <x:v>CL-015</x:v>
      </x:c>
      <x:c r="W16" t="str">
        <x:f>B26</x:f>
        <x:v>Under Armour</x:v>
      </x:c>
      <x:c r="X16" t="n">
        <x:f>E26</x:f>
        <x:v>2</x:v>
      </x:c>
      <x:c r="Y16" t="n">
        <x:f>F26</x:f>
        <x:v>2</x:v>
      </x:c>
      <x:c r="Z16" s="24" t="n">
        <x:f>G26</x:f>
        <x:v>260</x:v>
      </x:c>
      <x:c r="AA16" s="24" t="n">
        <x:f>H26</x:f>
        <x:v>130</x:v>
      </x:c>
      <x:c r="AB16" s="24" t="n">
        <x:f>I26</x:f>
        <x:v>130</x:v>
      </x:c>
      <x:c r="AC16" t="str">
        <x:f>L26</x:f>
        <x:v>Yes</x:v>
      </x:c>
      <x:c r="AD16" t="n">
        <x:f>C26</x:f>
        <x:v>18</x:v>
      </x:c>
      <x:c r="AE16" t="n">
        <x:f>G26+(1000-C26)/1000000000</x:f>
        <x:v>260.000000982</x:v>
      </x:c>
      <x:c r="AF16" t="n">
        <x:f>E26+G26/1000000000</x:f>
        <x:v>2.00000026</x:v>
      </x:c>
      <x:c r="AG16" t="n">
        <x:f>IF(E26&gt;1,H26+G26/1000000000,0)</x:f>
        <x:v>130.00000026</x:v>
      </x:c>
      <x:c r="AI16" s="35" t="n">
        <x:v>46161</x:v>
      </x:c>
      <x:c r="AJ16" t="n">
        <x:v>1</x:v>
      </x:c>
      <x:c r="AK16" t="n">
        <x:v>1</x:v>
      </x:c>
      <x:c r="AL16" s="24" t="n">
        <x:v>50</x:v>
      </x:c>
      <x:c r="AM16" s="24" t="n">
        <x:v>1958</x:v>
      </x:c>
      <x:c r="AN16" s="24" t="n">
        <x:v>61</x:v>
      </x:c>
    </x:row>
    <x:row r="17">
      <x:c r="A17" t="str">
        <x:v>CL-006</x:v>
      </x:c>
      <x:c r="B17" t="str">
        <x:v>7-Eleven</x:v>
      </x:c>
      <x:c r="C17" t="n">
        <x:f>MINIFS(tblServiceEvents[Event #],tblServiceEvents[Client],B17)</x:f>
        <x:v>9</x:v>
      </x:c>
      <x:c r="D17" t="n">
        <x:f>MAXIFS(tblServiceEvents[Event #],tblServiceEvents[Client],B17)</x:f>
        <x:v>79</x:v>
      </x:c>
      <x:c r="E17" t="n">
        <x:f>COUNTIFS(tblServiceEvents[Client],B17,tblServiceEvents[Status],"Completed")</x:f>
        <x:v>4</x:v>
      </x:c>
      <x:c r="F17" t="n">
        <x:f>COUNTIF(tblLedger[Client],B17)</x:f>
        <x:v>4</x:v>
      </x:c>
      <x:c r="G17" s="24" t="n">
        <x:f>SUMIFS(tblServiceEvents[Confirmed Revenue],tblServiceEvents[Client],B17,tblServiceEvents[Revenue Eligibility],"Eligible")</x:f>
        <x:v>663.75</x:v>
      </x:c>
      <x:c r="H17" s="24" t="n">
        <x:f>IFERROR(G17/COUNTIFS(tblServiceEvents[Client],B17,tblServiceEvents[Revenue Eligibility],"Eligible"),0)</x:f>
        <x:v>165.9375</x:v>
      </x:c>
      <x:c r="I17" s="24" t="n">
        <x:f>IFERROR(SUMIFS(tblLedger[Breakdown Amount],tblLedger[Client],B17,tblLedger[Breakdown Confirmed],"Yes")/COUNTIFS(tblLedger[Client],B17,tblLedger[Breakdown Confirmed],"Yes"),0)</x:f>
        <x:v>163.8225</x:v>
      </x:c>
      <x:c r="J17" t="n">
        <x:v>1</x:v>
      </x:c>
      <x:c r="K17" t="n">
        <x:v>3</x:v>
      </x:c>
      <x:c r="L17" t="str">
        <x:f>IF(E17&gt;1,"Yes","No")</x:f>
        <x:v>Yes</x:v>
      </x:c>
      <x:c r="V17" t="str">
        <x:f>A27</x:f>
        <x:v>CL-016</x:v>
      </x:c>
      <x:c r="W17" t="str">
        <x:f>B27</x:f>
        <x:v>HomeGoods</x:v>
      </x:c>
      <x:c r="X17" t="n">
        <x:f>E27</x:f>
        <x:v>4</x:v>
      </x:c>
      <x:c r="Y17" t="n">
        <x:f>F27</x:f>
        <x:v>4</x:v>
      </x:c>
      <x:c r="Z17" s="24" t="n">
        <x:f>G27</x:f>
        <x:v>394.15999999999997</x:v>
      </x:c>
      <x:c r="AA17" s="24" t="n">
        <x:f>H27</x:f>
        <x:v>98.53999999999999</x:v>
      </x:c>
      <x:c r="AB17" s="24" t="n">
        <x:f>I27</x:f>
        <x:v>98.53999999999999</x:v>
      </x:c>
      <x:c r="AC17" t="str">
        <x:f>L27</x:f>
        <x:v>Yes</x:v>
      </x:c>
      <x:c r="AD17" t="n">
        <x:f>C27</x:f>
        <x:v>22</x:v>
      </x:c>
      <x:c r="AE17" t="n">
        <x:f>G27+(1000-C27)/1000000000</x:f>
        <x:v>394.16000097799997</x:v>
      </x:c>
      <x:c r="AF17" t="n">
        <x:f>E27+G27/1000000000</x:f>
        <x:v>4.00000039416</x:v>
      </x:c>
      <x:c r="AG17" t="n">
        <x:f>IF(E27&gt;1,H27+G27/1000000000,0)</x:f>
        <x:v>98.54000039415999</x:v>
      </x:c>
      <x:c r="AI17" s="35" t="n">
        <x:v>46162</x:v>
      </x:c>
      <x:c r="AJ17" t="n">
        <x:v>1</x:v>
      </x:c>
      <x:c r="AK17" t="n">
        <x:v>1</x:v>
      </x:c>
      <x:c r="AL17" s="24" t="n">
        <x:v>106.67</x:v>
      </x:c>
      <x:c r="AM17" s="24" t="n">
        <x:v>2064.67</x:v>
      </x:c>
      <x:c r="AN17" s="24" t="n">
        <x:v>65.33</x:v>
      </x:c>
    </x:row>
    <x:row r="18">
      <x:c r="A18" t="str">
        <x:v>CL-007</x:v>
      </x:c>
      <x:c r="B18" t="str">
        <x:v>Giant Food Stores</x:v>
      </x:c>
      <x:c r="C18" t="n">
        <x:f>MINIFS(tblServiceEvents[Event #],tblServiceEvents[Client],B18)</x:f>
        <x:v>10</x:v>
      </x:c>
      <x:c r="D18" t="n">
        <x:f>MAXIFS(tblServiceEvents[Event #],tblServiceEvents[Client],B18)</x:f>
        <x:v>70</x:v>
      </x:c>
      <x:c r="E18" t="n">
        <x:f>COUNTIFS(tblServiceEvents[Client],B18,tblServiceEvents[Status],"Completed")</x:f>
        <x:v>4</x:v>
      </x:c>
      <x:c r="F18" t="n">
        <x:f>COUNTIF(tblLedger[Client],B18)</x:f>
        <x:v>4</x:v>
      </x:c>
      <x:c r="G18" s="24" t="n">
        <x:f>SUMIFS(tblServiceEvents[Confirmed Revenue],tblServiceEvents[Client],B18,tblServiceEvents[Revenue Eligibility],"Eligible")</x:f>
        <x:v>478.33</x:v>
      </x:c>
      <x:c r="H18" s="24" t="n">
        <x:f>IFERROR(G18/COUNTIFS(tblServiceEvents[Client],B18,tblServiceEvents[Revenue Eligibility],"Eligible"),0)</x:f>
        <x:v>119.5825</x:v>
      </x:c>
      <x:c r="I18" s="24" t="n">
        <x:f>IFERROR(SUMIFS(tblLedger[Breakdown Amount],tblLedger[Client],B18,tblLedger[Breakdown Confirmed],"Yes")/COUNTIFS(tblLedger[Client],B18,tblLedger[Breakdown Confirmed],"Yes"),0)</x:f>
        <x:v>119.5825</x:v>
      </x:c>
      <x:c r="J18" t="n">
        <x:v>2</x:v>
      </x:c>
      <x:c r="K18" t="n">
        <x:v>3</x:v>
      </x:c>
      <x:c r="L18" t="str">
        <x:f>IF(E18&gt;1,"Yes","No")</x:f>
        <x:v>Yes</x:v>
      </x:c>
      <x:c r="V18" t="str">
        <x:f>A28</x:f>
        <x:v>CL-017</x:v>
      </x:c>
      <x:c r="W18" t="str">
        <x:f>B28</x:f>
        <x:v>Joint Base Andrews</x:v>
      </x:c>
      <x:c r="X18" t="n">
        <x:f>E28</x:f>
        <x:v>1</x:v>
      </x:c>
      <x:c r="Y18" t="n">
        <x:f>F28</x:f>
        <x:v>1</x:v>
      </x:c>
      <x:c r="Z18" s="24" t="n">
        <x:f>G28</x:f>
        <x:v>50</x:v>
      </x:c>
      <x:c r="AA18" s="24" t="n">
        <x:f>H28</x:f>
        <x:v>50</x:v>
      </x:c>
      <x:c r="AB18" s="24" t="n">
        <x:f>I28</x:f>
        <x:v>50</x:v>
      </x:c>
      <x:c r="AC18" t="str">
        <x:f>L28</x:f>
        <x:v>No</x:v>
      </x:c>
      <x:c r="AD18" t="n">
        <x:f>C28</x:f>
        <x:v>23</x:v>
      </x:c>
      <x:c r="AE18" t="n">
        <x:f>G28+(1000-C28)/1000000000</x:f>
        <x:v>50.000000977</x:v>
      </x:c>
      <x:c r="AF18" t="n">
        <x:f>E28+G28/1000000000</x:f>
        <x:v>1.00000005</x:v>
      </x:c>
      <x:c r="AG18" t="n">
        <x:f>IF(E28&gt;1,H28+G28/1000000000,0)</x:f>
        <x:v>0</x:v>
      </x:c>
      <x:c r="AI18" s="35" t="n">
        <x:v>46163</x:v>
      </x:c>
      <x:c r="AJ18" t="n">
        <x:v>2</x:v>
      </x:c>
      <x:c r="AK18" t="n">
        <x:v>2</x:v>
      </x:c>
      <x:c r="AL18" s="24" t="n">
        <x:v>265.83</x:v>
      </x:c>
      <x:c r="AM18" s="24" t="n">
        <x:v>2330.5</x:v>
      </x:c>
      <x:c r="AN18" s="24" t="n">
        <x:v>108.5</x:v>
      </x:c>
    </x:row>
    <x:row r="19">
      <x:c r="A19" t="str">
        <x:v>CL-008</x:v>
      </x:c>
      <x:c r="B19" t="str">
        <x:v>Food Lion</x:v>
      </x:c>
      <x:c r="C19" t="n">
        <x:f>MINIFS(tblServiceEvents[Event #],tblServiceEvents[Client],B19)</x:f>
        <x:v>11</x:v>
      </x:c>
      <x:c r="D19" t="n">
        <x:f>MAXIFS(tblServiceEvents[Event #],tblServiceEvents[Client],B19)</x:f>
        <x:v>52</x:v>
      </x:c>
      <x:c r="E19" t="n">
        <x:f>COUNTIFS(tblServiceEvents[Client],B19,tblServiceEvents[Status],"Completed")</x:f>
        <x:v>3</x:v>
      </x:c>
      <x:c r="F19" t="n">
        <x:f>COUNTIF(tblLedger[Client],B19)</x:f>
        <x:v>3</x:v>
      </x:c>
      <x:c r="G19" s="24" t="n">
        <x:f>SUMIFS(tblServiceEvents[Confirmed Revenue],tblServiceEvents[Client],B19,tblServiceEvents[Revenue Eligibility],"Eligible")</x:f>
        <x:v>371.65</x:v>
      </x:c>
      <x:c r="H19" s="24" t="n">
        <x:f>IFERROR(G19/COUNTIFS(tblServiceEvents[Client],B19,tblServiceEvents[Revenue Eligibility],"Eligible"),0)</x:f>
        <x:v>123.88333333333333</x:v>
      </x:c>
      <x:c r="I19" s="24" t="n">
        <x:f>IFERROR(SUMIFS(tblLedger[Breakdown Amount],tblLedger[Client],B19,tblLedger[Breakdown Confirmed],"Yes")/COUNTIFS(tblLedger[Client],B19,tblLedger[Breakdown Confirmed],"Yes"),0)</x:f>
        <x:v>123.88333333333333</x:v>
      </x:c>
      <x:c r="J19" t="n">
        <x:v>2</x:v>
      </x:c>
      <x:c r="K19" t="n">
        <x:v>3</x:v>
      </x:c>
      <x:c r="L19" t="str">
        <x:f>IF(E19&gt;1,"Yes","No")</x:f>
        <x:v>Yes</x:v>
      </x:c>
      <x:c r="V19" t="str">
        <x:f>A29</x:f>
        <x:v>CL-018</x:v>
      </x:c>
      <x:c r="W19" t="str">
        <x:f>B29</x:f>
        <x:v>USDA</x:v>
      </x:c>
      <x:c r="X19" t="n">
        <x:f>E29</x:f>
        <x:v>6</x:v>
      </x:c>
      <x:c r="Y19" t="n">
        <x:f>F29</x:f>
        <x:v>6</x:v>
      </x:c>
      <x:c r="Z19" s="24" t="n">
        <x:f>G29</x:f>
        <x:v>1355</x:v>
      </x:c>
      <x:c r="AA19" s="24" t="n">
        <x:f>H29</x:f>
        <x:v>225.83333333333334</x:v>
      </x:c>
      <x:c r="AB19" s="24" t="n">
        <x:f>I29</x:f>
        <x:v>225.83333333333334</x:v>
      </x:c>
      <x:c r="AC19" t="str">
        <x:f>L29</x:f>
        <x:v>Yes</x:v>
      </x:c>
      <x:c r="AD19" t="n">
        <x:f>C29</x:f>
        <x:v>24</x:v>
      </x:c>
      <x:c r="AE19" t="n">
        <x:f>G29+(1000-C29)/1000000000</x:f>
        <x:v>1355.000000976</x:v>
      </x:c>
      <x:c r="AF19" t="n">
        <x:f>E29+G29/1000000000</x:f>
        <x:v>6.000001355</x:v>
      </x:c>
      <x:c r="AG19" t="n">
        <x:f>IF(E29&gt;1,H29+G29/1000000000,0)</x:f>
        <x:v>225.83333468833334</x:v>
      </x:c>
      <x:c r="AI19" s="35" t="n">
        <x:v>46168</x:v>
      </x:c>
      <x:c r="AJ19" t="n">
        <x:v>2</x:v>
      </x:c>
      <x:c r="AK19" t="n">
        <x:v>2</x:v>
      </x:c>
      <x:c r="AL19" s="24" t="n">
        <x:v>147.91</x:v>
      </x:c>
      <x:c r="AM19" s="24" t="n">
        <x:v>2478.41</x:v>
      </x:c>
      <x:c r="AN19" s="24" t="n">
        <x:v>123.08</x:v>
      </x:c>
    </x:row>
    <x:row r="20">
      <x:c r="A20" t="str">
        <x:v>CL-009</x:v>
      </x:c>
      <x:c r="B20" t="str">
        <x:v>Weis Markets</x:v>
      </x:c>
      <x:c r="C20" t="n">
        <x:f>MINIFS(tblServiceEvents[Event #],tblServiceEvents[Client],B20)</x:f>
        <x:v>12</x:v>
      </x:c>
      <x:c r="D20" t="n">
        <x:f>MAXIFS(tblServiceEvents[Event #],tblServiceEvents[Client],B20)</x:f>
        <x:v>49</x:v>
      </x:c>
      <x:c r="E20" t="n">
        <x:f>COUNTIFS(tblServiceEvents[Client],B20,tblServiceEvents[Status],"Completed")</x:f>
        <x:v>2</x:v>
      </x:c>
      <x:c r="F20" t="n">
        <x:f>COUNTIF(tblLedger[Client],B20)</x:f>
        <x:v>2</x:v>
      </x:c>
      <x:c r="G20" s="24" t="n">
        <x:f>SUMIFS(tblServiceEvents[Confirmed Revenue],tblServiceEvents[Client],B20,tblServiceEvents[Revenue Eligibility],"Eligible")</x:f>
        <x:v>175</x:v>
      </x:c>
      <x:c r="H20" s="24" t="n">
        <x:f>IFERROR(G20/COUNTIFS(tblServiceEvents[Client],B20,tblServiceEvents[Revenue Eligibility],"Eligible"),0)</x:f>
        <x:v>87.5</x:v>
      </x:c>
      <x:c r="I20" s="24" t="n">
        <x:f>IFERROR(SUMIFS(tblLedger[Breakdown Amount],tblLedger[Client],B20,tblLedger[Breakdown Confirmed],"Yes")/COUNTIFS(tblLedger[Client],B20,tblLedger[Breakdown Confirmed],"Yes"),0)</x:f>
        <x:v>87.5</x:v>
      </x:c>
      <x:c r="J20" t="n">
        <x:v>2</x:v>
      </x:c>
      <x:c r="K20" t="n">
        <x:v>2</x:v>
      </x:c>
      <x:c r="L20" t="str">
        <x:f>IF(E20&gt;1,"Yes","No")</x:f>
        <x:v>Yes</x:v>
      </x:c>
      <x:c r="V20" t="str">
        <x:f>A30</x:f>
        <x:v>CL-019</x:v>
      </x:c>
      <x:c r="W20" t="str">
        <x:f>B30</x:f>
        <x:v>PepsiCo</x:v>
      </x:c>
      <x:c r="X20" t="n">
        <x:f>E30</x:f>
        <x:v>1</x:v>
      </x:c>
      <x:c r="Y20" t="n">
        <x:f>F30</x:f>
        <x:v>1</x:v>
      </x:c>
      <x:c r="Z20" s="24" t="n">
        <x:f>G30</x:f>
        <x:v>50</x:v>
      </x:c>
      <x:c r="AA20" s="24" t="n">
        <x:f>H30</x:f>
        <x:v>50</x:v>
      </x:c>
      <x:c r="AB20" s="24" t="n">
        <x:f>I30</x:f>
        <x:v>50</x:v>
      </x:c>
      <x:c r="AC20" t="str">
        <x:f>L30</x:f>
        <x:v>No</x:v>
      </x:c>
      <x:c r="AD20" t="n">
        <x:f>C30</x:f>
        <x:v>25</x:v>
      </x:c>
      <x:c r="AE20" t="n">
        <x:f>G30+(1000-C30)/1000000000</x:f>
        <x:v>50.000000975</x:v>
      </x:c>
      <x:c r="AF20" t="n">
        <x:f>E30+G30/1000000000</x:f>
        <x:v>1.00000005</x:v>
      </x:c>
      <x:c r="AG20" t="n">
        <x:f>IF(E30&gt;1,H30+G30/1000000000,0)</x:f>
        <x:v>0</x:v>
      </x:c>
      <x:c r="AI20" s="35" t="n">
        <x:v>46169</x:v>
      </x:c>
      <x:c r="AJ20" t="n">
        <x:v>2</x:v>
      </x:c>
      <x:c r="AK20" t="n">
        <x:v>1</x:v>
      </x:c>
      <x:c r="AL20" s="24" t="n">
        <x:v>200</x:v>
      </x:c>
      <x:c r="AM20" s="24" t="n">
        <x:v>2678.41</x:v>
      </x:c>
      <x:c r="AN20" s="24" t="n">
        <x:v>154.08</x:v>
      </x:c>
    </x:row>
    <x:row r="21">
      <x:c r="A21" t="str">
        <x:v>CL-010</x:v>
      </x:c>
      <x:c r="B21" t="str">
        <x:v>Office of MD Senator Chris Van Hollen</x:v>
      </x:c>
      <x:c r="C21" t="n">
        <x:f>MINIFS(tblServiceEvents[Event #],tblServiceEvents[Client],B21)</x:f>
        <x:v>13</x:v>
      </x:c>
      <x:c r="D21" t="n">
        <x:f>MAXIFS(tblServiceEvents[Event #],tblServiceEvents[Client],B21)</x:f>
        <x:v>13</x:v>
      </x:c>
      <x:c r="E21" t="n">
        <x:f>COUNTIFS(tblServiceEvents[Client],B21,tblServiceEvents[Status],"Completed")</x:f>
        <x:v>1</x:v>
      </x:c>
      <x:c r="F21" t="n">
        <x:f>COUNTIF(tblLedger[Client],B21)</x:f>
        <x:v>1</x:v>
      </x:c>
      <x:c r="G21" s="24" t="n">
        <x:f>SUMIFS(tblServiceEvents[Confirmed Revenue],tblServiceEvents[Client],B21,tblServiceEvents[Revenue Eligibility],"Eligible")</x:f>
        <x:v>50</x:v>
      </x:c>
      <x:c r="H21" s="24" t="n">
        <x:f>IFERROR(G21/COUNTIFS(tblServiceEvents[Client],B21,tblServiceEvents[Revenue Eligibility],"Eligible"),0)</x:f>
        <x:v>50</x:v>
      </x:c>
      <x:c r="I21" s="24" t="n">
        <x:f>IFERROR(SUMIFS(tblLedger[Breakdown Amount],tblLedger[Client],B21,tblLedger[Breakdown Confirmed],"Yes")/COUNTIFS(tblLedger[Client],B21,tblLedger[Breakdown Confirmed],"Yes"),0)</x:f>
        <x:v>50</x:v>
      </x:c>
      <x:c r="J21" t="n">
        <x:v>1</x:v>
      </x:c>
      <x:c r="K21" t="n">
        <x:v>1</x:v>
      </x:c>
      <x:c r="L21" t="str">
        <x:f>IF(E21&gt;1,"Yes","No")</x:f>
        <x:v>No</x:v>
      </x:c>
      <x:c r="V21" t="str">
        <x:f>A31</x:f>
        <x:v>CL-020</x:v>
      </x:c>
      <x:c r="W21" t="str">
        <x:f>B31</x:f>
        <x:v>TJ Maxx</x:v>
      </x:c>
      <x:c r="X21" t="n">
        <x:f>E31</x:f>
        <x:v>7</x:v>
      </x:c>
      <x:c r="Y21" t="n">
        <x:f>F31</x:f>
        <x:v>8</x:v>
      </x:c>
      <x:c r="Z21" s="24" t="n">
        <x:f>G31</x:f>
        <x:v>732.48</x:v>
      </x:c>
      <x:c r="AA21" s="24" t="n">
        <x:f>H31</x:f>
        <x:v>122.08</x:v>
      </x:c>
      <x:c r="AB21" s="24" t="n">
        <x:f>I31</x:f>
        <x:v>120.35428571428572</x:v>
      </x:c>
      <x:c r="AC21" t="str">
        <x:f>L31</x:f>
        <x:v>Yes</x:v>
      </x:c>
      <x:c r="AD21" t="n">
        <x:f>C31</x:f>
        <x:v>30</x:v>
      </x:c>
      <x:c r="AE21" t="n">
        <x:f>G31+(1000-C31)/1000000000</x:f>
        <x:v>732.48000097</x:v>
      </x:c>
      <x:c r="AF21" t="n">
        <x:f>E31+G31/1000000000</x:f>
        <x:v>7.00000073248</x:v>
      </x:c>
      <x:c r="AG21" t="n">
        <x:f>IF(E31&gt;1,H31+G31/1000000000,0)</x:f>
        <x:v>122.08000073248</x:v>
      </x:c>
      <x:c r="AI21" s="35" t="n">
        <x:v>46170</x:v>
      </x:c>
      <x:c r="AJ21" t="n">
        <x:v>2</x:v>
      </x:c>
      <x:c r="AK21" t="n">
        <x:v>1</x:v>
      </x:c>
      <x:c r="AL21" s="24" t="n">
        <x:v>175</x:v>
      </x:c>
      <x:c r="AM21" s="24" t="n">
        <x:v>2853.41</x:v>
      </x:c>
      <x:c r="AN21" s="24" t="n">
        <x:v>179.08</x:v>
      </x:c>
    </x:row>
    <x:row r="22">
      <x:c r="A22" t="str">
        <x:v>CL-011</x:v>
      </x:c>
      <x:c r="B22" t="str">
        <x:v>Residential – Annapolis Neck, MD</x:v>
      </x:c>
      <x:c r="C22" t="n">
        <x:f>MINIFS(tblServiceEvents[Event #],tblServiceEvents[Client],B22)</x:f>
        <x:v>14</x:v>
      </x:c>
      <x:c r="D22" t="n">
        <x:f>MAXIFS(tblServiceEvents[Event #],tblServiceEvents[Client],B22)</x:f>
        <x:v>40</x:v>
      </x:c>
      <x:c r="E22" t="n">
        <x:f>COUNTIFS(tblServiceEvents[Client],B22,tblServiceEvents[Status],"Completed")</x:f>
        <x:v>2</x:v>
      </x:c>
      <x:c r="F22" t="n">
        <x:f>COUNTIF(tblLedger[Client],B22)</x:f>
        <x:v>2</x:v>
      </x:c>
      <x:c r="G22" s="24" t="n">
        <x:f>SUMIFS(tblServiceEvents[Confirmed Revenue],tblServiceEvents[Client],B22,tblServiceEvents[Revenue Eligibility],"Eligible")</x:f>
        <x:v>85</x:v>
      </x:c>
      <x:c r="H22" s="24" t="n">
        <x:f>IFERROR(G22/COUNTIFS(tblServiceEvents[Client],B22,tblServiceEvents[Revenue Eligibility],"Eligible"),0)</x:f>
        <x:v>42.5</x:v>
      </x:c>
      <x:c r="I22" s="24" t="n">
        <x:f>IFERROR(SUMIFS(tblLedger[Breakdown Amount],tblLedger[Client],B22,tblLedger[Breakdown Confirmed],"Yes")/COUNTIFS(tblLedger[Client],B22,tblLedger[Breakdown Confirmed],"Yes"),0)</x:f>
        <x:v>42.5</x:v>
      </x:c>
      <x:c r="J22" t="n">
        <x:v>1</x:v>
      </x:c>
      <x:c r="K22" t="n">
        <x:v>1</x:v>
      </x:c>
      <x:c r="L22" t="str">
        <x:f>IF(E22&gt;1,"Yes","No")</x:f>
        <x:v>Yes</x:v>
      </x:c>
      <x:c r="V22" t="str">
        <x:f>A32</x:f>
        <x:v>CL-021</x:v>
      </x:c>
      <x:c r="W22" t="str">
        <x:f>B32</x:f>
        <x:v>Hilton Garden Inn</x:v>
      </x:c>
      <x:c r="X22" t="n">
        <x:f>E32</x:f>
        <x:v>2</x:v>
      </x:c>
      <x:c r="Y22" t="n">
        <x:f>F32</x:f>
        <x:v>2</x:v>
      </x:c>
      <x:c r="Z22" s="24" t="n">
        <x:f>G32</x:f>
        <x:v>157.03</x:v>
      </x:c>
      <x:c r="AA22" s="24" t="n">
        <x:f>H32</x:f>
        <x:v>78.515</x:v>
      </x:c>
      <x:c r="AB22" s="24" t="n">
        <x:f>I32</x:f>
        <x:v>78.515</x:v>
      </x:c>
      <x:c r="AC22" t="str">
        <x:f>L32</x:f>
        <x:v>Yes</x:v>
      </x:c>
      <x:c r="AD22" t="n">
        <x:f>C32</x:f>
        <x:v>32</x:v>
      </x:c>
      <x:c r="AE22" t="n">
        <x:f>G32+(1000-C32)/1000000000</x:f>
        <x:v>157.030000968</x:v>
      </x:c>
      <x:c r="AF22" t="n">
        <x:f>E32+G32/1000000000</x:f>
        <x:v>2.00000015703</x:v>
      </x:c>
      <x:c r="AG22" t="n">
        <x:f>IF(E32&gt;1,H32+G32/1000000000,0)</x:f>
        <x:v>78.51500015703</x:v>
      </x:c>
      <x:c r="AI22" s="35" t="n">
        <x:v>46174</x:v>
      </x:c>
      <x:c r="AJ22" t="n">
        <x:v>1</x:v>
      </x:c>
      <x:c r="AK22" t="n">
        <x:v>1</x:v>
      </x:c>
      <x:c r="AL22" s="24" t="n">
        <x:v>320</x:v>
      </x:c>
      <x:c r="AM22" s="24" t="n">
        <x:v>3173.41</x:v>
      </x:c>
      <x:c r="AN22" s="24" t="n">
        <x:v>221.75</x:v>
      </x:c>
    </x:row>
    <x:row r="23">
      <x:c r="A23" t="str">
        <x:v>CL-012</x:v>
      </x:c>
      <x:c r="B23" t="str">
        <x:v>Verizon</x:v>
      </x:c>
      <x:c r="C23" t="n">
        <x:f>MINIFS(tblServiceEvents[Event #],tblServiceEvents[Client],B23)</x:f>
        <x:v>15</x:v>
      </x:c>
      <x:c r="D23" t="n">
        <x:f>MAXIFS(tblServiceEvents[Event #],tblServiceEvents[Client],B23)</x:f>
        <x:v>43</x:v>
      </x:c>
      <x:c r="E23" t="n">
        <x:f>COUNTIFS(tblServiceEvents[Client],B23,tblServiceEvents[Status],"Completed")</x:f>
        <x:v>3</x:v>
      </x:c>
      <x:c r="F23" t="n">
        <x:f>COUNTIF(tblLedger[Client],B23)</x:f>
        <x:v>3</x:v>
      </x:c>
      <x:c r="G23" s="24" t="n">
        <x:f>SUMIFS(tblServiceEvents[Confirmed Revenue],tblServiceEvents[Client],B23,tblServiceEvents[Revenue Eligibility],"Eligible")</x:f>
        <x:v>175</x:v>
      </x:c>
      <x:c r="H23" s="24" t="n">
        <x:f>IFERROR(G23/COUNTIFS(tblServiceEvents[Client],B23,tblServiceEvents[Revenue Eligibility],"Eligible"),0)</x:f>
        <x:v>58.333333333333336</x:v>
      </x:c>
      <x:c r="I23" s="24" t="n">
        <x:f>IFERROR(SUMIFS(tblLedger[Breakdown Amount],tblLedger[Client],B23,tblLedger[Breakdown Confirmed],"Yes")/COUNTIFS(tblLedger[Client],B23,tblLedger[Breakdown Confirmed],"Yes"),0)</x:f>
        <x:v>58.333333333333336</x:v>
      </x:c>
      <x:c r="J23" t="n">
        <x:v>1</x:v>
      </x:c>
      <x:c r="K23" t="n">
        <x:v>3</x:v>
      </x:c>
      <x:c r="L23" t="str">
        <x:f>IF(E23&gt;1,"Yes","No")</x:f>
        <x:v>Yes</x:v>
      </x:c>
      <x:c r="V23" t="str">
        <x:f>A33</x:f>
        <x:v>CL-022</x:v>
      </x:c>
      <x:c r="W23" t="str">
        <x:f>B33</x:f>
        <x:v>Marshalls</x:v>
      </x:c>
      <x:c r="X23" t="n">
        <x:f>E33</x:f>
        <x:v>8</x:v>
      </x:c>
      <x:c r="Y23" t="n">
        <x:f>F33</x:f>
        <x:v>8</x:v>
      </x:c>
      <x:c r="Z23" s="24" t="n">
        <x:f>G33</x:f>
        <x:v>567.08</x:v>
      </x:c>
      <x:c r="AA23" s="24" t="n">
        <x:f>H33</x:f>
        <x:v>113.41600000000001</x:v>
      </x:c>
      <x:c r="AB23" s="24" t="n">
        <x:f>I33</x:f>
        <x:v>113.41600000000001</x:v>
      </x:c>
      <x:c r="AC23" t="str">
        <x:f>L33</x:f>
        <x:v>Yes</x:v>
      </x:c>
      <x:c r="AD23" t="n">
        <x:f>C33</x:f>
        <x:v>35</x:v>
      </x:c>
      <x:c r="AE23" t="n">
        <x:f>G33+(1000-C33)/1000000000</x:f>
        <x:v>567.0800009650001</x:v>
      </x:c>
      <x:c r="AF23" t="n">
        <x:f>E33+G33/1000000000</x:f>
        <x:v>8.00000056708</x:v>
      </x:c>
      <x:c r="AG23" t="n">
        <x:f>IF(E33&gt;1,H33+G33/1000000000,0)</x:f>
        <x:v>113.41600056708</x:v>
      </x:c>
      <x:c r="AI23" s="35" t="n">
        <x:v>46175</x:v>
      </x:c>
      <x:c r="AJ23" t="n">
        <x:v>1</x:v>
      </x:c>
      <x:c r="AK23" t="n">
        <x:v>1</x:v>
      </x:c>
      <x:c r="AL23" s="24" t="n">
        <x:v>320</x:v>
      </x:c>
      <x:c r="AM23" s="24" t="n">
        <x:v>3493.41</x:v>
      </x:c>
      <x:c r="AN23" s="24" t="n">
        <x:v>232.58</x:v>
      </x:c>
    </x:row>
    <x:row r="24">
      <x:c r="A24" t="str">
        <x:v>CL-013</x:v>
      </x:c>
      <x:c r="B24" t="str">
        <x:v>Atrium Village</x:v>
      </x:c>
      <x:c r="C24" t="n">
        <x:f>MINIFS(tblServiceEvents[Event #],tblServiceEvents[Client],B24)</x:f>
        <x:v>16</x:v>
      </x:c>
      <x:c r="D24" t="n">
        <x:f>MAXIFS(tblServiceEvents[Event #],tblServiceEvents[Client],B24)</x:f>
        <x:v>16</x:v>
      </x:c>
      <x:c r="E24" t="n">
        <x:f>COUNTIFS(tblServiceEvents[Client],B24,tblServiceEvents[Status],"Completed")</x:f>
        <x:v>1</x:v>
      </x:c>
      <x:c r="F24" t="n">
        <x:f>COUNTIF(tblLedger[Client],B24)</x:f>
        <x:v>1</x:v>
      </x:c>
      <x:c r="G24" s="24" t="n">
        <x:f>SUMIFS(tblServiceEvents[Confirmed Revenue],tblServiceEvents[Client],B24,tblServiceEvents[Revenue Eligibility],"Eligible")</x:f>
        <x:v>45</x:v>
      </x:c>
      <x:c r="H24" s="24" t="n">
        <x:f>IFERROR(G24/COUNTIFS(tblServiceEvents[Client],B24,tblServiceEvents[Revenue Eligibility],"Eligible"),0)</x:f>
        <x:v>45</x:v>
      </x:c>
      <x:c r="I24" s="24" t="n">
        <x:f>IFERROR(SUMIFS(tblLedger[Breakdown Amount],tblLedger[Client],B24,tblLedger[Breakdown Confirmed],"Yes")/COUNTIFS(tblLedger[Client],B24,tblLedger[Breakdown Confirmed],"Yes"),0)</x:f>
        <x:v>45</x:v>
      </x:c>
      <x:c r="J24" t="n">
        <x:v>1</x:v>
      </x:c>
      <x:c r="K24" t="n">
        <x:v>1</x:v>
      </x:c>
      <x:c r="L24" t="str">
        <x:f>IF(E24&gt;1,"Yes","No")</x:f>
        <x:v>No</x:v>
      </x:c>
      <x:c r="V24" t="str">
        <x:f>A34</x:f>
        <x:v>CL-023</x:v>
      </x:c>
      <x:c r="W24" t="str">
        <x:f>B34</x:f>
        <x:v>Baskin-Robbins</x:v>
      </x:c>
      <x:c r="X24" t="n">
        <x:f>E34</x:f>
        <x:v>1</x:v>
      </x:c>
      <x:c r="Y24" t="n">
        <x:f>F34</x:f>
        <x:v>1</x:v>
      </x:c>
      <x:c r="Z24" s="24" t="n">
        <x:f>G34</x:f>
        <x:v>45</x:v>
      </x:c>
      <x:c r="AA24" s="24" t="n">
        <x:f>H34</x:f>
        <x:v>45</x:v>
      </x:c>
      <x:c r="AB24" s="24" t="n">
        <x:f>I34</x:f>
        <x:v>45</x:v>
      </x:c>
      <x:c r="AC24" t="str">
        <x:f>L34</x:f>
        <x:v>No</x:v>
      </x:c>
      <x:c r="AD24" t="n">
        <x:f>C34</x:f>
        <x:v>41</x:v>
      </x:c>
      <x:c r="AE24" t="n">
        <x:f>G34+(1000-C34)/1000000000</x:f>
        <x:v>45.000000959</x:v>
      </x:c>
      <x:c r="AF24" t="n">
        <x:f>E34+G34/1000000000</x:f>
        <x:v>1.000000045</x:v>
      </x:c>
      <x:c r="AG24" t="n">
        <x:f>IF(E34&gt;1,H34+G34/1000000000,0)</x:f>
        <x:v>0</x:v>
      </x:c>
      <x:c r="AI24" s="35" t="n">
        <x:v>46176</x:v>
      </x:c>
      <x:c r="AJ24" t="n">
        <x:v>2</x:v>
      </x:c>
      <x:c r="AK24" t="n">
        <x:v>2</x:v>
      </x:c>
      <x:c r="AL24" s="24" t="n">
        <x:v>296.66</x:v>
      </x:c>
      <x:c r="AM24" s="24" t="n">
        <x:v>3790.07</x:v>
      </x:c>
      <x:c r="AN24" s="24" t="n">
        <x:v>262.33</x:v>
      </x:c>
    </x:row>
    <x:row r="25">
      <x:c r="A25" t="str">
        <x:v>CL-014</x:v>
      </x:c>
      <x:c r="B25" t="str">
        <x:v>Maryland Baptist Age Home</x:v>
      </x:c>
      <x:c r="C25" t="n">
        <x:f>MINIFS(tblServiceEvents[Event #],tblServiceEvents[Client],B25)</x:f>
        <x:v>17</x:v>
      </x:c>
      <x:c r="D25" t="n">
        <x:f>MAXIFS(tblServiceEvents[Event #],tblServiceEvents[Client],B25)</x:f>
        <x:v>17</x:v>
      </x:c>
      <x:c r="E25" t="n">
        <x:f>COUNTIFS(tblServiceEvents[Client],B25,tblServiceEvents[Status],"Completed")</x:f>
        <x:v>1</x:v>
      </x:c>
      <x:c r="F25" t="n">
        <x:f>COUNTIF(tblLedger[Client],B25)</x:f>
        <x:v>1</x:v>
      </x:c>
      <x:c r="G25" s="24" t="n">
        <x:f>SUMIFS(tblServiceEvents[Confirmed Revenue],tblServiceEvents[Client],B25,tblServiceEvents[Revenue Eligibility],"Eligible")</x:f>
        <x:v>50</x:v>
      </x:c>
      <x:c r="H25" s="24" t="n">
        <x:f>IFERROR(G25/COUNTIFS(tblServiceEvents[Client],B25,tblServiceEvents[Revenue Eligibility],"Eligible"),0)</x:f>
        <x:v>50</x:v>
      </x:c>
      <x:c r="I25" s="24" t="n">
        <x:f>IFERROR(SUMIFS(tblLedger[Breakdown Amount],tblLedger[Client],B25,tblLedger[Breakdown Confirmed],"Yes")/COUNTIFS(tblLedger[Client],B25,tblLedger[Breakdown Confirmed],"Yes"),0)</x:f>
        <x:v>50</x:v>
      </x:c>
      <x:c r="J25" t="n">
        <x:v>1</x:v>
      </x:c>
      <x:c r="K25" t="n">
        <x:v>1</x:v>
      </x:c>
      <x:c r="L25" t="str">
        <x:f>IF(E25&gt;1,"Yes","No")</x:f>
        <x:v>No</x:v>
      </x:c>
      <x:c r="V25" t="str">
        <x:f>A35</x:f>
        <x:v>CL-024</x:v>
      </x:c>
      <x:c r="W25" t="str">
        <x:f>B35</x:f>
        <x:v>Montpelier Liquors</x:v>
      </x:c>
      <x:c r="X25" t="n">
        <x:f>E35</x:f>
        <x:v>2</x:v>
      </x:c>
      <x:c r="Y25" t="n">
        <x:f>F35</x:f>
        <x:v>2</x:v>
      </x:c>
      <x:c r="Z25" s="24" t="n">
        <x:f>G35</x:f>
        <x:v>194.74</x:v>
      </x:c>
      <x:c r="AA25" s="24" t="n">
        <x:f>H35</x:f>
        <x:v>97.37</x:v>
      </x:c>
      <x:c r="AB25" s="24" t="n">
        <x:f>I35</x:f>
        <x:v>97.37</x:v>
      </x:c>
      <x:c r="AC25" t="str">
        <x:f>L35</x:f>
        <x:v>Yes</x:v>
      </x:c>
      <x:c r="AD25" t="n">
        <x:f>C35</x:f>
        <x:v>45</x:v>
      </x:c>
      <x:c r="AE25" t="n">
        <x:f>G35+(1000-C35)/1000000000</x:f>
        <x:v>194.740000955</x:v>
      </x:c>
      <x:c r="AF25" t="n">
        <x:f>E35+G35/1000000000</x:f>
        <x:v>2.00000019474</x:v>
      </x:c>
      <x:c r="AG25" t="n">
        <x:f>IF(E35&gt;1,H35+G35/1000000000,0)</x:f>
        <x:v>97.37000019474</x:v>
      </x:c>
      <x:c r="AI25" s="35" t="n">
        <x:v>46177</x:v>
      </x:c>
      <x:c r="AJ25" t="n">
        <x:v>1</x:v>
      </x:c>
      <x:c r="AK25" t="n">
        <x:v>1</x:v>
      </x:c>
      <x:c r="AL25" s="24" t="n">
        <x:v>140</x:v>
      </x:c>
      <x:c r="AM25" s="24" t="n">
        <x:v>3930.07</x:v>
      </x:c>
      <x:c r="AN25" s="24" t="n">
        <x:v>250.33</x:v>
      </x:c>
    </x:row>
    <x:row r="26">
      <x:c r="A26" t="str">
        <x:v>CL-015</x:v>
      </x:c>
      <x:c r="B26" t="str">
        <x:v>Under Armour</x:v>
      </x:c>
      <x:c r="C26" t="n">
        <x:f>MINIFS(tblServiceEvents[Event #],tblServiceEvents[Client],B26)</x:f>
        <x:v>18</x:v>
      </x:c>
      <x:c r="D26" t="n">
        <x:f>MAXIFS(tblServiceEvents[Event #],tblServiceEvents[Client],B26)</x:f>
        <x:v>19</x:v>
      </x:c>
      <x:c r="E26" t="n">
        <x:f>COUNTIFS(tblServiceEvents[Client],B26,tblServiceEvents[Status],"Completed")</x:f>
        <x:v>2</x:v>
      </x:c>
      <x:c r="F26" t="n">
        <x:f>COUNTIF(tblLedger[Client],B26)</x:f>
        <x:v>2</x:v>
      </x:c>
      <x:c r="G26" s="24" t="n">
        <x:f>SUMIFS(tblServiceEvents[Confirmed Revenue],tblServiceEvents[Client],B26,tblServiceEvents[Revenue Eligibility],"Eligible")</x:f>
        <x:v>260</x:v>
      </x:c>
      <x:c r="H26" s="24" t="n">
        <x:f>IFERROR(G26/COUNTIFS(tblServiceEvents[Client],B26,tblServiceEvents[Revenue Eligibility],"Eligible"),0)</x:f>
        <x:v>130</x:v>
      </x:c>
      <x:c r="I26" s="24" t="n">
        <x:f>IFERROR(SUMIFS(tblLedger[Breakdown Amount],tblLedger[Client],B26,tblLedger[Breakdown Confirmed],"Yes")/COUNTIFS(tblLedger[Client],B26,tblLedger[Breakdown Confirmed],"Yes"),0)</x:f>
        <x:v>130</x:v>
      </x:c>
      <x:c r="J26" t="n">
        <x:v>1</x:v>
      </x:c>
      <x:c r="K26" t="n">
        <x:v>1</x:v>
      </x:c>
      <x:c r="L26" t="str">
        <x:f>IF(E26&gt;1,"Yes","No")</x:f>
        <x:v>Yes</x:v>
      </x:c>
      <x:c r="V26" t="str">
        <x:f>A36</x:f>
        <x:v>CL-025</x:v>
      </x:c>
      <x:c r="W26" t="str">
        <x:f>B36</x:f>
        <x:v>Office of MD Senator Angela Alsobrooks</x:v>
      </x:c>
      <x:c r="X26" t="n">
        <x:f>E36</x:f>
        <x:v>2</x:v>
      </x:c>
      <x:c r="Y26" t="n">
        <x:f>F36</x:f>
        <x:v>2</x:v>
      </x:c>
      <x:c r="Z26" s="24" t="n">
        <x:f>G36</x:f>
        <x:v>250</x:v>
      </x:c>
      <x:c r="AA26" s="24" t="n">
        <x:f>H36</x:f>
        <x:v>125</x:v>
      </x:c>
      <x:c r="AB26" s="24" t="n">
        <x:f>I36</x:f>
        <x:v>125</x:v>
      </x:c>
      <x:c r="AC26" t="str">
        <x:f>L36</x:f>
        <x:v>Yes</x:v>
      </x:c>
      <x:c r="AD26" t="n">
        <x:f>C36</x:f>
        <x:v>47</x:v>
      </x:c>
      <x:c r="AE26" t="n">
        <x:f>G36+(1000-C36)/1000000000</x:f>
        <x:v>250.000000953</x:v>
      </x:c>
      <x:c r="AF26" t="n">
        <x:f>E36+G36/1000000000</x:f>
        <x:v>2.00000025</x:v>
      </x:c>
      <x:c r="AG26" t="n">
        <x:f>IF(E36&gt;1,H36+G36/1000000000,0)</x:f>
        <x:v>125.00000025</x:v>
      </x:c>
      <x:c r="AI26" s="35" t="n">
        <x:v>46178</x:v>
      </x:c>
      <x:c r="AJ26" t="n">
        <x:v>3</x:v>
      </x:c>
      <x:c r="AK26" t="n">
        <x:v>3</x:v>
      </x:c>
      <x:c r="AL26" s="24" t="n">
        <x:v>145</x:v>
      </x:c>
      <x:c r="AM26" s="24" t="n">
        <x:v>4075.07</x:v>
      </x:c>
      <x:c r="AN26" s="24" t="n">
        <x:v>244.33</x:v>
      </x:c>
    </x:row>
    <x:row r="27">
      <x:c r="A27" t="str">
        <x:v>CL-016</x:v>
      </x:c>
      <x:c r="B27" t="str">
        <x:v>HomeGoods</x:v>
      </x:c>
      <x:c r="C27" t="n">
        <x:f>MINIFS(tblServiceEvents[Event #],tblServiceEvents[Client],B27)</x:f>
        <x:v>22</x:v>
      </x:c>
      <x:c r="D27" t="n">
        <x:f>MAXIFS(tblServiceEvents[Event #],tblServiceEvents[Client],B27)</x:f>
        <x:v>81</x:v>
      </x:c>
      <x:c r="E27" t="n">
        <x:f>COUNTIFS(tblServiceEvents[Client],B27,tblServiceEvents[Status],"Completed")</x:f>
        <x:v>4</x:v>
      </x:c>
      <x:c r="F27" t="n">
        <x:f>COUNTIF(tblLedger[Client],B27)</x:f>
        <x:v>4</x:v>
      </x:c>
      <x:c r="G27" s="24" t="n">
        <x:f>SUMIFS(tblServiceEvents[Confirmed Revenue],tblServiceEvents[Client],B27,tblServiceEvents[Revenue Eligibility],"Eligible")</x:f>
        <x:v>394.15999999999997</x:v>
      </x:c>
      <x:c r="H27" s="24" t="n">
        <x:f>IFERROR(G27/COUNTIFS(tblServiceEvents[Client],B27,tblServiceEvents[Revenue Eligibility],"Eligible"),0)</x:f>
        <x:v>98.53999999999999</x:v>
      </x:c>
      <x:c r="I27" s="24" t="n">
        <x:f>IFERROR(SUMIFS(tblLedger[Breakdown Amount],tblLedger[Client],B27,tblLedger[Breakdown Confirmed],"Yes")/COUNTIFS(tblLedger[Client],B27,tblLedger[Breakdown Confirmed],"Yes"),0)</x:f>
        <x:v>98.53999999999999</x:v>
      </x:c>
      <x:c r="J27" t="n">
        <x:v>2</x:v>
      </x:c>
      <x:c r="K27" t="n">
        <x:v>2</x:v>
      </x:c>
      <x:c r="L27" t="str">
        <x:f>IF(E27&gt;1,"Yes","No")</x:f>
        <x:v>Yes</x:v>
      </x:c>
      <x:c r="V27" t="str">
        <x:f>A37</x:f>
        <x:v>CL-026</x:v>
      </x:c>
      <x:c r="W27" t="str">
        <x:f>B37</x:f>
        <x:v>Dunkin</x:v>
      </x:c>
      <x:c r="X27" t="n">
        <x:f>E37</x:f>
        <x:v>6</x:v>
      </x:c>
      <x:c r="Y27" t="n">
        <x:f>F37</x:f>
        <x:v>6</x:v>
      </x:c>
      <x:c r="Z27" s="24" t="n">
        <x:f>G37</x:f>
        <x:v>1317.19</x:v>
      </x:c>
      <x:c r="AA27" s="24" t="n">
        <x:f>H37</x:f>
        <x:v>219.53166666666667</x:v>
      </x:c>
      <x:c r="AB27" s="24" t="n">
        <x:f>I37</x:f>
        <x:v>231.38000000000002</x:v>
      </x:c>
      <x:c r="AC27" t="str">
        <x:f>L37</x:f>
        <x:v>Yes</x:v>
      </x:c>
      <x:c r="AD27" t="n">
        <x:f>C37</x:f>
        <x:v>56</x:v>
      </x:c>
      <x:c r="AE27" t="n">
        <x:f>G37+(1000-C37)/1000000000</x:f>
        <x:v>1317.190000944</x:v>
      </x:c>
      <x:c r="AF27" t="n">
        <x:f>E37+G37/1000000000</x:f>
        <x:v>6.00000131719</x:v>
      </x:c>
      <x:c r="AG27" t="n">
        <x:f>IF(E37&gt;1,H37+G37/1000000000,0)</x:f>
        <x:v>219.53166798385666</x:v>
      </x:c>
      <x:c r="AI27" s="35" t="n">
        <x:v>46181</x:v>
      </x:c>
      <x:c r="AJ27" t="n">
        <x:v>1</x:v>
      </x:c>
      <x:c r="AK27" t="n">
        <x:v>1</x:v>
      </x:c>
      <x:c r="AL27" s="24" t="n">
        <x:v>70</x:v>
      </x:c>
      <x:c r="AM27" s="24" t="n">
        <x:v>4145.07</x:v>
      </x:c>
      <x:c r="AN27" s="24" t="n">
        <x:v>194.33</x:v>
      </x:c>
    </x:row>
    <x:row r="28">
      <x:c r="A28" t="str">
        <x:v>CL-017</x:v>
      </x:c>
      <x:c r="B28" t="str">
        <x:v>Joint Base Andrews</x:v>
      </x:c>
      <x:c r="C28" t="n">
        <x:f>MINIFS(tblServiceEvents[Event #],tblServiceEvents[Client],B28)</x:f>
        <x:v>23</x:v>
      </x:c>
      <x:c r="D28" t="n">
        <x:f>MAXIFS(tblServiceEvents[Event #],tblServiceEvents[Client],B28)</x:f>
        <x:v>23</x:v>
      </x:c>
      <x:c r="E28" t="n">
        <x:f>COUNTIFS(tblServiceEvents[Client],B28,tblServiceEvents[Status],"Completed")</x:f>
        <x:v>1</x:v>
      </x:c>
      <x:c r="F28" t="n">
        <x:f>COUNTIF(tblLedger[Client],B28)</x:f>
        <x:v>1</x:v>
      </x:c>
      <x:c r="G28" s="24" t="n">
        <x:f>SUMIFS(tblServiceEvents[Confirmed Revenue],tblServiceEvents[Client],B28,tblServiceEvents[Revenue Eligibility],"Eligible")</x:f>
        <x:v>50</x:v>
      </x:c>
      <x:c r="H28" s="24" t="n">
        <x:f>IFERROR(G28/COUNTIFS(tblServiceEvents[Client],B28,tblServiceEvents[Revenue Eligibility],"Eligible"),0)</x:f>
        <x:v>50</x:v>
      </x:c>
      <x:c r="I28" s="24" t="n">
        <x:f>IFERROR(SUMIFS(tblLedger[Breakdown Amount],tblLedger[Client],B28,tblLedger[Breakdown Confirmed],"Yes")/COUNTIFS(tblLedger[Client],B28,tblLedger[Breakdown Confirmed],"Yes"),0)</x:f>
        <x:v>50</x:v>
      </x:c>
      <x:c r="J28" t="n">
        <x:v>1</x:v>
      </x:c>
      <x:c r="K28" t="n">
        <x:v>1</x:v>
      </x:c>
      <x:c r="L28" t="str">
        <x:f>IF(E28&gt;1,"Yes","No")</x:f>
        <x:v>No</x:v>
      </x:c>
      <x:c r="V28" t="str">
        <x:f>A38</x:f>
        <x:v>CL-027</x:v>
      </x:c>
      <x:c r="W28" t="str">
        <x:f>B38</x:f>
        <x:v>Carvana</x:v>
      </x:c>
      <x:c r="X28" t="n">
        <x:f>E38</x:f>
        <x:v>1</x:v>
      </x:c>
      <x:c r="Y28" t="n">
        <x:f>F38</x:f>
        <x:v>2</x:v>
      </x:c>
      <x:c r="Z28" s="24" t="n">
        <x:f>G38</x:f>
        <x:v>0</x:v>
      </x:c>
      <x:c r="AA28" s="24" t="n">
        <x:f>H38</x:f>
        <x:v>0</x:v>
      </x:c>
      <x:c r="AB28" s="24" t="n">
        <x:f>I38</x:f>
        <x:v>0</x:v>
      </x:c>
      <x:c r="AC28" t="str">
        <x:f>L38</x:f>
        <x:v>No</x:v>
      </x:c>
      <x:c r="AD28" t="n">
        <x:f>C38</x:f>
        <x:v>60</x:v>
      </x:c>
      <x:c r="AE28" t="n">
        <x:f>G38+(1000-C38)/1000000000</x:f>
        <x:v>9.4e-7</x:v>
      </x:c>
      <x:c r="AF28" t="n">
        <x:f>E38+G38/1000000000</x:f>
        <x:v>1</x:v>
      </x:c>
      <x:c r="AG28" t="n">
        <x:f>IF(E38&gt;1,H38+G38/1000000000,0)</x:f>
        <x:v>0</x:v>
      </x:c>
      <x:c r="AI28" s="35" t="n">
        <x:v>46182</x:v>
      </x:c>
      <x:c r="AJ28" t="n">
        <x:v>2</x:v>
      </x:c>
      <x:c r="AK28" t="n">
        <x:v>2</x:v>
      </x:c>
      <x:c r="AL28" s="24" t="n">
        <x:v>155</x:v>
      </x:c>
      <x:c r="AM28" s="24" t="n">
        <x:v>4300.07</x:v>
      </x:c>
      <x:c r="AN28" s="24" t="n">
        <x:v>161.33</x:v>
      </x:c>
    </x:row>
    <x:row r="29">
      <x:c r="A29" t="str">
        <x:v>CL-018</x:v>
      </x:c>
      <x:c r="B29" t="str">
        <x:v>USDA</x:v>
      </x:c>
      <x:c r="C29" t="n">
        <x:f>MINIFS(tblServiceEvents[Event #],tblServiceEvents[Client],B29)</x:f>
        <x:v>24</x:v>
      </x:c>
      <x:c r="D29" t="n">
        <x:f>MAXIFS(tblServiceEvents[Event #],tblServiceEvents[Client],B29)</x:f>
        <x:v>31</x:v>
      </x:c>
      <x:c r="E29" t="n">
        <x:f>COUNTIFS(tblServiceEvents[Client],B29,tblServiceEvents[Status],"Completed")</x:f>
        <x:v>6</x:v>
      </x:c>
      <x:c r="F29" t="n">
        <x:f>COUNTIF(tblLedger[Client],B29)</x:f>
        <x:v>6</x:v>
      </x:c>
      <x:c r="G29" s="24" t="n">
        <x:f>SUMIFS(tblServiceEvents[Confirmed Revenue],tblServiceEvents[Client],B29,tblServiceEvents[Revenue Eligibility],"Eligible")</x:f>
        <x:v>1355</x:v>
      </x:c>
      <x:c r="H29" s="24" t="n">
        <x:f>IFERROR(G29/COUNTIFS(tblServiceEvents[Client],B29,tblServiceEvents[Revenue Eligibility],"Eligible"),0)</x:f>
        <x:v>225.83333333333334</x:v>
      </x:c>
      <x:c r="I29" s="24" t="n">
        <x:f>IFERROR(SUMIFS(tblLedger[Breakdown Amount],tblLedger[Client],B29,tblLedger[Breakdown Confirmed],"Yes")/COUNTIFS(tblLedger[Client],B29,tblLedger[Breakdown Confirmed],"Yes"),0)</x:f>
        <x:v>225.83333333333334</x:v>
      </x:c>
      <x:c r="J29" t="n">
        <x:v>1</x:v>
      </x:c>
      <x:c r="K29" t="n">
        <x:v>1</x:v>
      </x:c>
      <x:c r="L29" t="str">
        <x:f>IF(E29&gt;1,"Yes","No")</x:f>
        <x:v>Yes</x:v>
      </x:c>
      <x:c r="AI29" s="35" t="n">
        <x:v>46183</x:v>
      </x:c>
      <x:c r="AJ29" t="n">
        <x:v>3</x:v>
      </x:c>
      <x:c r="AK29" t="n">
        <x:v>3</x:v>
      </x:c>
      <x:c r="AL29" s="24" t="n">
        <x:v>390</x:v>
      </x:c>
      <x:c r="AM29" s="24" t="n">
        <x:v>4690.07</x:v>
      </x:c>
      <x:c r="AN29" s="24" t="n">
        <x:v>180</x:v>
      </x:c>
    </x:row>
    <x:row r="30">
      <x:c r="A30" t="str">
        <x:v>CL-019</x:v>
      </x:c>
      <x:c r="B30" t="str">
        <x:v>PepsiCo</x:v>
      </x:c>
      <x:c r="C30" t="n">
        <x:f>MINIFS(tblServiceEvents[Event #],tblServiceEvents[Client],B30)</x:f>
        <x:v>25</x:v>
      </x:c>
      <x:c r="D30" t="n">
        <x:f>MAXIFS(tblServiceEvents[Event #],tblServiceEvents[Client],B30)</x:f>
        <x:v>25</x:v>
      </x:c>
      <x:c r="E30" t="n">
        <x:f>COUNTIFS(tblServiceEvents[Client],B30,tblServiceEvents[Status],"Completed")</x:f>
        <x:v>1</x:v>
      </x:c>
      <x:c r="F30" t="n">
        <x:f>COUNTIF(tblLedger[Client],B30)</x:f>
        <x:v>1</x:v>
      </x:c>
      <x:c r="G30" s="24" t="n">
        <x:f>SUMIFS(tblServiceEvents[Confirmed Revenue],tblServiceEvents[Client],B30,tblServiceEvents[Revenue Eligibility],"Eligible")</x:f>
        <x:v>50</x:v>
      </x:c>
      <x:c r="H30" s="24" t="n">
        <x:f>IFERROR(G30/COUNTIFS(tblServiceEvents[Client],B30,tblServiceEvents[Revenue Eligibility],"Eligible"),0)</x:f>
        <x:v>50</x:v>
      </x:c>
      <x:c r="I30" s="24" t="n">
        <x:f>IFERROR(SUMIFS(tblLedger[Breakdown Amount],tblLedger[Client],B30,tblLedger[Breakdown Confirmed],"Yes")/COUNTIFS(tblLedger[Client],B30,tblLedger[Breakdown Confirmed],"Yes"),0)</x:f>
        <x:v>50</x:v>
      </x:c>
      <x:c r="J30" t="n">
        <x:v>1</x:v>
      </x:c>
      <x:c r="K30" t="n">
        <x:v>1</x:v>
      </x:c>
      <x:c r="L30" t="str">
        <x:f>IF(E30&gt;1,"Yes","No")</x:f>
        <x:v>No</x:v>
      </x:c>
      <x:c r="AI30" s="35" t="n">
        <x:v>46184</x:v>
      </x:c>
      <x:c r="AJ30" t="n">
        <x:v>2</x:v>
      </x:c>
      <x:c r="AK30" t="n">
        <x:v>2</x:v>
      </x:c>
      <x:c r="AL30" s="24" t="n">
        <x:v>95</x:v>
      </x:c>
      <x:c r="AM30" s="24" t="n">
        <x:v>4785.07</x:v>
      </x:c>
      <x:c r="AN30" s="24" t="n">
        <x:v>171</x:v>
      </x:c>
    </x:row>
    <x:row r="31">
      <x:c r="A31" t="str">
        <x:v>CL-020</x:v>
      </x:c>
      <x:c r="B31" t="str">
        <x:v>TJ Maxx</x:v>
      </x:c>
      <x:c r="C31" t="n">
        <x:f>MINIFS(tblServiceEvents[Event #],tblServiceEvents[Client],B31)</x:f>
        <x:v>30</x:v>
      </x:c>
      <x:c r="D31" t="n">
        <x:f>MAXIFS(tblServiceEvents[Event #],tblServiceEvents[Client],B31)</x:f>
        <x:v>69</x:v>
      </x:c>
      <x:c r="E31" t="n">
        <x:f>COUNTIFS(tblServiceEvents[Client],B31,tblServiceEvents[Status],"Completed")</x:f>
        <x:v>7</x:v>
      </x:c>
      <x:c r="F31" t="n">
        <x:f>COUNTIF(tblLedger[Client],B31)</x:f>
        <x:v>8</x:v>
      </x:c>
      <x:c r="G31" s="24" t="n">
        <x:f>SUMIFS(tblServiceEvents[Confirmed Revenue],tblServiceEvents[Client],B31,tblServiceEvents[Revenue Eligibility],"Eligible")</x:f>
        <x:v>732.48</x:v>
      </x:c>
      <x:c r="H31" s="24" t="n">
        <x:f>IFERROR(G31/COUNTIFS(tblServiceEvents[Client],B31,tblServiceEvents[Revenue Eligibility],"Eligible"),0)</x:f>
        <x:v>122.08</x:v>
      </x:c>
      <x:c r="I31" s="24" t="n">
        <x:f>IFERROR(SUMIFS(tblLedger[Breakdown Amount],tblLedger[Client],B31,tblLedger[Breakdown Confirmed],"Yes")/COUNTIFS(tblLedger[Client],B31,tblLedger[Breakdown Confirmed],"Yes"),0)</x:f>
        <x:v>120.35428571428572</x:v>
      </x:c>
      <x:c r="J31" t="n">
        <x:v>2</x:v>
      </x:c>
      <x:c r="K31" t="n">
        <x:v>4</x:v>
      </x:c>
      <x:c r="L31" t="str">
        <x:f>IF(E31&gt;1,"Yes","No")</x:f>
        <x:v>Yes</x:v>
      </x:c>
      <x:c r="V31" s="231" t="str">
        <x:v>City</x:v>
      </x:c>
      <x:c r="W31" s="231" t="str">
        <x:v>Jurisdiction</x:v>
      </x:c>
      <x:c r="X31" s="231" t="str">
        <x:v>Events</x:v>
      </x:c>
      <x:c r="Y31" s="231" t="str">
        <x:v>Eligible Events</x:v>
      </x:c>
      <x:c r="Z31" s="231" t="str">
        <x:v>Revenue</x:v>
      </x:c>
      <x:c r="AA31" s="231" t="str">
        <x:v>Avg/Event</x:v>
      </x:c>
      <x:c r="AB31" s="231" t="str">
        <x:v>Rank Key</x:v>
      </x:c>
      <x:c r="AI31" s="35" t="n">
        <x:v>46185</x:v>
      </x:c>
      <x:c r="AJ31" t="n">
        <x:v>1</x:v>
      </x:c>
      <x:c r="AK31" t="n">
        <x:v>1</x:v>
      </x:c>
      <x:c r="AL31" s="24" t="n">
        <x:v>50</x:v>
      </x:c>
      <x:c r="AM31" s="24" t="n">
        <x:v>4835.07</x:v>
      </x:c>
      <x:c r="AN31" s="24" t="n">
        <x:v>152</x:v>
      </x:c>
    </x:row>
    <x:row r="32">
      <x:c r="A32" t="str">
        <x:v>CL-021</x:v>
      </x:c>
      <x:c r="B32" t="str">
        <x:v>Hilton Garden Inn</x:v>
      </x:c>
      <x:c r="C32" t="n">
        <x:f>MINIFS(tblServiceEvents[Event #],tblServiceEvents[Client],B32)</x:f>
        <x:v>32</x:v>
      </x:c>
      <x:c r="D32" t="n">
        <x:f>MAXIFS(tblServiceEvents[Event #],tblServiceEvents[Client],B32)</x:f>
        <x:v>53</x:v>
      </x:c>
      <x:c r="E32" t="n">
        <x:f>COUNTIFS(tblServiceEvents[Client],B32,tblServiceEvents[Status],"Completed")</x:f>
        <x:v>2</x:v>
      </x:c>
      <x:c r="F32" t="n">
        <x:f>COUNTIF(tblLedger[Client],B32)</x:f>
        <x:v>2</x:v>
      </x:c>
      <x:c r="G32" s="24" t="n">
        <x:f>SUMIFS(tblServiceEvents[Confirmed Revenue],tblServiceEvents[Client],B32,tblServiceEvents[Revenue Eligibility],"Eligible")</x:f>
        <x:v>157.03</x:v>
      </x:c>
      <x:c r="H32" s="24" t="n">
        <x:f>IFERROR(G32/COUNTIFS(tblServiceEvents[Client],B32,tblServiceEvents[Revenue Eligibility],"Eligible"),0)</x:f>
        <x:v>78.515</x:v>
      </x:c>
      <x:c r="I32" s="24" t="n">
        <x:f>IFERROR(SUMIFS(tblLedger[Breakdown Amount],tblLedger[Client],B32,tblLedger[Breakdown Confirmed],"Yes")/COUNTIFS(tblLedger[Client],B32,tblLedger[Breakdown Confirmed],"Yes"),0)</x:f>
        <x:v>78.515</x:v>
      </x:c>
      <x:c r="J32" t="n">
        <x:v>2</x:v>
      </x:c>
      <x:c r="K32" t="n">
        <x:v>2</x:v>
      </x:c>
      <x:c r="L32" t="str">
        <x:f>IF(E32&gt;1,"Yes","No")</x:f>
        <x:v>Yes</x:v>
      </x:c>
      <x:c r="V32" t="str">
        <x:v>Fairfax</x:v>
      </x:c>
      <x:c r="W32" t="str">
        <x:v>VA</x:v>
      </x:c>
      <x:c r="X32" t="n">
        <x:v>2</x:v>
      </x:c>
      <x:c r="Y32" t="n">
        <x:v>2</x:v>
      </x:c>
      <x:c r="Z32" s="24" t="n">
        <x:v>115</x:v>
      </x:c>
      <x:c r="AA32" s="24" t="n">
        <x:v>57.5</x:v>
      </x:c>
      <x:c r="AB32" t="n">
        <x:v>115.000002</x:v>
      </x:c>
      <x:c r="AI32" s="35" t="n">
        <x:v>46188</x:v>
      </x:c>
      <x:c r="AJ32" t="n">
        <x:v>1</x:v>
      </x:c>
      <x:c r="AK32" t="n">
        <x:v>1</x:v>
      </x:c>
      <x:c r="AL32" s="24" t="n">
        <x:v>123.75</x:v>
      </x:c>
      <x:c r="AM32" s="24" t="n">
        <x:v>4958.82</x:v>
      </x:c>
      <x:c r="AN32" s="24" t="n">
        <x:v>162.75</x:v>
      </x:c>
    </x:row>
    <x:row r="33">
      <x:c r="A33" t="str">
        <x:v>CL-022</x:v>
      </x:c>
      <x:c r="B33" t="str">
        <x:v>Marshalls</x:v>
      </x:c>
      <x:c r="C33" t="n">
        <x:f>MINIFS(tblServiceEvents[Event #],tblServiceEvents[Client],B33)</x:f>
        <x:v>35</x:v>
      </x:c>
      <x:c r="D33" t="n">
        <x:f>MAXIFS(tblServiceEvents[Event #],tblServiceEvents[Client],B33)</x:f>
        <x:v>80</x:v>
      </x:c>
      <x:c r="E33" t="n">
        <x:f>COUNTIFS(tblServiceEvents[Client],B33,tblServiceEvents[Status],"Completed")</x:f>
        <x:v>8</x:v>
      </x:c>
      <x:c r="F33" t="n">
        <x:f>COUNTIF(tblLedger[Client],B33)</x:f>
        <x:v>8</x:v>
      </x:c>
      <x:c r="G33" s="24" t="n">
        <x:f>SUMIFS(tblServiceEvents[Confirmed Revenue],tblServiceEvents[Client],B33,tblServiceEvents[Revenue Eligibility],"Eligible")</x:f>
        <x:v>567.08</x:v>
      </x:c>
      <x:c r="H33" s="24" t="n">
        <x:f>IFERROR(G33/COUNTIFS(tblServiceEvents[Client],B33,tblServiceEvents[Revenue Eligibility],"Eligible"),0)</x:f>
        <x:v>113.41600000000001</x:v>
      </x:c>
      <x:c r="I33" s="24" t="n">
        <x:f>IFERROR(SUMIFS(tblLedger[Breakdown Amount],tblLedger[Client],B33,tblLedger[Breakdown Confirmed],"Yes")/COUNTIFS(tblLedger[Client],B33,tblLedger[Breakdown Confirmed],"Yes"),0)</x:f>
        <x:v>113.41600000000001</x:v>
      </x:c>
      <x:c r="J33" t="n">
        <x:v>1</x:v>
      </x:c>
      <x:c r="K33" t="n">
        <x:v>3</x:v>
      </x:c>
      <x:c r="L33" t="str">
        <x:f>IF(E33&gt;1,"Yes","No")</x:f>
        <x:v>Yes</x:v>
      </x:c>
      <x:c r="V33" t="str">
        <x:v>Tysons</x:v>
      </x:c>
      <x:c r="W33" t="str">
        <x:v>VA</x:v>
      </x:c>
      <x:c r="X33" t="n">
        <x:v>2</x:v>
      </x:c>
      <x:c r="Y33" t="n">
        <x:v>2</x:v>
      </x:c>
      <x:c r="Z33" s="24" t="n">
        <x:v>688</x:v>
      </x:c>
      <x:c r="AA33" s="24" t="n">
        <x:v>344</x:v>
      </x:c>
      <x:c r="AB33" t="n">
        <x:v>688.000002</x:v>
      </x:c>
      <x:c r="AI33" s="35" t="n">
        <x:v>46190</x:v>
      </x:c>
      <x:c r="AJ33" t="n">
        <x:v>2</x:v>
      </x:c>
      <x:c r="AK33" t="n">
        <x:v>2</x:v>
      </x:c>
      <x:c r="AL33" s="24" t="n">
        <x:v>218</x:v>
      </x:c>
      <x:c r="AM33" s="24" t="n">
        <x:v>5176.82</x:v>
      </x:c>
      <x:c r="AN33" s="24" t="n">
        <x:v>175.35</x:v>
      </x:c>
    </x:row>
    <x:row r="34">
      <x:c r="A34" t="str">
        <x:v>CL-023</x:v>
      </x:c>
      <x:c r="B34" t="str">
        <x:v>Baskin-Robbins</x:v>
      </x:c>
      <x:c r="C34" t="n">
        <x:f>MINIFS(tblServiceEvents[Event #],tblServiceEvents[Client],B34)</x:f>
        <x:v>41</x:v>
      </x:c>
      <x:c r="D34" t="n">
        <x:f>MAXIFS(tblServiceEvents[Event #],tblServiceEvents[Client],B34)</x:f>
        <x:v>41</x:v>
      </x:c>
      <x:c r="E34" t="n">
        <x:f>COUNTIFS(tblServiceEvents[Client],B34,tblServiceEvents[Status],"Completed")</x:f>
        <x:v>1</x:v>
      </x:c>
      <x:c r="F34" t="n">
        <x:f>COUNTIF(tblLedger[Client],B34)</x:f>
        <x:v>1</x:v>
      </x:c>
      <x:c r="G34" s="24" t="n">
        <x:f>SUMIFS(tblServiceEvents[Confirmed Revenue],tblServiceEvents[Client],B34,tblServiceEvents[Revenue Eligibility],"Eligible")</x:f>
        <x:v>45</x:v>
      </x:c>
      <x:c r="H34" s="24" t="n">
        <x:f>IFERROR(G34/COUNTIFS(tblServiceEvents[Client],B34,tblServiceEvents[Revenue Eligibility],"Eligible"),0)</x:f>
        <x:v>45</x:v>
      </x:c>
      <x:c r="I34" s="24" t="n">
        <x:f>IFERROR(SUMIFS(tblLedger[Breakdown Amount],tblLedger[Client],B34,tblLedger[Breakdown Confirmed],"Yes")/COUNTIFS(tblLedger[Client],B34,tblLedger[Breakdown Confirmed],"Yes"),0)</x:f>
        <x:v>45</x:v>
      </x:c>
      <x:c r="J34" t="n">
        <x:v>1</x:v>
      </x:c>
      <x:c r="K34" t="n">
        <x:v>1</x:v>
      </x:c>
      <x:c r="L34" t="str">
        <x:f>IF(E34&gt;1,"Yes","No")</x:f>
        <x:v>No</x:v>
      </x:c>
      <x:c r="V34" t="str">
        <x:v>Frederick</x:v>
      </x:c>
      <x:c r="W34" t="str">
        <x:v>MD</x:v>
      </x:c>
      <x:c r="X34" t="n">
        <x:v>3</x:v>
      </x:c>
      <x:c r="Y34" t="n">
        <x:v>3</x:v>
      </x:c>
      <x:c r="Z34" s="24" t="n">
        <x:v>483.75</x:v>
      </x:c>
      <x:c r="AA34" s="24" t="n">
        <x:v>161.25</x:v>
      </x:c>
      <x:c r="AB34" t="n">
        <x:v>483.750003</x:v>
      </x:c>
      <x:c r="AI34" s="35" t="n">
        <x:v>46191</x:v>
      </x:c>
      <x:c r="AJ34" t="n">
        <x:v>2</x:v>
      </x:c>
      <x:c r="AK34" t="n">
        <x:v>2</x:v>
      </x:c>
      <x:c r="AL34" s="24" t="n">
        <x:v>200</x:v>
      </x:c>
      <x:c r="AM34" s="24" t="n">
        <x:v>5376.82</x:v>
      </x:c>
      <x:c r="AN34" s="24" t="n">
        <x:v>137.35</x:v>
      </x:c>
    </x:row>
    <x:row r="35">
      <x:c r="A35" t="str">
        <x:v>CL-024</x:v>
      </x:c>
      <x:c r="B35" t="str">
        <x:v>Montpelier Liquors</x:v>
      </x:c>
      <x:c r="C35" t="n">
        <x:f>MINIFS(tblServiceEvents[Event #],tblServiceEvents[Client],B35)</x:f>
        <x:v>45</x:v>
      </x:c>
      <x:c r="D35" t="n">
        <x:f>MAXIFS(tblServiceEvents[Event #],tblServiceEvents[Client],B35)</x:f>
        <x:v>57</x:v>
      </x:c>
      <x:c r="E35" t="n">
        <x:f>COUNTIFS(tblServiceEvents[Client],B35,tblServiceEvents[Status],"Completed")</x:f>
        <x:v>2</x:v>
      </x:c>
      <x:c r="F35" t="n">
        <x:f>COUNTIF(tblLedger[Client],B35)</x:f>
        <x:v>2</x:v>
      </x:c>
      <x:c r="G35" s="24" t="n">
        <x:f>SUMIFS(tblServiceEvents[Confirmed Revenue],tblServiceEvents[Client],B35,tblServiceEvents[Revenue Eligibility],"Eligible")</x:f>
        <x:v>194.74</x:v>
      </x:c>
      <x:c r="H35" s="24" t="n">
        <x:f>IFERROR(G35/COUNTIFS(tblServiceEvents[Client],B35,tblServiceEvents[Revenue Eligibility],"Eligible"),0)</x:f>
        <x:v>97.37</x:v>
      </x:c>
      <x:c r="I35" s="24" t="n">
        <x:f>IFERROR(SUMIFS(tblLedger[Breakdown Amount],tblLedger[Client],B35,tblLedger[Breakdown Confirmed],"Yes")/COUNTIFS(tblLedger[Client],B35,tblLedger[Breakdown Confirmed],"Yes"),0)</x:f>
        <x:v>97.37</x:v>
      </x:c>
      <x:c r="J35" t="n">
        <x:v>1</x:v>
      </x:c>
      <x:c r="K35" t="n">
        <x:v>1</x:v>
      </x:c>
      <x:c r="L35" t="str">
        <x:f>IF(E35&gt;1,"Yes","No")</x:f>
        <x:v>Yes</x:v>
      </x:c>
      <x:c r="V35" t="str">
        <x:v>Washington</x:v>
      </x:c>
      <x:c r="W35" t="str">
        <x:v>DC</x:v>
      </x:c>
      <x:c r="X35" t="n">
        <x:v>10</x:v>
      </x:c>
      <x:c r="Y35" t="n">
        <x:v>10</x:v>
      </x:c>
      <x:c r="Z35" s="24" t="n">
        <x:v>1637.03</x:v>
      </x:c>
      <x:c r="AA35" s="24" t="n">
        <x:v>163.703</x:v>
      </x:c>
      <x:c r="AB35" t="n">
        <x:v>1637.03001</x:v>
      </x:c>
      <x:c r="AI35" s="35" t="n">
        <x:v>46192</x:v>
      </x:c>
      <x:c r="AJ35" t="n">
        <x:v>2</x:v>
      </x:c>
      <x:c r="AK35" t="n">
        <x:v>2</x:v>
      </x:c>
      <x:c r="AL35" s="24" t="n">
        <x:v>140</x:v>
      </x:c>
      <x:c r="AM35" s="24" t="n">
        <x:v>5516.82</x:v>
      </x:c>
      <x:c r="AN35" s="24" t="n">
        <x:v>146.35</x:v>
      </x:c>
    </x:row>
    <x:row r="36">
      <x:c r="A36" t="str">
        <x:v>CL-025</x:v>
      </x:c>
      <x:c r="B36" t="str">
        <x:v>Office of MD Senator Angela Alsobrooks</x:v>
      </x:c>
      <x:c r="C36" t="n">
        <x:f>MINIFS(tblServiceEvents[Event #],tblServiceEvents[Client],B36)</x:f>
        <x:v>47</x:v>
      </x:c>
      <x:c r="D36" t="n">
        <x:f>MAXIFS(tblServiceEvents[Event #],tblServiceEvents[Client],B36)</x:f>
        <x:v>55</x:v>
      </x:c>
      <x:c r="E36" t="n">
        <x:f>COUNTIFS(tblServiceEvents[Client],B36,tblServiceEvents[Status],"Completed")</x:f>
        <x:v>2</x:v>
      </x:c>
      <x:c r="F36" t="n">
        <x:f>COUNTIF(tblLedger[Client],B36)</x:f>
        <x:v>2</x:v>
      </x:c>
      <x:c r="G36" s="24" t="n">
        <x:f>SUMIFS(tblServiceEvents[Confirmed Revenue],tblServiceEvents[Client],B36,tblServiceEvents[Revenue Eligibility],"Eligible")</x:f>
        <x:v>250</x:v>
      </x:c>
      <x:c r="H36" s="24" t="n">
        <x:f>IFERROR(G36/COUNTIFS(tblServiceEvents[Client],B36,tblServiceEvents[Revenue Eligibility],"Eligible"),0)</x:f>
        <x:v>125</x:v>
      </x:c>
      <x:c r="I36" s="24" t="n">
        <x:f>IFERROR(SUMIFS(tblLedger[Breakdown Amount],tblLedger[Client],B36,tblLedger[Breakdown Confirmed],"Yes")/COUNTIFS(tblLedger[Client],B36,tblLedger[Breakdown Confirmed],"Yes"),0)</x:f>
        <x:v>125</x:v>
      </x:c>
      <x:c r="J36" t="n">
        <x:v>1</x:v>
      </x:c>
      <x:c r="K36" t="n">
        <x:v>2</x:v>
      </x:c>
      <x:c r="L36" t="str">
        <x:f>IF(E36&gt;1,"Yes","No")</x:f>
        <x:v>Yes</x:v>
      </x:c>
      <x:c r="V36" t="str">
        <x:v>North Bethesda</x:v>
      </x:c>
      <x:c r="W36" t="str">
        <x:v>MD</x:v>
      </x:c>
      <x:c r="X36" t="n">
        <x:v>4</x:v>
      </x:c>
      <x:c r="Y36" t="n">
        <x:v>4</x:v>
      </x:c>
      <x:c r="Z36" s="24" t="n">
        <x:v>225</x:v>
      </x:c>
      <x:c r="AA36" s="24" t="n">
        <x:v>56.25</x:v>
      </x:c>
      <x:c r="AB36" t="n">
        <x:v>225.000004</x:v>
      </x:c>
      <x:c r="AI36" s="35" t="n">
        <x:v>46195</x:v>
      </x:c>
      <x:c r="AJ36" t="n">
        <x:v>1</x:v>
      </x:c>
      <x:c r="AK36" t="n">
        <x:v>1</x:v>
      </x:c>
      <x:c r="AL36" s="24" t="n">
        <x:v>60</x:v>
      </x:c>
      <x:c r="AM36" s="24" t="n">
        <x:v>5576.82</x:v>
      </x:c>
      <x:c r="AN36" s="24" t="n">
        <x:v>148.35</x:v>
      </x:c>
    </x:row>
    <x:row r="37">
      <x:c r="A37" t="str">
        <x:v>CL-026</x:v>
      </x:c>
      <x:c r="B37" t="str">
        <x:v>Dunkin</x:v>
      </x:c>
      <x:c r="C37" t="n">
        <x:f>MINIFS(tblServiceEvents[Event #],tblServiceEvents[Client],B37)</x:f>
        <x:v>56</x:v>
      </x:c>
      <x:c r="D37" t="n">
        <x:f>MAXIFS(tblServiceEvents[Event #],tblServiceEvents[Client],B37)</x:f>
        <x:v>78</x:v>
      </x:c>
      <x:c r="E37" t="n">
        <x:f>COUNTIFS(tblServiceEvents[Client],B37,tblServiceEvents[Status],"Completed")</x:f>
        <x:v>6</x:v>
      </x:c>
      <x:c r="F37" t="n">
        <x:f>COUNTIF(tblLedger[Client],B37)</x:f>
        <x:v>6</x:v>
      </x:c>
      <x:c r="G37" s="24" t="n">
        <x:f>SUMIFS(tblServiceEvents[Confirmed Revenue],tblServiceEvents[Client],B37,tblServiceEvents[Revenue Eligibility],"Eligible")</x:f>
        <x:v>1317.19</x:v>
      </x:c>
      <x:c r="H37" s="24" t="n">
        <x:f>IFERROR(G37/COUNTIFS(tblServiceEvents[Client],B37,tblServiceEvents[Revenue Eligibility],"Eligible"),0)</x:f>
        <x:v>219.53166666666667</x:v>
      </x:c>
      <x:c r="I37" s="24" t="n">
        <x:f>IFERROR(SUMIFS(tblLedger[Breakdown Amount],tblLedger[Client],B37,tblLedger[Breakdown Confirmed],"Yes")/COUNTIFS(tblLedger[Client],B37,tblLedger[Breakdown Confirmed],"Yes"),0)</x:f>
        <x:v>231.38000000000002</x:v>
      </x:c>
      <x:c r="J37" t="n">
        <x:v>1</x:v>
      </x:c>
      <x:c r="K37" t="n">
        <x:v>3</x:v>
      </x:c>
      <x:c r="L37" t="str">
        <x:f>IF(E37&gt;1,"Yes","No")</x:f>
        <x:v>Yes</x:v>
      </x:c>
      <x:c r="V37" t="str">
        <x:v>Baltimore</x:v>
      </x:c>
      <x:c r="W37" t="str">
        <x:v>MD</x:v>
      </x:c>
      <x:c r="X37" t="n">
        <x:v>3</x:v>
      </x:c>
      <x:c r="Y37" t="n">
        <x:v>1</x:v>
      </x:c>
      <x:c r="Z37" s="24" t="n">
        <x:v>50</x:v>
      </x:c>
      <x:c r="AA37" s="24" t="n">
        <x:v>50</x:v>
      </x:c>
      <x:c r="AB37" t="n">
        <x:v>50.000003</x:v>
      </x:c>
      <x:c r="AI37" s="35" t="n">
        <x:v>46196</x:v>
      </x:c>
      <x:c r="AJ37" t="n">
        <x:v>1</x:v>
      </x:c>
      <x:c r="AK37" t="n">
        <x:v>1</x:v>
      </x:c>
      <x:c r="AL37" s="24" t="n">
        <x:v>116.24</x:v>
      </x:c>
      <x:c r="AM37" s="24" t="n">
        <x:v>5693.06</x:v>
      </x:c>
      <x:c r="AN37" s="24" t="n">
        <x:v>146.85</x:v>
      </x:c>
    </x:row>
    <x:row r="38">
      <x:c r="A38" t="str">
        <x:v>CL-027</x:v>
      </x:c>
      <x:c r="B38" t="str">
        <x:v>Carvana</x:v>
      </x:c>
      <x:c r="C38" t="n">
        <x:f>MINIFS(tblServiceEvents[Event #],tblServiceEvents[Client],B38)</x:f>
        <x:v>60</x:v>
      </x:c>
      <x:c r="D38" t="n">
        <x:f>MAXIFS(tblServiceEvents[Event #],tblServiceEvents[Client],B38)</x:f>
        <x:v>60</x:v>
      </x:c>
      <x:c r="E38" t="n">
        <x:f>COUNTIFS(tblServiceEvents[Client],B38,tblServiceEvents[Status],"Completed")</x:f>
        <x:v>1</x:v>
      </x:c>
      <x:c r="F38" t="n">
        <x:f>COUNTIF(tblLedger[Client],B38)</x:f>
        <x:v>2</x:v>
      </x:c>
      <x:c r="G38" s="24" t="n">
        <x:f>SUMIFS(tblServiceEvents[Confirmed Revenue],tblServiceEvents[Client],B38,tblServiceEvents[Revenue Eligibility],"Eligible")</x:f>
        <x:v>0</x:v>
      </x:c>
      <x:c r="H38" s="24" t="n">
        <x:f>IFERROR(G38/COUNTIFS(tblServiceEvents[Client],B38,tblServiceEvents[Revenue Eligibility],"Eligible"),0)</x:f>
        <x:v>0</x:v>
      </x:c>
      <x:c r="I38" s="24" t="n">
        <x:f>IFERROR(SUMIFS(tblLedger[Breakdown Amount],tblLedger[Client],B38,tblLedger[Breakdown Confirmed],"Yes")/COUNTIFS(tblLedger[Client],B38,tblLedger[Breakdown Confirmed],"Yes"),0)</x:f>
        <x:v>0</x:v>
      </x:c>
      <x:c r="J38" t="n">
        <x:v>1</x:v>
      </x:c>
      <x:c r="K38" t="n">
        <x:v>1</x:v>
      </x:c>
      <x:c r="L38" t="str">
        <x:f>IF(E38&gt;1,"Yes","No")</x:f>
        <x:v>No</x:v>
      </x:c>
      <x:c r="V38" t="str">
        <x:v>Hanover</x:v>
      </x:c>
      <x:c r="W38" t="str">
        <x:v>PA</x:v>
      </x:c>
      <x:c r="X38" t="n">
        <x:v>1</x:v>
      </x:c>
      <x:c r="Y38" t="n">
        <x:v>1</x:v>
      </x:c>
      <x:c r="Z38" s="24" t="n">
        <x:v>212.5</x:v>
      </x:c>
      <x:c r="AA38" s="24" t="n">
        <x:v>212.5</x:v>
      </x:c>
      <x:c r="AB38" t="n">
        <x:v>212.500001</x:v>
      </x:c>
      <x:c r="AI38" s="35" t="n">
        <x:v>46197</x:v>
      </x:c>
      <x:c r="AJ38" t="n">
        <x:v>1</x:v>
      </x:c>
      <x:c r="AK38" t="n">
        <x:v>1</x:v>
      </x:c>
      <x:c r="AL38" s="24" t="n">
        <x:v>132.03</x:v>
      </x:c>
      <x:c r="AM38" s="24" t="n">
        <x:v>5825.09</x:v>
      </x:c>
      <x:c r="AN38" s="24" t="n">
        <x:v>129.65</x:v>
      </x:c>
    </x:row>
    <x:row r="39">
      <x:c r="A39"/>
      <x:c r="B39"/>
      <x:c r="C39"/>
      <x:c r="D39"/>
      <x:c r="E39"/>
      <x:c r="F39"/>
      <x:c r="G39"/>
      <x:c r="V39" t="str">
        <x:v>Leesburg</x:v>
      </x:c>
      <x:c r="W39" t="str">
        <x:v>VA</x:v>
      </x:c>
      <x:c r="X39" t="n">
        <x:v>1</x:v>
      </x:c>
      <x:c r="Y39" t="n">
        <x:v>1</x:v>
      </x:c>
      <x:c r="Z39" s="24" t="n">
        <x:v>157.5</x:v>
      </x:c>
      <x:c r="AA39" s="24" t="n">
        <x:v>157.5</x:v>
      </x:c>
      <x:c r="AB39" t="n">
        <x:v>157.500001</x:v>
      </x:c>
      <x:c r="AI39" s="35" t="n">
        <x:v>46203</x:v>
      </x:c>
      <x:c r="AJ39" t="n">
        <x:v>1</x:v>
      </x:c>
      <x:c r="AK39" t="n">
        <x:v>1</x:v>
      </x:c>
      <x:c r="AL39" s="24" t="n">
        <x:v>120</x:v>
      </x:c>
      <x:c r="AM39" s="24" t="n">
        <x:v>5945.09</x:v>
      </x:c>
      <x:c r="AN39" s="24" t="n">
        <x:v>113.65</x:v>
      </x:c>
    </x:row>
    <x:row r="40">
      <x:c r="A40"/>
      <x:c r="B40"/>
      <x:c r="C40"/>
      <x:c r="D40"/>
      <x:c r="E40"/>
      <x:c r="F40"/>
      <x:c r="G40"/>
      <x:c r="V40" t="str">
        <x:v>Chambersburg</x:v>
      </x:c>
      <x:c r="W40" t="str">
        <x:v>PA</x:v>
      </x:c>
      <x:c r="X40" t="n">
        <x:v>1</x:v>
      </x:c>
      <x:c r="Y40" t="n">
        <x:v>1</x:v>
      </x:c>
      <x:c r="Z40" s="24" t="n">
        <x:v>85</x:v>
      </x:c>
      <x:c r="AA40" s="24" t="n">
        <x:v>85</x:v>
      </x:c>
      <x:c r="AB40" t="n">
        <x:v>85.000001</x:v>
      </x:c>
      <x:c r="AI40" s="35" t="n">
        <x:v>46204</x:v>
      </x:c>
      <x:c r="AJ40" t="n">
        <x:v>1</x:v>
      </x:c>
      <x:c r="AK40" t="n">
        <x:v>1</x:v>
      </x:c>
      <x:c r="AL40" s="24" t="n">
        <x:v>120</x:v>
      </x:c>
      <x:c r="AM40" s="24" t="n">
        <x:v>6065.09</x:v>
      </x:c>
      <x:c r="AN40" s="24" t="n">
        <x:v>109.65</x:v>
      </x:c>
    </x:row>
    <x:row r="41">
      <x:c r="A41" s="95" t="str">
        <x:v>State / Jurisdiction Summary</x:v>
      </x:c>
      <x:c r="B41" s="95"/>
      <x:c r="C41" s="95"/>
      <x:c r="D41" s="95"/>
      <x:c r="E41" s="95"/>
      <x:c r="F41" s="95"/>
      <x:c r="G41" s="95"/>
      <x:c r="H41" s="95"/>
      <x:c r="J41" s="95" t="str">
        <x:v>Weekday Summary</x:v>
      </x:c>
      <x:c r="K41" s="95"/>
      <x:c r="L41" s="95"/>
      <x:c r="M41" s="95"/>
      <x:c r="N41" s="95"/>
      <x:c r="O41" s="95"/>
      <x:c r="P41" s="95"/>
      <x:c r="Q41" s="95"/>
      <x:c r="R41" s="95"/>
      <x:c r="V41" t="str">
        <x:v>Rockville</x:v>
      </x:c>
      <x:c r="W41" t="str">
        <x:v>MD</x:v>
      </x:c>
      <x:c r="X41" t="n">
        <x:v>2</x:v>
      </x:c>
      <x:c r="Y41" t="n">
        <x:v>2</x:v>
      </x:c>
      <x:c r="Z41" s="24" t="n">
        <x:v>146.66</x:v>
      </x:c>
      <x:c r="AA41" s="24" t="n">
        <x:v>73.33</x:v>
      </x:c>
      <x:c r="AB41" t="n">
        <x:v>146.660002</x:v>
      </x:c>
      <x:c r="AI41" s="35" t="n">
        <x:v>46205</x:v>
      </x:c>
      <x:c r="AJ41" t="n">
        <x:v>1</x:v>
      </x:c>
      <x:c r="AK41" t="n">
        <x:v>1</x:v>
      </x:c>
      <x:c r="AL41" s="24" t="n">
        <x:v>170.66</x:v>
      </x:c>
      <x:c r="AM41" s="24" t="n">
        <x:v>6235.75</x:v>
      </x:c>
      <x:c r="AN41" s="24" t="n">
        <x:v>131.79</x:v>
      </x:c>
    </x:row>
    <x:row r="42">
      <x:c r="A42" s="98" t="str">
        <x:v>Jurisdiction</x:v>
      </x:c>
      <x:c r="B42" s="98" t="str">
        <x:v>Events</x:v>
      </x:c>
      <x:c r="C42" s="98" t="str">
        <x:v>Eligible Events</x:v>
      </x:c>
      <x:c r="D42" s="98" t="str">
        <x:v>Clients</x:v>
      </x:c>
      <x:c r="E42" s="98" t="str">
        <x:v>Confirmed Revenue</x:v>
      </x:c>
      <x:c r="F42" s="98" t="str">
        <x:v>Avg Revenue / Eligible Event</x:v>
      </x:c>
      <x:c r="G42" s="98" t="str">
        <x:v>Revenue Share</x:v>
      </x:c>
      <x:c r="H42" s="98" t="str">
        <x:v>Event Share</x:v>
      </x:c>
      <x:c r="J42" s="98" t="str">
        <x:v>Weekday</x:v>
      </x:c>
      <x:c r="K42" s="98" t="str">
        <x:v>Confirmed Revenue</x:v>
      </x:c>
      <x:c r="L42" s="98" t="str">
        <x:v>Eligible Events</x:v>
      </x:c>
      <x:c r="M42" s="98" t="str">
        <x:v>Avg Revenue / Event</x:v>
      </x:c>
      <x:c r="N42" s="98" t="str">
        <x:v>Active Weeks</x:v>
      </x:c>
      <x:c r="O42" s="98" t="str">
        <x:v>Activity Rate</x:v>
      </x:c>
      <x:c r="P42" s="98" t="str">
        <x:v>Highest Revenue Event</x:v>
      </x:c>
      <x:c r="Q42" s="98" t="str">
        <x:v>Lowest Revenue Event</x:v>
      </x:c>
      <x:c r="R42" s="98" t="str">
        <x:v>Rank</x:v>
      </x:c>
      <x:c r="V42" t="str">
        <x:v>Annapolis Neck</x:v>
      </x:c>
      <x:c r="W42" t="str">
        <x:v>MD</x:v>
      </x:c>
      <x:c r="X42" t="n">
        <x:v>2</x:v>
      </x:c>
      <x:c r="Y42" t="n">
        <x:v>1</x:v>
      </x:c>
      <x:c r="Z42" s="24" t="n">
        <x:v>60</x:v>
      </x:c>
      <x:c r="AA42" s="24" t="n">
        <x:v>60</x:v>
      </x:c>
      <x:c r="AB42" t="n">
        <x:v>60.000002</x:v>
      </x:c>
      <x:c r="AI42" s="35" t="n">
        <x:v>46209</x:v>
      </x:c>
      <x:c r="AJ42" t="n">
        <x:v>2</x:v>
      </x:c>
      <x:c r="AK42" t="n">
        <x:v>2</x:v>
      </x:c>
      <x:c r="AL42" s="24" t="n">
        <x:v>269.24</x:v>
      </x:c>
      <x:c r="AM42" s="24" t="n">
        <x:v>6504.99</x:v>
      </x:c>
      <x:c r="AN42" s="24" t="n">
        <x:v>162.39</x:v>
      </x:c>
    </x:row>
    <x:row r="43">
      <x:c r="A43" t="str">
        <x:v>VA</x:v>
      </x:c>
      <x:c r="B43" t="n">
        <x:f>COUNTIFS(tblServiceEvents[Jurisdiction],A43,tblServiceEvents[Status],"Completed")</x:f>
        <x:v>8</x:v>
      </x:c>
      <x:c r="C43" t="n">
        <x:f>COUNTIFS(tblServiceEvents[Jurisdiction],A43,tblServiceEvents[Revenue Eligibility],"Eligible")</x:f>
        <x:v>8</x:v>
      </x:c>
      <x:c r="D43" t="n">
        <x:v>6</x:v>
      </x:c>
      <x:c r="E43" s="24" t="n">
        <x:f>SUMIFS(tblServiceEvents[Confirmed Revenue],tblServiceEvents[Jurisdiction],A43,tblServiceEvents[Revenue Eligibility],"Eligible")</x:f>
        <x:v>1220.5</x:v>
      </x:c>
      <x:c r="F43" s="24" t="n">
        <x:f>IFERROR(E43/C43,0)</x:f>
        <x:v>152.5625</x:v>
      </x:c>
      <x:c r="G43" s="33" t="n">
        <x:f>IFERROR(E43/$B$7,0)</x:f>
        <x:v>0.160919237133383</x:v>
      </x:c>
      <x:c r="H43" s="33" t="n">
        <x:f>IFERROR(B43/$B$6,0)</x:f>
        <x:v>0.1111111111111111</x:v>
      </x:c>
      <x:c r="J43" t="str">
        <x:v>Monday</x:v>
      </x:c>
      <x:c r="K43" s="24" t="n">
        <x:f>SUMIFS(tblServiceEvents[Confirmed Revenue],tblServiceEvents[Weekday],J43,tblServiceEvents[Revenue Eligibility],"Eligible")</x:f>
        <x:v>1679.65</x:v>
      </x:c>
      <x:c r="L43" s="24" t="n">
        <x:f>COUNTIFS(tblServiceEvents[Weekday],J43,tblServiceEvents[Revenue Eligibility],"Eligible")</x:f>
        <x:v>13</x:v>
      </x:c>
      <x:c r="M43" s="24" t="n">
        <x:f>IFERROR(K43/L43,0)</x:f>
        <x:v>129.20384615384617</x:v>
      </x:c>
      <x:c r="N43" t="n">
        <x:v>9</x:v>
      </x:c>
      <x:c r="O43" s="33" t="n">
        <x:f>IFERROR(N43/($B$5+IF(WEEKDAY(MAXIFS(tblServiceEvents[Service Date],tblServiceEvents[Status],"Completed"),2)&gt;=1,1,0)),0)</x:f>
        <x:v>0.6923076923076923</x:v>
      </x:c>
      <x:c r="P43" s="24" t="n">
        <x:f>MAXIFS(tblServiceEvents[Confirmed Revenue],tblServiceEvents[Weekday],J43,tblServiceEvents[Revenue Eligibility],"Eligible")</x:f>
        <x:v>320</x:v>
      </x:c>
      <x:c r="Q43" s="24" t="n">
        <x:f>MINIFS(tblServiceEvents[Confirmed Revenue],tblServiceEvents[Weekday],J43,tblServiceEvents[Revenue Eligibility],"Eligible")</x:f>
        <x:v>50</x:v>
      </x:c>
      <x:c r="R43" t="n">
        <x:f>RANK(K43,$K$43:$K$47,0)</x:f>
        <x:v>4</x:v>
      </x:c>
      <x:c r="V43" t="str">
        <x:v>College Park</x:v>
      </x:c>
      <x:c r="W43" t="str">
        <x:v>MD</x:v>
      </x:c>
      <x:c r="X43" t="n">
        <x:v>1</x:v>
      </x:c>
      <x:c r="Y43" t="n">
        <x:v>1</x:v>
      </x:c>
      <x:c r="Z43" s="24" t="n">
        <x:v>75</x:v>
      </x:c>
      <x:c r="AA43" s="24" t="n">
        <x:v>75</x:v>
      </x:c>
      <x:c r="AB43" t="n">
        <x:v>75.000001</x:v>
      </x:c>
      <x:c r="AI43" s="35" t="n">
        <x:v>46210</x:v>
      </x:c>
      <x:c r="AJ43" t="n">
        <x:v>1</x:v>
      </x:c>
      <x:c r="AK43" t="n">
        <x:v>1</x:v>
      </x:c>
      <x:c r="AL43" s="24" t="n">
        <x:v>250</x:v>
      </x:c>
      <x:c r="AM43" s="24" t="n">
        <x:v>6754.99</x:v>
      </x:c>
      <x:c r="AN43" s="24" t="n">
        <x:v>185.98</x:v>
      </x:c>
    </x:row>
    <x:row r="44">
      <x:c r="A44" t="str">
        <x:v>MD</x:v>
      </x:c>
      <x:c r="B44" t="n">
        <x:f>COUNTIFS(tblServiceEvents[Jurisdiction],A44,tblServiceEvents[Status],"Completed")</x:f>
        <x:v>58</x:v>
      </x:c>
      <x:c r="C44" t="n">
        <x:f>COUNTIFS(tblServiceEvents[Jurisdiction],A44,tblServiceEvents[Revenue Eligibility],"Eligible")</x:f>
        <x:v>53</x:v>
      </x:c>
      <x:c r="D44" t="n">
        <x:v>21</x:v>
      </x:c>
      <x:c r="E44" s="24" t="n">
        <x:f>SUMIFS(tblServiceEvents[Confirmed Revenue],tblServiceEvents[Jurisdiction],A44,tblServiceEvents[Revenue Eligibility],"Eligible")</x:f>
        <x:v>5956.049999999999</x:v>
      </x:c>
      <x:c r="F44" s="24" t="n">
        <x:f>IFERROR(E44/C44,0)</x:f>
        <x:v>112.37830188679244</x:v>
      </x:c>
      <x:c r="G44" s="33" t="n">
        <x:f>IFERROR(E44/$B$7,0)</x:f>
        <x:v>0.7852871956806928</x:v>
      </x:c>
      <x:c r="H44" s="33" t="n">
        <x:f>IFERROR(B44/$B$6,0)</x:f>
        <x:v>0.8055555555555556</x:v>
      </x:c>
      <x:c r="J44" t="str">
        <x:v>Tuesday</x:v>
      </x:c>
      <x:c r="K44" s="24" t="n">
        <x:f>SUMIFS(tblServiceEvents[Confirmed Revenue],tblServiceEvents[Weekday],J44,tblServiceEvents[Revenue Eligibility],"Eligible")</x:f>
        <x:v>2104.39</x:v>
      </x:c>
      <x:c r="L44" s="24" t="n">
        <x:f>COUNTIFS(tblServiceEvents[Weekday],J44,tblServiceEvents[Revenue Eligibility],"Eligible")</x:f>
        <x:v>14</x:v>
      </x:c>
      <x:c r="M44" s="24" t="n">
        <x:f>IFERROR(K44/L44,0)</x:f>
        <x:v>150.3135714285714</x:v>
      </x:c>
      <x:c r="N44" t="n">
        <x:v>11</x:v>
      </x:c>
      <x:c r="O44" s="33" t="n">
        <x:f>IFERROR(N44/($B$5+IF(WEEKDAY(MAXIFS(tblServiceEvents[Service Date],tblServiceEvents[Status],"Completed"),2)&gt;=2,1,0)),0)</x:f>
        <x:v>0.8461538461538461</x:v>
      </x:c>
      <x:c r="P44" s="24" t="n">
        <x:f>MAXIFS(tblServiceEvents[Confirmed Revenue],tblServiceEvents[Weekday],J44,tblServiceEvents[Revenue Eligibility],"Eligible")</x:f>
        <x:v>344</x:v>
      </x:c>
      <x:c r="Q44" s="24" t="n">
        <x:f>MINIFS(tblServiceEvents[Confirmed Revenue],tblServiceEvents[Weekday],J44,tblServiceEvents[Revenue Eligibility],"Eligible")</x:f>
        <x:v>50</x:v>
      </x:c>
      <x:c r="R44" t="n">
        <x:f>RANK(K44,$K$43:$K$47,0)</x:f>
        <x:v>3</x:v>
      </x:c>
      <x:c r="V44" t="str">
        <x:v>Owings Mills</x:v>
      </x:c>
      <x:c r="W44" t="str">
        <x:v>MD</x:v>
      </x:c>
      <x:c r="X44" t="n">
        <x:v>2</x:v>
      </x:c>
      <x:c r="Y44" t="n">
        <x:v>2</x:v>
      </x:c>
      <x:c r="Z44" s="24" t="n">
        <x:v>165</x:v>
      </x:c>
      <x:c r="AA44" s="24" t="n">
        <x:v>82.5</x:v>
      </x:c>
      <x:c r="AB44" t="n">
        <x:v>165.000002</x:v>
      </x:c>
      <x:c r="AI44" s="35" t="n">
        <x:v>46211</x:v>
      </x:c>
      <x:c r="AJ44" t="n">
        <x:v>1</x:v>
      </x:c>
      <x:c r="AK44" t="n">
        <x:v>0</x:v>
      </x:c>
      <x:c r="AL44" s="24" t="n">
        <x:v>0</x:v>
      </x:c>
      <x:c r="AM44" s="24" t="n">
        <x:v>6754.99</x:v>
      </x:c>
      <x:c r="AN44" s="24" t="n">
        <x:v>161.98</x:v>
      </x:c>
    </x:row>
    <x:row r="45">
      <x:c r="A45" t="str">
        <x:v>DC</x:v>
      </x:c>
      <x:c r="B45" t="n">
        <x:f>COUNTIFS(tblServiceEvents[Jurisdiction],A45,tblServiceEvents[Status],"Completed")</x:f>
        <x:v>11</x:v>
      </x:c>
      <x:c r="C45" t="n">
        <x:f>COUNTIFS(tblServiceEvents[Jurisdiction],A45,tblServiceEvents[Revenue Eligibility],"Eligible")</x:f>
        <x:v>11</x:v>
      </x:c>
      <x:c r="D45" t="n">
        <x:v>5</x:v>
      </x:c>
      <x:c r="E45" s="24" t="n">
        <x:f>SUMIFS(tblServiceEvents[Confirmed Revenue],tblServiceEvents[Jurisdiction],A45,tblServiceEvents[Revenue Eligibility],"Eligible")</x:f>
        <x:v>1727.03</x:v>
      </x:c>
      <x:c r="F45" s="24" t="n">
        <x:f>IFERROR(E45/C45,0)</x:f>
        <x:v>157.00272727272727</x:v>
      </x:c>
      <x:c r="G45" s="33" t="n">
        <x:f>IFERROR(E45/$B$7,0)</x:f>
        <x:v>0.22770368710075087</x:v>
      </x:c>
      <x:c r="H45" s="33" t="n">
        <x:f>IFERROR(B45/$B$6,0)</x:f>
        <x:v>0.1527777777777778</x:v>
      </x:c>
      <x:c r="J45" t="str">
        <x:v>Wednesday</x:v>
      </x:c>
      <x:c r="K45" s="24" t="n">
        <x:f>SUMIFS(tblServiceEvents[Confirmed Revenue],tblServiceEvents[Weekday],J45,tblServiceEvents[Revenue Eligibility],"Eligible")</x:f>
        <x:v>2706.4</x:v>
      </x:c>
      <x:c r="L45" s="24" t="n">
        <x:f>COUNTIFS(tblServiceEvents[Weekday],J45,tblServiceEvents[Revenue Eligibility],"Eligible")</x:f>
        <x:v>20</x:v>
      </x:c>
      <x:c r="M45" s="24" t="n">
        <x:f>IFERROR(K45/L45,0)</x:f>
        <x:v>135.32</x:v>
      </x:c>
      <x:c r="N45" t="n">
        <x:v>11</x:v>
      </x:c>
      <x:c r="O45" s="33" t="n">
        <x:f>IFERROR(N45/($B$5+IF(WEEKDAY(MAXIFS(tblServiceEvents[Service Date],tblServiceEvents[Status],"Completed"),2)&gt;=3,1,0)),0)</x:f>
        <x:v>0.8461538461538461</x:v>
      </x:c>
      <x:c r="P45" s="24" t="n">
        <x:f>MAXIFS(tblServiceEvents[Confirmed Revenue],tblServiceEvents[Weekday],J45,tblServiceEvents[Revenue Eligibility],"Eligible")</x:f>
        <x:v>350</x:v>
      </x:c>
      <x:c r="Q45" s="24" t="n">
        <x:f>MINIFS(tblServiceEvents[Confirmed Revenue],tblServiceEvents[Weekday],J45,tblServiceEvents[Revenue Eligibility],"Eligible")</x:f>
        <x:v>25</x:v>
      </x:c>
      <x:c r="R45" t="n">
        <x:f>RANK(K45,$K$43:$K$47,0)</x:f>
        <x:v>1</x:v>
      </x:c>
      <x:c r="V45" t="str">
        <x:v>Red Lion</x:v>
      </x:c>
      <x:c r="W45" t="str">
        <x:v>PA</x:v>
      </x:c>
      <x:c r="X45" t="n">
        <x:v>1</x:v>
      </x:c>
      <x:c r="Y45" t="n">
        <x:v>1</x:v>
      </x:c>
      <x:c r="Z45" s="24" t="n">
        <x:v>112.5</x:v>
      </x:c>
      <x:c r="AA45" s="24" t="n">
        <x:v>112.5</x:v>
      </x:c>
      <x:c r="AB45" t="n">
        <x:v>112.500001</x:v>
      </x:c>
      <x:c r="AI45" s="35" t="n">
        <x:v>46212</x:v>
      </x:c>
      <x:c r="AJ45" t="n">
        <x:v>2</x:v>
      </x:c>
      <x:c r="AK45" t="n">
        <x:v>2</x:v>
      </x:c>
      <x:c r="AL45" s="24" t="n">
        <x:v>295.82</x:v>
      </x:c>
      <x:c r="AM45" s="24" t="n">
        <x:v>7050.81</x:v>
      </x:c>
      <x:c r="AN45" s="24" t="n">
        <x:v>197.14</x:v>
      </x:c>
    </x:row>
    <x:row r="46">
      <x:c r="A46" t="str">
        <x:v>PA</x:v>
      </x:c>
      <x:c r="B46" t="n">
        <x:f>COUNTIFS(tblServiceEvents[Jurisdiction],A46,tblServiceEvents[Status],"Completed")</x:f>
        <x:v>3</x:v>
      </x:c>
      <x:c r="C46" t="n">
        <x:f>COUNTIFS(tblServiceEvents[Jurisdiction],A46,tblServiceEvents[Revenue Eligibility],"Eligible")</x:f>
        <x:v>3</x:v>
      </x:c>
      <x:c r="D46" t="n">
        <x:v>2</x:v>
      </x:c>
      <x:c r="E46" s="24" t="n">
        <x:f>SUMIFS(tblServiceEvents[Confirmed Revenue],tblServiceEvents[Jurisdiction],A46,tblServiceEvents[Revenue Eligibility],"Eligible")</x:f>
        <x:v>410</x:v>
      </x:c>
      <x:c r="F46" s="24" t="n">
        <x:f>IFERROR(E46/C46,0)</x:f>
        <x:v>136.66666666666666</x:v>
      </x:c>
      <x:c r="G46" s="33" t="n">
        <x:f>IFERROR(E46/$B$7,0)</x:f>
        <x:v>0.054057261142717764</x:v>
      </x:c>
      <x:c r="H46" s="33" t="n">
        <x:f>IFERROR(B46/$B$6,0)</x:f>
        <x:v>0.041666666666666664</x:v>
      </x:c>
      <x:c r="J46" t="str">
        <x:v>Thursday</x:v>
      </x:c>
      <x:c r="K46" s="24" t="n">
        <x:f>SUMIFS(tblServiceEvents[Confirmed Revenue],tblServiceEvents[Weekday],J46,tblServiceEvents[Revenue Eligibility],"Eligible")</x:f>
        <x:v>2353.97</x:v>
      </x:c>
      <x:c r="L46" s="24" t="n">
        <x:f>COUNTIFS(tblServiceEvents[Weekday],J46,tblServiceEvents[Revenue Eligibility],"Eligible")</x:f>
        <x:v>19</x:v>
      </x:c>
      <x:c r="M46" s="24" t="n">
        <x:f>IFERROR(K46/L46,0)</x:f>
        <x:v>123.89315789473683</x:v>
      </x:c>
      <x:c r="N46" t="n">
        <x:v>10</x:v>
      </x:c>
      <x:c r="O46" s="33" t="n">
        <x:f>IFERROR(N46/($B$5+IF(WEEKDAY(MAXIFS(tblServiceEvents[Service Date],tblServiceEvents[Status],"Completed"),2)&gt;=4,1,0)),0)</x:f>
        <x:v>0.7692307692307693</x:v>
      </x:c>
      <x:c r="P46" s="24" t="n">
        <x:f>MAXIFS(tblServiceEvents[Confirmed Revenue],tblServiceEvents[Weekday],J46,tblServiceEvents[Revenue Eligibility],"Eligible")</x:f>
        <x:v>194.99</x:v>
      </x:c>
      <x:c r="Q46" s="24" t="n">
        <x:f>MINIFS(tblServiceEvents[Confirmed Revenue],tblServiceEvents[Weekday],J46,tblServiceEvents[Revenue Eligibility],"Eligible")</x:f>
        <x:v>45</x:v>
      </x:c>
      <x:c r="R46" t="n">
        <x:f>RANK(K46,$K$43:$K$47,0)</x:f>
        <x:v>2</x:v>
      </x:c>
      <x:c r="V46" t="str">
        <x:v>Middle River</x:v>
      </x:c>
      <x:c r="W46" t="str">
        <x:v>MD</x:v>
      </x:c>
      <x:c r="X46" t="n">
        <x:v>1</x:v>
      </x:c>
      <x:c r="Y46" t="n">
        <x:v>1</x:v>
      </x:c>
      <x:c r="Z46" s="24" t="n">
        <x:v>97.91</x:v>
      </x:c>
      <x:c r="AA46" s="24" t="n">
        <x:v>97.91</x:v>
      </x:c>
      <x:c r="AB46" t="n">
        <x:v>97.910001</x:v>
      </x:c>
      <x:c r="AI46" s="35" t="n">
        <x:v>46216</x:v>
      </x:c>
      <x:c r="AJ46" t="n">
        <x:v>3</x:v>
      </x:c>
      <x:c r="AK46" t="n">
        <x:v>0</x:v>
      </x:c>
      <x:c r="AL46" s="24" t="n">
        <x:v>0</x:v>
      </x:c>
      <x:c r="AM46" s="24" t="n">
        <x:v>7050.81</x:v>
      </x:c>
      <x:c r="AN46" s="24" t="n">
        <x:v>163.01</x:v>
      </x:c>
    </x:row>
    <x:row r="47">
      <x:c r="A47" t="str">
        <x:v>WV</x:v>
      </x:c>
      <x:c r="B47" t="n">
        <x:f>COUNTIFS(tblServiceEvents[Jurisdiction],A47,tblServiceEvents[Status],"Completed")</x:f>
        <x:v>1</x:v>
      </x:c>
      <x:c r="C47" t="n">
        <x:f>COUNTIFS(tblServiceEvents[Jurisdiction],A47,tblServiceEvents[Revenue Eligibility],"Eligible")</x:f>
        <x:v>1</x:v>
      </x:c>
      <x:c r="D47" t="n">
        <x:v>1</x:v>
      </x:c>
      <x:c r="E47" s="24" t="n">
        <x:f>SUMIFS(tblServiceEvents[Confirmed Revenue],tblServiceEvents[Jurisdiction],A47,tblServiceEvents[Revenue Eligibility],"Eligible")</x:f>
        <x:v>100.83</x:v>
      </x:c>
      <x:c r="F47" s="24" t="n">
        <x:f>IFERROR(E47/C47,0)</x:f>
        <x:v>100.83</x:v>
      </x:c>
      <x:c r="G47" s="33" t="n">
        <x:f>IFERROR(E47/$B$7,0)</x:f>
        <x:v>0.013294130831756663</x:v>
      </x:c>
      <x:c r="H47" s="33" t="n">
        <x:f>IFERROR(B47/$B$6,0)</x:f>
        <x:v>0.013888888888888888</x:v>
      </x:c>
      <x:c r="J47" t="str">
        <x:v>Friday</x:v>
      </x:c>
      <x:c r="K47" s="24" t="n">
        <x:f>SUMIFS(tblServiceEvents[Confirmed Revenue],tblServiceEvents[Weekday],J47,tblServiceEvents[Revenue Eligibility],"Eligible")</x:f>
        <x:v>570</x:v>
      </x:c>
      <x:c r="L47" s="24" t="n">
        <x:f>COUNTIFS(tblServiceEvents[Weekday],J47,tblServiceEvents[Revenue Eligibility],"Eligible")</x:f>
        <x:v>10</x:v>
      </x:c>
      <x:c r="M47" s="24" t="n">
        <x:f>IFERROR(K47/L47,0)</x:f>
        <x:v>57</x:v>
      </x:c>
      <x:c r="N47" t="n">
        <x:v>5</x:v>
      </x:c>
      <x:c r="O47" s="33" t="n">
        <x:f>IFERROR(N47/($B$5+IF(WEEKDAY(MAXIFS(tblServiceEvents[Service Date],tblServiceEvents[Status],"Completed"),2)&gt;=5,1,0)),0)</x:f>
        <x:v>0.4166666666666667</x:v>
      </x:c>
      <x:c r="P47" s="24" t="n">
        <x:f>MAXIFS(tblServiceEvents[Confirmed Revenue],tblServiceEvents[Weekday],J47,tblServiceEvents[Revenue Eligibility],"Eligible")</x:f>
        <x:v>90</x:v>
      </x:c>
      <x:c r="Q47" s="24" t="n">
        <x:f>MINIFS(tblServiceEvents[Confirmed Revenue],tblServiceEvents[Weekday],J47,tblServiceEvents[Revenue Eligibility],"Eligible")</x:f>
        <x:v>25</x:v>
      </x:c>
      <x:c r="R47" t="n">
        <x:f>RANK(K47,$K$43:$K$47,0)</x:f>
        <x:v>5</x:v>
      </x:c>
      <x:c r="V47" t="str">
        <x:v>Gaithersburg</x:v>
      </x:c>
      <x:c r="W47" t="str">
        <x:v>MD</x:v>
      </x:c>
      <x:c r="X47" t="n">
        <x:v>2</x:v>
      </x:c>
      <x:c r="Y47" t="n">
        <x:v>1</x:v>
      </x:c>
      <x:c r="Z47" s="24" t="n">
        <x:v>50</x:v>
      </x:c>
      <x:c r="AA47" s="24" t="n">
        <x:v>50</x:v>
      </x:c>
      <x:c r="AB47" t="n">
        <x:v>50.000002</x:v>
      </x:c>
      <x:c r="AI47" s="35" t="n">
        <x:v>46217</x:v>
      </x:c>
      <x:c r="AJ47" t="n">
        <x:v>2</x:v>
      </x:c>
      <x:c r="AK47" t="n">
        <x:v>1</x:v>
      </x:c>
      <x:c r="AL47" s="24" t="n">
        <x:v>183.74</x:v>
      </x:c>
      <x:c r="AM47" s="24" t="n">
        <x:v>7234.55</x:v>
      </x:c>
      <x:c r="AN47" s="24" t="n">
        <x:v>145.91</x:v>
      </x:c>
    </x:row>
    <x:row r="48">
      <x:c r="V48" t="str">
        <x:v>Andrews AFB</x:v>
      </x:c>
      <x:c r="W48" t="str">
        <x:v>MD</x:v>
      </x:c>
      <x:c r="X48" t="n">
        <x:v>1</x:v>
      </x:c>
      <x:c r="Y48" t="n">
        <x:v>0</x:v>
      </x:c>
      <x:c r="Z48" s="24" t="n">
        <x:v>0</x:v>
      </x:c>
      <x:c r="AA48" s="24" t="n">
        <x:v>0</x:v>
      </x:c>
      <x:c r="AB48" t="n">
        <x:v>0.000001</x:v>
      </x:c>
      <x:c r="AI48" s="313" t="str">
        <x:v>Workweek</x:v>
      </x:c>
      <x:c r="AJ48" s="313" t="str">
        <x:v>Events</x:v>
      </x:c>
      <x:c r="AK48" s="313" t="str">
        <x:v>Eligible Events</x:v>
      </x:c>
      <x:c r="AL48" s="313" t="str">
        <x:v>Weekly Revenue</x:v>
      </x:c>
      <x:c r="AM48" s="313" t="str">
        <x:v>Running Revenue</x:v>
      </x:c>
    </x:row>
    <x:row r="49">
      <x:c r="V49" t="str">
        <x:v>Cheverly</x:v>
      </x:c>
      <x:c r="W49" t="str">
        <x:v>MD</x:v>
      </x:c>
      <x:c r="X49" t="n">
        <x:v>1</x:v>
      </x:c>
      <x:c r="Y49" t="n">
        <x:v>0</x:v>
      </x:c>
      <x:c r="Z49" s="24" t="n">
        <x:v>0</x:v>
      </x:c>
      <x:c r="AA49" s="24" t="n">
        <x:v>0</x:v>
      </x:c>
      <x:c r="AB49" t="n">
        <x:v>0.000001</x:v>
      </x:c>
      <x:c r="AI49" t="n">
        <x:v>1</x:v>
      </x:c>
      <x:c r="AJ49" t="n">
        <x:v>5</x:v>
      </x:c>
      <x:c r="AK49" t="n">
        <x:v>5</x:v>
      </x:c>
      <x:c r="AL49" s="24" t="n">
        <x:v>1008</x:v>
      </x:c>
      <x:c r="AM49" s="24" t="n">
        <x:v>1008</x:v>
      </x:c>
    </x:row>
    <x:row r="50">
      <x:c r="A50" s="99" t="str">
        <x:v>MY_MONTH Summary</x:v>
      </x:c>
      <x:c r="B50" s="99"/>
      <x:c r="C50" s="99"/>
      <x:c r="D50" s="99"/>
      <x:c r="E50" s="99"/>
      <x:c r="F50" s="99"/>
      <x:c r="G50" s="99"/>
      <x:c r="H50" s="12"/>
      <x:c r="I50" s="12"/>
      <x:c r="J50" s="12"/>
      <x:c r="K50" s="12"/>
      <x:c r="V50" t="str">
        <x:v>Annapolis</x:v>
      </x:c>
      <x:c r="W50" t="str">
        <x:v>MD</x:v>
      </x:c>
      <x:c r="X50" t="n">
        <x:v>2</x:v>
      </x:c>
      <x:c r="Y50" t="n">
        <x:v>2</x:v>
      </x:c>
      <x:c r="Z50" s="24" t="n">
        <x:v>160</x:v>
      </x:c>
      <x:c r="AA50" s="24" t="n">
        <x:v>80</x:v>
      </x:c>
      <x:c r="AB50" t="n">
        <x:v>160.000002</x:v>
      </x:c>
      <x:c r="AI50" t="n">
        <x:v>2</x:v>
      </x:c>
      <x:c r="AJ50" t="n">
        <x:v>4</x:v>
      </x:c>
      <x:c r="AK50" t="n">
        <x:v>3</x:v>
      </x:c>
      <x:c r="AL50" s="24" t="n">
        <x:v>275</x:v>
      </x:c>
      <x:c r="AM50" s="24" t="n">
        <x:v>1283</x:v>
      </x:c>
    </x:row>
    <x:row r="51">
      <x:c r="A51" s="98" t="str">
        <x:v>MY_MONTH</x:v>
      </x:c>
      <x:c r="B51" s="98" t="str">
        <x:v>Events</x:v>
      </x:c>
      <x:c r="C51" s="98" t="str">
        <x:v>Eligible Events</x:v>
      </x:c>
      <x:c r="D51" s="98" t="str">
        <x:v>Clients</x:v>
      </x:c>
      <x:c r="E51" s="98" t="str">
        <x:v>Jurisdictions</x:v>
      </x:c>
      <x:c r="F51" s="98" t="str">
        <x:v>Confirmed Revenue</x:v>
      </x:c>
      <x:c r="G51" s="98" t="str">
        <x:v>Avg Revenue / Eligible Event</x:v>
      </x:c>
      <x:c r="H51" s="29"/>
      <x:c r="I51" s="29"/>
      <x:c r="J51" s="29"/>
      <x:c r="K51" s="29"/>
      <x:c r="V51" t="str">
        <x:v>Dunkirk</x:v>
      </x:c>
      <x:c r="W51" t="str">
        <x:v>MD</x:v>
      </x:c>
      <x:c r="X51" t="n">
        <x:v>1</x:v>
      </x:c>
      <x:c r="Y51" t="n">
        <x:v>1</x:v>
      </x:c>
      <x:c r="Z51" s="24" t="n">
        <x:v>70</x:v>
      </x:c>
      <x:c r="AA51" s="24" t="n">
        <x:v>70</x:v>
      </x:c>
      <x:c r="AB51" t="n">
        <x:v>70.000001</x:v>
      </x:c>
      <x:c r="AI51" t="n">
        <x:v>3</x:v>
      </x:c>
      <x:c r="AJ51" t="n">
        <x:v>1</x:v>
      </x:c>
      <x:c r="AK51" t="n">
        <x:v>1</x:v>
      </x:c>
      <x:c r="AL51" s="24" t="n">
        <x:v>212.5</x:v>
      </x:c>
      <x:c r="AM51" s="24" t="n">
        <x:v>1495.5</x:v>
      </x:c>
    </x:row>
    <x:row r="52">
      <x:c r="A52" t="str">
        <x:v>MY_MONTH 1</x:v>
      </x:c>
      <x:c r="B52" t="n">
        <x:f>COUNTIFS(tblServiceEvents[MY_MONTH],A52,tblServiceEvents[Status],"Completed")</x:f>
        <x:v>20</x:v>
      </x:c>
      <x:c r="C52" t="n">
        <x:f>COUNTIFS(tblServiceEvents[MY_MONTH],A52,tblServiceEvents[Revenue Eligibility],"Eligible")</x:f>
        <x:v>20</x:v>
      </x:c>
      <x:c r="D52" t="n">
        <x:v>15</x:v>
      </x:c>
      <x:c r="E52" t="n">
        <x:v>4</x:v>
      </x:c>
      <x:c r="F52" s="24" t="n">
        <x:f>SUMIFS(tblServiceEvents[Confirmed Revenue],tblServiceEvents[MY_MONTH],A52,tblServiceEvents[Revenue Eligibility],"Eligible")</x:f>
        <x:v>2490.5</x:v>
      </x:c>
      <x:c r="G52" s="24" t="n">
        <x:f>IFERROR(F52/C52,0)</x:f>
        <x:v>124.525</x:v>
      </x:c>
      <x:c r="H52"/>
      <x:c r="I52"/>
      <x:c r="J52"/>
      <x:c r="K52"/>
      <x:c r="V52" t="str">
        <x:v>Edgewood</x:v>
      </x:c>
      <x:c r="W52" t="str">
        <x:v>MD</x:v>
      </x:c>
      <x:c r="X52" t="n">
        <x:v>1</x:v>
      </x:c>
      <x:c r="Y52" t="n">
        <x:v>1</x:v>
      </x:c>
      <x:c r="Z52" s="24" t="n">
        <x:v>65</x:v>
      </x:c>
      <x:c r="AA52" s="24" t="n">
        <x:v>65</x:v>
      </x:c>
      <x:c r="AB52" t="n">
        <x:v>65.000001</x:v>
      </x:c>
      <x:c r="AI52" t="n">
        <x:v>4</x:v>
      </x:c>
      <x:c r="AJ52" t="n">
        <x:v>6</x:v>
      </x:c>
      <x:c r="AK52" t="n">
        <x:v>5</x:v>
      </x:c>
      <x:c r="AL52" s="24" t="n">
        <x:v>412.5</x:v>
      </x:c>
      <x:c r="AM52" s="24" t="n">
        <x:v>1908</x:v>
      </x:c>
    </x:row>
    <x:row r="53">
      <x:c r="A53" t="str">
        <x:v>MY_MONTH 2</x:v>
      </x:c>
      <x:c r="B53" t="n">
        <x:f>COUNTIFS(tblServiceEvents[MY_MONTH],A53,tblServiceEvents[Status],"Completed")</x:f>
        <x:v>30</x:v>
      </x:c>
      <x:c r="C53" t="n">
        <x:f>COUNTIFS(tblServiceEvents[MY_MONTH],A53,tblServiceEvents[Revenue Eligibility],"Eligible")</x:f>
        <x:v>30</x:v>
      </x:c>
      <x:c r="D53" t="n">
        <x:v>18</x:v>
      </x:c>
      <x:c r="E53" t="n">
        <x:v>3</x:v>
      </x:c>
      <x:c r="F53" s="24" t="n">
        <x:f>SUMIFS(tblServiceEvents[Confirmed Revenue],tblServiceEvents[MY_MONTH],A53,tblServiceEvents[Revenue Eligibility],"Eligible")</x:f>
        <x:v>3286.3199999999997</x:v>
      </x:c>
      <x:c r="G53" s="24" t="n">
        <x:f>IFERROR(F53/C53,0)</x:f>
        <x:v>109.544</x:v>
      </x:c>
      <x:c r="H53"/>
      <x:c r="I53"/>
      <x:c r="J53"/>
      <x:c r="K53"/>
      <x:c r="V53" t="str">
        <x:v>Sterling</x:v>
      </x:c>
      <x:c r="W53" t="str">
        <x:v>VA</x:v>
      </x:c>
      <x:c r="X53" t="n">
        <x:v>1</x:v>
      </x:c>
      <x:c r="Y53" t="n">
        <x:v>1</x:v>
      </x:c>
      <x:c r="Z53" s="24" t="n">
        <x:v>90</x:v>
      </x:c>
      <x:c r="AA53" s="24" t="n">
        <x:v>90</x:v>
      </x:c>
      <x:c r="AB53" t="n">
        <x:v>90.000001</x:v>
      </x:c>
      <x:c r="AI53" t="n">
        <x:v>5</x:v>
      </x:c>
      <x:c r="AJ53" t="n">
        <x:v>4</x:v>
      </x:c>
      <x:c r="AK53" t="n">
        <x:v>4</x:v>
      </x:c>
      <x:c r="AL53" s="24" t="n">
        <x:v>422.5</x:v>
      </x:c>
      <x:c r="AM53" s="24" t="n">
        <x:v>2330.5</x:v>
      </x:c>
    </x:row>
    <x:row r="54">
      <x:c r="A54" t="str">
        <x:v>MY_MONTH 3</x:v>
      </x:c>
      <x:c r="B54" t="n">
        <x:f>COUNTIFS(tblServiceEvents[MY_MONTH],A54,tblServiceEvents[Status],"Completed")</x:f>
        <x:v>22</x:v>
      </x:c>
      <x:c r="C54" t="n">
        <x:f>COUNTIFS(tblServiceEvents[MY_MONTH],A54,tblServiceEvents[Revenue Eligibility],"Eligible")</x:f>
        <x:v>18</x:v>
      </x:c>
      <x:c r="D54" t="n">
        <x:v>9</x:v>
      </x:c>
      <x:c r="E54" t="n">
        <x:v>3</x:v>
      </x:c>
      <x:c r="F54" s="24" t="n">
        <x:f>SUMIFS(tblServiceEvents[Confirmed Revenue],tblServiceEvents[MY_MONTH],A54,tblServiceEvents[Revenue Eligibility],"Eligible")</x:f>
        <x:v>2620.2200000000003</x:v>
      </x:c>
      <x:c r="G54" s="24" t="n">
        <x:f>IFERROR(F54/C54,0)</x:f>
        <x:v>145.5677777777778</x:v>
      </x:c>
      <x:c r="H54"/>
      <x:c r="I54"/>
      <x:c r="J54"/>
      <x:c r="K54"/>
      <x:c r="V54" t="str">
        <x:v>Lanham</x:v>
      </x:c>
      <x:c r="W54" t="str">
        <x:v>MD</x:v>
      </x:c>
      <x:c r="X54" t="n">
        <x:v>2</x:v>
      </x:c>
      <x:c r="Y54" t="n">
        <x:v>2</x:v>
      </x:c>
      <x:c r="Z54" s="24" t="n">
        <x:v>290</x:v>
      </x:c>
      <x:c r="AA54" s="24" t="n">
        <x:v>145</x:v>
      </x:c>
      <x:c r="AB54" t="n">
        <x:v>290.000002</x:v>
      </x:c>
      <x:c r="AI54" t="n">
        <x:v>6</x:v>
      </x:c>
      <x:c r="AJ54" t="n">
        <x:v>6</x:v>
      </x:c>
      <x:c r="AK54" t="n">
        <x:v>4</x:v>
      </x:c>
      <x:c r="AL54" s="24" t="n">
        <x:v>522.91</x:v>
      </x:c>
      <x:c r="AM54" s="24" t="n">
        <x:v>2853.41</x:v>
      </x:c>
    </x:row>
    <x:row r="55">
      <x:c r="A55"/>
      <x:c r="B55"/>
      <x:c r="C55"/>
      <x:c r="D55"/>
      <x:c r="E55"/>
      <x:c r="F55"/>
      <x:c r="G55"/>
      <x:c r="H55"/>
      <x:c r="I55"/>
      <x:c r="J55"/>
      <x:c r="K55"/>
      <x:c r="V55" t="str">
        <x:v>Falls Church</x:v>
      </x:c>
      <x:c r="W55" t="str">
        <x:v>VA</x:v>
      </x:c>
      <x:c r="X55" t="n">
        <x:v>1</x:v>
      </x:c>
      <x:c r="Y55" t="n">
        <x:v>1</x:v>
      </x:c>
      <x:c r="Z55" s="24" t="n">
        <x:v>45</x:v>
      </x:c>
      <x:c r="AA55" s="24" t="n">
        <x:v>45</x:v>
      </x:c>
      <x:c r="AB55" t="n">
        <x:v>45.000001</x:v>
      </x:c>
      <x:c r="AI55" t="n">
        <x:v>7</x:v>
      </x:c>
      <x:c r="AJ55" t="n">
        <x:v>8</x:v>
      </x:c>
      <x:c r="AK55" t="n">
        <x:v>8</x:v>
      </x:c>
      <x:c r="AL55" s="24" t="n">
        <x:v>1221.66</x:v>
      </x:c>
      <x:c r="AM55" s="24" t="n">
        <x:v>4075.07</x:v>
      </x:c>
    </x:row>
    <x:row r="56">
      <x:c r="A56"/>
      <x:c r="B56"/>
      <x:c r="C56"/>
      <x:c r="D56"/>
      <x:c r="E56"/>
      <x:c r="F56"/>
      <x:c r="G56"/>
      <x:c r="H56"/>
      <x:c r="I56"/>
      <x:c r="J56"/>
      <x:c r="K56"/>
      <x:c r="V56" t="str">
        <x:v>Ellicott City</x:v>
      </x:c>
      <x:c r="W56" t="str">
        <x:v>MD</x:v>
      </x:c>
      <x:c r="X56" t="n">
        <x:v>1</x:v>
      </x:c>
      <x:c r="Y56" t="n">
        <x:v>1</x:v>
      </x:c>
      <x:c r="Z56" s="24" t="n">
        <x:v>50</x:v>
      </x:c>
      <x:c r="AA56" s="24" t="n">
        <x:v>50</x:v>
      </x:c>
      <x:c r="AB56" t="n">
        <x:v>50.000001</x:v>
      </x:c>
      <x:c r="AI56" t="n">
        <x:v>8</x:v>
      </x:c>
      <x:c r="AJ56" t="n">
        <x:v>9</x:v>
      </x:c>
      <x:c r="AK56" t="n">
        <x:v>9</x:v>
      </x:c>
      <x:c r="AL56" s="24" t="n">
        <x:v>760</x:v>
      </x:c>
      <x:c r="AM56" s="24" t="n">
        <x:v>4835.07</x:v>
      </x:c>
    </x:row>
    <x:row r="57">
      <x:c r="A57" s="235" t="str">
        <x:v>Barrister Leaderboards</x:v>
      </x:c>
      <x:c r="B57" s="235"/>
      <x:c r="C57" s="235"/>
      <x:c r="D57" s="235"/>
      <x:c r="E57" s="235"/>
      <x:c r="F57" s="235"/>
      <x:c r="G57" s="235"/>
      <x:c r="H57" s="235"/>
      <x:c r="I57" s="235"/>
      <x:c r="J57" s="235"/>
      <x:c r="K57" s="235"/>
      <x:c r="L57" s="235"/>
      <x:c r="M57" s="235"/>
      <x:c r="N57" s="235"/>
      <x:c r="O57" s="235"/>
      <x:c r="P57" s="235"/>
      <x:c r="Q57" s="235"/>
      <x:c r="R57" s="235"/>
      <x:c r="S57" s="235"/>
      <x:c r="T57" s="235"/>
      <x:c r="V57" t="str">
        <x:v>Laurel</x:v>
      </x:c>
      <x:c r="W57" t="str">
        <x:v>MD</x:v>
      </x:c>
      <x:c r="X57" t="n">
        <x:v>3</x:v>
      </x:c>
      <x:c r="Y57" t="n">
        <x:v>3</x:v>
      </x:c>
      <x:c r="Z57" s="24" t="n">
        <x:v>284.74</x:v>
      </x:c>
      <x:c r="AA57" s="24" t="n">
        <x:v>94.91333333333334</x:v>
      </x:c>
      <x:c r="AB57" t="n">
        <x:v>284.740003</x:v>
      </x:c>
      <x:c r="AI57" t="n">
        <x:v>9</x:v>
      </x:c>
      <x:c r="AJ57" t="n">
        <x:v>7</x:v>
      </x:c>
      <x:c r="AK57" t="n">
        <x:v>7</x:v>
      </x:c>
      <x:c r="AL57" s="24" t="n">
        <x:v>681.75</x:v>
      </x:c>
      <x:c r="AM57" s="24" t="n">
        <x:v>5516.82</x:v>
      </x:c>
    </x:row>
    <x:row r="58">
      <x:c r="A58" s="235"/>
      <x:c r="B58" s="235"/>
      <x:c r="C58" s="235"/>
      <x:c r="D58" s="235"/>
      <x:c r="E58" s="235"/>
      <x:c r="F58" s="235"/>
      <x:c r="G58" s="235"/>
      <x:c r="H58" s="235"/>
      <x:c r="I58" s="235"/>
      <x:c r="J58" s="235"/>
      <x:c r="K58" s="235"/>
      <x:c r="L58" s="235"/>
      <x:c r="M58" s="235"/>
      <x:c r="N58" s="235"/>
      <x:c r="O58" s="235"/>
      <x:c r="P58" s="235"/>
      <x:c r="Q58" s="235"/>
      <x:c r="R58" s="235"/>
      <x:c r="S58" s="235"/>
      <x:c r="T58" s="235"/>
      <x:c r="V58" t="str">
        <x:v>Bowie</x:v>
      </x:c>
      <x:c r="W58" t="str">
        <x:v>MD</x:v>
      </x:c>
      <x:c r="X58" t="n">
        <x:v>1</x:v>
      </x:c>
      <x:c r="Y58" t="n">
        <x:v>1</x:v>
      </x:c>
      <x:c r="Z58" s="24" t="n">
        <x:v>130</x:v>
      </x:c>
      <x:c r="AA58" s="24" t="n">
        <x:v>130</x:v>
      </x:c>
      <x:c r="AB58" t="n">
        <x:v>130.000001</x:v>
      </x:c>
      <x:c r="AI58" t="n">
        <x:v>10</x:v>
      </x:c>
      <x:c r="AJ58" t="n">
        <x:v>3</x:v>
      </x:c>
      <x:c r="AK58" t="n">
        <x:v>3</x:v>
      </x:c>
      <x:c r="AL58" s="24" t="n">
        <x:v>308.27</x:v>
      </x:c>
      <x:c r="AM58" s="24" t="n">
        <x:v>5825.09</x:v>
      </x:c>
    </x:row>
    <x:row r="59">
      <x:c r="V59" t="str">
        <x:v>Callaway</x:v>
      </x:c>
      <x:c r="W59" t="str">
        <x:v>MD</x:v>
      </x:c>
      <x:c r="X59" t="n">
        <x:v>1</x:v>
      </x:c>
      <x:c r="Y59" t="n">
        <x:v>1</x:v>
      </x:c>
      <x:c r="Z59" s="24" t="n">
        <x:v>90</x:v>
      </x:c>
      <x:c r="AA59" s="24" t="n">
        <x:v>90</x:v>
      </x:c>
      <x:c r="AB59" t="n">
        <x:v>90.000001</x:v>
      </x:c>
      <x:c r="AI59" t="n">
        <x:v>11</x:v>
      </x:c>
      <x:c r="AJ59" t="n">
        <x:v>3</x:v>
      </x:c>
      <x:c r="AK59" t="n">
        <x:v>3</x:v>
      </x:c>
      <x:c r="AL59" s="24" t="n">
        <x:v>410.66</x:v>
      </x:c>
      <x:c r="AM59" s="24" t="n">
        <x:v>6235.75</x:v>
      </x:c>
    </x:row>
    <x:row r="60">
      <x:c r="A60" s="237" t="str">
        <x:v>Top Clients — Confirmed Revenue</x:v>
      </x:c>
      <x:c r="B60" s="237"/>
      <x:c r="C60" s="237"/>
      <x:c r="D60" s="237"/>
      <x:c r="E60" s="237"/>
      <x:c r="F60" s="237"/>
      <x:c r="H60" s="237" t="str">
        <x:v>Most Repeat Clients</x:v>
      </x:c>
      <x:c r="I60" s="237"/>
      <x:c r="J60" s="237"/>
      <x:c r="K60" s="237"/>
      <x:c r="L60" s="237"/>
      <x:c r="M60" s="237"/>
      <x:c r="O60" s="237" t="str">
        <x:v>Best Client Average / Event (2+ Events)</x:v>
      </x:c>
      <x:c r="P60" s="237"/>
      <x:c r="Q60" s="237"/>
      <x:c r="R60" s="237"/>
      <x:c r="S60" s="237"/>
      <x:c r="T60" s="237"/>
      <x:c r="V60" t="str">
        <x:v>Upper Marlboro</x:v>
      </x:c>
      <x:c r="W60" t="str">
        <x:v>MD</x:v>
      </x:c>
      <x:c r="X60" t="n">
        <x:v>1</x:v>
      </x:c>
      <x:c r="Y60" t="n">
        <x:v>1</x:v>
      </x:c>
      <x:c r="Z60" s="24" t="n">
        <x:v>116.24</x:v>
      </x:c>
      <x:c r="AA60" s="24" t="n">
        <x:v>116.24</x:v>
      </x:c>
      <x:c r="AB60" t="n">
        <x:v>116.240001</x:v>
      </x:c>
      <x:c r="AI60" t="n">
        <x:v>12</x:v>
      </x:c>
      <x:c r="AJ60" t="n">
        <x:v>6</x:v>
      </x:c>
      <x:c r="AK60" t="n">
        <x:v>5</x:v>
      </x:c>
      <x:c r="AL60" s="24" t="n">
        <x:v>815.06</x:v>
      </x:c>
      <x:c r="AM60" s="24" t="n">
        <x:v>7050.81</x:v>
      </x:c>
    </x:row>
    <x:row r="61">
      <x:c r="A61" s="238" t="str">
        <x:v>Rank</x:v>
      </x:c>
      <x:c r="B61" s="238" t="str">
        <x:v>Client</x:v>
      </x:c>
      <x:c r="C61" s="238" t="str">
        <x:v>Revenue</x:v>
      </x:c>
      <x:c r="D61" s="238" t="str">
        <x:v>Events</x:v>
      </x:c>
      <x:c r="E61" s="238" t="str">
        <x:v>Avg/Event</x:v>
      </x:c>
      <x:c r="F61" s="238" t="str">
        <x:v>Work Orders</x:v>
      </x:c>
      <x:c r="H61" s="238" t="str">
        <x:v>Rank</x:v>
      </x:c>
      <x:c r="I61" s="238" t="str">
        <x:v>Client</x:v>
      </x:c>
      <x:c r="J61" s="238" t="str">
        <x:v>Events</x:v>
      </x:c>
      <x:c r="K61" s="238" t="str">
        <x:v>Revenue</x:v>
      </x:c>
      <x:c r="L61" s="238" t="str">
        <x:v>Avg/Event</x:v>
      </x:c>
      <x:c r="M61" s="238" t="str">
        <x:v>First Event</x:v>
      </x:c>
      <x:c r="O61" s="238" t="str">
        <x:v>Rank</x:v>
      </x:c>
      <x:c r="P61" s="238" t="str">
        <x:v>Client</x:v>
      </x:c>
      <x:c r="Q61" s="238" t="str">
        <x:v>Avg/Event</x:v>
      </x:c>
      <x:c r="R61" s="238" t="str">
        <x:v>Events</x:v>
      </x:c>
      <x:c r="S61" s="238" t="str">
        <x:v>Revenue</x:v>
      </x:c>
      <x:c r="T61" s="238" t="str">
        <x:v>Avg/WO</x:v>
      </x:c>
      <x:c r="V61" t="str">
        <x:v>Largo</x:v>
      </x:c>
      <x:c r="W61" t="str">
        <x:v>MD</x:v>
      </x:c>
      <x:c r="X61" t="n">
        <x:v>1</x:v>
      </x:c>
      <x:c r="Y61" t="n">
        <x:v>1</x:v>
      </x:c>
      <x:c r="Z61" s="24" t="n">
        <x:v>120</x:v>
      </x:c>
      <x:c r="AA61" s="24" t="n">
        <x:v>120</x:v>
      </x:c>
      <x:c r="AB61" t="n">
        <x:v>120.000001</x:v>
      </x:c>
      <x:c r="AI61" t="n">
        <x:v>13</x:v>
      </x:c>
      <x:c r="AJ61" t="n">
        <x:v>5</x:v>
      </x:c>
      <x:c r="AK61" t="n">
        <x:v>1</x:v>
      </x:c>
      <x:c r="AL61" s="24" t="n">
        <x:v>183.74</x:v>
      </x:c>
      <x:c r="AM61" s="24" t="n">
        <x:v>7234.55</x:v>
      </x:c>
    </x:row>
    <x:row r="62">
      <x:c r="A62" s="192" t="n">
        <x:v>1</x:v>
      </x:c>
      <x:c r="B62" s="192" t="str">
        <x:f>INDEX(tblLeaderboardClients[Client],MATCH(LARGE(tblLeaderboardClients[Revenue Key],A62),tblLeaderboardClients[Revenue Key],0))</x:f>
        <x:v>USDA</x:v>
      </x:c>
      <x:c r="C62" s="193" t="n">
        <x:f>INDEX(tblLeaderboardClients[Revenue],MATCH(LARGE(tblLeaderboardClients[Revenue Key],A62),tblLeaderboardClients[Revenue Key],0))</x:f>
        <x:v>1355</x:v>
      </x:c>
      <x:c r="D62" s="192" t="n">
        <x:f>INDEX(tblLeaderboardClients[Events],MATCH(LARGE(tblLeaderboardClients[Revenue Key],A62),tblLeaderboardClients[Revenue Key],0))</x:f>
        <x:v>6</x:v>
      </x:c>
      <x:c r="E62" s="193" t="n">
        <x:f>INDEX(tblLeaderboardClients[Avg/Event],MATCH(LARGE(tblLeaderboardClients[Revenue Key],A62),tblLeaderboardClients[Revenue Key],0))</x:f>
        <x:v>225.83333333333334</x:v>
      </x:c>
      <x:c r="F62" s="192" t="n">
        <x:f>INDEX(tblLeaderboardClients[Work Orders],MATCH(LARGE(tblLeaderboardClients[Revenue Key],A62),tblLeaderboardClients[Revenue Key],0))</x:f>
        <x:v>6</x:v>
      </x:c>
      <x:c r="H62" s="192" t="n">
        <x:v>1</x:v>
      </x:c>
      <x:c r="I62" s="192" t="str">
        <x:f>INDEX(tblLeaderboardClients[Client],MATCH(LARGE(tblLeaderboardClients[Repeat Key],H62),tblLeaderboardClients[Repeat Key],0))</x:f>
        <x:v>Marshalls</x:v>
      </x:c>
      <x:c r="J62" s="192" t="n">
        <x:f>INDEX(tblLeaderboardClients[Events],MATCH(LARGE(tblLeaderboardClients[Repeat Key],H62),tblLeaderboardClients[Repeat Key],0))</x:f>
        <x:v>8</x:v>
      </x:c>
      <x:c r="K62" s="193" t="n">
        <x:f>INDEX(tblLeaderboardClients[Revenue],MATCH(LARGE(tblLeaderboardClients[Repeat Key],H62),tblLeaderboardClients[Repeat Key],0))</x:f>
        <x:v>567.08</x:v>
      </x:c>
      <x:c r="L62" s="193" t="n">
        <x:f>INDEX(tblLeaderboardClients[Avg/Event],MATCH(LARGE(tblLeaderboardClients[Repeat Key],H62),tblLeaderboardClients[Repeat Key],0))</x:f>
        <x:v>113.41600000000001</x:v>
      </x:c>
      <x:c r="M62" s="192" t="n">
        <x:f>INDEX(tblLeaderboardClients[First Event],MATCH(LARGE(tblLeaderboardClients[Repeat Key],H62),tblLeaderboardClients[Repeat Key],0))</x:f>
        <x:v>35</x:v>
      </x:c>
      <x:c r="O62" s="192" t="n">
        <x:v>1</x:v>
      </x:c>
      <x:c r="P62" s="192" t="str">
        <x:f>INDEX(tblLeaderboardClients[Client],MATCH(LARGE(tblLeaderboardClients[Avg Key],O62),tblLeaderboardClients[Avg Key],0))</x:f>
        <x:v>Bloomingdale's</x:v>
      </x:c>
      <x:c r="Q62" s="193" t="n">
        <x:f>INDEX(tblLeaderboardClients[Avg/Event],MATCH(LARGE(tblLeaderboardClients[Avg Key],O62),tblLeaderboardClients[Avg Key],0))</x:f>
        <x:v>344</x:v>
      </x:c>
      <x:c r="R62" s="192" t="n">
        <x:f>INDEX(tblLeaderboardClients[Events],MATCH(LARGE(tblLeaderboardClients[Avg Key],O62),tblLeaderboardClients[Avg Key],0))</x:f>
        <x:v>2</x:v>
      </x:c>
      <x:c r="S62" s="193" t="n">
        <x:f>INDEX(tblLeaderboardClients[Revenue],MATCH(LARGE(tblLeaderboardClients[Avg Key],O62),tblLeaderboardClients[Avg Key],0))</x:f>
        <x:v>688</x:v>
      </x:c>
      <x:c r="T62" s="193" t="n">
        <x:f>INDEX(tblLeaderboardClients[Avg/WO],MATCH(LARGE(tblLeaderboardClients[Avg Key],O62),tblLeaderboardClients[Avg Key],0))</x:f>
        <x:v>344</x:v>
      </x:c>
      <x:c r="V62" t="str">
        <x:v>Reisterstown</x:v>
      </x:c>
      <x:c r="W62" t="str">
        <x:v>MD</x:v>
      </x:c>
      <x:c r="X62" t="n">
        <x:v>1</x:v>
      </x:c>
      <x:c r="Y62" t="n">
        <x:v>1</x:v>
      </x:c>
      <x:c r="Z62" s="24" t="n">
        <x:v>170.66</x:v>
      </x:c>
      <x:c r="AA62" s="24" t="n">
        <x:v>170.66</x:v>
      </x:c>
      <x:c r="AB62" t="n">
        <x:v>170.660001</x:v>
      </x:c>
    </x:row>
    <x:row r="63">
      <x:c r="A63" s="192" t="n">
        <x:v>2</x:v>
      </x:c>
      <x:c r="B63" s="192" t="str">
        <x:f>INDEX(tblLeaderboardClients[Client],MATCH(LARGE(tblLeaderboardClients[Revenue Key],A63),tblLeaderboardClients[Revenue Key],0))</x:f>
        <x:v>Dunkin</x:v>
      </x:c>
      <x:c r="C63" s="193" t="n">
        <x:f>INDEX(tblLeaderboardClients[Revenue],MATCH(LARGE(tblLeaderboardClients[Revenue Key],A63),tblLeaderboardClients[Revenue Key],0))</x:f>
        <x:v>1317.19</x:v>
      </x:c>
      <x:c r="D63" s="192" t="n">
        <x:f>INDEX(tblLeaderboardClients[Events],MATCH(LARGE(tblLeaderboardClients[Revenue Key],A63),tblLeaderboardClients[Revenue Key],0))</x:f>
        <x:v>6</x:v>
      </x:c>
      <x:c r="E63" s="193" t="n">
        <x:f>INDEX(tblLeaderboardClients[Avg/Event],MATCH(LARGE(tblLeaderboardClients[Revenue Key],A63),tblLeaderboardClients[Revenue Key],0))</x:f>
        <x:v>219.53166666666667</x:v>
      </x:c>
      <x:c r="F63" s="192" t="n">
        <x:f>INDEX(tblLeaderboardClients[Work Orders],MATCH(LARGE(tblLeaderboardClients[Revenue Key],A63),tblLeaderboardClients[Revenue Key],0))</x:f>
        <x:v>6</x:v>
      </x:c>
      <x:c r="H63" s="192" t="n">
        <x:v>2</x:v>
      </x:c>
      <x:c r="I63" s="192" t="str">
        <x:f>INDEX(tblLeaderboardClients[Client],MATCH(LARGE(tblLeaderboardClients[Repeat Key],H63),tblLeaderboardClients[Repeat Key],0))</x:f>
        <x:v>TJ Maxx</x:v>
      </x:c>
      <x:c r="J63" s="192" t="n">
        <x:f>INDEX(tblLeaderboardClients[Events],MATCH(LARGE(tblLeaderboardClients[Repeat Key],H63),tblLeaderboardClients[Repeat Key],0))</x:f>
        <x:v>7</x:v>
      </x:c>
      <x:c r="K63" s="193" t="n">
        <x:f>INDEX(tblLeaderboardClients[Revenue],MATCH(LARGE(tblLeaderboardClients[Repeat Key],H63),tblLeaderboardClients[Repeat Key],0))</x:f>
        <x:v>732.48</x:v>
      </x:c>
      <x:c r="L63" s="193" t="n">
        <x:f>INDEX(tblLeaderboardClients[Avg/Event],MATCH(LARGE(tblLeaderboardClients[Repeat Key],H63),tblLeaderboardClients[Repeat Key],0))</x:f>
        <x:v>122.08</x:v>
      </x:c>
      <x:c r="M63" s="192" t="n">
        <x:f>INDEX(tblLeaderboardClients[First Event],MATCH(LARGE(tblLeaderboardClients[Repeat Key],H63),tblLeaderboardClients[Repeat Key],0))</x:f>
        <x:v>30</x:v>
      </x:c>
      <x:c r="O63" s="192" t="n">
        <x:v>2</x:v>
      </x:c>
      <x:c r="P63" s="192" t="str">
        <x:f>INDEX(tblLeaderboardClients[Client],MATCH(LARGE(tblLeaderboardClients[Avg Key],O63),tblLeaderboardClients[Avg Key],0))</x:f>
        <x:v>USDA</x:v>
      </x:c>
      <x:c r="Q63" s="193" t="n">
        <x:f>INDEX(tblLeaderboardClients[Avg/Event],MATCH(LARGE(tblLeaderboardClients[Avg Key],O63),tblLeaderboardClients[Avg Key],0))</x:f>
        <x:v>225.83333333333334</x:v>
      </x:c>
      <x:c r="R63" s="192" t="n">
        <x:f>INDEX(tblLeaderboardClients[Events],MATCH(LARGE(tblLeaderboardClients[Avg Key],O63),tblLeaderboardClients[Avg Key],0))</x:f>
        <x:v>6</x:v>
      </x:c>
      <x:c r="S63" s="193" t="n">
        <x:f>INDEX(tblLeaderboardClients[Revenue],MATCH(LARGE(tblLeaderboardClients[Avg Key],O63),tblLeaderboardClients[Avg Key],0))</x:f>
        <x:v>1355</x:v>
      </x:c>
      <x:c r="T63" s="193" t="n">
        <x:f>INDEX(tblLeaderboardClients[Avg/WO],MATCH(LARGE(tblLeaderboardClients[Avg Key],O63),tblLeaderboardClients[Avg Key],0))</x:f>
        <x:v>225.83333333333334</x:v>
      </x:c>
      <x:c r="V63" t="str">
        <x:v>Lutherville</x:v>
      </x:c>
      <x:c r="W63" t="str">
        <x:v>MD</x:v>
      </x:c>
      <x:c r="X63" t="n">
        <x:v>1</x:v>
      </x:c>
      <x:c r="Y63" t="n">
        <x:v>1</x:v>
      </x:c>
      <x:c r="Z63" s="24" t="n">
        <x:v>202.5</x:v>
      </x:c>
      <x:c r="AA63" s="24" t="n">
        <x:v>202.5</x:v>
      </x:c>
      <x:c r="AB63" t="n">
        <x:v>202.500001</x:v>
      </x:c>
      <x:c r="AI63" s="313" t="str">
        <x:v>Client Type</x:v>
      </x:c>
      <x:c r="AJ63" s="313" t="str">
        <x:v>Clients</x:v>
      </x:c>
    </x:row>
    <x:row r="64">
      <x:c r="A64" s="192" t="n">
        <x:v>3</x:v>
      </x:c>
      <x:c r="B64" s="192" t="str">
        <x:f>INDEX(tblLeaderboardClients[Client],MATCH(LARGE(tblLeaderboardClients[Revenue Key],A64),tblLeaderboardClients[Revenue Key],0))</x:f>
        <x:v>TJ Maxx</x:v>
      </x:c>
      <x:c r="C64" s="193" t="n">
        <x:f>INDEX(tblLeaderboardClients[Revenue],MATCH(LARGE(tblLeaderboardClients[Revenue Key],A64),tblLeaderboardClients[Revenue Key],0))</x:f>
        <x:v>732.48</x:v>
      </x:c>
      <x:c r="D64" s="192" t="n">
        <x:f>INDEX(tblLeaderboardClients[Events],MATCH(LARGE(tblLeaderboardClients[Revenue Key],A64),tblLeaderboardClients[Revenue Key],0))</x:f>
        <x:v>7</x:v>
      </x:c>
      <x:c r="E64" s="193" t="n">
        <x:f>INDEX(tblLeaderboardClients[Avg/Event],MATCH(LARGE(tblLeaderboardClients[Revenue Key],A64),tblLeaderboardClients[Revenue Key],0))</x:f>
        <x:v>122.08</x:v>
      </x:c>
      <x:c r="F64" s="192" t="n">
        <x:f>INDEX(tblLeaderboardClients[Work Orders],MATCH(LARGE(tblLeaderboardClients[Revenue Key],A64),tblLeaderboardClients[Revenue Key],0))</x:f>
        <x:v>8</x:v>
      </x:c>
      <x:c r="H64" s="192" t="n">
        <x:v>3</x:v>
      </x:c>
      <x:c r="I64" s="192" t="str">
        <x:f>INDEX(tblLeaderboardClients[Client],MATCH(LARGE(tblLeaderboardClients[Repeat Key],H64),tblLeaderboardClients[Repeat Key],0))</x:f>
        <x:v>USDA</x:v>
      </x:c>
      <x:c r="J64" s="192" t="n">
        <x:f>INDEX(tblLeaderboardClients[Events],MATCH(LARGE(tblLeaderboardClients[Repeat Key],H64),tblLeaderboardClients[Repeat Key],0))</x:f>
        <x:v>6</x:v>
      </x:c>
      <x:c r="K64" s="193" t="n">
        <x:f>INDEX(tblLeaderboardClients[Revenue],MATCH(LARGE(tblLeaderboardClients[Repeat Key],H64),tblLeaderboardClients[Repeat Key],0))</x:f>
        <x:v>1355</x:v>
      </x:c>
      <x:c r="L64" s="193" t="n">
        <x:f>INDEX(tblLeaderboardClients[Avg/Event],MATCH(LARGE(tblLeaderboardClients[Repeat Key],H64),tblLeaderboardClients[Repeat Key],0))</x:f>
        <x:v>225.83333333333334</x:v>
      </x:c>
      <x:c r="M64" s="192" t="n">
        <x:f>INDEX(tblLeaderboardClients[First Event],MATCH(LARGE(tblLeaderboardClients[Repeat Key],H64),tblLeaderboardClients[Repeat Key],0))</x:f>
        <x:v>24</x:v>
      </x:c>
      <x:c r="O64" s="192" t="n">
        <x:v>3</x:v>
      </x:c>
      <x:c r="P64" s="192" t="str">
        <x:f>INDEX(tblLeaderboardClients[Client],MATCH(LARGE(tblLeaderboardClients[Avg Key],O64),tblLeaderboardClients[Avg Key],0))</x:f>
        <x:v>Dunkin</x:v>
      </x:c>
      <x:c r="Q64" s="193" t="n">
        <x:f>INDEX(tblLeaderboardClients[Avg/Event],MATCH(LARGE(tblLeaderboardClients[Avg Key],O64),tblLeaderboardClients[Avg Key],0))</x:f>
        <x:v>219.53166666666667</x:v>
      </x:c>
      <x:c r="R64" s="192" t="n">
        <x:f>INDEX(tblLeaderboardClients[Events],MATCH(LARGE(tblLeaderboardClients[Avg Key],O64),tblLeaderboardClients[Avg Key],0))</x:f>
        <x:v>6</x:v>
      </x:c>
      <x:c r="S64" s="193" t="n">
        <x:f>INDEX(tblLeaderboardClients[Revenue],MATCH(LARGE(tblLeaderboardClients[Avg Key],O64),tblLeaderboardClients[Avg Key],0))</x:f>
        <x:v>1317.19</x:v>
      </x:c>
      <x:c r="T64" s="193" t="n">
        <x:f>INDEX(tblLeaderboardClients[Avg/WO],MATCH(LARGE(tblLeaderboardClients[Avg Key],O64),tblLeaderboardClients[Avg Key],0))</x:f>
        <x:v>231.38000000000002</x:v>
      </x:c>
      <x:c r="V64" t="str">
        <x:v>Aberdeen</x:v>
      </x:c>
      <x:c r="W64" t="str">
        <x:v>MD</x:v>
      </x:c>
      <x:c r="X64" t="n">
        <x:v>2</x:v>
      </x:c>
      <x:c r="Y64" t="n">
        <x:v>2</x:v>
      </x:c>
      <x:c r="Z64" s="24" t="n">
        <x:v>433.74</x:v>
      </x:c>
      <x:c r="AA64" s="24" t="n">
        <x:v>216.87</x:v>
      </x:c>
      <x:c r="AB64" t="n">
        <x:v>433.740002</x:v>
      </x:c>
      <x:c r="AI64" t="str">
        <x:v>Repeat</x:v>
      </x:c>
      <x:c r="AJ64" t="n">
        <x:v>19</x:v>
      </x:c>
    </x:row>
    <x:row r="65">
      <x:c r="A65" s="192" t="n">
        <x:v>4</x:v>
      </x:c>
      <x:c r="B65" s="192" t="str">
        <x:f>INDEX(tblLeaderboardClients[Client],MATCH(LARGE(tblLeaderboardClients[Revenue Key],A65),tblLeaderboardClients[Revenue Key],0))</x:f>
        <x:v>Bloomingdale's</x:v>
      </x:c>
      <x:c r="C65" s="193" t="n">
        <x:f>INDEX(tblLeaderboardClients[Revenue],MATCH(LARGE(tblLeaderboardClients[Revenue Key],A65),tblLeaderboardClients[Revenue Key],0))</x:f>
        <x:v>688</x:v>
      </x:c>
      <x:c r="D65" s="192" t="n">
        <x:f>INDEX(tblLeaderboardClients[Events],MATCH(LARGE(tblLeaderboardClients[Revenue Key],A65),tblLeaderboardClients[Revenue Key],0))</x:f>
        <x:v>2</x:v>
      </x:c>
      <x:c r="E65" s="193" t="n">
        <x:f>INDEX(tblLeaderboardClients[Avg/Event],MATCH(LARGE(tblLeaderboardClients[Revenue Key],A65),tblLeaderboardClients[Revenue Key],0))</x:f>
        <x:v>344</x:v>
      </x:c>
      <x:c r="F65" s="192" t="n">
        <x:f>INDEX(tblLeaderboardClients[Work Orders],MATCH(LARGE(tblLeaderboardClients[Revenue Key],A65),tblLeaderboardClients[Revenue Key],0))</x:f>
        <x:v>2</x:v>
      </x:c>
      <x:c r="H65" s="192" t="n">
        <x:v>4</x:v>
      </x:c>
      <x:c r="I65" s="192" t="str">
        <x:f>INDEX(tblLeaderboardClients[Client],MATCH(LARGE(tblLeaderboardClients[Repeat Key],H65),tblLeaderboardClients[Repeat Key],0))</x:f>
        <x:v>Dunkin</x:v>
      </x:c>
      <x:c r="J65" s="192" t="n">
        <x:f>INDEX(tblLeaderboardClients[Events],MATCH(LARGE(tblLeaderboardClients[Repeat Key],H65),tblLeaderboardClients[Repeat Key],0))</x:f>
        <x:v>6</x:v>
      </x:c>
      <x:c r="K65" s="193" t="n">
        <x:f>INDEX(tblLeaderboardClients[Revenue],MATCH(LARGE(tblLeaderboardClients[Repeat Key],H65),tblLeaderboardClients[Repeat Key],0))</x:f>
        <x:v>1317.19</x:v>
      </x:c>
      <x:c r="L65" s="193" t="n">
        <x:f>INDEX(tblLeaderboardClients[Avg/Event],MATCH(LARGE(tblLeaderboardClients[Repeat Key],H65),tblLeaderboardClients[Repeat Key],0))</x:f>
        <x:v>219.53166666666667</x:v>
      </x:c>
      <x:c r="M65" s="192" t="n">
        <x:f>INDEX(tblLeaderboardClients[First Event],MATCH(LARGE(tblLeaderboardClients[Repeat Key],H65),tblLeaderboardClients[Repeat Key],0))</x:f>
        <x:v>56</x:v>
      </x:c>
      <x:c r="O65" s="192" t="n">
        <x:v>4</x:v>
      </x:c>
      <x:c r="P65" s="192" t="str">
        <x:f>INDEX(tblLeaderboardClients[Client],MATCH(LARGE(tblLeaderboardClients[Avg Key],O65),tblLeaderboardClients[Avg Key],0))</x:f>
        <x:v>7-Eleven</x:v>
      </x:c>
      <x:c r="Q65" s="193" t="n">
        <x:f>INDEX(tblLeaderboardClients[Avg/Event],MATCH(LARGE(tblLeaderboardClients[Avg Key],O65),tblLeaderboardClients[Avg Key],0))</x:f>
        <x:v>165.9375</x:v>
      </x:c>
      <x:c r="R65" s="192" t="n">
        <x:f>INDEX(tblLeaderboardClients[Events],MATCH(LARGE(tblLeaderboardClients[Avg Key],O65),tblLeaderboardClients[Avg Key],0))</x:f>
        <x:v>4</x:v>
      </x:c>
      <x:c r="S65" s="193" t="n">
        <x:f>INDEX(tblLeaderboardClients[Revenue],MATCH(LARGE(tblLeaderboardClients[Avg Key],O65),tblLeaderboardClients[Avg Key],0))</x:f>
        <x:v>663.75</x:v>
      </x:c>
      <x:c r="T65" s="193" t="n">
        <x:f>INDEX(tblLeaderboardClients[Avg/WO],MATCH(LARGE(tblLeaderboardClients[Avg Key],O65),tblLeaderboardClients[Avg Key],0))</x:f>
        <x:v>163.8225</x:v>
      </x:c>
      <x:c r="V65" t="str">
        <x:v>Germantown</x:v>
      </x:c>
      <x:c r="W65" t="str">
        <x:v>MD</x:v>
      </x:c>
      <x:c r="X65" t="n">
        <x:v>1</x:v>
      </x:c>
      <x:c r="Y65" t="n">
        <x:v>1</x:v>
      </x:c>
      <x:c r="Z65" s="24" t="n">
        <x:v>194.99</x:v>
      </x:c>
      <x:c r="AA65" s="24" t="n">
        <x:v>194.99</x:v>
      </x:c>
      <x:c r="AB65" t="n">
        <x:v>194.990001</x:v>
      </x:c>
      <x:c r="AI65" t="str">
        <x:v>One-Time</x:v>
      </x:c>
      <x:c r="AJ65" t="n">
        <x:v>8</x:v>
      </x:c>
    </x:row>
    <x:row r="66">
      <x:c r="A66" s="192" t="n">
        <x:v>5</x:v>
      </x:c>
      <x:c r="B66" s="192" t="str">
        <x:f>INDEX(tblLeaderboardClients[Client],MATCH(LARGE(tblLeaderboardClients[Revenue Key],A66),tblLeaderboardClients[Revenue Key],0))</x:f>
        <x:v>7-Eleven</x:v>
      </x:c>
      <x:c r="C66" s="193" t="n">
        <x:f>INDEX(tblLeaderboardClients[Revenue],MATCH(LARGE(tblLeaderboardClients[Revenue Key],A66),tblLeaderboardClients[Revenue Key],0))</x:f>
        <x:v>663.75</x:v>
      </x:c>
      <x:c r="D66" s="192" t="n">
        <x:f>INDEX(tblLeaderboardClients[Events],MATCH(LARGE(tblLeaderboardClients[Revenue Key],A66),tblLeaderboardClients[Revenue Key],0))</x:f>
        <x:v>4</x:v>
      </x:c>
      <x:c r="E66" s="193" t="n">
        <x:f>INDEX(tblLeaderboardClients[Avg/Event],MATCH(LARGE(tblLeaderboardClients[Revenue Key],A66),tblLeaderboardClients[Revenue Key],0))</x:f>
        <x:v>165.9375</x:v>
      </x:c>
      <x:c r="F66" s="192" t="n">
        <x:f>INDEX(tblLeaderboardClients[Work Orders],MATCH(LARGE(tblLeaderboardClients[Revenue Key],A66),tblLeaderboardClients[Revenue Key],0))</x:f>
        <x:v>4</x:v>
      </x:c>
      <x:c r="H66" s="192" t="n">
        <x:v>5</x:v>
      </x:c>
      <x:c r="I66" s="192" t="str">
        <x:f>INDEX(tblLeaderboardClients[Client],MATCH(LARGE(tblLeaderboardClients[Repeat Key],H66),tblLeaderboardClients[Repeat Key],0))</x:f>
        <x:v>7-Eleven</x:v>
      </x:c>
      <x:c r="J66" s="192" t="n">
        <x:f>INDEX(tblLeaderboardClients[Events],MATCH(LARGE(tblLeaderboardClients[Repeat Key],H66),tblLeaderboardClients[Repeat Key],0))</x:f>
        <x:v>4</x:v>
      </x:c>
      <x:c r="K66" s="193" t="n">
        <x:f>INDEX(tblLeaderboardClients[Revenue],MATCH(LARGE(tblLeaderboardClients[Repeat Key],H66),tblLeaderboardClients[Repeat Key],0))</x:f>
        <x:v>663.75</x:v>
      </x:c>
      <x:c r="L66" s="193" t="n">
        <x:f>INDEX(tblLeaderboardClients[Avg/Event],MATCH(LARGE(tblLeaderboardClients[Repeat Key],H66),tblLeaderboardClients[Repeat Key],0))</x:f>
        <x:v>165.9375</x:v>
      </x:c>
      <x:c r="M66" s="192" t="n">
        <x:f>INDEX(tblLeaderboardClients[First Event],MATCH(LARGE(tblLeaderboardClients[Repeat Key],H66),tblLeaderboardClients[Repeat Key],0))</x:f>
        <x:v>9</x:v>
      </x:c>
      <x:c r="O66" s="192" t="n">
        <x:v>5</x:v>
      </x:c>
      <x:c r="P66" s="192" t="str">
        <x:f>INDEX(tblLeaderboardClients[Client],MATCH(LARGE(tblLeaderboardClients[Avg Key],O66),tblLeaderboardClients[Avg Key],0))</x:f>
        <x:v>Macy's</x:v>
      </x:c>
      <x:c r="Q66" s="193" t="n">
        <x:f>INDEX(tblLeaderboardClients[Avg/Event],MATCH(LARGE(tblLeaderboardClients[Avg Key],O66),tblLeaderboardClients[Avg Key],0))</x:f>
        <x:v>150</x:v>
      </x:c>
      <x:c r="R66" s="192" t="n">
        <x:f>INDEX(tblLeaderboardClients[Events],MATCH(LARGE(tblLeaderboardClients[Avg Key],O66),tblLeaderboardClients[Avg Key],0))</x:f>
        <x:v>3</x:v>
      </x:c>
      <x:c r="S66" s="193" t="n">
        <x:f>INDEX(tblLeaderboardClients[Revenue],MATCH(LARGE(tblLeaderboardClients[Avg Key],O66),tblLeaderboardClients[Avg Key],0))</x:f>
        <x:v>450</x:v>
      </x:c>
      <x:c r="T66" s="193" t="n">
        <x:f>INDEX(tblLeaderboardClients[Avg/WO],MATCH(LARGE(tblLeaderboardClients[Avg Key],O66),tblLeaderboardClients[Avg Key],0))</x:f>
        <x:v>150</x:v>
      </x:c>
      <x:c r="V66" t="str">
        <x:v>Martinsburg</x:v>
      </x:c>
      <x:c r="W66" t="str">
        <x:v>WV</x:v>
      </x:c>
      <x:c r="X66" t="n">
        <x:v>1</x:v>
      </x:c>
      <x:c r="Y66" t="n">
        <x:v>1</x:v>
      </x:c>
      <x:c r="Z66" s="24" t="n">
        <x:v>100.83</x:v>
      </x:c>
      <x:c r="AA66" s="24" t="n">
        <x:v>100.83</x:v>
      </x:c>
      <x:c r="AB66" t="n">
        <x:v>100.830001</x:v>
      </x:c>
    </x:row>
    <x:row r="67">
      <x:c r="A67" s="192" t="n">
        <x:v>6</x:v>
      </x:c>
      <x:c r="B67" s="192" t="str">
        <x:f>INDEX(tblLeaderboardClients[Client],MATCH(LARGE(tblLeaderboardClients[Revenue Key],A67),tblLeaderboardClients[Revenue Key],0))</x:f>
        <x:v>Marshalls</x:v>
      </x:c>
      <x:c r="C67" s="193" t="n">
        <x:f>INDEX(tblLeaderboardClients[Revenue],MATCH(LARGE(tblLeaderboardClients[Revenue Key],A67),tblLeaderboardClients[Revenue Key],0))</x:f>
        <x:v>567.08</x:v>
      </x:c>
      <x:c r="D67" s="192" t="n">
        <x:f>INDEX(tblLeaderboardClients[Events],MATCH(LARGE(tblLeaderboardClients[Revenue Key],A67),tblLeaderboardClients[Revenue Key],0))</x:f>
        <x:v>8</x:v>
      </x:c>
      <x:c r="E67" s="193" t="n">
        <x:f>INDEX(tblLeaderboardClients[Avg/Event],MATCH(LARGE(tblLeaderboardClients[Revenue Key],A67),tblLeaderboardClients[Revenue Key],0))</x:f>
        <x:v>113.41600000000001</x:v>
      </x:c>
      <x:c r="F67" s="192" t="n">
        <x:f>INDEX(tblLeaderboardClients[Work Orders],MATCH(LARGE(tblLeaderboardClients[Revenue Key],A67),tblLeaderboardClients[Revenue Key],0))</x:f>
        <x:v>8</x:v>
      </x:c>
      <x:c r="H67" s="192" t="n">
        <x:v>6</x:v>
      </x:c>
      <x:c r="I67" s="192" t="str">
        <x:f>INDEX(tblLeaderboardClients[Client],MATCH(LARGE(tblLeaderboardClients[Repeat Key],H67),tblLeaderboardClients[Repeat Key],0))</x:f>
        <x:v>Giant Food Stores</x:v>
      </x:c>
      <x:c r="J67" s="192" t="n">
        <x:f>INDEX(tblLeaderboardClients[Events],MATCH(LARGE(tblLeaderboardClients[Repeat Key],H67),tblLeaderboardClients[Repeat Key],0))</x:f>
        <x:v>4</x:v>
      </x:c>
      <x:c r="K67" s="193" t="n">
        <x:f>INDEX(tblLeaderboardClients[Revenue],MATCH(LARGE(tblLeaderboardClients[Repeat Key],H67),tblLeaderboardClients[Repeat Key],0))</x:f>
        <x:v>478.33</x:v>
      </x:c>
      <x:c r="L67" s="193" t="n">
        <x:f>INDEX(tblLeaderboardClients[Avg/Event],MATCH(LARGE(tblLeaderboardClients[Repeat Key],H67),tblLeaderboardClients[Repeat Key],0))</x:f>
        <x:v>119.5825</x:v>
      </x:c>
      <x:c r="M67" s="192" t="n">
        <x:f>INDEX(tblLeaderboardClients[First Event],MATCH(LARGE(tblLeaderboardClients[Repeat Key],H67),tblLeaderboardClients[Repeat Key],0))</x:f>
        <x:v>10</x:v>
      </x:c>
      <x:c r="O67" s="192" t="n">
        <x:v>6</x:v>
      </x:c>
      <x:c r="P67" s="192" t="str">
        <x:f>INDEX(tblLeaderboardClients[Client],MATCH(LARGE(tblLeaderboardClients[Avg Key],O67),tblLeaderboardClients[Avg Key],0))</x:f>
        <x:v>Under Armour</x:v>
      </x:c>
      <x:c r="Q67" s="193" t="n">
        <x:f>INDEX(tblLeaderboardClients[Avg/Event],MATCH(LARGE(tblLeaderboardClients[Avg Key],O67),tblLeaderboardClients[Avg Key],0))</x:f>
        <x:v>130</x:v>
      </x:c>
      <x:c r="R67" s="192" t="n">
        <x:f>INDEX(tblLeaderboardClients[Events],MATCH(LARGE(tblLeaderboardClients[Avg Key],O67),tblLeaderboardClients[Avg Key],0))</x:f>
        <x:v>2</x:v>
      </x:c>
      <x:c r="S67" s="193" t="n">
        <x:f>INDEX(tblLeaderboardClients[Revenue],MATCH(LARGE(tblLeaderboardClients[Avg Key],O67),tblLeaderboardClients[Avg Key],0))</x:f>
        <x:v>260</x:v>
      </x:c>
      <x:c r="T67" s="193" t="n">
        <x:f>INDEX(tblLeaderboardClients[Avg/WO],MATCH(LARGE(tblLeaderboardClients[Avg Key],O67),tblLeaderboardClients[Avg Key],0))</x:f>
        <x:v>130</x:v>
      </x:c>
      <x:c r="V67" t="str">
        <x:v>Cockeysville</x:v>
      </x:c>
      <x:c r="W67" t="str">
        <x:v>MD</x:v>
      </x:c>
      <x:c r="X67" t="n">
        <x:v>1</x:v>
      </x:c>
      <x:c r="Y67" t="n">
        <x:v>0</x:v>
      </x:c>
      <x:c r="Z67" t="n">
        <x:v>0</x:v>
      </x:c>
      <x:c r="AA67" t="n">
        <x:v>0</x:v>
      </x:c>
      <x:c r="AB67" t="n">
        <x:v>0.000001</x:v>
      </x:c>
    </x:row>
    <x:row r="68">
      <x:c r="A68" s="192" t="n">
        <x:v>7</x:v>
      </x:c>
      <x:c r="B68" s="192" t="str">
        <x:f>INDEX(tblLeaderboardClients[Client],MATCH(LARGE(tblLeaderboardClients[Revenue Key],A68),tblLeaderboardClients[Revenue Key],0))</x:f>
        <x:v>Giant Food Stores</x:v>
      </x:c>
      <x:c r="C68" s="193" t="n">
        <x:f>INDEX(tblLeaderboardClients[Revenue],MATCH(LARGE(tblLeaderboardClients[Revenue Key],A68),tblLeaderboardClients[Revenue Key],0))</x:f>
        <x:v>478.33</x:v>
      </x:c>
      <x:c r="D68" s="192" t="n">
        <x:f>INDEX(tblLeaderboardClients[Events],MATCH(LARGE(tblLeaderboardClients[Revenue Key],A68),tblLeaderboardClients[Revenue Key],0))</x:f>
        <x:v>4</x:v>
      </x:c>
      <x:c r="E68" s="193" t="n">
        <x:f>INDEX(tblLeaderboardClients[Avg/Event],MATCH(LARGE(tblLeaderboardClients[Revenue Key],A68),tblLeaderboardClients[Revenue Key],0))</x:f>
        <x:v>119.5825</x:v>
      </x:c>
      <x:c r="F68" s="192" t="n">
        <x:f>INDEX(tblLeaderboardClients[Work Orders],MATCH(LARGE(tblLeaderboardClients[Revenue Key],A68),tblLeaderboardClients[Revenue Key],0))</x:f>
        <x:v>4</x:v>
      </x:c>
      <x:c r="H68" s="192" t="n">
        <x:v>7</x:v>
      </x:c>
      <x:c r="I68" s="192" t="str">
        <x:f>INDEX(tblLeaderboardClients[Client],MATCH(LARGE(tblLeaderboardClients[Repeat Key],H68),tblLeaderboardClients[Repeat Key],0))</x:f>
        <x:v>HomeGoods</x:v>
      </x:c>
      <x:c r="J68" s="192" t="n">
        <x:f>INDEX(tblLeaderboardClients[Events],MATCH(LARGE(tblLeaderboardClients[Repeat Key],H68),tblLeaderboardClients[Repeat Key],0))</x:f>
        <x:v>4</x:v>
      </x:c>
      <x:c r="K68" s="193" t="n">
        <x:f>INDEX(tblLeaderboardClients[Revenue],MATCH(LARGE(tblLeaderboardClients[Repeat Key],H68),tblLeaderboardClients[Repeat Key],0))</x:f>
        <x:v>394.15999999999997</x:v>
      </x:c>
      <x:c r="L68" s="193" t="n">
        <x:f>INDEX(tblLeaderboardClients[Avg/Event],MATCH(LARGE(tblLeaderboardClients[Repeat Key],H68),tblLeaderboardClients[Repeat Key],0))</x:f>
        <x:v>98.53999999999999</x:v>
      </x:c>
      <x:c r="M68" s="192" t="n">
        <x:f>INDEX(tblLeaderboardClients[First Event],MATCH(LARGE(tblLeaderboardClients[Repeat Key],H68),tblLeaderboardClients[Repeat Key],0))</x:f>
        <x:v>22</x:v>
      </x:c>
      <x:c r="O68" s="192" t="n">
        <x:v>7</x:v>
      </x:c>
      <x:c r="P68" s="192" t="str">
        <x:f>INDEX(tblLeaderboardClients[Client],MATCH(LARGE(tblLeaderboardClients[Avg Key],O68),tblLeaderboardClients[Avg Key],0))</x:f>
        <x:v>Office of MD Senator Angela Alsobrooks</x:v>
      </x:c>
      <x:c r="Q68" s="193" t="n">
        <x:f>INDEX(tblLeaderboardClients[Avg/Event],MATCH(LARGE(tblLeaderboardClients[Avg Key],O68),tblLeaderboardClients[Avg Key],0))</x:f>
        <x:v>125</x:v>
      </x:c>
      <x:c r="R68" s="192" t="n">
        <x:f>INDEX(tblLeaderboardClients[Events],MATCH(LARGE(tblLeaderboardClients[Avg Key],O68),tblLeaderboardClients[Avg Key],0))</x:f>
        <x:v>2</x:v>
      </x:c>
      <x:c r="S68" s="193" t="n">
        <x:f>INDEX(tblLeaderboardClients[Revenue],MATCH(LARGE(tblLeaderboardClients[Avg Key],O68),tblLeaderboardClients[Avg Key],0))</x:f>
        <x:v>250</x:v>
      </x:c>
      <x:c r="T68" s="193" t="n">
        <x:f>INDEX(tblLeaderboardClients[Avg/WO],MATCH(LARGE(tblLeaderboardClients[Avg Key],O68),tblLeaderboardClients[Avg Key],0))</x:f>
        <x:v>125</x:v>
      </x:c>
      <x:c r="V68" t="str">
        <x:v>Hagerstown</x:v>
      </x:c>
      <x:c r="W68" t="str">
        <x:v>MD</x:v>
      </x:c>
      <x:c r="X68" t="n">
        <x:v>1</x:v>
      </x:c>
      <x:c r="Y68" t="n">
        <x:v>0</x:v>
      </x:c>
      <x:c r="Z68" t="n">
        <x:v>0</x:v>
      </x:c>
      <x:c r="AA68" t="n">
        <x:v>0</x:v>
      </x:c>
      <x:c r="AB68" t="n">
        <x:v>0.000001</x:v>
      </x:c>
    </x:row>
    <x:row r="69">
      <x:c r="A69" s="192" t="n">
        <x:v>8</x:v>
      </x:c>
      <x:c r="B69" s="192" t="str">
        <x:f>INDEX(tblLeaderboardClients[Client],MATCH(LARGE(tblLeaderboardClients[Revenue Key],A69),tblLeaderboardClients[Revenue Key],0))</x:f>
        <x:v>Macy's</x:v>
      </x:c>
      <x:c r="C69" s="193" t="n">
        <x:f>INDEX(tblLeaderboardClients[Revenue],MATCH(LARGE(tblLeaderboardClients[Revenue Key],A69),tblLeaderboardClients[Revenue Key],0))</x:f>
        <x:v>450</x:v>
      </x:c>
      <x:c r="D69" s="192" t="n">
        <x:f>INDEX(tblLeaderboardClients[Events],MATCH(LARGE(tblLeaderboardClients[Revenue Key],A69),tblLeaderboardClients[Revenue Key],0))</x:f>
        <x:v>3</x:v>
      </x:c>
      <x:c r="E69" s="193" t="n">
        <x:f>INDEX(tblLeaderboardClients[Avg/Event],MATCH(LARGE(tblLeaderboardClients[Revenue Key],A69),tblLeaderboardClients[Revenue Key],0))</x:f>
        <x:v>150</x:v>
      </x:c>
      <x:c r="F69" s="192" t="n">
        <x:f>INDEX(tblLeaderboardClients[Work Orders],MATCH(LARGE(tblLeaderboardClients[Revenue Key],A69),tblLeaderboardClients[Revenue Key],0))</x:f>
        <x:v>3</x:v>
      </x:c>
      <x:c r="H69" s="192" t="n">
        <x:v>8</x:v>
      </x:c>
      <x:c r="I69" s="192" t="str">
        <x:f>INDEX(tblLeaderboardClients[Client],MATCH(LARGE(tblLeaderboardClients[Repeat Key],H69),tblLeaderboardClients[Repeat Key],0))</x:f>
        <x:v>Hebrew Home of Greater Washington</x:v>
      </x:c>
      <x:c r="J69" s="192" t="n">
        <x:f>INDEX(tblLeaderboardClients[Events],MATCH(LARGE(tblLeaderboardClients[Repeat Key],H69),tblLeaderboardClients[Repeat Key],0))</x:f>
        <x:v>4</x:v>
      </x:c>
      <x:c r="K69" s="193" t="n">
        <x:f>INDEX(tblLeaderboardClients[Revenue],MATCH(LARGE(tblLeaderboardClients[Repeat Key],H69),tblLeaderboardClients[Repeat Key],0))</x:f>
        <x:v>225</x:v>
      </x:c>
      <x:c r="L69" s="193" t="n">
        <x:f>INDEX(tblLeaderboardClients[Avg/Event],MATCH(LARGE(tblLeaderboardClients[Repeat Key],H69),tblLeaderboardClients[Repeat Key],0))</x:f>
        <x:v>56.25</x:v>
      </x:c>
      <x:c r="M69" s="192" t="n">
        <x:f>INDEX(tblLeaderboardClients[First Event],MATCH(LARGE(tblLeaderboardClients[Repeat Key],H69),tblLeaderboardClients[Repeat Key],0))</x:f>
        <x:v>8</x:v>
      </x:c>
      <x:c r="O69" s="192" t="n">
        <x:v>8</x:v>
      </x:c>
      <x:c r="P69" s="192" t="str">
        <x:f>INDEX(tblLeaderboardClients[Client],MATCH(LARGE(tblLeaderboardClients[Avg Key],O69),tblLeaderboardClients[Avg Key],0))</x:f>
        <x:v>Food Lion</x:v>
      </x:c>
      <x:c r="Q69" s="193" t="n">
        <x:f>INDEX(tblLeaderboardClients[Avg/Event],MATCH(LARGE(tblLeaderboardClients[Avg Key],O69),tblLeaderboardClients[Avg Key],0))</x:f>
        <x:v>123.88333333333333</x:v>
      </x:c>
      <x:c r="R69" s="192" t="n">
        <x:f>INDEX(tblLeaderboardClients[Events],MATCH(LARGE(tblLeaderboardClients[Avg Key],O69),tblLeaderboardClients[Avg Key],0))</x:f>
        <x:v>3</x:v>
      </x:c>
      <x:c r="S69" s="193" t="n">
        <x:f>INDEX(tblLeaderboardClients[Revenue],MATCH(LARGE(tblLeaderboardClients[Avg Key],O69),tblLeaderboardClients[Avg Key],0))</x:f>
        <x:v>371.65</x:v>
      </x:c>
      <x:c r="T69" s="193" t="n">
        <x:f>INDEX(tblLeaderboardClients[Avg/WO],MATCH(LARGE(tblLeaderboardClients[Avg Key],O69),tblLeaderboardClients[Avg Key],0))</x:f>
        <x:v>123.88333333333333</x:v>
      </x:c>
      <x:c r="V69" s="231" t="str">
        <x:v>Hanover</x:v>
      </x:c>
      <x:c r="W69" s="231" t="str">
        <x:v>MD</x:v>
      </x:c>
      <x:c r="X69" s="231" t="n">
        <x:v>2</x:v>
      </x:c>
      <x:c r="Y69" s="231" t="n">
        <x:v>2</x:v>
      </x:c>
      <x:c r="Z69" s="231" t="n">
        <x:v>260</x:v>
      </x:c>
      <x:c r="AA69" s="231" t="n">
        <x:v>130</x:v>
      </x:c>
      <x:c r="AB69" s="231" t="n">
        <x:v>260.000002</x:v>
      </x:c>
    </x:row>
    <x:row r="70">
      <x:c r="A70" s="192" t="n">
        <x:v>9</x:v>
      </x:c>
      <x:c r="B70" s="192" t="str">
        <x:f>INDEX(tblLeaderboardClients[Client],MATCH(LARGE(tblLeaderboardClients[Revenue Key],A70),tblLeaderboardClients[Revenue Key],0))</x:f>
        <x:v>HomeGoods</x:v>
      </x:c>
      <x:c r="C70" s="193" t="n">
        <x:f>INDEX(tblLeaderboardClients[Revenue],MATCH(LARGE(tblLeaderboardClients[Revenue Key],A70),tblLeaderboardClients[Revenue Key],0))</x:f>
        <x:v>394.15999999999997</x:v>
      </x:c>
      <x:c r="D70" s="192" t="n">
        <x:f>INDEX(tblLeaderboardClients[Events],MATCH(LARGE(tblLeaderboardClients[Revenue Key],A70),tblLeaderboardClients[Revenue Key],0))</x:f>
        <x:v>4</x:v>
      </x:c>
      <x:c r="E70" s="193" t="n">
        <x:f>INDEX(tblLeaderboardClients[Avg/Event],MATCH(LARGE(tblLeaderboardClients[Revenue Key],A70),tblLeaderboardClients[Revenue Key],0))</x:f>
        <x:v>98.53999999999999</x:v>
      </x:c>
      <x:c r="F70" s="192" t="n">
        <x:f>INDEX(tblLeaderboardClients[Work Orders],MATCH(LARGE(tblLeaderboardClients[Revenue Key],A70),tblLeaderboardClients[Revenue Key],0))</x:f>
        <x:v>4</x:v>
      </x:c>
      <x:c r="H70" s="192" t="n">
        <x:v>9</x:v>
      </x:c>
      <x:c r="I70" s="192" t="str">
        <x:f>INDEX(tblLeaderboardClients[Client],MATCH(LARGE(tblLeaderboardClients[Repeat Key],H70),tblLeaderboardClients[Repeat Key],0))</x:f>
        <x:v>Macy's</x:v>
      </x:c>
      <x:c r="J70" s="192" t="n">
        <x:f>INDEX(tblLeaderboardClients[Events],MATCH(LARGE(tblLeaderboardClients[Repeat Key],H70),tblLeaderboardClients[Repeat Key],0))</x:f>
        <x:v>3</x:v>
      </x:c>
      <x:c r="K70" s="193" t="n">
        <x:f>INDEX(tblLeaderboardClients[Revenue],MATCH(LARGE(tblLeaderboardClients[Repeat Key],H70),tblLeaderboardClients[Repeat Key],0))</x:f>
        <x:v>450</x:v>
      </x:c>
      <x:c r="L70" s="193" t="n">
        <x:f>INDEX(tblLeaderboardClients[Avg/Event],MATCH(LARGE(tblLeaderboardClients[Repeat Key],H70),tblLeaderboardClients[Repeat Key],0))</x:f>
        <x:v>150</x:v>
      </x:c>
      <x:c r="M70" s="192" t="n">
        <x:f>INDEX(tblLeaderboardClients[First Event],MATCH(LARGE(tblLeaderboardClients[Repeat Key],H70),tblLeaderboardClients[Repeat Key],0))</x:f>
        <x:v>1</x:v>
      </x:c>
      <x:c r="O70" s="192" t="n">
        <x:v>9</x:v>
      </x:c>
      <x:c r="P70" s="192" t="str">
        <x:f>INDEX(tblLeaderboardClients[Client],MATCH(LARGE(tblLeaderboardClients[Avg Key],O70),tblLeaderboardClients[Avg Key],0))</x:f>
        <x:v>TJ Maxx</x:v>
      </x:c>
      <x:c r="Q70" s="193" t="n">
        <x:f>INDEX(tblLeaderboardClients[Avg/Event],MATCH(LARGE(tblLeaderboardClients[Avg Key],O70),tblLeaderboardClients[Avg Key],0))</x:f>
        <x:v>122.08</x:v>
      </x:c>
      <x:c r="R70" s="192" t="n">
        <x:f>INDEX(tblLeaderboardClients[Events],MATCH(LARGE(tblLeaderboardClients[Avg Key],O70),tblLeaderboardClients[Avg Key],0))</x:f>
        <x:v>7</x:v>
      </x:c>
      <x:c r="S70" s="193" t="n">
        <x:f>INDEX(tblLeaderboardClients[Revenue],MATCH(LARGE(tblLeaderboardClients[Avg Key],O70),tblLeaderboardClients[Avg Key],0))</x:f>
        <x:v>732.48</x:v>
      </x:c>
      <x:c r="T70" s="193" t="n">
        <x:f>INDEX(tblLeaderboardClients[Avg/WO],MATCH(LARGE(tblLeaderboardClients[Avg Key],O70),tblLeaderboardClients[Avg Key],0))</x:f>
        <x:v>120.35428571428572</x:v>
      </x:c>
      <x:c r="V70" t="str">
        <x:v>Bel Air</x:v>
      </x:c>
      <x:c r="W70" t="str">
        <x:v>MD</x:v>
      </x:c>
      <x:c r="X70" t="n">
        <x:v>1</x:v>
      </x:c>
      <x:c r="Y70" s="24" t="n">
        <x:v>0</x:v>
      </x:c>
      <x:c r="Z70" s="24" t="n">
        <x:v>0</x:v>
      </x:c>
      <x:c r="AA70" t="n">
        <x:v>0</x:v>
      </x:c>
      <x:c r="AB70" t="n">
        <x:v>0.000001</x:v>
      </x:c>
    </x:row>
    <x:row r="71">
      <x:c r="A71" s="192" t="n">
        <x:v>10</x:v>
      </x:c>
      <x:c r="B71" s="192" t="str">
        <x:f>INDEX(tblLeaderboardClients[Client],MATCH(LARGE(tblLeaderboardClients[Revenue Key],A71),tblLeaderboardClients[Revenue Key],0))</x:f>
        <x:v>Food Lion</x:v>
      </x:c>
      <x:c r="C71" s="193" t="n">
        <x:f>INDEX(tblLeaderboardClients[Revenue],MATCH(LARGE(tblLeaderboardClients[Revenue Key],A71),tblLeaderboardClients[Revenue Key],0))</x:f>
        <x:v>371.65</x:v>
      </x:c>
      <x:c r="D71" s="192" t="n">
        <x:f>INDEX(tblLeaderboardClients[Events],MATCH(LARGE(tblLeaderboardClients[Revenue Key],A71),tblLeaderboardClients[Revenue Key],0))</x:f>
        <x:v>3</x:v>
      </x:c>
      <x:c r="E71" s="193" t="n">
        <x:f>INDEX(tblLeaderboardClients[Avg/Event],MATCH(LARGE(tblLeaderboardClients[Revenue Key],A71),tblLeaderboardClients[Revenue Key],0))</x:f>
        <x:v>123.88333333333333</x:v>
      </x:c>
      <x:c r="F71" s="192" t="n">
        <x:f>INDEX(tblLeaderboardClients[Work Orders],MATCH(LARGE(tblLeaderboardClients[Revenue Key],A71),tblLeaderboardClients[Revenue Key],0))</x:f>
        <x:v>3</x:v>
      </x:c>
      <x:c r="H71" s="192" t="n">
        <x:v>10</x:v>
      </x:c>
      <x:c r="I71" s="192" t="str">
        <x:f>INDEX(tblLeaderboardClients[Client],MATCH(LARGE(tblLeaderboardClients[Repeat Key],H71),tblLeaderboardClients[Repeat Key],0))</x:f>
        <x:v>Food Lion</x:v>
      </x:c>
      <x:c r="J71" s="192" t="n">
        <x:f>INDEX(tblLeaderboardClients[Events],MATCH(LARGE(tblLeaderboardClients[Repeat Key],H71),tblLeaderboardClients[Repeat Key],0))</x:f>
        <x:v>3</x:v>
      </x:c>
      <x:c r="K71" s="193" t="n">
        <x:f>INDEX(tblLeaderboardClients[Revenue],MATCH(LARGE(tblLeaderboardClients[Repeat Key],H71),tblLeaderboardClients[Repeat Key],0))</x:f>
        <x:v>371.65</x:v>
      </x:c>
      <x:c r="L71" s="193" t="n">
        <x:f>INDEX(tblLeaderboardClients[Avg/Event],MATCH(LARGE(tblLeaderboardClients[Repeat Key],H71),tblLeaderboardClients[Repeat Key],0))</x:f>
        <x:v>123.88333333333333</x:v>
      </x:c>
      <x:c r="M71" s="192" t="n">
        <x:f>INDEX(tblLeaderboardClients[First Event],MATCH(LARGE(tblLeaderboardClients[Repeat Key],H71),tblLeaderboardClients[Repeat Key],0))</x:f>
        <x:v>11</x:v>
      </x:c>
      <x:c r="O71" s="192" t="n">
        <x:v>10</x:v>
      </x:c>
      <x:c r="P71" s="192" t="str">
        <x:f>INDEX(tblLeaderboardClients[Client],MATCH(LARGE(tblLeaderboardClients[Avg Key],O71),tblLeaderboardClients[Avg Key],0))</x:f>
        <x:v>Giant Food Stores</x:v>
      </x:c>
      <x:c r="Q71" s="193" t="n">
        <x:f>INDEX(tblLeaderboardClients[Avg/Event],MATCH(LARGE(tblLeaderboardClients[Avg Key],O71),tblLeaderboardClients[Avg Key],0))</x:f>
        <x:v>119.5825</x:v>
      </x:c>
      <x:c r="R71" s="192" t="n">
        <x:f>INDEX(tblLeaderboardClients[Events],MATCH(LARGE(tblLeaderboardClients[Avg Key],O71),tblLeaderboardClients[Avg Key],0))</x:f>
        <x:v>4</x:v>
      </x:c>
      <x:c r="S71" s="193" t="n">
        <x:f>INDEX(tblLeaderboardClients[Revenue],MATCH(LARGE(tblLeaderboardClients[Avg Key],O71),tblLeaderboardClients[Avg Key],0))</x:f>
        <x:v>478.33</x:v>
      </x:c>
      <x:c r="T71" s="193" t="n">
        <x:f>INDEX(tblLeaderboardClients[Avg/WO],MATCH(LARGE(tblLeaderboardClients[Avg Key],O71),tblLeaderboardClients[Avg Key],0))</x:f>
        <x:v>119.5825</x:v>
      </x:c>
      <x:c r="V71" t="str">
        <x:v>Workweek</x:v>
      </x:c>
      <x:c r="W71" t="str">
        <x:v>Events</x:v>
      </x:c>
      <x:c r="X71" t="str">
        <x:v>Eligible Events</x:v>
      </x:c>
      <x:c r="Y71" s="24" t="str">
        <x:v>Revenue</x:v>
      </x:c>
      <x:c r="Z71" s="24" t="str">
        <x:v>Avg/Event</x:v>
      </x:c>
      <x:c r="AA71" t="str">
        <x:v>Worked Days</x:v>
      </x:c>
      <x:c r="AB71" t="str">
        <x:v>Rank Key</x:v>
      </x:c>
    </x:row>
    <x:row r="72">
      <x:c r="V72" t="n">
        <x:v>1</x:v>
      </x:c>
      <x:c r="W72" t="n">
        <x:v>5</x:v>
      </x:c>
      <x:c r="X72" t="n">
        <x:v>5</x:v>
      </x:c>
      <x:c r="Y72" s="24" t="n">
        <x:v>1008</x:v>
      </x:c>
      <x:c r="Z72" s="24" t="n">
        <x:v>201.6</x:v>
      </x:c>
      <x:c r="AA72" t="n">
        <x:v>5</x:v>
      </x:c>
      <x:c r="AB72" t="n">
        <x:v>1008.000001</x:v>
      </x:c>
    </x:row>
    <x:row r="73">
      <x:c r="V73" t="n">
        <x:v>2</x:v>
      </x:c>
      <x:c r="W73" t="n">
        <x:v>4</x:v>
      </x:c>
      <x:c r="X73" t="n">
        <x:v>3</x:v>
      </x:c>
      <x:c r="Y73" s="24" t="n">
        <x:v>275</x:v>
      </x:c>
      <x:c r="Z73" s="24" t="n">
        <x:v>91.66666666666667</x:v>
      </x:c>
      <x:c r="AA73" t="n">
        <x:v>3</x:v>
      </x:c>
      <x:c r="AB73" t="n">
        <x:v>275.000002</x:v>
      </x:c>
    </x:row>
    <x:row r="74">
      <x:c r="A74" s="237" t="str">
        <x:v>Jurisdictions — Confirmed Revenue</x:v>
      </x:c>
      <x:c r="B74" s="237"/>
      <x:c r="C74" s="237"/>
      <x:c r="D74" s="237"/>
      <x:c r="E74" s="237"/>
      <x:c r="F74" s="237"/>
      <x:c r="H74" s="237" t="str">
        <x:v>Cities — Confirmed Revenue</x:v>
      </x:c>
      <x:c r="I74" s="237"/>
      <x:c r="J74" s="237"/>
      <x:c r="K74" s="237"/>
      <x:c r="L74" s="237"/>
      <x:c r="M74" s="237"/>
      <x:c r="O74" s="237" t="str">
        <x:v>Top Revenue Events</x:v>
      </x:c>
      <x:c r="P74" s="237"/>
      <x:c r="Q74" s="237"/>
      <x:c r="R74" s="237"/>
      <x:c r="S74" s="237"/>
      <x:c r="T74" s="237"/>
      <x:c r="V74" t="n">
        <x:v>3</x:v>
      </x:c>
      <x:c r="W74" t="n">
        <x:v>1</x:v>
      </x:c>
      <x:c r="X74" t="n">
        <x:v>1</x:v>
      </x:c>
      <x:c r="Y74" s="24" t="n">
        <x:v>212.5</x:v>
      </x:c>
      <x:c r="Z74" s="24" t="n">
        <x:v>212.5</x:v>
      </x:c>
      <x:c r="AA74" t="n">
        <x:v>1</x:v>
      </x:c>
      <x:c r="AB74" t="n">
        <x:v>212.500003</x:v>
      </x:c>
    </x:row>
    <x:row r="75">
      <x:c r="A75" s="238" t="str">
        <x:v>Rank</x:v>
      </x:c>
      <x:c r="B75" s="238" t="str">
        <x:v>Jurisdiction</x:v>
      </x:c>
      <x:c r="C75" s="238" t="str">
        <x:v>Revenue</x:v>
      </x:c>
      <x:c r="D75" s="238" t="str">
        <x:v>Events</x:v>
      </x:c>
      <x:c r="E75" s="238" t="str">
        <x:v>Clients</x:v>
      </x:c>
      <x:c r="F75" s="238" t="str">
        <x:v>Avg/Event</x:v>
      </x:c>
      <x:c r="H75" s="238" t="str">
        <x:v>Rank</x:v>
      </x:c>
      <x:c r="I75" s="238" t="str">
        <x:v>City</x:v>
      </x:c>
      <x:c r="J75" s="238" t="str">
        <x:v>Jurisdiction</x:v>
      </x:c>
      <x:c r="K75" s="238" t="str">
        <x:v>Revenue</x:v>
      </x:c>
      <x:c r="L75" s="238" t="str">
        <x:v>Events</x:v>
      </x:c>
      <x:c r="M75" s="238" t="str">
        <x:v>Avg/Event</x:v>
      </x:c>
      <x:c r="O75" s="238" t="str">
        <x:v>Rank</x:v>
      </x:c>
      <x:c r="P75" s="238" t="str">
        <x:v>Event #</x:v>
      </x:c>
      <x:c r="Q75" s="238" t="str">
        <x:v>Client</x:v>
      </x:c>
      <x:c r="R75" s="238" t="str">
        <x:v>Date</x:v>
      </x:c>
      <x:c r="S75" s="238" t="str">
        <x:v>City</x:v>
      </x:c>
      <x:c r="T75" s="238" t="str">
        <x:v>Revenue</x:v>
      </x:c>
      <x:c r="V75" t="n">
        <x:v>4</x:v>
      </x:c>
      <x:c r="W75" t="n">
        <x:v>6</x:v>
      </x:c>
      <x:c r="X75" t="n">
        <x:v>5</x:v>
      </x:c>
      <x:c r="Y75" s="24" t="n">
        <x:v>412.5</x:v>
      </x:c>
      <x:c r="Z75" s="24" t="n">
        <x:v>82.5</x:v>
      </x:c>
      <x:c r="AA75" t="n">
        <x:v>5</x:v>
      </x:c>
      <x:c r="AB75" t="n">
        <x:v>412.500004</x:v>
      </x:c>
    </x:row>
    <x:row r="76">
      <x:c r="A76" s="192" t="n">
        <x:f>1</x:f>
        <x:v>1</x:v>
      </x:c>
      <x:c r="B76" s="192" t="str">
        <x:f>INDEX(tblStateSummary[Jurisdiction],MATCH(LARGE(tblStateSummary[Confirmed Revenue],A76),tblStateSummary[Confirmed Revenue],0))</x:f>
        <x:v>MD</x:v>
      </x:c>
      <x:c r="C76" s="193" t="n">
        <x:f>LARGE(tblStateSummary[Confirmed Revenue],A76)</x:f>
        <x:v>5956.049999999999</x:v>
      </x:c>
      <x:c r="D76" s="192" t="n">
        <x:f>INDEX(tblStateSummary[Events],MATCH(C76,tblStateSummary[Confirmed Revenue],0))</x:f>
        <x:v>58</x:v>
      </x:c>
      <x:c r="E76" s="192" t="n">
        <x:f>INDEX(tblStateSummary[Clients],MATCH(C76,tblStateSummary[Confirmed Revenue],0))</x:f>
        <x:v>21</x:v>
      </x:c>
      <x:c r="F76" s="193" t="n">
        <x:f>INDEX(tblStateSummary[Avg Revenue / Eligible Event],MATCH(C76,tblStateSummary[Confirmed Revenue],0))</x:f>
        <x:v>112.37830188679244</x:v>
      </x:c>
      <x:c r="H76" s="192" t="n">
        <x:v>1</x:v>
      </x:c>
      <x:c r="I76" s="192" t="str">
        <x:f>INDEX(tblCitySummary[City],MATCH(LARGE(tblCitySummary[Rank Key],H76),tblCitySummary[Rank Key],0))</x:f>
        <x:v>Washington</x:v>
      </x:c>
      <x:c r="J76" s="192" t="str">
        <x:f>INDEX(tblCitySummary[Jurisdiction],MATCH(LARGE(tblCitySummary[Rank Key],H76),tblCitySummary[Rank Key],0))</x:f>
        <x:v>DC</x:v>
      </x:c>
      <x:c r="K76" s="193" t="n">
        <x:f>INDEX(tblCitySummary[Revenue],MATCH(LARGE(tblCitySummary[Rank Key],H76),tblCitySummary[Rank Key],0))</x:f>
        <x:v>1637.03</x:v>
      </x:c>
      <x:c r="L76" s="192" t="n">
        <x:f>INDEX(tblCitySummary[Events],MATCH(LARGE(tblCitySummary[Rank Key],H76),tblCitySummary[Rank Key],0))</x:f>
        <x:v>10</x:v>
      </x:c>
      <x:c r="M76" s="193" t="n">
        <x:f>INDEX(tblCitySummary[Avg/Event],MATCH(LARGE(tblCitySummary[Rank Key],H76),tblCitySummary[Rank Key],0))</x:f>
        <x:v>163.703</x:v>
      </x:c>
      <x:c r="O76" s="192" t="n">
        <x:v>1</x:v>
      </x:c>
      <x:c r="P76" s="192" t="n">
        <x:f>INDEX(tblEventLeaderboardSource[Event #],MATCH(LARGE(tblEventLeaderboardSource[Rank Key],O76),tblEventLeaderboardSource[Rank Key],0))</x:f>
        <x:v>3</x:v>
      </x:c>
      <x:c r="Q76" s="192" t="str">
        <x:f>INDEX(tblEventLeaderboardSource[Client],MATCH(LARGE(tblEventLeaderboardSource[Rank Key],O76),tblEventLeaderboardSource[Rank Key],0))</x:f>
        <x:v>Bloomingdale's</x:v>
      </x:c>
      <x:c r="R76" s="195" t="n">
        <x:f>INDEX(tblEventLeaderboardSource[Date],MATCH(LARGE(tblEventLeaderboardSource[Rank Key],O76),tblEventLeaderboardSource[Rank Key],0))</x:f>
        <x:v>46134</x:v>
      </x:c>
      <x:c r="S76" s="192" t="str">
        <x:f>INDEX(tblEventLeaderboardSource[City],MATCH(LARGE(tblEventLeaderboardSource[Rank Key],O76),tblEventLeaderboardSource[Rank Key],0))</x:f>
        <x:v>Tysons</x:v>
      </x:c>
      <x:c r="T76" s="193" t="n">
        <x:f>INDEX(tblEventLeaderboardSource[Revenue],MATCH(LARGE(tblEventLeaderboardSource[Rank Key],O76),tblEventLeaderboardSource[Rank Key],0))</x:f>
        <x:v>344</x:v>
      </x:c>
      <x:c r="V76" t="n">
        <x:v>5</x:v>
      </x:c>
      <x:c r="W76" t="n">
        <x:v>4</x:v>
      </x:c>
      <x:c r="X76" t="n">
        <x:v>4</x:v>
      </x:c>
      <x:c r="Y76" s="24" t="n">
        <x:v>422.5</x:v>
      </x:c>
      <x:c r="Z76" s="24" t="n">
        <x:v>105.625</x:v>
      </x:c>
      <x:c r="AA76" t="n">
        <x:v>3</x:v>
      </x:c>
      <x:c r="AB76" t="n">
        <x:v>422.500005</x:v>
      </x:c>
    </x:row>
    <x:row r="77">
      <x:c r="A77" s="192" t="n">
        <x:f>2</x:f>
        <x:v>2</x:v>
      </x:c>
      <x:c r="B77" s="192" t="str">
        <x:f>INDEX(tblStateSummary[Jurisdiction],MATCH(LARGE(tblStateSummary[Confirmed Revenue],A77),tblStateSummary[Confirmed Revenue],0))</x:f>
        <x:v>DC</x:v>
      </x:c>
      <x:c r="C77" s="193" t="n">
        <x:f>LARGE(tblStateSummary[Confirmed Revenue],A77)</x:f>
        <x:v>1727.03</x:v>
      </x:c>
      <x:c r="D77" s="192" t="n">
        <x:f>INDEX(tblStateSummary[Events],MATCH(C77,tblStateSummary[Confirmed Revenue],0))</x:f>
        <x:v>11</x:v>
      </x:c>
      <x:c r="E77" s="192" t="n">
        <x:f>INDEX(tblStateSummary[Clients],MATCH(C77,tblStateSummary[Confirmed Revenue],0))</x:f>
        <x:v>5</x:v>
      </x:c>
      <x:c r="F77" s="193" t="n">
        <x:f>INDEX(tblStateSummary[Avg Revenue / Eligible Event],MATCH(C77,tblStateSummary[Confirmed Revenue],0))</x:f>
        <x:v>157.00272727272727</x:v>
      </x:c>
      <x:c r="H77" s="192" t="n">
        <x:v>2</x:v>
      </x:c>
      <x:c r="I77" s="192" t="str">
        <x:f>INDEX(tblCitySummary[City],MATCH(LARGE(tblCitySummary[Rank Key],H77),tblCitySummary[Rank Key],0))</x:f>
        <x:v>Tysons</x:v>
      </x:c>
      <x:c r="J77" s="192" t="str">
        <x:f>INDEX(tblCitySummary[Jurisdiction],MATCH(LARGE(tblCitySummary[Rank Key],H77),tblCitySummary[Rank Key],0))</x:f>
        <x:v>VA</x:v>
      </x:c>
      <x:c r="K77" s="193" t="n">
        <x:f>INDEX(tblCitySummary[Revenue],MATCH(LARGE(tblCitySummary[Rank Key],H77),tblCitySummary[Rank Key],0))</x:f>
        <x:v>688</x:v>
      </x:c>
      <x:c r="L77" s="192" t="n">
        <x:f>INDEX(tblCitySummary[Events],MATCH(LARGE(tblCitySummary[Rank Key],H77),tblCitySummary[Rank Key],0))</x:f>
        <x:v>2</x:v>
      </x:c>
      <x:c r="M77" s="193" t="n">
        <x:f>INDEX(tblCitySummary[Avg/Event],MATCH(LARGE(tblCitySummary[Rank Key],H77),tblCitySummary[Rank Key],0))</x:f>
        <x:v>344</x:v>
      </x:c>
      <x:c r="O77" s="192" t="n">
        <x:v>2</x:v>
      </x:c>
      <x:c r="P77" s="192" t="n">
        <x:f>INDEX(tblEventLeaderboardSource[Event #],MATCH(LARGE(tblEventLeaderboardSource[Rank Key],O77),tblEventLeaderboardSource[Rank Key],0))</x:f>
        <x:v>2</x:v>
      </x:c>
      <x:c r="Q77" s="192" t="str">
        <x:f>INDEX(tblEventLeaderboardSource[Client],MATCH(LARGE(tblEventLeaderboardSource[Rank Key],O77),tblEventLeaderboardSource[Rank Key],0))</x:f>
        <x:v>Bloomingdale's</x:v>
      </x:c>
      <x:c r="R77" s="195" t="n">
        <x:f>INDEX(tblEventLeaderboardSource[Date],MATCH(LARGE(tblEventLeaderboardSource[Rank Key],O77),tblEventLeaderboardSource[Rank Key],0))</x:f>
        <x:v>46133</x:v>
      </x:c>
      <x:c r="S77" s="192" t="str">
        <x:f>INDEX(tblEventLeaderboardSource[City],MATCH(LARGE(tblEventLeaderboardSource[Rank Key],O77),tblEventLeaderboardSource[Rank Key],0))</x:f>
        <x:v>Tysons</x:v>
      </x:c>
      <x:c r="T77" s="193" t="n">
        <x:f>INDEX(tblEventLeaderboardSource[Revenue],MATCH(LARGE(tblEventLeaderboardSource[Rank Key],O77),tblEventLeaderboardSource[Rank Key],0))</x:f>
        <x:v>344</x:v>
      </x:c>
      <x:c r="V77" t="n">
        <x:v>6</x:v>
      </x:c>
      <x:c r="W77" t="n">
        <x:v>6</x:v>
      </x:c>
      <x:c r="X77" t="n">
        <x:v>4</x:v>
      </x:c>
      <x:c r="Y77" s="24" t="n">
        <x:v>522.91</x:v>
      </x:c>
      <x:c r="Z77" s="24" t="n">
        <x:v>130.7275</x:v>
      </x:c>
      <x:c r="AA77" t="n">
        <x:v>3</x:v>
      </x:c>
      <x:c r="AB77" t="n">
        <x:v>522.910006</x:v>
      </x:c>
    </x:row>
    <x:row r="78">
      <x:c r="A78" s="192" t="n">
        <x:f>3</x:f>
        <x:v>3</x:v>
      </x:c>
      <x:c r="B78" s="192" t="str">
        <x:f>INDEX(tblStateSummary[Jurisdiction],MATCH(LARGE(tblStateSummary[Confirmed Revenue],A78),tblStateSummary[Confirmed Revenue],0))</x:f>
        <x:v>VA</x:v>
      </x:c>
      <x:c r="C78" s="193" t="n">
        <x:f>LARGE(tblStateSummary[Confirmed Revenue],A78)</x:f>
        <x:v>1220.5</x:v>
      </x:c>
      <x:c r="D78" s="192" t="n">
        <x:f>INDEX(tblStateSummary[Events],MATCH(C78,tblStateSummary[Confirmed Revenue],0))</x:f>
        <x:v>8</x:v>
      </x:c>
      <x:c r="E78" s="192" t="n">
        <x:f>INDEX(tblStateSummary[Clients],MATCH(C78,tblStateSummary[Confirmed Revenue],0))</x:f>
        <x:v>6</x:v>
      </x:c>
      <x:c r="F78" s="193" t="n">
        <x:f>INDEX(tblStateSummary[Avg Revenue / Eligible Event],MATCH(C78,tblStateSummary[Confirmed Revenue],0))</x:f>
        <x:v>152.5625</x:v>
      </x:c>
      <x:c r="H78" s="192" t="n">
        <x:v>3</x:v>
      </x:c>
      <x:c r="I78" s="192" t="str">
        <x:f>INDEX(tblCitySummary[City],MATCH(LARGE(tblCitySummary[Rank Key],H78),tblCitySummary[Rank Key],0))</x:f>
        <x:v>Frederick</x:v>
      </x:c>
      <x:c r="J78" s="192" t="str">
        <x:f>INDEX(tblCitySummary[Jurisdiction],MATCH(LARGE(tblCitySummary[Rank Key],H78),tblCitySummary[Rank Key],0))</x:f>
        <x:v>MD</x:v>
      </x:c>
      <x:c r="K78" s="193" t="n">
        <x:f>INDEX(tblCitySummary[Revenue],MATCH(LARGE(tblCitySummary[Rank Key],H78),tblCitySummary[Rank Key],0))</x:f>
        <x:v>483.75</x:v>
      </x:c>
      <x:c r="L78" s="192" t="n">
        <x:f>INDEX(tblCitySummary[Events],MATCH(LARGE(tblCitySummary[Rank Key],H78),tblCitySummary[Rank Key],0))</x:f>
        <x:v>3</x:v>
      </x:c>
      <x:c r="M78" s="193" t="n">
        <x:f>INDEX(tblCitySummary[Avg/Event],MATCH(LARGE(tblCitySummary[Rank Key],H78),tblCitySummary[Rank Key],0))</x:f>
        <x:v>161.25</x:v>
      </x:c>
      <x:c r="O78" s="192" t="n">
        <x:v>3</x:v>
      </x:c>
      <x:c r="P78" s="192" t="n">
        <x:f>INDEX(tblEventLeaderboardSource[Event #],MATCH(LARGE(tblEventLeaderboardSource[Rank Key],O78),tblEventLeaderboardSource[Rank Key],0))</x:f>
        <x:v>28</x:v>
      </x:c>
      <x:c r="Q78" s="192" t="str">
        <x:f>INDEX(tblEventLeaderboardSource[Client],MATCH(LARGE(tblEventLeaderboardSource[Rank Key],O78),tblEventLeaderboardSource[Rank Key],0))</x:f>
        <x:v>USDA</x:v>
      </x:c>
      <x:c r="R78" s="195" t="n">
        <x:f>INDEX(tblEventLeaderboardSource[Date],MATCH(LARGE(tblEventLeaderboardSource[Rank Key],O78),tblEventLeaderboardSource[Rank Key],0))</x:f>
        <x:v>46175</x:v>
      </x:c>
      <x:c r="S78" s="192" t="str">
        <x:f>INDEX(tblEventLeaderboardSource[City],MATCH(LARGE(tblEventLeaderboardSource[Rank Key],O78),tblEventLeaderboardSource[Rank Key],0))</x:f>
        <x:v>Washington</x:v>
      </x:c>
      <x:c r="T78" s="193" t="n">
        <x:f>INDEX(tblEventLeaderboardSource[Revenue],MATCH(LARGE(tblEventLeaderboardSource[Rank Key],O78),tblEventLeaderboardSource[Rank Key],0))</x:f>
        <x:v>320</x:v>
      </x:c>
      <x:c r="V78" t="n">
        <x:v>7</x:v>
      </x:c>
      <x:c r="W78" t="n">
        <x:v>8</x:v>
      </x:c>
      <x:c r="X78" t="n">
        <x:v>8</x:v>
      </x:c>
      <x:c r="Y78" s="24" t="n">
        <x:v>1221.66</x:v>
      </x:c>
      <x:c r="Z78" s="24" t="n">
        <x:v>152.70749999999998</x:v>
      </x:c>
      <x:c r="AA78" t="n">
        <x:v>5</x:v>
      </x:c>
      <x:c r="AB78" t="n">
        <x:v>1221.660007</x:v>
      </x:c>
    </x:row>
    <x:row r="79">
      <x:c r="A79" s="192" t="n">
        <x:f>4</x:f>
        <x:v>4</x:v>
      </x:c>
      <x:c r="B79" s="192" t="str">
        <x:f>INDEX(tblStateSummary[Jurisdiction],MATCH(LARGE(tblStateSummary[Confirmed Revenue],A79),tblStateSummary[Confirmed Revenue],0))</x:f>
        <x:v>PA</x:v>
      </x:c>
      <x:c r="C79" s="193" t="n">
        <x:f>LARGE(tblStateSummary[Confirmed Revenue],A79)</x:f>
        <x:v>410</x:v>
      </x:c>
      <x:c r="D79" s="192" t="n">
        <x:f>INDEX(tblStateSummary[Events],MATCH(C79,tblStateSummary[Confirmed Revenue],0))</x:f>
        <x:v>3</x:v>
      </x:c>
      <x:c r="E79" s="192" t="n">
        <x:f>INDEX(tblStateSummary[Clients],MATCH(C79,tblStateSummary[Confirmed Revenue],0))</x:f>
        <x:v>2</x:v>
      </x:c>
      <x:c r="F79" s="193" t="n">
        <x:f>INDEX(tblStateSummary[Avg Revenue / Eligible Event],MATCH(C79,tblStateSummary[Confirmed Revenue],0))</x:f>
        <x:v>136.66666666666666</x:v>
      </x:c>
      <x:c r="H79" s="192" t="n">
        <x:v>4</x:v>
      </x:c>
      <x:c r="I79" s="192" t="str">
        <x:f>INDEX(tblCitySummary[City],MATCH(LARGE(tblCitySummary[Rank Key],H79),tblCitySummary[Rank Key],0))</x:f>
        <x:v>Aberdeen</x:v>
      </x:c>
      <x:c r="J79" s="192" t="str">
        <x:f>INDEX(tblCitySummary[Jurisdiction],MATCH(LARGE(tblCitySummary[Rank Key],H79),tblCitySummary[Rank Key],0))</x:f>
        <x:v>MD</x:v>
      </x:c>
      <x:c r="K79" s="193" t="n">
        <x:f>INDEX(tblCitySummary[Revenue],MATCH(LARGE(tblCitySummary[Rank Key],H79),tblCitySummary[Rank Key],0))</x:f>
        <x:v>433.74</x:v>
      </x:c>
      <x:c r="L79" s="192" t="n">
        <x:f>INDEX(tblCitySummary[Events],MATCH(LARGE(tblCitySummary[Rank Key],H79),tblCitySummary[Rank Key],0))</x:f>
        <x:v>2</x:v>
      </x:c>
      <x:c r="M79" s="193" t="n">
        <x:f>INDEX(tblCitySummary[Avg/Event],MATCH(LARGE(tblCitySummary[Rank Key],H79),tblCitySummary[Rank Key],0))</x:f>
        <x:v>216.87</x:v>
      </x:c>
      <x:c r="O79" s="192" t="n">
        <x:v>4</x:v>
      </x:c>
      <x:c r="P79" s="192" t="n">
        <x:f>INDEX(tblEventLeaderboardSource[Event #],MATCH(LARGE(tblEventLeaderboardSource[Rank Key],O79),tblEventLeaderboardSource[Rank Key],0))</x:f>
        <x:v>27</x:v>
      </x:c>
      <x:c r="Q79" s="192" t="str">
        <x:f>INDEX(tblEventLeaderboardSource[Client],MATCH(LARGE(tblEventLeaderboardSource[Rank Key],O79),tblEventLeaderboardSource[Rank Key],0))</x:f>
        <x:v>USDA</x:v>
      </x:c>
      <x:c r="R79" s="195" t="n">
        <x:f>INDEX(tblEventLeaderboardSource[Date],MATCH(LARGE(tblEventLeaderboardSource[Rank Key],O79),tblEventLeaderboardSource[Rank Key],0))</x:f>
        <x:v>46174</x:v>
      </x:c>
      <x:c r="S79" s="192" t="str">
        <x:f>INDEX(tblEventLeaderboardSource[City],MATCH(LARGE(tblEventLeaderboardSource[Rank Key],O79),tblEventLeaderboardSource[Rank Key],0))</x:f>
        <x:v>Washington</x:v>
      </x:c>
      <x:c r="T79" s="193" t="n">
        <x:f>INDEX(tblEventLeaderboardSource[Revenue],MATCH(LARGE(tblEventLeaderboardSource[Rank Key],O79),tblEventLeaderboardSource[Rank Key],0))</x:f>
        <x:v>320</x:v>
      </x:c>
      <x:c r="V79" t="n">
        <x:v>8</x:v>
      </x:c>
      <x:c r="W79" t="n">
        <x:v>9</x:v>
      </x:c>
      <x:c r="X79" t="n">
        <x:v>9</x:v>
      </x:c>
      <x:c r="Y79" s="24" t="n">
        <x:v>760</x:v>
      </x:c>
      <x:c r="Z79" s="24" t="n">
        <x:v>84.44444444444444</x:v>
      </x:c>
      <x:c r="AA79" t="n">
        <x:v>5</x:v>
      </x:c>
      <x:c r="AB79" t="n">
        <x:v>760.000008</x:v>
      </x:c>
    </x:row>
    <x:row r="80">
      <x:c r="A80" s="192" t="n">
        <x:f>5</x:f>
        <x:v>5</x:v>
      </x:c>
      <x:c r="B80" s="192" t="str">
        <x:f>INDEX(tblStateSummary[Jurisdiction],MATCH(LARGE(tblStateSummary[Confirmed Revenue],A80),tblStateSummary[Confirmed Revenue],0))</x:f>
        <x:v>WV</x:v>
      </x:c>
      <x:c r="C80" s="193" t="n">
        <x:f>LARGE(tblStateSummary[Confirmed Revenue],A80)</x:f>
        <x:v>100.83</x:v>
      </x:c>
      <x:c r="D80" s="192" t="n">
        <x:f>INDEX(tblStateSummary[Events],MATCH(C80,tblStateSummary[Confirmed Revenue],0))</x:f>
        <x:v>1</x:v>
      </x:c>
      <x:c r="E80" s="192" t="n">
        <x:f>INDEX(tblStateSummary[Clients],MATCH(C80,tblStateSummary[Confirmed Revenue],0))</x:f>
        <x:v>1</x:v>
      </x:c>
      <x:c r="F80" s="193" t="n">
        <x:f>INDEX(tblStateSummary[Avg Revenue / Eligible Event],MATCH(C80,tblStateSummary[Confirmed Revenue],0))</x:f>
        <x:v>100.83</x:v>
      </x:c>
      <x:c r="H80" s="192" t="n">
        <x:v>5</x:v>
      </x:c>
      <x:c r="I80" s="192" t="str">
        <x:f>INDEX(tblCitySummary[City],MATCH(LARGE(tblCitySummary[Rank Key],H80),tblCitySummary[Rank Key],0))</x:f>
        <x:v>Lanham</x:v>
      </x:c>
      <x:c r="J80" s="192" t="str">
        <x:f>INDEX(tblCitySummary[Jurisdiction],MATCH(LARGE(tblCitySummary[Rank Key],H80),tblCitySummary[Rank Key],0))</x:f>
        <x:v>MD</x:v>
      </x:c>
      <x:c r="K80" s="193" t="n">
        <x:f>INDEX(tblCitySummary[Revenue],MATCH(LARGE(tblCitySummary[Rank Key],H80),tblCitySummary[Rank Key],0))</x:f>
        <x:v>290</x:v>
      </x:c>
      <x:c r="L80" s="192" t="n">
        <x:f>INDEX(tblCitySummary[Events],MATCH(LARGE(tblCitySummary[Rank Key],H80),tblCitySummary[Rank Key],0))</x:f>
        <x:v>2</x:v>
      </x:c>
      <x:c r="M80" s="193" t="n">
        <x:f>INDEX(tblCitySummary[Avg/Event],MATCH(LARGE(tblCitySummary[Rank Key],H80),tblCitySummary[Rank Key],0))</x:f>
        <x:v>145</x:v>
      </x:c>
      <x:c r="O80" s="192" t="n">
        <x:v>5</x:v>
      </x:c>
      <x:c r="P80" s="192" t="n">
        <x:f>INDEX(tblEventLeaderboardSource[Event #],MATCH(LARGE(tblEventLeaderboardSource[Rank Key],O80),tblEventLeaderboardSource[Rank Key],0))</x:f>
        <x:v>59</x:v>
      </x:c>
      <x:c r="Q80" s="192" t="str">
        <x:f>INDEX(tblEventLeaderboardSource[Client],MATCH(LARGE(tblEventLeaderboardSource[Rank Key],O80),tblEventLeaderboardSource[Rank Key],0))</x:f>
        <x:v>Dunkin</x:v>
      </x:c>
      <x:c r="R80" s="195" t="n">
        <x:f>INDEX(tblEventLeaderboardSource[Date],MATCH(LARGE(tblEventLeaderboardSource[Rank Key],O80),tblEventLeaderboardSource[Rank Key],0))</x:f>
        <x:v>46210</x:v>
      </x:c>
      <x:c r="S80" s="192" t="str">
        <x:f>INDEX(tblEventLeaderboardSource[City],MATCH(LARGE(tblEventLeaderboardSource[Rank Key],O80),tblEventLeaderboardSource[Rank Key],0))</x:f>
        <x:v>Aberdeen</x:v>
      </x:c>
      <x:c r="T80" s="193" t="n">
        <x:f>INDEX(tblEventLeaderboardSource[Revenue],MATCH(LARGE(tblEventLeaderboardSource[Rank Key],O80),tblEventLeaderboardSource[Rank Key],0))</x:f>
        <x:v>250</x:v>
      </x:c>
      <x:c r="V80" t="n">
        <x:v>9</x:v>
      </x:c>
      <x:c r="W80" t="n">
        <x:v>7</x:v>
      </x:c>
      <x:c r="X80" t="n">
        <x:v>7</x:v>
      </x:c>
      <x:c r="Y80" s="24" t="n">
        <x:v>681.75</x:v>
      </x:c>
      <x:c r="Z80" s="24" t="n">
        <x:v>97.39285714285714</x:v>
      </x:c>
      <x:c r="AA80" t="n">
        <x:v>4</x:v>
      </x:c>
      <x:c r="AB80" t="n">
        <x:v>681.750009</x:v>
      </x:c>
    </x:row>
    <x:row r="81">
      <x:c r="H81" s="192" t="n">
        <x:v>6</x:v>
      </x:c>
      <x:c r="I81" s="192" t="str">
        <x:f>INDEX(tblCitySummary[City],MATCH(LARGE(tblCitySummary[Rank Key],H81),tblCitySummary[Rank Key],0))</x:f>
        <x:v>Laurel</x:v>
      </x:c>
      <x:c r="J81" s="192" t="str">
        <x:f>INDEX(tblCitySummary[Jurisdiction],MATCH(LARGE(tblCitySummary[Rank Key],H81),tblCitySummary[Rank Key],0))</x:f>
        <x:v>MD</x:v>
      </x:c>
      <x:c r="K81" s="193" t="n">
        <x:f>INDEX(tblCitySummary[Revenue],MATCH(LARGE(tblCitySummary[Rank Key],H81),tblCitySummary[Rank Key],0))</x:f>
        <x:v>284.74</x:v>
      </x:c>
      <x:c r="L81" s="192" t="n">
        <x:f>INDEX(tblCitySummary[Events],MATCH(LARGE(tblCitySummary[Rank Key],H81),tblCitySummary[Rank Key],0))</x:f>
        <x:v>3</x:v>
      </x:c>
      <x:c r="M81" s="193" t="n">
        <x:f>INDEX(tblCitySummary[Avg/Event],MATCH(LARGE(tblCitySummary[Rank Key],H81),tblCitySummary[Rank Key],0))</x:f>
        <x:v>94.91333333333334</x:v>
      </x:c>
      <x:c r="O81" s="192" t="n">
        <x:v>6</x:v>
      </x:c>
      <x:c r="P81" s="192" t="n">
        <x:f>INDEX(tblEventLeaderboardSource[Event #],MATCH(LARGE(tblEventLeaderboardSource[Rank Key],O81),tblEventLeaderboardSource[Rank Key],0))</x:f>
        <x:v>38</x:v>
      </x:c>
      <x:c r="Q81" s="192" t="str">
        <x:f>INDEX(tblEventLeaderboardSource[Client],MATCH(LARGE(tblEventLeaderboardSource[Rank Key],O81),tblEventLeaderboardSource[Rank Key],0))</x:f>
        <x:v>7-Eleven</x:v>
      </x:c>
      <x:c r="R81" s="195" t="n">
        <x:f>INDEX(tblEventLeaderboardSource[Date],MATCH(LARGE(tblEventLeaderboardSource[Rank Key],O81),tblEventLeaderboardSource[Rank Key],0))</x:f>
        <x:v>46183</x:v>
      </x:c>
      <x:c r="S81" s="192" t="str">
        <x:f>INDEX(tblEventLeaderboardSource[City],MATCH(LARGE(tblEventLeaderboardSource[Rank Key],O81),tblEventLeaderboardSource[Rank Key],0))</x:f>
        <x:v>Lanham</x:v>
      </x:c>
      <x:c r="T81" s="193" t="n">
        <x:f>INDEX(tblEventLeaderboardSource[Revenue],MATCH(LARGE(tblEventLeaderboardSource[Rank Key],O81),tblEventLeaderboardSource[Rank Key],0))</x:f>
        <x:v>240</x:v>
      </x:c>
      <x:c r="V81" t="n">
        <x:v>10</x:v>
      </x:c>
      <x:c r="W81" t="n">
        <x:v>3</x:v>
      </x:c>
      <x:c r="X81" t="n">
        <x:v>3</x:v>
      </x:c>
      <x:c r="Y81" s="24" t="n">
        <x:v>308.27</x:v>
      </x:c>
      <x:c r="Z81" s="24" t="n">
        <x:v>102.75666666666666</x:v>
      </x:c>
      <x:c r="AA81" t="n">
        <x:v>3</x:v>
      </x:c>
      <x:c r="AB81" t="n">
        <x:v>308.27001</x:v>
      </x:c>
    </x:row>
    <x:row r="82">
      <x:c r="H82" s="192" t="n">
        <x:v>7</x:v>
      </x:c>
      <x:c r="I82" s="192" t="str">
        <x:f>INDEX(tblCitySummary[City],MATCH(LARGE(tblCitySummary[Rank Key],H82),tblCitySummary[Rank Key],0))</x:f>
        <x:v>Hanover</x:v>
      </x:c>
      <x:c r="J82" s="192" t="str">
        <x:f>INDEX(tblCitySummary[Jurisdiction],MATCH(LARGE(tblCitySummary[Rank Key],H82),tblCitySummary[Rank Key],0))</x:f>
        <x:v>MD</x:v>
      </x:c>
      <x:c r="K82" s="193" t="n">
        <x:f>INDEX(tblCitySummary[Revenue],MATCH(LARGE(tblCitySummary[Rank Key],H82),tblCitySummary[Rank Key],0))</x:f>
        <x:v>260</x:v>
      </x:c>
      <x:c r="L82" s="192" t="n">
        <x:f>INDEX(tblCitySummary[Events],MATCH(LARGE(tblCitySummary[Rank Key],H82),tblCitySummary[Rank Key],0))</x:f>
        <x:v>2</x:v>
      </x:c>
      <x:c r="M82" s="193" t="n">
        <x:f>INDEX(tblCitySummary[Avg/Event],MATCH(LARGE(tblCitySummary[Rank Key],H82),tblCitySummary[Rank Key],0))</x:f>
        <x:v>130</x:v>
      </x:c>
      <x:c r="O82" s="192" t="n">
        <x:v>7</x:v>
      </x:c>
      <x:c r="P82" s="192" t="n">
        <x:f>INDEX(tblEventLeaderboardSource[Event #],MATCH(LARGE(tblEventLeaderboardSource[Rank Key],O82),tblEventLeaderboardSource[Rank Key],0))</x:f>
        <x:v>10</x:v>
      </x:c>
      <x:c r="Q82" s="192" t="str">
        <x:f>INDEX(tblEventLeaderboardSource[Client],MATCH(LARGE(tblEventLeaderboardSource[Rank Key],O82),tblEventLeaderboardSource[Rank Key],0))</x:f>
        <x:v>Giant Food Stores</x:v>
      </x:c>
      <x:c r="R82" s="195" t="n">
        <x:f>INDEX(tblEventLeaderboardSource[Date],MATCH(LARGE(tblEventLeaderboardSource[Rank Key],O82),tblEventLeaderboardSource[Rank Key],0))</x:f>
        <x:v>46147</x:v>
      </x:c>
      <x:c r="S82" s="192" t="str">
        <x:f>INDEX(tblEventLeaderboardSource[City],MATCH(LARGE(tblEventLeaderboardSource[Rank Key],O82),tblEventLeaderboardSource[Rank Key],0))</x:f>
        <x:v>Hanover</x:v>
      </x:c>
      <x:c r="T82" s="193" t="n">
        <x:f>INDEX(tblEventLeaderboardSource[Revenue],MATCH(LARGE(tblEventLeaderboardSource[Rank Key],O82),tblEventLeaderboardSource[Rank Key],0))</x:f>
        <x:v>212.5</x:v>
      </x:c>
      <x:c r="V82" t="n">
        <x:v>11</x:v>
      </x:c>
      <x:c r="W82" t="n">
        <x:v>3</x:v>
      </x:c>
      <x:c r="X82" t="n">
        <x:v>3</x:v>
      </x:c>
      <x:c r="Y82" t="n">
        <x:v>410.66</x:v>
      </x:c>
      <x:c r="Z82" t="n">
        <x:v>136.88666666666666</x:v>
      </x:c>
      <x:c r="AA82" t="n">
        <x:v>3</x:v>
      </x:c>
      <x:c r="AB82" t="n">
        <x:v>410.660011</x:v>
      </x:c>
    </x:row>
    <x:row r="83">
      <x:c r="H83" s="192" t="n">
        <x:v>8</x:v>
      </x:c>
      <x:c r="I83" s="192" t="str">
        <x:f>INDEX(tblCitySummary[City],MATCH(LARGE(tblCitySummary[Rank Key],H83),tblCitySummary[Rank Key],0))</x:f>
        <x:v>North Bethesda</x:v>
      </x:c>
      <x:c r="J83" s="192" t="str">
        <x:f>INDEX(tblCitySummary[Jurisdiction],MATCH(LARGE(tblCitySummary[Rank Key],H83),tblCitySummary[Rank Key],0))</x:f>
        <x:v>MD</x:v>
      </x:c>
      <x:c r="K83" s="193" t="n">
        <x:f>INDEX(tblCitySummary[Revenue],MATCH(LARGE(tblCitySummary[Rank Key],H83),tblCitySummary[Rank Key],0))</x:f>
        <x:v>225</x:v>
      </x:c>
      <x:c r="L83" s="192" t="n">
        <x:f>INDEX(tblCitySummary[Events],MATCH(LARGE(tblCitySummary[Rank Key],H83),tblCitySummary[Rank Key],0))</x:f>
        <x:v>4</x:v>
      </x:c>
      <x:c r="M83" s="193" t="n">
        <x:f>INDEX(tblCitySummary[Avg/Event],MATCH(LARGE(tblCitySummary[Rank Key],H83),tblCitySummary[Rank Key],0))</x:f>
        <x:v>56.25</x:v>
      </x:c>
      <x:c r="O83" s="192" t="n">
        <x:v>8</x:v>
      </x:c>
      <x:c r="P83" s="192" t="n">
        <x:f>INDEX(tblEventLeaderboardSource[Event #],MATCH(LARGE(tblEventLeaderboardSource[Rank Key],O83),tblEventLeaderboardSource[Rank Key],0))</x:f>
        <x:v>58</x:v>
      </x:c>
      <x:c r="Q83" s="192" t="str">
        <x:f>INDEX(tblEventLeaderboardSource[Client],MATCH(LARGE(tblEventLeaderboardSource[Rank Key],O83),tblEventLeaderboardSource[Rank Key],0))</x:f>
        <x:v>Dunkin</x:v>
      </x:c>
      <x:c r="R83" s="195" t="n">
        <x:f>INDEX(tblEventLeaderboardSource[Date],MATCH(LARGE(tblEventLeaderboardSource[Rank Key],O83),tblEventLeaderboardSource[Rank Key],0))</x:f>
        <x:v>46209</x:v>
      </x:c>
      <x:c r="S83" s="192" t="str">
        <x:f>INDEX(tblEventLeaderboardSource[City],MATCH(LARGE(tblEventLeaderboardSource[Rank Key],O83),tblEventLeaderboardSource[Rank Key],0))</x:f>
        <x:v>Lutherville</x:v>
      </x:c>
      <x:c r="T83" s="193" t="n">
        <x:f>INDEX(tblEventLeaderboardSource[Revenue],MATCH(LARGE(tblEventLeaderboardSource[Rank Key],O83),tblEventLeaderboardSource[Rank Key],0))</x:f>
        <x:v>202.5</x:v>
      </x:c>
      <x:c r="V83" t="n">
        <x:v>12</x:v>
      </x:c>
      <x:c r="W83" t="n">
        <x:v>6</x:v>
      </x:c>
      <x:c r="X83" t="n">
        <x:v>5</x:v>
      </x:c>
      <x:c r="Y83" t="n">
        <x:v>815.06</x:v>
      </x:c>
      <x:c r="Z83" t="n">
        <x:v>163.012</x:v>
      </x:c>
      <x:c r="AA83" t="n">
        <x:v>4</x:v>
      </x:c>
      <x:c r="AB83" t="n">
        <x:v>815.060012</x:v>
      </x:c>
    </x:row>
    <x:row r="84">
      <x:c r="H84" s="192" t="n">
        <x:v>9</x:v>
      </x:c>
      <x:c r="I84" s="192" t="str">
        <x:f>INDEX(tblCitySummary[City],MATCH(LARGE(tblCitySummary[Rank Key],H84),tblCitySummary[Rank Key],0))</x:f>
        <x:v>Hanover</x:v>
      </x:c>
      <x:c r="J84" s="192" t="str">
        <x:f>INDEX(tblCitySummary[Jurisdiction],MATCH(LARGE(tblCitySummary[Rank Key],H84),tblCitySummary[Rank Key],0))</x:f>
        <x:v>PA</x:v>
      </x:c>
      <x:c r="K84" s="193" t="n">
        <x:f>INDEX(tblCitySummary[Revenue],MATCH(LARGE(tblCitySummary[Rank Key],H84),tblCitySummary[Rank Key],0))</x:f>
        <x:v>212.5</x:v>
      </x:c>
      <x:c r="L84" s="192" t="n">
        <x:f>INDEX(tblCitySummary[Events],MATCH(LARGE(tblCitySummary[Rank Key],H84),tblCitySummary[Rank Key],0))</x:f>
        <x:v>1</x:v>
      </x:c>
      <x:c r="M84" s="193" t="n">
        <x:f>INDEX(tblCitySummary[Avg/Event],MATCH(LARGE(tblCitySummary[Rank Key],H84),tblCitySummary[Rank Key],0))</x:f>
        <x:v>212.5</x:v>
      </x:c>
      <x:c r="O84" s="192" t="n">
        <x:v>9</x:v>
      </x:c>
      <x:c r="P84" s="192" t="n">
        <x:f>INDEX(tblEventLeaderboardSource[Event #],MATCH(LARGE(tblEventLeaderboardSource[Rank Key],O84),tblEventLeaderboardSource[Rank Key],0))</x:f>
        <x:v>29</x:v>
      </x:c>
      <x:c r="Q84" s="192" t="str">
        <x:f>INDEX(tblEventLeaderboardSource[Client],MATCH(LARGE(tblEventLeaderboardSource[Rank Key],O84),tblEventLeaderboardSource[Rank Key],0))</x:f>
        <x:v>USDA</x:v>
      </x:c>
      <x:c r="R84" s="195" t="n">
        <x:f>INDEX(tblEventLeaderboardSource[Date],MATCH(LARGE(tblEventLeaderboardSource[Rank Key],O84),tblEventLeaderboardSource[Rank Key],0))</x:f>
        <x:v>46176</x:v>
      </x:c>
      <x:c r="S84" s="192" t="str">
        <x:f>INDEX(tblEventLeaderboardSource[City],MATCH(LARGE(tblEventLeaderboardSource[Rank Key],O84),tblEventLeaderboardSource[Rank Key],0))</x:f>
        <x:v>Washington</x:v>
      </x:c>
      <x:c r="T84" s="193" t="n">
        <x:f>INDEX(tblEventLeaderboardSource[Revenue],MATCH(LARGE(tblEventLeaderboardSource[Rank Key],O84),tblEventLeaderboardSource[Rank Key],0))</x:f>
        <x:v>200</x:v>
      </x:c>
      <x:c r="V84" s="231" t="n">
        <x:v>13</x:v>
      </x:c>
      <x:c r="W84" s="231" t="n">
        <x:v>5</x:v>
      </x:c>
      <x:c r="X84" s="231" t="n">
        <x:v>1</x:v>
      </x:c>
      <x:c r="Y84" s="231" t="n">
        <x:v>183.74</x:v>
      </x:c>
      <x:c r="Z84" s="231" t="n">
        <x:v>183.74</x:v>
      </x:c>
      <x:c r="AA84" s="231" t="n">
        <x:v>2</x:v>
      </x:c>
      <x:c r="AB84" s="231" t="n">
        <x:v>183.740013</x:v>
      </x:c>
    </x:row>
    <x:row r="85">
      <x:c r="H85" s="192" t="n">
        <x:v>10</x:v>
      </x:c>
      <x:c r="I85" s="192" t="str">
        <x:f>INDEX(tblCitySummary[City],MATCH(LARGE(tblCitySummary[Rank Key],H85),tblCitySummary[Rank Key],0))</x:f>
        <x:v>Lutherville</x:v>
      </x:c>
      <x:c r="J85" s="192" t="str">
        <x:f>INDEX(tblCitySummary[Jurisdiction],MATCH(LARGE(tblCitySummary[Rank Key],H85),tblCitySummary[Rank Key],0))</x:f>
        <x:v>MD</x:v>
      </x:c>
      <x:c r="K85" s="193" t="n">
        <x:f>INDEX(tblCitySummary[Revenue],MATCH(LARGE(tblCitySummary[Rank Key],H85),tblCitySummary[Rank Key],0))</x:f>
        <x:v>202.5</x:v>
      </x:c>
      <x:c r="L85" s="192" t="n">
        <x:f>INDEX(tblCitySummary[Events],MATCH(LARGE(tblCitySummary[Rank Key],H85),tblCitySummary[Rank Key],0))</x:f>
        <x:v>1</x:v>
      </x:c>
      <x:c r="M85" s="193" t="n">
        <x:f>INDEX(tblCitySummary[Avg/Event],MATCH(LARGE(tblCitySummary[Rank Key],H85),tblCitySummary[Rank Key],0))</x:f>
        <x:v>202.5</x:v>
      </x:c>
      <x:c r="O85" s="192" t="n">
        <x:v>10</x:v>
      </x:c>
      <x:c r="P85" s="192" t="n">
        <x:f>INDEX(tblEventLeaderboardSource[Event #],MATCH(LARGE(tblEventLeaderboardSource[Rank Key],O85),tblEventLeaderboardSource[Rank Key],0))</x:f>
        <x:v>24</x:v>
      </x:c>
      <x:c r="Q85" s="192" t="str">
        <x:f>INDEX(tblEventLeaderboardSource[Client],MATCH(LARGE(tblEventLeaderboardSource[Rank Key],O85),tblEventLeaderboardSource[Rank Key],0))</x:f>
        <x:v>USDA</x:v>
      </x:c>
      <x:c r="R85" s="195" t="n">
        <x:f>INDEX(tblEventLeaderboardSource[Date],MATCH(LARGE(tblEventLeaderboardSource[Rank Key],O85),tblEventLeaderboardSource[Rank Key],0))</x:f>
        <x:v>46169</x:v>
      </x:c>
      <x:c r="S85" s="192" t="str">
        <x:f>INDEX(tblEventLeaderboardSource[City],MATCH(LARGE(tblEventLeaderboardSource[Rank Key],O85),tblEventLeaderboardSource[Rank Key],0))</x:f>
        <x:v>Washington</x:v>
      </x:c>
      <x:c r="T85" s="193" t="n">
        <x:f>INDEX(tblEventLeaderboardSource[Revenue],MATCH(LARGE(tblEventLeaderboardSource[Rank Key],O85),tblEventLeaderboardSource[Rank Key],0))</x:f>
        <x:v>200</x:v>
      </x:c>
      <x:c r="V85" s="35"/>
      <x:c r="W85"/>
      <x:c r="X85"/>
      <x:c r="Y85"/>
      <x:c r="Z85" s="24"/>
      <x:c r="AA85" s="24"/>
      <x:c r="AB85"/>
    </x:row>
    <x:row r="86">
      <x:c r="V86" s="35" t="str">
        <x:v>Service Date</x:v>
      </x:c>
      <x:c r="W86" t="str">
        <x:v>Weekday</x:v>
      </x:c>
      <x:c r="X86" t="str">
        <x:v>Events</x:v>
      </x:c>
      <x:c r="Y86" t="str">
        <x:v>Eligible Events</x:v>
      </x:c>
      <x:c r="Z86" s="24" t="str">
        <x:v>Revenue</x:v>
      </x:c>
      <x:c r="AA86" s="24" t="str">
        <x:v>Avg/Event</x:v>
      </x:c>
      <x:c r="AB86" t="str">
        <x:v>Rank Key</x:v>
      </x:c>
    </x:row>
    <x:row r="87">
      <x:c r="V87" s="35" t="n">
        <x:v>46132</x:v>
      </x:c>
      <x:c r="W87" t="str">
        <x:v>Monday</x:v>
      </x:c>
      <x:c r="X87" t="n">
        <x:v>1</x:v>
      </x:c>
      <x:c r="Y87" t="n">
        <x:v>1</x:v>
      </x:c>
      <x:c r="Z87" s="24" t="n">
        <x:v>90</x:v>
      </x:c>
      <x:c r="AA87" s="24" t="n">
        <x:v>90</x:v>
      </x:c>
      <x:c r="AB87" t="n">
        <x:v>90.000046132</x:v>
      </x:c>
    </x:row>
    <x:row r="88">
      <x:c r="A88" s="237" t="str">
        <x:v>Top Workweeks</x:v>
      </x:c>
      <x:c r="B88" s="237"/>
      <x:c r="C88" s="237"/>
      <x:c r="D88" s="237"/>
      <x:c r="E88" s="237"/>
      <x:c r="F88" s="237"/>
      <x:c r="H88" s="237" t="str">
        <x:v>MY_MONTH Ranking</x:v>
      </x:c>
      <x:c r="I88" s="237"/>
      <x:c r="J88" s="237"/>
      <x:c r="K88" s="237"/>
      <x:c r="L88" s="237"/>
      <x:c r="M88" s="237"/>
      <x:c r="O88" s="237" t="str">
        <x:v>Top Worked Dates</x:v>
      </x:c>
      <x:c r="P88" s="237"/>
      <x:c r="Q88" s="237"/>
      <x:c r="R88" s="237"/>
      <x:c r="S88" s="237"/>
      <x:c r="T88" s="237"/>
      <x:c r="V88" s="35" t="n">
        <x:v>46133</x:v>
      </x:c>
      <x:c r="W88" t="str">
        <x:v>Tuesday</x:v>
      </x:c>
      <x:c r="X88" t="n">
        <x:v>1</x:v>
      </x:c>
      <x:c r="Y88" t="n">
        <x:v>1</x:v>
      </x:c>
      <x:c r="Z88" s="24" t="n">
        <x:v>344</x:v>
      </x:c>
      <x:c r="AA88" s="24" t="n">
        <x:v>344</x:v>
      </x:c>
      <x:c r="AB88" t="n">
        <x:v>344.000046133</x:v>
      </x:c>
    </x:row>
    <x:row r="89">
      <x:c r="A89" s="238" t="str">
        <x:v>Rank</x:v>
      </x:c>
      <x:c r="B89" s="238" t="str">
        <x:v>Workweek</x:v>
      </x:c>
      <x:c r="C89" s="238" t="str">
        <x:v>Revenue</x:v>
      </x:c>
      <x:c r="D89" s="238" t="str">
        <x:v>Events</x:v>
      </x:c>
      <x:c r="E89" s="238" t="str">
        <x:v>Worked Days</x:v>
      </x:c>
      <x:c r="F89" s="238" t="str">
        <x:v>Avg/Event</x:v>
      </x:c>
      <x:c r="H89" s="238" t="str">
        <x:v>Rank</x:v>
      </x:c>
      <x:c r="I89" s="238" t="str">
        <x:v>MY_MONTH</x:v>
      </x:c>
      <x:c r="J89" s="238" t="str">
        <x:v>Revenue</x:v>
      </x:c>
      <x:c r="K89" s="238" t="str">
        <x:v>Events</x:v>
      </x:c>
      <x:c r="L89" s="238" t="str">
        <x:v>Clients</x:v>
      </x:c>
      <x:c r="M89" s="238" t="str">
        <x:v>Avg/Event</x:v>
      </x:c>
      <x:c r="O89" s="238" t="str">
        <x:v>Rank</x:v>
      </x:c>
      <x:c r="P89" s="238" t="str">
        <x:v>Date</x:v>
      </x:c>
      <x:c r="Q89" s="238" t="str">
        <x:v>Weekday</x:v>
      </x:c>
      <x:c r="R89" s="238" t="str">
        <x:v>Revenue</x:v>
      </x:c>
      <x:c r="S89" s="238" t="str">
        <x:v>Events</x:v>
      </x:c>
      <x:c r="T89" s="238" t="str">
        <x:v>Avg/Event</x:v>
      </x:c>
      <x:c r="V89" s="35" t="n">
        <x:v>46134</x:v>
      </x:c>
      <x:c r="W89" t="str">
        <x:v>Wednesday</x:v>
      </x:c>
      <x:c r="X89" t="n">
        <x:v>1</x:v>
      </x:c>
      <x:c r="Y89" t="n">
        <x:v>1</x:v>
      </x:c>
      <x:c r="Z89" s="24" t="n">
        <x:v>344</x:v>
      </x:c>
      <x:c r="AA89" s="24" t="n">
        <x:v>344</x:v>
      </x:c>
      <x:c r="AB89" t="n">
        <x:v>344.000046134</x:v>
      </x:c>
    </x:row>
    <x:row r="90">
      <x:c r="A90" s="192" t="n">
        <x:v>1</x:v>
      </x:c>
      <x:c r="B90" s="192" t="n">
        <x:f>INDEX(tblWeekSummary[Workweek],MATCH(LARGE(tblWeekSummary[Rank Key],A90),tblWeekSummary[Rank Key],0))</x:f>
        <x:v>7</x:v>
      </x:c>
      <x:c r="C90" s="193" t="n">
        <x:f>INDEX(tblWeekSummary[Revenue],MATCH(LARGE(tblWeekSummary[Rank Key],A90),tblWeekSummary[Rank Key],0))</x:f>
        <x:v>1221.66</x:v>
      </x:c>
      <x:c r="D90" s="192" t="n">
        <x:f>INDEX(tblWeekSummary[Events],MATCH(LARGE(tblWeekSummary[Rank Key],A90),tblWeekSummary[Rank Key],0))</x:f>
        <x:v>8</x:v>
      </x:c>
      <x:c r="E90" s="192" t="n">
        <x:f>INDEX(tblWeekSummary[Worked Days],MATCH(LARGE(tblWeekSummary[Rank Key],A90),tblWeekSummary[Rank Key],0))</x:f>
        <x:v>5</x:v>
      </x:c>
      <x:c r="F90" s="193" t="n">
        <x:f>INDEX(tblWeekSummary[Avg/Event],MATCH(LARGE(tblWeekSummary[Rank Key],A90),tblWeekSummary[Rank Key],0))</x:f>
        <x:v>152.70749999999998</x:v>
      </x:c>
      <x:c r="H90" s="192" t="n">
        <x:v>1</x:v>
      </x:c>
      <x:c r="I90" s="192" t="str">
        <x:f>INDEX(tblMonthSummary[MY_MONTH],MATCH(LARGE(tblMonthSummary[Confirmed Revenue],H90),tblMonthSummary[Confirmed Revenue],0))</x:f>
        <x:v>MY_MONTH 2</x:v>
      </x:c>
      <x:c r="J90" s="193" t="n">
        <x:f>LARGE(tblMonthSummary[Confirmed Revenue],H90)</x:f>
        <x:v>3286.3199999999997</x:v>
      </x:c>
      <x:c r="K90" s="192" t="n">
        <x:f>INDEX(tblMonthSummary[Events],MATCH(J90,tblMonthSummary[Confirmed Revenue],0))</x:f>
        <x:v>30</x:v>
      </x:c>
      <x:c r="L90" s="192" t="n">
        <x:f>INDEX(tblMonthSummary[Clients],MATCH(J90,tblMonthSummary[Confirmed Revenue],0))</x:f>
        <x:v>18</x:v>
      </x:c>
      <x:c r="M90" s="193" t="n">
        <x:f>INDEX(tblMonthSummary[Avg Revenue / Eligible Event],MATCH(J90,tblMonthSummary[Confirmed Revenue],0))</x:f>
        <x:v>109.544</x:v>
      </x:c>
      <x:c r="O90" s="192" t="n">
        <x:v>1</x:v>
      </x:c>
      <x:c r="P90" s="195" t="n">
        <x:f>INDEX(tblDateSummary[Service Date],MATCH(LARGE(tblDateSummary[Rank Key],O90),tblDateSummary[Rank Key],0))</x:f>
        <x:v>46183</x:v>
      </x:c>
      <x:c r="Q90" s="192" t="str">
        <x:f>INDEX(tblDateSummary[Weekday],MATCH(LARGE(tblDateSummary[Rank Key],O90),tblDateSummary[Rank Key],0))</x:f>
        <x:v>Wednesday</x:v>
      </x:c>
      <x:c r="R90" s="193" t="n">
        <x:f>INDEX(tblDateSummary[Revenue],MATCH(LARGE(tblDateSummary[Rank Key],O90),tblDateSummary[Rank Key],0))</x:f>
        <x:v>390</x:v>
      </x:c>
      <x:c r="S90" s="192" t="n">
        <x:f>INDEX(tblDateSummary[Events],MATCH(LARGE(tblDateSummary[Rank Key],O90),tblDateSummary[Rank Key],0))</x:f>
        <x:v>3</x:v>
      </x:c>
      <x:c r="T90" s="193" t="n">
        <x:f>INDEX(tblDateSummary[Avg/Event],MATCH(LARGE(tblDateSummary[Rank Key],O90),tblDateSummary[Rank Key],0))</x:f>
        <x:v>130</x:v>
      </x:c>
      <x:c r="V90" s="35" t="n">
        <x:v>46135</x:v>
      </x:c>
      <x:c r="W90" t="str">
        <x:v>Thursday</x:v>
      </x:c>
      <x:c r="X90" t="n">
        <x:v>1</x:v>
      </x:c>
      <x:c r="Y90" t="n">
        <x:v>1</x:v>
      </x:c>
      <x:c r="Z90" s="24" t="n">
        <x:v>180</x:v>
      </x:c>
      <x:c r="AA90" s="24" t="n">
        <x:v>180</x:v>
      </x:c>
      <x:c r="AB90" t="n">
        <x:v>180.000046135</x:v>
      </x:c>
    </x:row>
    <x:row r="91">
      <x:c r="A91" s="192" t="n">
        <x:v>2</x:v>
      </x:c>
      <x:c r="B91" s="192" t="n">
        <x:f>INDEX(tblWeekSummary[Workweek],MATCH(LARGE(tblWeekSummary[Rank Key],A91),tblWeekSummary[Rank Key],0))</x:f>
        <x:v>1</x:v>
      </x:c>
      <x:c r="C91" s="193" t="n">
        <x:f>INDEX(tblWeekSummary[Revenue],MATCH(LARGE(tblWeekSummary[Rank Key],A91),tblWeekSummary[Rank Key],0))</x:f>
        <x:v>1008</x:v>
      </x:c>
      <x:c r="D91" s="192" t="n">
        <x:f>INDEX(tblWeekSummary[Events],MATCH(LARGE(tblWeekSummary[Rank Key],A91),tblWeekSummary[Rank Key],0))</x:f>
        <x:v>5</x:v>
      </x:c>
      <x:c r="E91" s="192" t="n">
        <x:f>INDEX(tblWeekSummary[Worked Days],MATCH(LARGE(tblWeekSummary[Rank Key],A91),tblWeekSummary[Rank Key],0))</x:f>
        <x:v>5</x:v>
      </x:c>
      <x:c r="F91" s="193" t="n">
        <x:f>INDEX(tblWeekSummary[Avg/Event],MATCH(LARGE(tblWeekSummary[Rank Key],A91),tblWeekSummary[Rank Key],0))</x:f>
        <x:v>201.6</x:v>
      </x:c>
      <x:c r="H91" s="192" t="n">
        <x:v>2</x:v>
      </x:c>
      <x:c r="I91" s="192" t="str">
        <x:f>INDEX(tblMonthSummary[MY_MONTH],MATCH(LARGE(tblMonthSummary[Confirmed Revenue],H91),tblMonthSummary[Confirmed Revenue],0))</x:f>
        <x:v>MY_MONTH 3</x:v>
      </x:c>
      <x:c r="J91" s="193" t="n">
        <x:f>LARGE(tblMonthSummary[Confirmed Revenue],H91)</x:f>
        <x:v>2620.2200000000003</x:v>
      </x:c>
      <x:c r="K91" s="192" t="n">
        <x:f>INDEX(tblMonthSummary[Events],MATCH(J91,tblMonthSummary[Confirmed Revenue],0))</x:f>
        <x:v>22</x:v>
      </x:c>
      <x:c r="L91" s="192" t="n">
        <x:f>INDEX(tblMonthSummary[Clients],MATCH(J91,tblMonthSummary[Confirmed Revenue],0))</x:f>
        <x:v>9</x:v>
      </x:c>
      <x:c r="M91" s="193" t="n">
        <x:f>INDEX(tblMonthSummary[Avg Revenue / Eligible Event],MATCH(J91,tblMonthSummary[Confirmed Revenue],0))</x:f>
        <x:v>145.5677777777778</x:v>
      </x:c>
      <x:c r="O91" s="192" t="n">
        <x:v>2</x:v>
      </x:c>
      <x:c r="P91" s="195" t="n">
        <x:f>INDEX(tblDateSummary[Service Date],MATCH(LARGE(tblDateSummary[Rank Key],O91),tblDateSummary[Rank Key],0))</x:f>
        <x:v>46134</x:v>
      </x:c>
      <x:c r="Q91" s="192" t="str">
        <x:f>INDEX(tblDateSummary[Weekday],MATCH(LARGE(tblDateSummary[Rank Key],O91),tblDateSummary[Rank Key],0))</x:f>
        <x:v>Wednesday</x:v>
      </x:c>
      <x:c r="R91" s="193" t="n">
        <x:f>INDEX(tblDateSummary[Revenue],MATCH(LARGE(tblDateSummary[Rank Key],O91),tblDateSummary[Rank Key],0))</x:f>
        <x:v>344</x:v>
      </x:c>
      <x:c r="S91" s="192" t="n">
        <x:f>INDEX(tblDateSummary[Events],MATCH(LARGE(tblDateSummary[Rank Key],O91),tblDateSummary[Rank Key],0))</x:f>
        <x:v>1</x:v>
      </x:c>
      <x:c r="T91" s="193" t="n">
        <x:f>INDEX(tblDateSummary[Avg/Event],MATCH(LARGE(tblDateSummary[Rank Key],O91),tblDateSummary[Rank Key],0))</x:f>
        <x:v>344</x:v>
      </x:c>
      <x:c r="V91" s="35" t="n">
        <x:v>46136</x:v>
      </x:c>
      <x:c r="W91" t="str">
        <x:v>Friday</x:v>
      </x:c>
      <x:c r="X91" t="n">
        <x:v>1</x:v>
      </x:c>
      <x:c r="Y91" t="n">
        <x:v>1</x:v>
      </x:c>
      <x:c r="Z91" s="24" t="n">
        <x:v>50</x:v>
      </x:c>
      <x:c r="AA91" s="24" t="n">
        <x:v>50</x:v>
      </x:c>
      <x:c r="AB91" t="n">
        <x:v>50.000046136</x:v>
      </x:c>
    </x:row>
    <x:row r="92">
      <x:c r="A92" s="192" t="n">
        <x:v>3</x:v>
      </x:c>
      <x:c r="B92" s="192" t="n">
        <x:f>INDEX(tblWeekSummary[Workweek],MATCH(LARGE(tblWeekSummary[Rank Key],A92),tblWeekSummary[Rank Key],0))</x:f>
        <x:v>12</x:v>
      </x:c>
      <x:c r="C92" s="193" t="n">
        <x:f>INDEX(tblWeekSummary[Revenue],MATCH(LARGE(tblWeekSummary[Rank Key],A92),tblWeekSummary[Rank Key],0))</x:f>
        <x:v>815.06</x:v>
      </x:c>
      <x:c r="D92" s="192" t="n">
        <x:f>INDEX(tblWeekSummary[Events],MATCH(LARGE(tblWeekSummary[Rank Key],A92),tblWeekSummary[Rank Key],0))</x:f>
        <x:v>6</x:v>
      </x:c>
      <x:c r="E92" s="192" t="n">
        <x:f>INDEX(tblWeekSummary[Worked Days],MATCH(LARGE(tblWeekSummary[Rank Key],A92),tblWeekSummary[Rank Key],0))</x:f>
        <x:v>4</x:v>
      </x:c>
      <x:c r="F92" s="193" t="n">
        <x:f>INDEX(tblWeekSummary[Avg/Event],MATCH(LARGE(tblWeekSummary[Rank Key],A92),tblWeekSummary[Rank Key],0))</x:f>
        <x:v>163.012</x:v>
      </x:c>
      <x:c r="H92" s="192" t="n">
        <x:v>3</x:v>
      </x:c>
      <x:c r="I92" s="192" t="str">
        <x:f>INDEX(tblMonthSummary[MY_MONTH],MATCH(LARGE(tblMonthSummary[Confirmed Revenue],H92),tblMonthSummary[Confirmed Revenue],0))</x:f>
        <x:v>MY_MONTH 1</x:v>
      </x:c>
      <x:c r="J92" s="193" t="n">
        <x:f>LARGE(tblMonthSummary[Confirmed Revenue],H92)</x:f>
        <x:v>2490.5</x:v>
      </x:c>
      <x:c r="K92" s="192" t="n">
        <x:f>INDEX(tblMonthSummary[Events],MATCH(J92,tblMonthSummary[Confirmed Revenue],0))</x:f>
        <x:v>20</x:v>
      </x:c>
      <x:c r="L92" s="192" t="n">
        <x:f>INDEX(tblMonthSummary[Clients],MATCH(J92,tblMonthSummary[Confirmed Revenue],0))</x:f>
        <x:v>15</x:v>
      </x:c>
      <x:c r="M92" s="193" t="n">
        <x:f>INDEX(tblMonthSummary[Avg Revenue / Eligible Event],MATCH(J92,tblMonthSummary[Confirmed Revenue],0))</x:f>
        <x:v>124.525</x:v>
      </x:c>
      <x:c r="O92" s="192" t="n">
        <x:v>3</x:v>
      </x:c>
      <x:c r="P92" s="195" t="n">
        <x:f>INDEX(tblDateSummary[Service Date],MATCH(LARGE(tblDateSummary[Rank Key],O92),tblDateSummary[Rank Key],0))</x:f>
        <x:v>46133</x:v>
      </x:c>
      <x:c r="Q92" s="192" t="str">
        <x:f>INDEX(tblDateSummary[Weekday],MATCH(LARGE(tblDateSummary[Rank Key],O92),tblDateSummary[Rank Key],0))</x:f>
        <x:v>Tuesday</x:v>
      </x:c>
      <x:c r="R92" s="193" t="n">
        <x:f>INDEX(tblDateSummary[Revenue],MATCH(LARGE(tblDateSummary[Rank Key],O92),tblDateSummary[Rank Key],0))</x:f>
        <x:v>344</x:v>
      </x:c>
      <x:c r="S92" s="192" t="n">
        <x:f>INDEX(tblDateSummary[Events],MATCH(LARGE(tblDateSummary[Rank Key],O92),tblDateSummary[Rank Key],0))</x:f>
        <x:v>1</x:v>
      </x:c>
      <x:c r="T92" s="193" t="n">
        <x:f>INDEX(tblDateSummary[Avg/Event],MATCH(LARGE(tblDateSummary[Rank Key],O92),tblDateSummary[Rank Key],0))</x:f>
        <x:v>344</x:v>
      </x:c>
      <x:c r="V92" s="35" t="n">
        <x:v>46139</x:v>
      </x:c>
      <x:c r="W92" t="str">
        <x:v>Monday</x:v>
      </x:c>
      <x:c r="X92" t="n">
        <x:v>1</x:v>
      </x:c>
      <x:c r="Y92" t="n">
        <x:v>1</x:v>
      </x:c>
      <x:c r="Z92" s="24" t="n">
        <x:v>180</x:v>
      </x:c>
      <x:c r="AA92" s="24" t="n">
        <x:v>180</x:v>
      </x:c>
      <x:c r="AB92" t="n">
        <x:v>180.000046139</x:v>
      </x:c>
    </x:row>
    <x:row r="93">
      <x:c r="A93" s="192" t="n">
        <x:v>4</x:v>
      </x:c>
      <x:c r="B93" s="192" t="n">
        <x:f>INDEX(tblWeekSummary[Workweek],MATCH(LARGE(tblWeekSummary[Rank Key],A93),tblWeekSummary[Rank Key],0))</x:f>
        <x:v>8</x:v>
      </x:c>
      <x:c r="C93" s="193" t="n">
        <x:f>INDEX(tblWeekSummary[Revenue],MATCH(LARGE(tblWeekSummary[Rank Key],A93),tblWeekSummary[Rank Key],0))</x:f>
        <x:v>760</x:v>
      </x:c>
      <x:c r="D93" s="192" t="n">
        <x:f>INDEX(tblWeekSummary[Events],MATCH(LARGE(tblWeekSummary[Rank Key],A93),tblWeekSummary[Rank Key],0))</x:f>
        <x:v>9</x:v>
      </x:c>
      <x:c r="E93" s="192" t="n">
        <x:f>INDEX(tblWeekSummary[Worked Days],MATCH(LARGE(tblWeekSummary[Rank Key],A93),tblWeekSummary[Rank Key],0))</x:f>
        <x:v>5</x:v>
      </x:c>
      <x:c r="F93" s="193" t="n">
        <x:f>INDEX(tblWeekSummary[Avg/Event],MATCH(LARGE(tblWeekSummary[Rank Key],A93),tblWeekSummary[Rank Key],0))</x:f>
        <x:v>84.44444444444444</x:v>
      </x:c>
      <x:c r="O93" s="192" t="n">
        <x:v>4</x:v>
      </x:c>
      <x:c r="P93" s="195" t="n">
        <x:f>INDEX(tblDateSummary[Service Date],MATCH(LARGE(tblDateSummary[Rank Key],O93),tblDateSummary[Rank Key],0))</x:f>
        <x:v>46175</x:v>
      </x:c>
      <x:c r="Q93" s="192" t="str">
        <x:f>INDEX(tblDateSummary[Weekday],MATCH(LARGE(tblDateSummary[Rank Key],O93),tblDateSummary[Rank Key],0))</x:f>
        <x:v>Tuesday</x:v>
      </x:c>
      <x:c r="R93" s="193" t="n">
        <x:f>INDEX(tblDateSummary[Revenue],MATCH(LARGE(tblDateSummary[Rank Key],O93),tblDateSummary[Rank Key],0))</x:f>
        <x:v>320</x:v>
      </x:c>
      <x:c r="S93" s="192" t="n">
        <x:f>INDEX(tblDateSummary[Events],MATCH(LARGE(tblDateSummary[Rank Key],O93),tblDateSummary[Rank Key],0))</x:f>
        <x:v>1</x:v>
      </x:c>
      <x:c r="T93" s="193" t="n">
        <x:f>INDEX(tblDateSummary[Avg/Event],MATCH(LARGE(tblDateSummary[Rank Key],O93),tblDateSummary[Rank Key],0))</x:f>
        <x:v>320</x:v>
      </x:c>
      <x:c r="V93" s="35" t="n">
        <x:v>46141</x:v>
      </x:c>
      <x:c r="W93" t="str">
        <x:v>Wednesday</x:v>
      </x:c>
      <x:c r="X93" t="n">
        <x:v>2</x:v>
      </x:c>
      <x:c r="Y93" t="n">
        <x:v>2</x:v>
      </x:c>
      <x:c r="Z93" s="24" t="n">
        <x:v>95</x:v>
      </x:c>
      <x:c r="AA93" s="24" t="n">
        <x:v>47.5</x:v>
      </x:c>
      <x:c r="AB93" t="n">
        <x:v>95.000046141</x:v>
      </x:c>
    </x:row>
    <x:row r="94">
      <x:c r="A94" s="192" t="n">
        <x:v>5</x:v>
      </x:c>
      <x:c r="B94" s="192" t="n">
        <x:f>INDEX(tblWeekSummary[Workweek],MATCH(LARGE(tblWeekSummary[Rank Key],A94),tblWeekSummary[Rank Key],0))</x:f>
        <x:v>9</x:v>
      </x:c>
      <x:c r="C94" s="193" t="n">
        <x:f>INDEX(tblWeekSummary[Revenue],MATCH(LARGE(tblWeekSummary[Rank Key],A94),tblWeekSummary[Rank Key],0))</x:f>
        <x:v>681.75</x:v>
      </x:c>
      <x:c r="D94" s="192" t="n">
        <x:f>INDEX(tblWeekSummary[Events],MATCH(LARGE(tblWeekSummary[Rank Key],A94),tblWeekSummary[Rank Key],0))</x:f>
        <x:v>7</x:v>
      </x:c>
      <x:c r="E94" s="192" t="n">
        <x:f>INDEX(tblWeekSummary[Worked Days],MATCH(LARGE(tblWeekSummary[Rank Key],A94),tblWeekSummary[Rank Key],0))</x:f>
        <x:v>4</x:v>
      </x:c>
      <x:c r="F94" s="193" t="n">
        <x:f>INDEX(tblWeekSummary[Avg/Event],MATCH(LARGE(tblWeekSummary[Rank Key],A94),tblWeekSummary[Rank Key],0))</x:f>
        <x:v>97.39285714285714</x:v>
      </x:c>
      <x:c r="O94" s="192" t="n">
        <x:v>5</x:v>
      </x:c>
      <x:c r="P94" s="195" t="n">
        <x:f>INDEX(tblDateSummary[Service Date],MATCH(LARGE(tblDateSummary[Rank Key],O94),tblDateSummary[Rank Key],0))</x:f>
        <x:v>46174</x:v>
      </x:c>
      <x:c r="Q94" s="192" t="str">
        <x:f>INDEX(tblDateSummary[Weekday],MATCH(LARGE(tblDateSummary[Rank Key],O94),tblDateSummary[Rank Key],0))</x:f>
        <x:v>Monday</x:v>
      </x:c>
      <x:c r="R94" s="193" t="n">
        <x:f>INDEX(tblDateSummary[Revenue],MATCH(LARGE(tblDateSummary[Rank Key],O94),tblDateSummary[Rank Key],0))</x:f>
        <x:v>320</x:v>
      </x:c>
      <x:c r="S94" s="192" t="n">
        <x:f>INDEX(tblDateSummary[Events],MATCH(LARGE(tblDateSummary[Rank Key],O94),tblDateSummary[Rank Key],0))</x:f>
        <x:v>1</x:v>
      </x:c>
      <x:c r="T94" s="193" t="n">
        <x:f>INDEX(tblDateSummary[Avg/Event],MATCH(LARGE(tblDateSummary[Rank Key],O94),tblDateSummary[Rank Key],0))</x:f>
        <x:v>320</x:v>
      </x:c>
      <x:c r="V94" s="35" t="n">
        <x:v>46142</x:v>
      </x:c>
      <x:c r="W94" t="str">
        <x:v>Thursday</x:v>
      </x:c>
      <x:c r="X94" t="n">
        <x:v>1</x:v>
      </x:c>
      <x:c r="Y94" t="n">
        <x:v>0</x:v>
      </x:c>
      <x:c r="Z94" s="24" t="n">
        <x:v>0</x:v>
      </x:c>
      <x:c r="AA94" s="24" t="n">
        <x:v>0</x:v>
      </x:c>
      <x:c r="AB94" t="n">
        <x:v>0.000046142</x:v>
      </x:c>
    </x:row>
    <x:row r="95">
      <x:c r="A95" s="192" t="n">
        <x:v>6</x:v>
      </x:c>
      <x:c r="B95" s="192" t="n">
        <x:f>INDEX(tblWeekSummary[Workweek],MATCH(LARGE(tblWeekSummary[Rank Key],A95),tblWeekSummary[Rank Key],0))</x:f>
        <x:v>6</x:v>
      </x:c>
      <x:c r="C95" s="193" t="n">
        <x:f>INDEX(tblWeekSummary[Revenue],MATCH(LARGE(tblWeekSummary[Rank Key],A95),tblWeekSummary[Rank Key],0))</x:f>
        <x:v>522.91</x:v>
      </x:c>
      <x:c r="D95" s="192" t="n">
        <x:f>INDEX(tblWeekSummary[Events],MATCH(LARGE(tblWeekSummary[Rank Key],A95),tblWeekSummary[Rank Key],0))</x:f>
        <x:v>6</x:v>
      </x:c>
      <x:c r="E95" s="192" t="n">
        <x:f>INDEX(tblWeekSummary[Worked Days],MATCH(LARGE(tblWeekSummary[Rank Key],A95),tblWeekSummary[Rank Key],0))</x:f>
        <x:v>3</x:v>
      </x:c>
      <x:c r="F95" s="193" t="n">
        <x:f>INDEX(tblWeekSummary[Avg/Event],MATCH(LARGE(tblWeekSummary[Rank Key],A95),tblWeekSummary[Rank Key],0))</x:f>
        <x:v>130.7275</x:v>
      </x:c>
      <x:c r="O95" s="192" t="n">
        <x:v>6</x:v>
      </x:c>
      <x:c r="P95" s="195" t="n">
        <x:f>INDEX(tblDateSummary[Service Date],MATCH(LARGE(tblDateSummary[Rank Key],O95),tblDateSummary[Rank Key],0))</x:f>
        <x:v>46176</x:v>
      </x:c>
      <x:c r="Q95" s="192" t="str">
        <x:f>INDEX(tblDateSummary[Weekday],MATCH(LARGE(tblDateSummary[Rank Key],O95),tblDateSummary[Rank Key],0))</x:f>
        <x:v>Wednesday</x:v>
      </x:c>
      <x:c r="R95" s="193" t="n">
        <x:f>INDEX(tblDateSummary[Revenue],MATCH(LARGE(tblDateSummary[Rank Key],O95),tblDateSummary[Rank Key],0))</x:f>
        <x:v>296.66</x:v>
      </x:c>
      <x:c r="S95" s="192" t="n">
        <x:f>INDEX(tblDateSummary[Events],MATCH(LARGE(tblDateSummary[Rank Key],O95),tblDateSummary[Rank Key],0))</x:f>
        <x:v>2</x:v>
      </x:c>
      <x:c r="T95" s="193" t="n">
        <x:f>INDEX(tblDateSummary[Avg/Event],MATCH(LARGE(tblDateSummary[Rank Key],O95),tblDateSummary[Rank Key],0))</x:f>
        <x:v>148.32999999999998</x:v>
      </x:c>
      <x:c r="V95" s="35" t="n">
        <x:v>46147</x:v>
      </x:c>
      <x:c r="W95" t="str">
        <x:v>Tuesday</x:v>
      </x:c>
      <x:c r="X95" t="n">
        <x:v>1</x:v>
      </x:c>
      <x:c r="Y95" t="n">
        <x:v>1</x:v>
      </x:c>
      <x:c r="Z95" s="24" t="n">
        <x:v>212.5</x:v>
      </x:c>
      <x:c r="AA95" s="24" t="n">
        <x:v>212.5</x:v>
      </x:c>
      <x:c r="AB95" t="n">
        <x:v>212.500046147</x:v>
      </x:c>
    </x:row>
    <x:row r="96">
      <x:c r="A96" s="192" t="n">
        <x:v>7</x:v>
      </x:c>
      <x:c r="B96" s="192" t="n">
        <x:f>INDEX(tblWeekSummary[Workweek],MATCH(LARGE(tblWeekSummary[Rank Key],A96),tblWeekSummary[Rank Key],0))</x:f>
        <x:v>5</x:v>
      </x:c>
      <x:c r="C96" s="193" t="n">
        <x:f>INDEX(tblWeekSummary[Revenue],MATCH(LARGE(tblWeekSummary[Rank Key],A96),tblWeekSummary[Rank Key],0))</x:f>
        <x:v>422.5</x:v>
      </x:c>
      <x:c r="D96" s="192" t="n">
        <x:f>INDEX(tblWeekSummary[Events],MATCH(LARGE(tblWeekSummary[Rank Key],A96),tblWeekSummary[Rank Key],0))</x:f>
        <x:v>4</x:v>
      </x:c>
      <x:c r="E96" s="192" t="n">
        <x:f>INDEX(tblWeekSummary[Worked Days],MATCH(LARGE(tblWeekSummary[Rank Key],A96),tblWeekSummary[Rank Key],0))</x:f>
        <x:v>3</x:v>
      </x:c>
      <x:c r="F96" s="193" t="n">
        <x:f>INDEX(tblWeekSummary[Avg/Event],MATCH(LARGE(tblWeekSummary[Rank Key],A96),tblWeekSummary[Rank Key],0))</x:f>
        <x:v>105.625</x:v>
      </x:c>
      <x:c r="O96" s="192" t="n">
        <x:v>7</x:v>
      </x:c>
      <x:c r="P96" s="195" t="n">
        <x:f>INDEX(tblDateSummary[Service Date],MATCH(LARGE(tblDateSummary[Rank Key],O96),tblDateSummary[Rank Key],0))</x:f>
        <x:v>46212</x:v>
      </x:c>
      <x:c r="Q96" s="192" t="str">
        <x:f>INDEX(tblDateSummary[Weekday],MATCH(LARGE(tblDateSummary[Rank Key],O96),tblDateSummary[Rank Key],0))</x:f>
        <x:v>Thursday</x:v>
      </x:c>
      <x:c r="R96" s="193" t="n">
        <x:f>INDEX(tblDateSummary[Revenue],MATCH(LARGE(tblDateSummary[Rank Key],O96),tblDateSummary[Rank Key],0))</x:f>
        <x:v>295.82</x:v>
      </x:c>
      <x:c r="S96" s="192" t="n">
        <x:f>INDEX(tblDateSummary[Events],MATCH(LARGE(tblDateSummary[Rank Key],O96),tblDateSummary[Rank Key],0))</x:f>
        <x:v>2</x:v>
      </x:c>
      <x:c r="T96" s="193" t="n">
        <x:f>INDEX(tblDateSummary[Avg/Event],MATCH(LARGE(tblDateSummary[Rank Key],O96),tblDateSummary[Rank Key],0))</x:f>
        <x:v>147.91</x:v>
      </x:c>
      <x:c r="V96" s="35" t="n">
        <x:v>46153</x:v>
      </x:c>
      <x:c r="W96" t="str">
        <x:v>Monday</x:v>
      </x:c>
      <x:c r="X96" t="n">
        <x:v>1</x:v>
      </x:c>
      <x:c r="Y96" t="n">
        <x:v>1</x:v>
      </x:c>
      <x:c r="Z96" s="24" t="n">
        <x:v>157.5</x:v>
      </x:c>
      <x:c r="AA96" s="24" t="n">
        <x:v>157.5</x:v>
      </x:c>
      <x:c r="AB96" t="n">
        <x:v>157.500046153</x:v>
      </x:c>
    </x:row>
    <x:row r="97">
      <x:c r="A97" s="192" t="n">
        <x:v>8</x:v>
      </x:c>
      <x:c r="B97" s="192" t="n">
        <x:f>INDEX(tblWeekSummary[Workweek],MATCH(LARGE(tblWeekSummary[Rank Key],A97),tblWeekSummary[Rank Key],0))</x:f>
        <x:v>4</x:v>
      </x:c>
      <x:c r="C97" s="193" t="n">
        <x:f>INDEX(tblWeekSummary[Revenue],MATCH(LARGE(tblWeekSummary[Rank Key],A97),tblWeekSummary[Rank Key],0))</x:f>
        <x:v>412.5</x:v>
      </x:c>
      <x:c r="D97" s="192" t="n">
        <x:f>INDEX(tblWeekSummary[Events],MATCH(LARGE(tblWeekSummary[Rank Key],A97),tblWeekSummary[Rank Key],0))</x:f>
        <x:v>6</x:v>
      </x:c>
      <x:c r="E97" s="192" t="n">
        <x:f>INDEX(tblWeekSummary[Worked Days],MATCH(LARGE(tblWeekSummary[Rank Key],A97),tblWeekSummary[Rank Key],0))</x:f>
        <x:v>5</x:v>
      </x:c>
      <x:c r="F97" s="193" t="n">
        <x:f>INDEX(tblWeekSummary[Avg/Event],MATCH(LARGE(tblWeekSummary[Rank Key],A97),tblWeekSummary[Rank Key],0))</x:f>
        <x:v>82.5</x:v>
      </x:c>
      <x:c r="O97" s="192" t="n">
        <x:v>8</x:v>
      </x:c>
      <x:c r="P97" s="195" t="n">
        <x:f>INDEX(tblDateSummary[Service Date],MATCH(LARGE(tblDateSummary[Rank Key],O97),tblDateSummary[Rank Key],0))</x:f>
        <x:v>46209</x:v>
      </x:c>
      <x:c r="Q97" s="192" t="str">
        <x:f>INDEX(tblDateSummary[Weekday],MATCH(LARGE(tblDateSummary[Rank Key],O97),tblDateSummary[Rank Key],0))</x:f>
        <x:v>Monday</x:v>
      </x:c>
      <x:c r="R97" s="193" t="n">
        <x:f>INDEX(tblDateSummary[Revenue],MATCH(LARGE(tblDateSummary[Rank Key],O97),tblDateSummary[Rank Key],0))</x:f>
        <x:v>269.24</x:v>
      </x:c>
      <x:c r="S97" s="192" t="n">
        <x:f>INDEX(tblDateSummary[Events],MATCH(LARGE(tblDateSummary[Rank Key],O97),tblDateSummary[Rank Key],0))</x:f>
        <x:v>2</x:v>
      </x:c>
      <x:c r="T97" s="193" t="n">
        <x:f>INDEX(tblDateSummary[Avg/Event],MATCH(LARGE(tblDateSummary[Rank Key],O97),tblDateSummary[Rank Key],0))</x:f>
        <x:v>134.62</x:v>
      </x:c>
      <x:c r="V97" s="35" t="n">
        <x:v>46154</x:v>
      </x:c>
      <x:c r="W97" t="str">
        <x:v>Tuesday</x:v>
      </x:c>
      <x:c r="X97" t="n">
        <x:v>1</x:v>
      </x:c>
      <x:c r="Y97" t="n">
        <x:v>1</x:v>
      </x:c>
      <x:c r="Z97" s="24" t="n">
        <x:v>85</x:v>
      </x:c>
      <x:c r="AA97" s="24" t="n">
        <x:v>85</x:v>
      </x:c>
      <x:c r="AB97" t="n">
        <x:v>85.000046154</x:v>
      </x:c>
    </x:row>
    <x:row r="98">
      <x:c r="A98" s="192" t="n">
        <x:v>9</x:v>
      </x:c>
      <x:c r="B98" s="192" t="n">
        <x:f>INDEX(tblWeekSummary[Workweek],MATCH(LARGE(tblWeekSummary[Rank Key],A98),tblWeekSummary[Rank Key],0))</x:f>
        <x:v>11</x:v>
      </x:c>
      <x:c r="C98" s="193" t="n">
        <x:f>INDEX(tblWeekSummary[Revenue],MATCH(LARGE(tblWeekSummary[Rank Key],A98),tblWeekSummary[Rank Key],0))</x:f>
        <x:v>410.66</x:v>
      </x:c>
      <x:c r="D98" s="192" t="n">
        <x:f>INDEX(tblWeekSummary[Events],MATCH(LARGE(tblWeekSummary[Rank Key],A98),tblWeekSummary[Rank Key],0))</x:f>
        <x:v>3</x:v>
      </x:c>
      <x:c r="E98" s="192" t="n">
        <x:f>INDEX(tblWeekSummary[Worked Days],MATCH(LARGE(tblWeekSummary[Rank Key],A98),tblWeekSummary[Rank Key],0))</x:f>
        <x:v>3</x:v>
      </x:c>
      <x:c r="F98" s="193" t="n">
        <x:f>INDEX(tblWeekSummary[Avg/Event],MATCH(LARGE(tblWeekSummary[Rank Key],A98),tblWeekSummary[Rank Key],0))</x:f>
        <x:v>136.88666666666666</x:v>
      </x:c>
      <x:c r="O98" s="192" t="n">
        <x:v>9</x:v>
      </x:c>
      <x:c r="P98" s="195" t="n">
        <x:f>INDEX(tblDateSummary[Service Date],MATCH(LARGE(tblDateSummary[Rank Key],O98),tblDateSummary[Rank Key],0))</x:f>
        <x:v>46163</x:v>
      </x:c>
      <x:c r="Q98" s="192" t="str">
        <x:f>INDEX(tblDateSummary[Weekday],MATCH(LARGE(tblDateSummary[Rank Key],O98),tblDateSummary[Rank Key],0))</x:f>
        <x:v>Thursday</x:v>
      </x:c>
      <x:c r="R98" s="193" t="n">
        <x:f>INDEX(tblDateSummary[Revenue],MATCH(LARGE(tblDateSummary[Rank Key],O98),tblDateSummary[Rank Key],0))</x:f>
        <x:v>265.83</x:v>
      </x:c>
      <x:c r="S98" s="192" t="n">
        <x:f>INDEX(tblDateSummary[Events],MATCH(LARGE(tblDateSummary[Rank Key],O98),tblDateSummary[Rank Key],0))</x:f>
        <x:v>2</x:v>
      </x:c>
      <x:c r="T98" s="193" t="n">
        <x:f>INDEX(tblDateSummary[Avg/Event],MATCH(LARGE(tblDateSummary[Rank Key],O98),tblDateSummary[Rank Key],0))</x:f>
        <x:v>132.91500000000002</x:v>
      </x:c>
      <x:c r="V98" s="35" t="n">
        <x:v>46155</x:v>
      </x:c>
      <x:c r="W98" t="str">
        <x:v>Wednesday</x:v>
      </x:c>
      <x:c r="X98" t="n">
        <x:v>2</x:v>
      </x:c>
      <x:c r="Y98" t="n">
        <x:v>1</x:v>
      </x:c>
      <x:c r="Z98" s="24" t="n">
        <x:v>50</x:v>
      </x:c>
      <x:c r="AA98" s="24" t="n">
        <x:v>50</x:v>
      </x:c>
      <x:c r="AB98" t="n">
        <x:v>50.000046155</x:v>
      </x:c>
    </x:row>
    <x:row r="99">
      <x:c r="A99" s="192" t="n">
        <x:v>10</x:v>
      </x:c>
      <x:c r="B99" s="192" t="n">
        <x:f>INDEX(tblWeekSummary[Workweek],MATCH(LARGE(tblWeekSummary[Rank Key],A99),tblWeekSummary[Rank Key],0))</x:f>
        <x:v>10</x:v>
      </x:c>
      <x:c r="C99" s="193" t="n">
        <x:f>INDEX(tblWeekSummary[Revenue],MATCH(LARGE(tblWeekSummary[Rank Key],A99),tblWeekSummary[Rank Key],0))</x:f>
        <x:v>308.27</x:v>
      </x:c>
      <x:c r="D99" s="192" t="n">
        <x:f>INDEX(tblWeekSummary[Events],MATCH(LARGE(tblWeekSummary[Rank Key],A99),tblWeekSummary[Rank Key],0))</x:f>
        <x:v>3</x:v>
      </x:c>
      <x:c r="E99" s="192" t="n">
        <x:f>INDEX(tblWeekSummary[Worked Days],MATCH(LARGE(tblWeekSummary[Rank Key],A99),tblWeekSummary[Rank Key],0))</x:f>
        <x:v>3</x:v>
      </x:c>
      <x:c r="F99" s="193" t="n">
        <x:f>INDEX(tblWeekSummary[Avg/Event],MATCH(LARGE(tblWeekSummary[Rank Key],A99),tblWeekSummary[Rank Key],0))</x:f>
        <x:v>102.75666666666666</x:v>
      </x:c>
      <x:c r="O99" s="192" t="n">
        <x:v>10</x:v>
      </x:c>
      <x:c r="P99" s="195" t="n">
        <x:f>INDEX(tblDateSummary[Service Date],MATCH(LARGE(tblDateSummary[Rank Key],O99),tblDateSummary[Rank Key],0))</x:f>
        <x:v>46210</x:v>
      </x:c>
      <x:c r="Q99" s="192" t="str">
        <x:f>INDEX(tblDateSummary[Weekday],MATCH(LARGE(tblDateSummary[Rank Key],O99),tblDateSummary[Rank Key],0))</x:f>
        <x:v>Tuesday</x:v>
      </x:c>
      <x:c r="R99" s="193" t="n">
        <x:f>INDEX(tblDateSummary[Revenue],MATCH(LARGE(tblDateSummary[Rank Key],O99),tblDateSummary[Rank Key],0))</x:f>
        <x:v>250</x:v>
      </x:c>
      <x:c r="S99" s="192" t="n">
        <x:f>INDEX(tblDateSummary[Events],MATCH(LARGE(tblDateSummary[Rank Key],O99),tblDateSummary[Rank Key],0))</x:f>
        <x:v>1</x:v>
      </x:c>
      <x:c r="T99" s="193" t="n">
        <x:f>INDEX(tblDateSummary[Avg/Event],MATCH(LARGE(tblDateSummary[Rank Key],O99),tblDateSummary[Rank Key],0))</x:f>
        <x:v>250</x:v>
      </x:c>
      <x:c r="V99" s="35" t="n">
        <x:v>46156</x:v>
      </x:c>
      <x:c r="W99" t="str">
        <x:v>Thursday</x:v>
      </x:c>
      <x:c r="X99" t="n">
        <x:v>1</x:v>
      </x:c>
      <x:c r="Y99" t="n">
        <x:v>1</x:v>
      </x:c>
      <x:c r="Z99" s="24" t="n">
        <x:v>75</x:v>
      </x:c>
      <x:c r="AA99" s="24" t="n">
        <x:v>75</x:v>
      </x:c>
      <x:c r="AB99" t="n">
        <x:v>75.000046156</x:v>
      </x:c>
    </x:row>
    <x:row r="100">
      <x:c r="A100" s="192" t="n">
        <x:v>11</x:v>
      </x:c>
      <x:c r="B100" s="192" t="n">
        <x:f>INDEX(tblWeekSummary[Workweek],MATCH(LARGE(tblWeekSummary[Rank Key],A100),tblWeekSummary[Rank Key],0))</x:f>
        <x:v>2</x:v>
      </x:c>
      <x:c r="C100" s="193" t="n">
        <x:f>INDEX(tblWeekSummary[Revenue],MATCH(LARGE(tblWeekSummary[Rank Key],A100),tblWeekSummary[Rank Key],0))</x:f>
        <x:v>275</x:v>
      </x:c>
      <x:c r="D100" s="192" t="n">
        <x:f>INDEX(tblWeekSummary[Events],MATCH(LARGE(tblWeekSummary[Rank Key],A100),tblWeekSummary[Rank Key],0))</x:f>
        <x:v>4</x:v>
      </x:c>
      <x:c r="E100" s="192" t="n">
        <x:f>INDEX(tblWeekSummary[Worked Days],MATCH(LARGE(tblWeekSummary[Rank Key],A100),tblWeekSummary[Rank Key],0))</x:f>
        <x:v>3</x:v>
      </x:c>
      <x:c r="F100" s="193" t="n">
        <x:f>INDEX(tblWeekSummary[Avg/Event],MATCH(LARGE(tblWeekSummary[Rank Key],A100),tblWeekSummary[Rank Key],0))</x:f>
        <x:v>91.66666666666667</x:v>
      </x:c>
      <x:c r="O100" s="192" t="n">
        <x:v>11</x:v>
      </x:c>
      <x:c r="P100" s="195" t="n">
        <x:f>INDEX(tblDateSummary[Service Date],MATCH(LARGE(tblDateSummary[Rank Key],O100),tblDateSummary[Rank Key],0))</x:f>
        <x:v>46190</x:v>
      </x:c>
      <x:c r="Q100" s="192" t="str">
        <x:f>INDEX(tblDateSummary[Weekday],MATCH(LARGE(tblDateSummary[Rank Key],O100),tblDateSummary[Rank Key],0))</x:f>
        <x:v>Wednesday</x:v>
      </x:c>
      <x:c r="R100" s="193" t="n">
        <x:f>INDEX(tblDateSummary[Revenue],MATCH(LARGE(tblDateSummary[Rank Key],O100),tblDateSummary[Rank Key],0))</x:f>
        <x:v>218</x:v>
      </x:c>
      <x:c r="S100" s="192" t="n">
        <x:f>INDEX(tblDateSummary[Events],MATCH(LARGE(tblDateSummary[Rank Key],O100),tblDateSummary[Rank Key],0))</x:f>
        <x:v>2</x:v>
      </x:c>
      <x:c r="T100" s="193" t="n">
        <x:f>INDEX(tblDateSummary[Avg/Event],MATCH(LARGE(tblDateSummary[Rank Key],O100),tblDateSummary[Rank Key],0))</x:f>
        <x:v>109</x:v>
      </x:c>
      <x:c r="V100" s="35" t="n">
        <x:v>46157</x:v>
      </x:c>
      <x:c r="W100" t="str">
        <x:v>Friday</x:v>
      </x:c>
      <x:c r="X100" t="n">
        <x:v>1</x:v>
      </x:c>
      <x:c r="Y100" t="n">
        <x:v>1</x:v>
      </x:c>
      <x:c r="Z100" s="24" t="n">
        <x:v>45</x:v>
      </x:c>
      <x:c r="AA100" s="24" t="n">
        <x:v>45</x:v>
      </x:c>
      <x:c r="AB100" t="n">
        <x:v>45.000046157</x:v>
      </x:c>
    </x:row>
    <x:row r="101">
      <x:c r="A101" s="192" t="n">
        <x:v>12</x:v>
      </x:c>
      <x:c r="B101" s="192" t="n">
        <x:f>INDEX(tblWeekSummary[Workweek],MATCH(LARGE(tblWeekSummary[Rank Key],A101),tblWeekSummary[Rank Key],0))</x:f>
        <x:v>3</x:v>
      </x:c>
      <x:c r="C101" s="193" t="n">
        <x:f>INDEX(tblWeekSummary[Revenue],MATCH(LARGE(tblWeekSummary[Rank Key],A101),tblWeekSummary[Rank Key],0))</x:f>
        <x:v>212.5</x:v>
      </x:c>
      <x:c r="D101" s="192" t="n">
        <x:f>INDEX(tblWeekSummary[Events],MATCH(LARGE(tblWeekSummary[Rank Key],A101),tblWeekSummary[Rank Key],0))</x:f>
        <x:v>1</x:v>
      </x:c>
      <x:c r="E101" s="192" t="n">
        <x:f>INDEX(tblWeekSummary[Worked Days],MATCH(LARGE(tblWeekSummary[Rank Key],A101),tblWeekSummary[Rank Key],0))</x:f>
        <x:v>1</x:v>
      </x:c>
      <x:c r="F101" s="193" t="n">
        <x:f>INDEX(tblWeekSummary[Avg/Event],MATCH(LARGE(tblWeekSummary[Rank Key],A101),tblWeekSummary[Rank Key],0))</x:f>
        <x:v>212.5</x:v>
      </x:c>
      <x:c r="O101" s="192" t="n">
        <x:v>12</x:v>
      </x:c>
      <x:c r="P101" s="195" t="n">
        <x:f>INDEX(tblDateSummary[Service Date],MATCH(LARGE(tblDateSummary[Rank Key],O101),tblDateSummary[Rank Key],0))</x:f>
        <x:v>46147</x:v>
      </x:c>
      <x:c r="Q101" s="192" t="str">
        <x:f>INDEX(tblDateSummary[Weekday],MATCH(LARGE(tblDateSummary[Rank Key],O101),tblDateSummary[Rank Key],0))</x:f>
        <x:v>Tuesday</x:v>
      </x:c>
      <x:c r="R101" s="193" t="n">
        <x:f>INDEX(tblDateSummary[Revenue],MATCH(LARGE(tblDateSummary[Rank Key],O101),tblDateSummary[Rank Key],0))</x:f>
        <x:v>212.5</x:v>
      </x:c>
      <x:c r="S101" s="192" t="n">
        <x:f>INDEX(tblDateSummary[Events],MATCH(LARGE(tblDateSummary[Rank Key],O101),tblDateSummary[Rank Key],0))</x:f>
        <x:v>1</x:v>
      </x:c>
      <x:c r="T101" s="193" t="n">
        <x:f>INDEX(tblDateSummary[Avg/Event],MATCH(LARGE(tblDateSummary[Rank Key],O101),tblDateSummary[Rank Key],0))</x:f>
        <x:v>212.5</x:v>
      </x:c>
      <x:c r="V101" s="35" t="n">
        <x:v>46161</x:v>
      </x:c>
      <x:c r="W101" t="str">
        <x:v>Tuesday</x:v>
      </x:c>
      <x:c r="X101" t="n">
        <x:v>1</x:v>
      </x:c>
      <x:c r="Y101" t="n">
        <x:v>1</x:v>
      </x:c>
      <x:c r="Z101" s="24" t="n">
        <x:v>50</x:v>
      </x:c>
      <x:c r="AA101" s="24" t="n">
        <x:v>50</x:v>
      </x:c>
      <x:c r="AB101" t="n">
        <x:v>50.000046161</x:v>
      </x:c>
    </x:row>
    <x:row r="102">
      <x:c r="V102" s="35" t="n">
        <x:v>46162</x:v>
      </x:c>
      <x:c r="W102" t="str">
        <x:v>Wednesday</x:v>
      </x:c>
      <x:c r="X102" t="n">
        <x:v>1</x:v>
      </x:c>
      <x:c r="Y102" t="n">
        <x:v>1</x:v>
      </x:c>
      <x:c r="Z102" s="24" t="n">
        <x:v>106.67</x:v>
      </x:c>
      <x:c r="AA102" s="24" t="n">
        <x:v>106.67</x:v>
      </x:c>
      <x:c r="AB102" t="n">
        <x:v>106.670046162</x:v>
      </x:c>
    </x:row>
    <x:row r="103">
      <x:c r="V103" s="35" t="n">
        <x:v>46163</x:v>
      </x:c>
      <x:c r="W103" t="str">
        <x:v>Thursday</x:v>
      </x:c>
      <x:c r="X103" t="n">
        <x:v>2</x:v>
      </x:c>
      <x:c r="Y103" t="n">
        <x:v>2</x:v>
      </x:c>
      <x:c r="Z103" s="24" t="n">
        <x:v>265.83</x:v>
      </x:c>
      <x:c r="AA103" s="24" t="n">
        <x:v>132.91500000000002</x:v>
      </x:c>
      <x:c r="AB103" t="n">
        <x:v>265.830046163</x:v>
      </x:c>
    </x:row>
    <x:row r="104">
      <x:c r="V104" s="35" t="n">
        <x:v>46168</x:v>
      </x:c>
      <x:c r="W104" t="str">
        <x:v>Tuesday</x:v>
      </x:c>
      <x:c r="X104" t="n">
        <x:v>2</x:v>
      </x:c>
      <x:c r="Y104" t="n">
        <x:v>2</x:v>
      </x:c>
      <x:c r="Z104" s="24" t="n">
        <x:v>147.91</x:v>
      </x:c>
      <x:c r="AA104" s="24" t="n">
        <x:v>73.955</x:v>
      </x:c>
      <x:c r="AB104" t="n">
        <x:v>147.910046168</x:v>
      </x:c>
    </x:row>
    <x:row r="105">
      <x:c r="A105" s="319" t="str">
        <x:v>Phase 3E Chart Gallery</x:v>
      </x:c>
      <x:c r="B105" s="319"/>
      <x:c r="C105" s="319"/>
      <x:c r="D105" s="319"/>
      <x:c r="E105" s="319"/>
      <x:c r="F105" s="319"/>
      <x:c r="G105" s="319"/>
      <x:c r="H105" s="319"/>
      <x:c r="I105" s="319"/>
      <x:c r="J105" s="319"/>
      <x:c r="K105" s="319"/>
      <x:c r="L105" s="319"/>
      <x:c r="M105" s="319"/>
      <x:c r="N105" s="319"/>
      <x:c r="O105" s="319"/>
      <x:c r="P105" s="319"/>
      <x:c r="Q105" s="319"/>
      <x:c r="R105" s="319"/>
      <x:c r="S105" s="319"/>
      <x:c r="T105" s="319"/>
      <x:c r="V105" s="35" t="n">
        <x:v>46169</x:v>
      </x:c>
      <x:c r="W105" t="str">
        <x:v>Wednesday</x:v>
      </x:c>
      <x:c r="X105" t="n">
        <x:v>2</x:v>
      </x:c>
      <x:c r="Y105" t="n">
        <x:v>1</x:v>
      </x:c>
      <x:c r="Z105" s="24" t="n">
        <x:v>200</x:v>
      </x:c>
      <x:c r="AA105" s="24" t="n">
        <x:v>200</x:v>
      </x:c>
      <x:c r="AB105" t="n">
        <x:v>200.000046169</x:v>
      </x:c>
    </x:row>
    <x:row r="106">
      <x:c r="V106" s="35" t="n">
        <x:v>46170</x:v>
      </x:c>
      <x:c r="W106" t="str">
        <x:v>Thursday</x:v>
      </x:c>
      <x:c r="X106" t="n">
        <x:v>2</x:v>
      </x:c>
      <x:c r="Y106" t="n">
        <x:v>1</x:v>
      </x:c>
      <x:c r="Z106" s="24" t="n">
        <x:v>175</x:v>
      </x:c>
      <x:c r="AA106" s="24" t="n">
        <x:v>175</x:v>
      </x:c>
      <x:c r="AB106" t="n">
        <x:v>175.00004617</x:v>
      </x:c>
    </x:row>
    <x:row r="107">
      <x:c r="V107" s="35" t="n">
        <x:v>46174</x:v>
      </x:c>
      <x:c r="W107" t="str">
        <x:v>Monday</x:v>
      </x:c>
      <x:c r="X107" t="n">
        <x:v>1</x:v>
      </x:c>
      <x:c r="Y107" t="n">
        <x:v>1</x:v>
      </x:c>
      <x:c r="Z107" s="24" t="n">
        <x:v>320</x:v>
      </x:c>
      <x:c r="AA107" s="24" t="n">
        <x:v>320</x:v>
      </x:c>
      <x:c r="AB107" t="n">
        <x:v>320.000046174</x:v>
      </x:c>
    </x:row>
    <x:row r="108">
      <x:c r="V108" s="35" t="n">
        <x:v>46175</x:v>
      </x:c>
      <x:c r="W108" t="str">
        <x:v>Tuesday</x:v>
      </x:c>
      <x:c r="X108" t="n">
        <x:v>1</x:v>
      </x:c>
      <x:c r="Y108" t="n">
        <x:v>1</x:v>
      </x:c>
      <x:c r="Z108" s="24" t="n">
        <x:v>320</x:v>
      </x:c>
      <x:c r="AA108" s="24" t="n">
        <x:v>320</x:v>
      </x:c>
      <x:c r="AB108" t="n">
        <x:v>320.000046175</x:v>
      </x:c>
    </x:row>
    <x:row r="109">
      <x:c r="V109" s="35" t="n">
        <x:v>46176</x:v>
      </x:c>
      <x:c r="W109" t="str">
        <x:v>Wednesday</x:v>
      </x:c>
      <x:c r="X109" t="n">
        <x:v>2</x:v>
      </x:c>
      <x:c r="Y109" t="n">
        <x:v>2</x:v>
      </x:c>
      <x:c r="Z109" s="24" t="n">
        <x:v>296.66</x:v>
      </x:c>
      <x:c r="AA109" s="24" t="n">
        <x:v>148.32999999999998</x:v>
      </x:c>
      <x:c r="AB109" t="n">
        <x:v>296.660046176</x:v>
      </x:c>
    </x:row>
    <x:row r="110">
      <x:c r="V110" s="35" t="n">
        <x:v>46177</x:v>
      </x:c>
      <x:c r="W110" t="str">
        <x:v>Thursday</x:v>
      </x:c>
      <x:c r="X110" t="n">
        <x:v>1</x:v>
      </x:c>
      <x:c r="Y110" t="n">
        <x:v>1</x:v>
      </x:c>
      <x:c r="Z110" s="24" t="n">
        <x:v>140</x:v>
      </x:c>
      <x:c r="AA110" s="24" t="n">
        <x:v>140</x:v>
      </x:c>
      <x:c r="AB110" t="n">
        <x:v>140.000046177</x:v>
      </x:c>
    </x:row>
    <x:row r="111">
      <x:c r="V111" s="35" t="n">
        <x:v>46178</x:v>
      </x:c>
      <x:c r="W111" t="str">
        <x:v>Friday</x:v>
      </x:c>
      <x:c r="X111" t="n">
        <x:v>3</x:v>
      </x:c>
      <x:c r="Y111" t="n">
        <x:v>3</x:v>
      </x:c>
      <x:c r="Z111" s="24" t="n">
        <x:v>145</x:v>
      </x:c>
      <x:c r="AA111" s="24" t="n">
        <x:v>48.333333333333336</x:v>
      </x:c>
      <x:c r="AB111" t="n">
        <x:v>145.000046178</x:v>
      </x:c>
    </x:row>
    <x:row r="112">
      <x:c r="V112" s="35" t="n">
        <x:v>46181</x:v>
      </x:c>
      <x:c r="W112" t="str">
        <x:v>Monday</x:v>
      </x:c>
      <x:c r="X112" t="n">
        <x:v>1</x:v>
      </x:c>
      <x:c r="Y112" t="n">
        <x:v>1</x:v>
      </x:c>
      <x:c r="Z112" s="24" t="n">
        <x:v>70</x:v>
      </x:c>
      <x:c r="AA112" s="24" t="n">
        <x:v>70</x:v>
      </x:c>
      <x:c r="AB112" t="n">
        <x:v>70.000046181</x:v>
      </x:c>
    </x:row>
    <x:row r="113">
      <x:c r="V113" s="35" t="n">
        <x:v>46182</x:v>
      </x:c>
      <x:c r="W113" t="str">
        <x:v>Tuesday</x:v>
      </x:c>
      <x:c r="X113" t="n">
        <x:v>2</x:v>
      </x:c>
      <x:c r="Y113" t="n">
        <x:v>2</x:v>
      </x:c>
      <x:c r="Z113" s="24" t="n">
        <x:v>155</x:v>
      </x:c>
      <x:c r="AA113" s="24" t="n">
        <x:v>77.5</x:v>
      </x:c>
      <x:c r="AB113" t="n">
        <x:v>155.000046182</x:v>
      </x:c>
    </x:row>
    <x:row r="114">
      <x:c r="V114" s="35" t="n">
        <x:v>46183</x:v>
      </x:c>
      <x:c r="W114" t="str">
        <x:v>Wednesday</x:v>
      </x:c>
      <x:c r="X114" t="n">
        <x:v>3</x:v>
      </x:c>
      <x:c r="Y114" t="n">
        <x:v>3</x:v>
      </x:c>
      <x:c r="Z114" s="24" t="n">
        <x:v>390</x:v>
      </x:c>
      <x:c r="AA114" s="24" t="n">
        <x:v>130</x:v>
      </x:c>
      <x:c r="AB114" t="n">
        <x:v>390.000046183</x:v>
      </x:c>
    </x:row>
    <x:row r="115">
      <x:c r="V115" s="35" t="n">
        <x:v>46184</x:v>
      </x:c>
      <x:c r="W115" t="str">
        <x:v>Thursday</x:v>
      </x:c>
      <x:c r="X115" t="n">
        <x:v>2</x:v>
      </x:c>
      <x:c r="Y115" t="n">
        <x:v>2</x:v>
      </x:c>
      <x:c r="Z115" s="24" t="n">
        <x:v>95</x:v>
      </x:c>
      <x:c r="AA115" s="24" t="n">
        <x:v>47.5</x:v>
      </x:c>
      <x:c r="AB115" t="n">
        <x:v>95.000046184</x:v>
      </x:c>
    </x:row>
    <x:row r="116">
      <x:c r="V116" s="35" t="n">
        <x:v>46185</x:v>
      </x:c>
      <x:c r="W116" t="str">
        <x:v>Friday</x:v>
      </x:c>
      <x:c r="X116" t="n">
        <x:v>1</x:v>
      </x:c>
      <x:c r="Y116" t="n">
        <x:v>1</x:v>
      </x:c>
      <x:c r="Z116" s="24" t="n">
        <x:v>50</x:v>
      </x:c>
      <x:c r="AA116" s="24" t="n">
        <x:v>50</x:v>
      </x:c>
      <x:c r="AB116" t="n">
        <x:v>50.000046185</x:v>
      </x:c>
    </x:row>
    <x:row r="117">
      <x:c r="V117" s="35" t="n">
        <x:v>46188</x:v>
      </x:c>
      <x:c r="W117" t="str">
        <x:v>Monday</x:v>
      </x:c>
      <x:c r="X117" t="n">
        <x:v>1</x:v>
      </x:c>
      <x:c r="Y117" t="n">
        <x:v>1</x:v>
      </x:c>
      <x:c r="Z117" s="24" t="n">
        <x:v>123.75</x:v>
      </x:c>
      <x:c r="AA117" s="24" t="n">
        <x:v>123.75</x:v>
      </x:c>
      <x:c r="AB117" t="n">
        <x:v>123.750046188</x:v>
      </x:c>
    </x:row>
    <x:row r="118">
      <x:c r="V118" s="35" t="n">
        <x:v>46190</x:v>
      </x:c>
      <x:c r="W118" t="str">
        <x:v>Wednesday</x:v>
      </x:c>
      <x:c r="X118" t="n">
        <x:v>2</x:v>
      </x:c>
      <x:c r="Y118" t="n">
        <x:v>2</x:v>
      </x:c>
      <x:c r="Z118" s="24" t="n">
        <x:v>218</x:v>
      </x:c>
      <x:c r="AA118" s="24" t="n">
        <x:v>109</x:v>
      </x:c>
      <x:c r="AB118" t="n">
        <x:v>218.00004619</x:v>
      </x:c>
    </x:row>
    <x:row r="119">
      <x:c r="V119" s="35" t="n">
        <x:v>46191</x:v>
      </x:c>
      <x:c r="W119" t="str">
        <x:v>Thursday</x:v>
      </x:c>
      <x:c r="X119" t="n">
        <x:v>2</x:v>
      </x:c>
      <x:c r="Y119" t="n">
        <x:v>2</x:v>
      </x:c>
      <x:c r="Z119" s="24" t="n">
        <x:v>200</x:v>
      </x:c>
      <x:c r="AA119" s="24" t="n">
        <x:v>100</x:v>
      </x:c>
      <x:c r="AB119" t="n">
        <x:v>200.000046191</x:v>
      </x:c>
    </x:row>
    <x:row r="120">
      <x:c r="V120" s="35" t="n">
        <x:v>46192</x:v>
      </x:c>
      <x:c r="W120" t="str">
        <x:v>Friday</x:v>
      </x:c>
      <x:c r="X120" t="n">
        <x:v>2</x:v>
      </x:c>
      <x:c r="Y120" t="n">
        <x:v>2</x:v>
      </x:c>
      <x:c r="Z120" s="24" t="n">
        <x:v>140</x:v>
      </x:c>
      <x:c r="AA120" s="24" t="n">
        <x:v>70</x:v>
      </x:c>
      <x:c r="AB120" t="n">
        <x:v>140.000046192</x:v>
      </x:c>
    </x:row>
    <x:row r="121">
      <x:c r="V121" s="35" t="n">
        <x:v>46195</x:v>
      </x:c>
      <x:c r="W121" t="str">
        <x:v>Monday</x:v>
      </x:c>
      <x:c r="X121" t="n">
        <x:v>1</x:v>
      </x:c>
      <x:c r="Y121" t="n">
        <x:v>1</x:v>
      </x:c>
      <x:c r="Z121" s="24" t="n">
        <x:v>60</x:v>
      </x:c>
      <x:c r="AA121" s="24" t="n">
        <x:v>60</x:v>
      </x:c>
      <x:c r="AB121" t="n">
        <x:v>60.000046195</x:v>
      </x:c>
    </x:row>
    <x:row r="122">
      <x:c r="V122" s="35" t="n">
        <x:v>46196</x:v>
      </x:c>
      <x:c r="W122" t="str">
        <x:v>Tuesday</x:v>
      </x:c>
      <x:c r="X122" t="n">
        <x:v>1</x:v>
      </x:c>
      <x:c r="Y122" t="n">
        <x:v>1</x:v>
      </x:c>
      <x:c r="Z122" s="24" t="n">
        <x:v>116.24</x:v>
      </x:c>
      <x:c r="AA122" s="24" t="n">
        <x:v>116.24</x:v>
      </x:c>
      <x:c r="AB122" t="n">
        <x:v>116.240046196</x:v>
      </x:c>
    </x:row>
    <x:row r="123">
      <x:c r="V123" s="35" t="n">
        <x:v>46197</x:v>
      </x:c>
      <x:c r="W123" t="str">
        <x:v>Wednesday</x:v>
      </x:c>
      <x:c r="X123" t="n">
        <x:v>1</x:v>
      </x:c>
      <x:c r="Y123" t="n">
        <x:v>1</x:v>
      </x:c>
      <x:c r="Z123" s="24" t="n">
        <x:v>132.03</x:v>
      </x:c>
      <x:c r="AA123" s="24" t="n">
        <x:v>132.03</x:v>
      </x:c>
      <x:c r="AB123" t="n">
        <x:v>132.030046197</x:v>
      </x:c>
    </x:row>
    <x:row r="124">
      <x:c r="V124" s="35" t="n">
        <x:v>46203</x:v>
      </x:c>
      <x:c r="W124" t="str">
        <x:v>Tuesday</x:v>
      </x:c>
      <x:c r="X124" t="n">
        <x:v>1</x:v>
      </x:c>
      <x:c r="Y124" t="n">
        <x:v>1</x:v>
      </x:c>
      <x:c r="Z124" s="24" t="n">
        <x:v>120</x:v>
      </x:c>
      <x:c r="AA124" s="24" t="n">
        <x:v>120</x:v>
      </x:c>
      <x:c r="AB124" t="n">
        <x:v>120.000046203</x:v>
      </x:c>
    </x:row>
    <x:row r="125">
      <x:c r="V125" s="35" t="n">
        <x:v>46204</x:v>
      </x:c>
      <x:c r="W125" t="str">
        <x:v>Wednesday</x:v>
      </x:c>
      <x:c r="X125" t="n">
        <x:v>1</x:v>
      </x:c>
      <x:c r="Y125" t="n">
        <x:v>1</x:v>
      </x:c>
      <x:c r="Z125" s="24" t="n">
        <x:v>120</x:v>
      </x:c>
      <x:c r="AA125" s="24" t="n">
        <x:v>120</x:v>
      </x:c>
      <x:c r="AB125" t="n">
        <x:v>120.000046204</x:v>
      </x:c>
    </x:row>
    <x:row r="126">
      <x:c r="V126" s="35" t="n">
        <x:v>46205</x:v>
      </x:c>
      <x:c r="W126" t="str">
        <x:v>Thursday</x:v>
      </x:c>
      <x:c r="X126" t="n">
        <x:v>1</x:v>
      </x:c>
      <x:c r="Y126" t="n">
        <x:v>1</x:v>
      </x:c>
      <x:c r="Z126" s="24" t="n">
        <x:v>170.66</x:v>
      </x:c>
      <x:c r="AA126" s="24" t="n">
        <x:v>170.66</x:v>
      </x:c>
      <x:c r="AB126" t="n">
        <x:v>170.660046205</x:v>
      </x:c>
    </x:row>
    <x:row r="127">
      <x:c r="V127" s="35" t="n">
        <x:v>46209</x:v>
      </x:c>
      <x:c r="W127" t="str">
        <x:v>Monday</x:v>
      </x:c>
      <x:c r="X127" t="n">
        <x:v>2</x:v>
      </x:c>
      <x:c r="Y127" t="n">
        <x:v>2</x:v>
      </x:c>
      <x:c r="Z127" s="24" t="n">
        <x:v>269.24</x:v>
      </x:c>
      <x:c r="AA127" s="24" t="n">
        <x:v>134.62</x:v>
      </x:c>
      <x:c r="AB127" t="n">
        <x:v>269.240046209</x:v>
      </x:c>
    </x:row>
    <x:row r="128">
      <x:c r="V128" s="35" t="n">
        <x:v>46210</x:v>
      </x:c>
      <x:c r="W128" t="str">
        <x:v>Tuesday</x:v>
      </x:c>
      <x:c r="X128" t="n">
        <x:v>1</x:v>
      </x:c>
      <x:c r="Y128" t="n">
        <x:v>1</x:v>
      </x:c>
      <x:c r="Z128" s="24" t="n">
        <x:v>250</x:v>
      </x:c>
      <x:c r="AA128" s="24" t="n">
        <x:v>250</x:v>
      </x:c>
      <x:c r="AB128" t="n">
        <x:v>250.00004621</x:v>
      </x:c>
    </x:row>
    <x:row r="129">
      <x:c r="V129" s="35" t="n">
        <x:v>46211</x:v>
      </x:c>
      <x:c r="W129" t="str">
        <x:v>Wednesday</x:v>
      </x:c>
      <x:c r="X129" t="n">
        <x:v>1</x:v>
      </x:c>
      <x:c r="Y129" t="n">
        <x:v>0</x:v>
      </x:c>
      <x:c r="Z129" t="n">
        <x:v>0</x:v>
      </x:c>
      <x:c r="AA129" t="n">
        <x:v>0</x:v>
      </x:c>
      <x:c r="AB129" t="n">
        <x:v>0.000046211</x:v>
      </x:c>
    </x:row>
    <x:row r="130">
      <x:c r="V130" s="35" t="n">
        <x:v>46212</x:v>
      </x:c>
      <x:c r="W130" t="str">
        <x:v>Thursday</x:v>
      </x:c>
      <x:c r="X130" t="n">
        <x:v>2</x:v>
      </x:c>
      <x:c r="Y130" t="n">
        <x:v>2</x:v>
      </x:c>
      <x:c r="Z130" t="n">
        <x:v>295.82</x:v>
      </x:c>
      <x:c r="AA130" t="n">
        <x:v>147.91</x:v>
      </x:c>
      <x:c r="AB130" t="n">
        <x:v>295.820046212</x:v>
      </x:c>
    </x:row>
    <x:row r="131">
      <x:c r="V131" s="484" t="n">
        <x:v>46216</x:v>
      </x:c>
      <x:c r="W131" s="231" t="str">
        <x:v>Monday</x:v>
      </x:c>
      <x:c r="X131" s="231" t="n">
        <x:v>3</x:v>
      </x:c>
      <x:c r="Y131" s="231" t="n">
        <x:v>0</x:v>
      </x:c>
      <x:c r="Z131" s="231" t="n">
        <x:v>0</x:v>
      </x:c>
      <x:c r="AA131" s="231" t="n">
        <x:v>0</x:v>
      </x:c>
      <x:c r="AB131" s="231" t="n">
        <x:v>0.000046216</x:v>
      </x:c>
      <x:c r="AC131" s="231"/>
      <x:c r="AD131" s="231"/>
    </x:row>
    <x:row r="132">
      <x:c r="V132" s="35" t="n">
        <x:v>46217</x:v>
      </x:c>
      <x:c r="W132" s="35" t="str">
        <x:v>Tuesday</x:v>
      </x:c>
      <x:c r="X132" t="n">
        <x:v>2</x:v>
      </x:c>
      <x:c r="Y132" t="n">
        <x:v>1</x:v>
      </x:c>
      <x:c r="Z132" t="n">
        <x:v>183.74</x:v>
      </x:c>
      <x:c r="AA132" s="24" t="n">
        <x:v>183.74</x:v>
      </x:c>
      <x:c r="AB132" t="n">
        <x:v>183.740046217</x:v>
      </x:c>
      <x:c r="AC132"/>
      <x:c r="AD132"/>
    </x:row>
    <x:row r="133">
      <x:c r="V133"/>
      <x:c r="W133" s="35"/>
      <x:c r="X133"/>
      <x:c r="Y133"/>
      <x:c r="Z133"/>
      <x:c r="AA133" s="24"/>
      <x:c r="AB133"/>
      <x:c r="AC133"/>
      <x:c r="AD133"/>
    </x:row>
    <x:row r="134">
      <x:c r="V134" t="str">
        <x:v>Event #</x:v>
      </x:c>
      <x:c r="W134" s="35" t="str">
        <x:v>Date</x:v>
      </x:c>
      <x:c r="X134" t="str">
        <x:v>Client</x:v>
      </x:c>
      <x:c r="Y134" t="str">
        <x:v>City</x:v>
      </x:c>
      <x:c r="Z134" t="str">
        <x:v>Jurisdiction</x:v>
      </x:c>
      <x:c r="AA134" s="24" t="str">
        <x:v>Revenue</x:v>
      </x:c>
      <x:c r="AB134" t="str">
        <x:v>Eligibility</x:v>
      </x:c>
      <x:c r="AC134" t="str">
        <x:v>Work Orders</x:v>
      </x:c>
      <x:c r="AD134" t="str">
        <x:v>Rank Key</x:v>
      </x:c>
    </x:row>
    <x:row r="135">
      <x:c r="V135" t="n">
        <x:v>1</x:v>
      </x:c>
      <x:c r="W135" s="35" t="n">
        <x:v>46132</x:v>
      </x:c>
      <x:c r="X135" t="str">
        <x:v>Macy's</x:v>
      </x:c>
      <x:c r="Y135" t="str">
        <x:v>Fairfax</x:v>
      </x:c>
      <x:c r="Z135" t="str">
        <x:v>VA</x:v>
      </x:c>
      <x:c r="AA135" s="24" t="n">
        <x:v>90</x:v>
      </x:c>
      <x:c r="AB135" t="str">
        <x:v>Eligible</x:v>
      </x:c>
      <x:c r="AC135" t="str">
        <x:v>5847113</x:v>
      </x:c>
      <x:c r="AD135" t="n">
        <x:v>90.000001</x:v>
      </x:c>
    </x:row>
    <x:row r="136">
      <x:c r="V136" t="n">
        <x:v>2</x:v>
      </x:c>
      <x:c r="W136" s="35" t="n">
        <x:v>46133</x:v>
      </x:c>
      <x:c r="X136" t="str">
        <x:v>Bloomingdale's</x:v>
      </x:c>
      <x:c r="Y136" t="str">
        <x:v>Tysons</x:v>
      </x:c>
      <x:c r="Z136" t="str">
        <x:v>VA</x:v>
      </x:c>
      <x:c r="AA136" s="24" t="n">
        <x:v>344</x:v>
      </x:c>
      <x:c r="AB136" t="str">
        <x:v>Eligible</x:v>
      </x:c>
      <x:c r="AC136" t="str">
        <x:v>5860365</x:v>
      </x:c>
      <x:c r="AD136" t="n">
        <x:v>344.000002</x:v>
      </x:c>
    </x:row>
    <x:row r="137">
      <x:c r="V137" t="n">
        <x:v>3</x:v>
      </x:c>
      <x:c r="W137" s="35" t="n">
        <x:v>46134</x:v>
      </x:c>
      <x:c r="X137" t="str">
        <x:v>Bloomingdale's</x:v>
      </x:c>
      <x:c r="Y137" t="str">
        <x:v>Tysons</x:v>
      </x:c>
      <x:c r="Z137" t="str">
        <x:v>VA</x:v>
      </x:c>
      <x:c r="AA137" s="24" t="n">
        <x:v>344</x:v>
      </x:c>
      <x:c r="AB137" t="str">
        <x:v>Eligible</x:v>
      </x:c>
      <x:c r="AC137" t="str">
        <x:v>5860393</x:v>
      </x:c>
      <x:c r="AD137" t="n">
        <x:v>344.000003</x:v>
      </x:c>
    </x:row>
    <x:row r="138">
      <x:c r="V138" t="n">
        <x:v>4</x:v>
      </x:c>
      <x:c r="W138" s="35" t="n">
        <x:v>46135</x:v>
      </x:c>
      <x:c r="X138" t="str">
        <x:v>Macy's</x:v>
      </x:c>
      <x:c r="Y138" t="str">
        <x:v>Frederick</x:v>
      </x:c>
      <x:c r="Z138" t="str">
        <x:v>MD</x:v>
      </x:c>
      <x:c r="AA138" s="24" t="n">
        <x:v>180</x:v>
      </x:c>
      <x:c r="AB138" t="str">
        <x:v>Eligible</x:v>
      </x:c>
      <x:c r="AC138" t="str">
        <x:v>5874484</x:v>
      </x:c>
      <x:c r="AD138" t="n">
        <x:v>180.000004</x:v>
      </x:c>
    </x:row>
    <x:row r="139">
      <x:c r="V139" t="n">
        <x:v>5</x:v>
      </x:c>
      <x:c r="W139" s="35" t="n">
        <x:v>46136</x:v>
      </x:c>
      <x:c r="X139" t="str">
        <x:v>Hampton Inn &amp; Suites</x:v>
      </x:c>
      <x:c r="Y139" t="str">
        <x:v>Washington</x:v>
      </x:c>
      <x:c r="Z139" t="str">
        <x:v>DC</x:v>
      </x:c>
      <x:c r="AA139" s="24" t="n">
        <x:v>50</x:v>
      </x:c>
      <x:c r="AB139" t="str">
        <x:v>Eligible</x:v>
      </x:c>
      <x:c r="AC139" t="str">
        <x:v>5876589</x:v>
      </x:c>
      <x:c r="AD139" t="n">
        <x:v>50.000005</x:v>
      </x:c>
    </x:row>
    <x:row r="140">
      <x:c r="V140" t="n">
        <x:v>6</x:v>
      </x:c>
      <x:c r="W140" s="35" t="n">
        <x:v>46139</x:v>
      </x:c>
      <x:c r="X140" t="str">
        <x:v>Macy's</x:v>
      </x:c>
      <x:c r="Y140" t="str">
        <x:v>Frederick</x:v>
      </x:c>
      <x:c r="Z140" t="str">
        <x:v>MD</x:v>
      </x:c>
      <x:c r="AA140" s="24" t="n">
        <x:v>180</x:v>
      </x:c>
      <x:c r="AB140" t="str">
        <x:v>Eligible</x:v>
      </x:c>
      <x:c r="AC140" t="str">
        <x:v>5874982</x:v>
      </x:c>
      <x:c r="AD140" t="n">
        <x:v>180.000006</x:v>
      </x:c>
    </x:row>
    <x:row r="141">
      <x:c r="V141" t="n">
        <x:v>7</x:v>
      </x:c>
      <x:c r="W141" s="35" t="n">
        <x:v>46141</x:v>
      </x:c>
      <x:c r="X141" t="str">
        <x:v>Davis Polk &amp; Wardwell</x:v>
      </x:c>
      <x:c r="Y141" t="str">
        <x:v>Washington</x:v>
      </x:c>
      <x:c r="Z141" t="str">
        <x:v>DC</x:v>
      </x:c>
      <x:c r="AA141" s="24" t="n">
        <x:v>50</x:v>
      </x:c>
      <x:c r="AB141" t="str">
        <x:v>Eligible</x:v>
      </x:c>
      <x:c r="AC141" t="str">
        <x:v>5876638</x:v>
      </x:c>
      <x:c r="AD141" t="n">
        <x:v>50.000007</x:v>
      </x:c>
    </x:row>
    <x:row r="142">
      <x:c r="V142" t="n">
        <x:v>8</x:v>
      </x:c>
      <x:c r="W142" s="35" t="n">
        <x:v>46141</x:v>
      </x:c>
      <x:c r="X142" t="str">
        <x:v>Hebrew Home of Greater Washington</x:v>
      </x:c>
      <x:c r="Y142" t="str">
        <x:v>North Bethesda</x:v>
      </x:c>
      <x:c r="Z142" t="str">
        <x:v>MD</x:v>
      </x:c>
      <x:c r="AA142" s="24" t="n">
        <x:v>45</x:v>
      </x:c>
      <x:c r="AB142" t="str">
        <x:v>Eligible</x:v>
      </x:c>
      <x:c r="AC142" t="str">
        <x:v>5878985</x:v>
      </x:c>
      <x:c r="AD142" t="n">
        <x:v>45.000008</x:v>
      </x:c>
    </x:row>
    <x:row r="143">
      <x:c r="V143" t="n">
        <x:v>9</x:v>
      </x:c>
      <x:c r="W143" s="35" t="n">
        <x:v>46142</x:v>
      </x:c>
      <x:c r="X143" t="str">
        <x:v>7-Eleven</x:v>
      </x:c>
      <x:c r="Y143" t="str">
        <x:v>Baltimore</x:v>
      </x:c>
      <x:c r="Z143" t="str">
        <x:v>MD</x:v>
      </x:c>
      <x:c r="AA143" s="24"/>
      <x:c r="AB143" t="str">
        <x:v>Excluded</x:v>
      </x:c>
      <x:c r="AC143" t="str">
        <x:v>UNRESOLVED-E009</x:v>
      </x:c>
      <x:c r="AD143" t="n">
        <x:v>0.000009</x:v>
      </x:c>
    </x:row>
    <x:row r="144">
      <x:c r="V144" t="n">
        <x:v>10</x:v>
      </x:c>
      <x:c r="W144" s="35" t="n">
        <x:v>46147</x:v>
      </x:c>
      <x:c r="X144" t="str">
        <x:v>Giant Food Stores</x:v>
      </x:c>
      <x:c r="Y144" t="str">
        <x:v>Hanover</x:v>
      </x:c>
      <x:c r="Z144" t="str">
        <x:v>PA</x:v>
      </x:c>
      <x:c r="AA144" s="24" t="n">
        <x:v>212.5</x:v>
      </x:c>
      <x:c r="AB144" t="str">
        <x:v>Eligible</x:v>
      </x:c>
      <x:c r="AC144" t="str">
        <x:v>5882097</x:v>
      </x:c>
      <x:c r="AD144" t="n">
        <x:v>212.50001</x:v>
      </x:c>
    </x:row>
    <x:row r="145">
      <x:c r="V145" t="n">
        <x:v>11</x:v>
      </x:c>
      <x:c r="W145" s="35" t="n">
        <x:v>46153</x:v>
      </x:c>
      <x:c r="X145" t="str">
        <x:v>Food Lion</x:v>
      </x:c>
      <x:c r="Y145" t="str">
        <x:v>Leesburg</x:v>
      </x:c>
      <x:c r="Z145" t="str">
        <x:v>VA</x:v>
      </x:c>
      <x:c r="AA145" s="24" t="n">
        <x:v>157.5</x:v>
      </x:c>
      <x:c r="AB145" t="str">
        <x:v>Eligible</x:v>
      </x:c>
      <x:c r="AC145" t="str">
        <x:v>5884987</x:v>
      </x:c>
      <x:c r="AD145" t="n">
        <x:v>157.500011</x:v>
      </x:c>
    </x:row>
    <x:row r="146">
      <x:c r="V146" t="n">
        <x:v>12</x:v>
      </x:c>
      <x:c r="W146" s="35" t="n">
        <x:v>46154</x:v>
      </x:c>
      <x:c r="X146" t="str">
        <x:v>Weis Markets</x:v>
      </x:c>
      <x:c r="Y146" t="str">
        <x:v>Chambersburg</x:v>
      </x:c>
      <x:c r="Z146" t="str">
        <x:v>PA</x:v>
      </x:c>
      <x:c r="AA146" s="24" t="n">
        <x:v>85</x:v>
      </x:c>
      <x:c r="AB146" t="str">
        <x:v>Eligible</x:v>
      </x:c>
      <x:c r="AC146" t="str">
        <x:v>5884369</x:v>
      </x:c>
      <x:c r="AD146" t="n">
        <x:v>85.000012</x:v>
      </x:c>
    </x:row>
    <x:row r="147">
      <x:c r="V147" t="n">
        <x:v>13</x:v>
      </x:c>
      <x:c r="W147" s="35" t="n">
        <x:v>46155</x:v>
      </x:c>
      <x:c r="X147" t="str">
        <x:v>Office of MD Senator Chris Van Hollen</x:v>
      </x:c>
      <x:c r="Y147" t="str">
        <x:v>Rockville</x:v>
      </x:c>
      <x:c r="Z147" t="str">
        <x:v>MD</x:v>
      </x:c>
      <x:c r="AA147" s="24" t="n">
        <x:v>50</x:v>
      </x:c>
      <x:c r="AB147" t="str">
        <x:v>Eligible</x:v>
      </x:c>
      <x:c r="AC147" t="str">
        <x:v>5885429</x:v>
      </x:c>
      <x:c r="AD147" t="n">
        <x:v>50.000013</x:v>
      </x:c>
    </x:row>
    <x:row r="148">
      <x:c r="V148" t="n">
        <x:v>14</x:v>
      </x:c>
      <x:c r="W148" s="35" t="n">
        <x:v>46155</x:v>
      </x:c>
      <x:c r="X148" t="str">
        <x:v>Residential – Annapolis Neck, MD</x:v>
      </x:c>
      <x:c r="Y148" t="str">
        <x:v>Annapolis Neck</x:v>
      </x:c>
      <x:c r="Z148" t="str">
        <x:v>MD</x:v>
      </x:c>
      <x:c r="AA148" s="24"/>
      <x:c r="AB148" t="str">
        <x:v>Excluded</x:v>
      </x:c>
      <x:c r="AC148" t="str">
        <x:v>UNRESOLVED-E014</x:v>
      </x:c>
      <x:c r="AD148" t="n">
        <x:v>0.000014</x:v>
      </x:c>
    </x:row>
    <x:row r="149">
      <x:c r="V149" t="n">
        <x:v>15</x:v>
      </x:c>
      <x:c r="W149" s="35" t="n">
        <x:v>46156</x:v>
      </x:c>
      <x:c r="X149" t="str">
        <x:v>Verizon</x:v>
      </x:c>
      <x:c r="Y149" t="str">
        <x:v>College Park</x:v>
      </x:c>
      <x:c r="Z149" t="str">
        <x:v>MD</x:v>
      </x:c>
      <x:c r="AA149" s="24" t="n">
        <x:v>75</x:v>
      </x:c>
      <x:c r="AB149" t="str">
        <x:v>Eligible</x:v>
      </x:c>
      <x:c r="AC149" t="str">
        <x:v>5886658</x:v>
      </x:c>
      <x:c r="AD149" t="n">
        <x:v>75.000015</x:v>
      </x:c>
    </x:row>
    <x:row r="150">
      <x:c r="V150" t="n">
        <x:v>16</x:v>
      </x:c>
      <x:c r="W150" s="35" t="n">
        <x:v>46157</x:v>
      </x:c>
      <x:c r="X150" t="str">
        <x:v>Atrium Village</x:v>
      </x:c>
      <x:c r="Y150" t="str">
        <x:v>Owings Mills</x:v>
      </x:c>
      <x:c r="Z150" t="str">
        <x:v>MD</x:v>
      </x:c>
      <x:c r="AA150" s="24" t="n">
        <x:v>45</x:v>
      </x:c>
      <x:c r="AB150" t="str">
        <x:v>Eligible</x:v>
      </x:c>
      <x:c r="AC150" t="str">
        <x:v>5887090</x:v>
      </x:c>
      <x:c r="AD150" t="n">
        <x:v>45.000016</x:v>
      </x:c>
    </x:row>
    <x:row r="151">
      <x:c r="V151" t="n">
        <x:v>17</x:v>
      </x:c>
      <x:c r="W151" s="35" t="n">
        <x:v>46161</x:v>
      </x:c>
      <x:c r="X151" t="str">
        <x:v>Maryland Baptist Age Home</x:v>
      </x:c>
      <x:c r="Y151" t="str">
        <x:v>Baltimore</x:v>
      </x:c>
      <x:c r="Z151" t="str">
        <x:v>MD</x:v>
      </x:c>
      <x:c r="AA151" s="24" t="n">
        <x:v>50</x:v>
      </x:c>
      <x:c r="AB151" t="str">
        <x:v>Eligible</x:v>
      </x:c>
      <x:c r="AC151" t="str">
        <x:v>5887094</x:v>
      </x:c>
      <x:c r="AD151" t="n">
        <x:v>50.000017</x:v>
      </x:c>
    </x:row>
    <x:row r="152">
      <x:c r="V152" t="n">
        <x:v>18</x:v>
      </x:c>
      <x:c r="W152" s="35" t="n">
        <x:v>46162</x:v>
      </x:c>
      <x:c r="X152" t="str">
        <x:v>Under Armour</x:v>
      </x:c>
      <x:c r="Y152" t="str">
        <x:v>Hanover</x:v>
      </x:c>
      <x:c r="Z152" t="str">
        <x:v>MD</x:v>
      </x:c>
      <x:c r="AA152" s="24" t="n">
        <x:v>106.67</x:v>
      </x:c>
      <x:c r="AB152" t="str">
        <x:v>Eligible</x:v>
      </x:c>
      <x:c r="AC152" t="str">
        <x:v>5889356</x:v>
      </x:c>
      <x:c r="AD152" t="n">
        <x:v>106.670018</x:v>
      </x:c>
    </x:row>
    <x:row r="153">
      <x:c r="V153" t="n">
        <x:v>19</x:v>
      </x:c>
      <x:c r="W153" s="35" t="n">
        <x:v>46163</x:v>
      </x:c>
      <x:c r="X153" t="str">
        <x:v>Under Armour</x:v>
      </x:c>
      <x:c r="Y153" t="str">
        <x:v>Hanover</x:v>
      </x:c>
      <x:c r="Z153" t="str">
        <x:v>MD</x:v>
      </x:c>
      <x:c r="AA153" s="24" t="n">
        <x:v>153.33</x:v>
      </x:c>
      <x:c r="AB153" t="str">
        <x:v>Eligible</x:v>
      </x:c>
      <x:c r="AC153" t="str">
        <x:v>5889356-D2</x:v>
      </x:c>
      <x:c r="AD153" t="n">
        <x:v>153.330019</x:v>
      </x:c>
    </x:row>
    <x:row r="154">
      <x:c r="V154" t="n">
        <x:v>20</x:v>
      </x:c>
      <x:c r="W154" s="35" t="n">
        <x:v>46163</x:v>
      </x:c>
      <x:c r="X154" t="str">
        <x:v>Giant Food Stores</x:v>
      </x:c>
      <x:c r="Y154" t="str">
        <x:v>Red Lion</x:v>
      </x:c>
      <x:c r="Z154" t="str">
        <x:v>PA</x:v>
      </x:c>
      <x:c r="AA154" s="24" t="n">
        <x:v>112.5</x:v>
      </x:c>
      <x:c r="AB154" t="str">
        <x:v>Eligible</x:v>
      </x:c>
      <x:c r="AC154" t="str">
        <x:v>5890220</x:v>
      </x:c>
      <x:c r="AD154" t="n">
        <x:v>112.50002</x:v>
      </x:c>
    </x:row>
    <x:row r="155">
      <x:c r="V155" t="n">
        <x:v>21</x:v>
      </x:c>
      <x:c r="W155" s="35" t="n">
        <x:v>46168</x:v>
      </x:c>
      <x:c r="X155" t="str">
        <x:v>Food Lion</x:v>
      </x:c>
      <x:c r="Y155" t="str">
        <x:v>Middle River</x:v>
      </x:c>
      <x:c r="Z155" t="str">
        <x:v>MD</x:v>
      </x:c>
      <x:c r="AA155" s="24" t="n">
        <x:v>97.91</x:v>
      </x:c>
      <x:c r="AB155" t="str">
        <x:v>Eligible</x:v>
      </x:c>
      <x:c r="AC155" t="str">
        <x:v>5892123</x:v>
      </x:c>
      <x:c r="AD155" t="n">
        <x:v>97.910021</x:v>
      </x:c>
    </x:row>
    <x:row r="156">
      <x:c r="V156" t="n">
        <x:v>22</x:v>
      </x:c>
      <x:c r="W156" s="35" t="n">
        <x:v>46168</x:v>
      </x:c>
      <x:c r="X156" t="str">
        <x:v>HomeGoods</x:v>
      </x:c>
      <x:c r="Y156" t="str">
        <x:v>Gaithersburg</x:v>
      </x:c>
      <x:c r="Z156" t="str">
        <x:v>MD</x:v>
      </x:c>
      <x:c r="AA156" s="24" t="n">
        <x:v>50</x:v>
      </x:c>
      <x:c r="AB156" t="str">
        <x:v>Eligible</x:v>
      </x:c>
      <x:c r="AC156" t="str">
        <x:v>5889718</x:v>
      </x:c>
      <x:c r="AD156" t="n">
        <x:v>50.000022</x:v>
      </x:c>
    </x:row>
    <x:row r="157">
      <x:c r="V157" t="n">
        <x:v>23</x:v>
      </x:c>
      <x:c r="W157" s="35" t="n">
        <x:v>46169</x:v>
      </x:c>
      <x:c r="X157" t="str">
        <x:v>Joint Base Andrews</x:v>
      </x:c>
      <x:c r="Y157" t="str">
        <x:v>Andrews AFB</x:v>
      </x:c>
      <x:c r="Z157" t="str">
        <x:v>MD</x:v>
      </x:c>
      <x:c r="AA157" s="24"/>
      <x:c r="AB157" t="str">
        <x:v>Excluded</x:v>
      </x:c>
      <x:c r="AC157" t="str">
        <x:v>UNRESOLVED-E023</x:v>
      </x:c>
      <x:c r="AD157" t="n">
        <x:v>0.000023</x:v>
      </x:c>
    </x:row>
    <x:row r="158">
      <x:c r="V158" t="n">
        <x:v>24</x:v>
      </x:c>
      <x:c r="W158" s="35" t="n">
        <x:v>46169</x:v>
      </x:c>
      <x:c r="X158" t="str">
        <x:v>USDA</x:v>
      </x:c>
      <x:c r="Y158" t="str">
        <x:v>Washington</x:v>
      </x:c>
      <x:c r="Z158" t="str">
        <x:v>DC</x:v>
      </x:c>
      <x:c r="AA158" s="24" t="n">
        <x:v>200</x:v>
      </x:c>
      <x:c r="AB158" t="str">
        <x:v>Eligible</x:v>
      </x:c>
      <x:c r="AC158" t="str">
        <x:v>USDA-SPECIAL-E024</x:v>
      </x:c>
      <x:c r="AD158" t="n">
        <x:v>200.000024</x:v>
      </x:c>
    </x:row>
    <x:row r="159">
      <x:c r="V159" t="n">
        <x:v>25</x:v>
      </x:c>
      <x:c r="W159" s="35" t="n">
        <x:v>46170</x:v>
      </x:c>
      <x:c r="X159" t="str">
        <x:v>PepsiCo</x:v>
      </x:c>
      <x:c r="Y159" t="str">
        <x:v>Cheverly</x:v>
      </x:c>
      <x:c r="Z159" t="str">
        <x:v>MD</x:v>
      </x:c>
      <x:c r="AA159" s="24"/>
      <x:c r="AB159" t="str">
        <x:v>Excluded</x:v>
      </x:c>
      <x:c r="AC159" t="str">
        <x:v>UNRESOLVED-E025</x:v>
      </x:c>
      <x:c r="AD159" t="n">
        <x:v>0.000025</x:v>
      </x:c>
    </x:row>
    <x:row r="160">
      <x:c r="V160" t="n">
        <x:v>26</x:v>
      </x:c>
      <x:c r="W160" s="35" t="n">
        <x:v>46170</x:v>
      </x:c>
      <x:c r="X160" t="str">
        <x:v>USDA</x:v>
      </x:c>
      <x:c r="Y160" t="str">
        <x:v>Washington</x:v>
      </x:c>
      <x:c r="Z160" t="str">
        <x:v>DC</x:v>
      </x:c>
      <x:c r="AA160" s="24" t="n">
        <x:v>175</x:v>
      </x:c>
      <x:c r="AB160" t="str">
        <x:v>Eligible</x:v>
      </x:c>
      <x:c r="AC160" t="str">
        <x:v>USDA-SPECIAL-E026</x:v>
      </x:c>
      <x:c r="AD160" t="n">
        <x:v>175.000026</x:v>
      </x:c>
    </x:row>
    <x:row r="161">
      <x:c r="V161" t="n">
        <x:v>27</x:v>
      </x:c>
      <x:c r="W161" s="35" t="n">
        <x:v>46174</x:v>
      </x:c>
      <x:c r="X161" t="str">
        <x:v>USDA</x:v>
      </x:c>
      <x:c r="Y161" t="str">
        <x:v>Washington</x:v>
      </x:c>
      <x:c r="Z161" t="str">
        <x:v>DC</x:v>
      </x:c>
      <x:c r="AA161" s="24" t="n">
        <x:v>320</x:v>
      </x:c>
      <x:c r="AB161" t="str">
        <x:v>Eligible</x:v>
      </x:c>
      <x:c r="AC161" t="str">
        <x:v>USDA-SPECIAL-E027</x:v>
      </x:c>
      <x:c r="AD161" t="n">
        <x:v>320.000027</x:v>
      </x:c>
    </x:row>
    <x:row r="162">
      <x:c r="V162" t="n">
        <x:v>28</x:v>
      </x:c>
      <x:c r="W162" s="35" t="n">
        <x:v>46175</x:v>
      </x:c>
      <x:c r="X162" t="str">
        <x:v>USDA</x:v>
      </x:c>
      <x:c r="Y162" t="str">
        <x:v>Washington</x:v>
      </x:c>
      <x:c r="Z162" t="str">
        <x:v>DC</x:v>
      </x:c>
      <x:c r="AA162" s="24" t="n">
        <x:v>320</x:v>
      </x:c>
      <x:c r="AB162" t="str">
        <x:v>Eligible</x:v>
      </x:c>
      <x:c r="AC162" t="str">
        <x:v>USDA-SPECIAL-E028</x:v>
      </x:c>
      <x:c r="AD162" t="n">
        <x:v>320.000028</x:v>
      </x:c>
    </x:row>
    <x:row r="163">
      <x:c r="V163" t="n">
        <x:v>29</x:v>
      </x:c>
      <x:c r="W163" s="35" t="n">
        <x:v>46176</x:v>
      </x:c>
      <x:c r="X163" t="str">
        <x:v>USDA</x:v>
      </x:c>
      <x:c r="Y163" t="str">
        <x:v>Washington</x:v>
      </x:c>
      <x:c r="Z163" t="str">
        <x:v>DC</x:v>
      </x:c>
      <x:c r="AA163" s="24" t="n">
        <x:v>200</x:v>
      </x:c>
      <x:c r="AB163" t="str">
        <x:v>Eligible</x:v>
      </x:c>
      <x:c r="AC163" t="str">
        <x:v>USDA-SPECIAL-E029</x:v>
      </x:c>
      <x:c r="AD163" t="n">
        <x:v>200.000029</x:v>
      </x:c>
    </x:row>
    <x:row r="164">
      <x:c r="V164" t="n">
        <x:v>30</x:v>
      </x:c>
      <x:c r="W164" s="35" t="n">
        <x:v>46176</x:v>
      </x:c>
      <x:c r="X164" t="str">
        <x:v>TJ Maxx</x:v>
      </x:c>
      <x:c r="Y164" t="str">
        <x:v>Rockville</x:v>
      </x:c>
      <x:c r="Z164" t="str">
        <x:v>MD</x:v>
      </x:c>
      <x:c r="AA164" s="24" t="n">
        <x:v>96.66</x:v>
      </x:c>
      <x:c r="AB164" t="str">
        <x:v>Eligible</x:v>
      </x:c>
      <x:c r="AC164" t="str">
        <x:v>5896733</x:v>
      </x:c>
      <x:c r="AD164" t="n">
        <x:v>96.66003</x:v>
      </x:c>
    </x:row>
    <x:row r="165">
      <x:c r="V165" t="n">
        <x:v>31</x:v>
      </x:c>
      <x:c r="W165" s="35" t="n">
        <x:v>46177</x:v>
      </x:c>
      <x:c r="X165" t="str">
        <x:v>USDA</x:v>
      </x:c>
      <x:c r="Y165" t="str">
        <x:v>Washington</x:v>
      </x:c>
      <x:c r="Z165" t="str">
        <x:v>DC</x:v>
      </x:c>
      <x:c r="AA165" s="24" t="n">
        <x:v>140</x:v>
      </x:c>
      <x:c r="AB165" t="str">
        <x:v>Eligible</x:v>
      </x:c>
      <x:c r="AC165" t="str">
        <x:v>USDA-SPECIAL-E031</x:v>
      </x:c>
      <x:c r="AD165" t="n">
        <x:v>140.000031</x:v>
      </x:c>
    </x:row>
    <x:row r="166">
      <x:c r="V166" t="n">
        <x:v>32</x:v>
      </x:c>
      <x:c r="W166" s="35" t="n">
        <x:v>46178</x:v>
      </x:c>
      <x:c r="X166" t="str">
        <x:v>Hilton Garden Inn</x:v>
      </x:c>
      <x:c r="Y166" t="str">
        <x:v>Fairfax</x:v>
      </x:c>
      <x:c r="Z166" t="str">
        <x:v>VA</x:v>
      </x:c>
      <x:c r="AA166" s="24" t="n">
        <x:v>25</x:v>
      </x:c>
      <x:c r="AB166" t="str">
        <x:v>Eligible</x:v>
      </x:c>
      <x:c r="AC166" t="str">
        <x:v>5898007</x:v>
      </x:c>
      <x:c r="AD166" t="n">
        <x:v>25.000032</x:v>
      </x:c>
    </x:row>
    <x:row r="167">
      <x:c r="V167" t="n">
        <x:v>33</x:v>
      </x:c>
      <x:c r="W167" s="35" t="n">
        <x:v>46178</x:v>
      </x:c>
      <x:c r="X167" t="str">
        <x:v>Hebrew Home of Greater Washington</x:v>
      </x:c>
      <x:c r="Y167" t="str">
        <x:v>North Bethesda</x:v>
      </x:c>
      <x:c r="Z167" t="str">
        <x:v>MD</x:v>
      </x:c>
      <x:c r="AA167" s="24" t="n">
        <x:v>50</x:v>
      </x:c>
      <x:c r="AB167" t="str">
        <x:v>Eligible</x:v>
      </x:c>
      <x:c r="AC167" t="str">
        <x:v>5896039</x:v>
      </x:c>
      <x:c r="AD167" t="n">
        <x:v>50.000033</x:v>
      </x:c>
    </x:row>
    <x:row r="168">
      <x:c r="V168" t="n">
        <x:v>34</x:v>
      </x:c>
      <x:c r="W168" s="35" t="n">
        <x:v>46178</x:v>
      </x:c>
      <x:c r="X168" t="str">
        <x:v>TJ Maxx</x:v>
      </x:c>
      <x:c r="Y168" t="str">
        <x:v>Annapolis</x:v>
      </x:c>
      <x:c r="Z168" t="str">
        <x:v>MD</x:v>
      </x:c>
      <x:c r="AA168" s="24" t="n">
        <x:v>70</x:v>
      </x:c>
      <x:c r="AB168" t="str">
        <x:v>Eligible</x:v>
      </x:c>
      <x:c r="AC168" t="str">
        <x:v>5898904</x:v>
      </x:c>
      <x:c r="AD168" t="n">
        <x:v>70.000034</x:v>
      </x:c>
    </x:row>
    <x:row r="169">
      <x:c r="V169" t="n">
        <x:v>35</x:v>
      </x:c>
      <x:c r="W169" s="35" t="n">
        <x:v>46181</x:v>
      </x:c>
      <x:c r="X169" t="str">
        <x:v>Marshalls</x:v>
      </x:c>
      <x:c r="Y169" t="str">
        <x:v>Dunkirk</x:v>
      </x:c>
      <x:c r="Z169" t="str">
        <x:v>MD</x:v>
      </x:c>
      <x:c r="AA169" s="24" t="n">
        <x:v>70</x:v>
      </x:c>
      <x:c r="AB169" t="str">
        <x:v>Eligible</x:v>
      </x:c>
      <x:c r="AC169" t="str">
        <x:v>5899056</x:v>
      </x:c>
      <x:c r="AD169" t="n">
        <x:v>70.000035</x:v>
      </x:c>
    </x:row>
    <x:row r="170">
      <x:c r="V170" t="n">
        <x:v>36</x:v>
      </x:c>
      <x:c r="W170" s="35" t="n">
        <x:v>46182</x:v>
      </x:c>
      <x:c r="X170" t="str">
        <x:v>Hampton Inn &amp; Suites</x:v>
      </x:c>
      <x:c r="Y170" t="str">
        <x:v>Edgewood</x:v>
      </x:c>
      <x:c r="Z170" t="str">
        <x:v>MD</x:v>
      </x:c>
      <x:c r="AA170" s="24" t="n">
        <x:v>65</x:v>
      </x:c>
      <x:c r="AB170" t="str">
        <x:v>Eligible</x:v>
      </x:c>
      <x:c r="AC170" t="str">
        <x:v>5899295</x:v>
      </x:c>
      <x:c r="AD170" t="n">
        <x:v>65.000036</x:v>
      </x:c>
    </x:row>
    <x:row r="171">
      <x:c r="V171" t="n">
        <x:v>37</x:v>
      </x:c>
      <x:c r="W171" s="35" t="n">
        <x:v>46182</x:v>
      </x:c>
      <x:c r="X171" t="str">
        <x:v>HomeGoods</x:v>
      </x:c>
      <x:c r="Y171" t="str">
        <x:v>Sterling</x:v>
      </x:c>
      <x:c r="Z171" t="str">
        <x:v>VA</x:v>
      </x:c>
      <x:c r="AA171" s="24" t="n">
        <x:v>90</x:v>
      </x:c>
      <x:c r="AB171" t="str">
        <x:v>Eligible</x:v>
      </x:c>
      <x:c r="AC171" t="str">
        <x:v>5899715</x:v>
      </x:c>
      <x:c r="AD171" t="n">
        <x:v>90.000037</x:v>
      </x:c>
    </x:row>
    <x:row r="172">
      <x:c r="V172" t="n">
        <x:v>38</x:v>
      </x:c>
      <x:c r="W172" s="35" t="n">
        <x:v>46183</x:v>
      </x:c>
      <x:c r="X172" t="str">
        <x:v>7-Eleven</x:v>
      </x:c>
      <x:c r="Y172" t="str">
        <x:v>Lanham</x:v>
      </x:c>
      <x:c r="Z172" t="str">
        <x:v>MD</x:v>
      </x:c>
      <x:c r="AA172" s="24" t="n">
        <x:v>240</x:v>
      </x:c>
      <x:c r="AB172" t="str">
        <x:v>Eligible</x:v>
      </x:c>
      <x:c r="AC172" t="str">
        <x:v>5900102</x:v>
      </x:c>
      <x:c r="AD172" t="n">
        <x:v>240.000038</x:v>
      </x:c>
    </x:row>
    <x:row r="173">
      <x:c r="V173" t="n">
        <x:v>39</x:v>
      </x:c>
      <x:c r="W173" s="35" t="n">
        <x:v>46183</x:v>
      </x:c>
      <x:c r="X173" t="str">
        <x:v>TJ Maxx</x:v>
      </x:c>
      <x:c r="Y173" t="str">
        <x:v>Annapolis</x:v>
      </x:c>
      <x:c r="Z173" t="str">
        <x:v>MD</x:v>
      </x:c>
      <x:c r="AA173" s="24" t="n">
        <x:v>90</x:v>
      </x:c>
      <x:c r="AB173" t="str">
        <x:v>Eligible</x:v>
      </x:c>
      <x:c r="AC173" t="str">
        <x:v>5900492</x:v>
      </x:c>
      <x:c r="AD173" t="n">
        <x:v>90.000039</x:v>
      </x:c>
    </x:row>
    <x:row r="174">
      <x:c r="V174" t="n">
        <x:v>40</x:v>
      </x:c>
      <x:c r="W174" s="35" t="n">
        <x:v>46183</x:v>
      </x:c>
      <x:c r="X174" t="str">
        <x:v>Residential – Annapolis Neck, MD</x:v>
      </x:c>
      <x:c r="Y174" t="str">
        <x:v>Annapolis Neck</x:v>
      </x:c>
      <x:c r="Z174" t="str">
        <x:v>MD</x:v>
      </x:c>
      <x:c r="AA174" s="24" t="n">
        <x:v>60</x:v>
      </x:c>
      <x:c r="AB174" t="str">
        <x:v>Eligible</x:v>
      </x:c>
      <x:c r="AC174" t="str">
        <x:v>5877236</x:v>
      </x:c>
      <x:c r="AD174" t="n">
        <x:v>60.00004</x:v>
      </x:c>
    </x:row>
    <x:row r="175">
      <x:c r="V175" t="n">
        <x:v>41</x:v>
      </x:c>
      <x:c r="W175" s="35" t="n">
        <x:v>46184</x:v>
      </x:c>
      <x:c r="X175" t="str">
        <x:v>Baskin-Robbins</x:v>
      </x:c>
      <x:c r="Y175" t="str">
        <x:v>Falls Church</x:v>
      </x:c>
      <x:c r="Z175" t="str">
        <x:v>VA</x:v>
      </x:c>
      <x:c r="AA175" s="24" t="n">
        <x:v>45</x:v>
      </x:c>
      <x:c r="AB175" t="str">
        <x:v>Eligible</x:v>
      </x:c>
      <x:c r="AC175" t="str">
        <x:v>5887374</x:v>
      </x:c>
      <x:c r="AD175" t="n">
        <x:v>45.000041</x:v>
      </x:c>
    </x:row>
    <x:row r="176">
      <x:c r="V176" t="n">
        <x:v>42</x:v>
      </x:c>
      <x:c r="W176" s="35" t="n">
        <x:v>46184</x:v>
      </x:c>
      <x:c r="X176" t="str">
        <x:v>Verizon</x:v>
      </x:c>
      <x:c r="Y176" t="str">
        <x:v>Ellicott City</x:v>
      </x:c>
      <x:c r="Z176" t="str">
        <x:v>MD</x:v>
      </x:c>
      <x:c r="AA176" s="24" t="n">
        <x:v>50</x:v>
      </x:c>
      <x:c r="AB176" t="str">
        <x:v>Eligible</x:v>
      </x:c>
      <x:c r="AC176" t="str">
        <x:v>5901061</x:v>
      </x:c>
      <x:c r="AD176" t="n">
        <x:v>50.000042</x:v>
      </x:c>
    </x:row>
    <x:row r="177">
      <x:c r="V177" t="n">
        <x:v>43</x:v>
      </x:c>
      <x:c r="W177" s="35" t="n">
        <x:v>46185</x:v>
      </x:c>
      <x:c r="X177" t="str">
        <x:v>Verizon</x:v>
      </x:c>
      <x:c r="Y177" t="str">
        <x:v>Lanham</x:v>
      </x:c>
      <x:c r="Z177" t="str">
        <x:v>MD</x:v>
      </x:c>
      <x:c r="AA177" s="24" t="n">
        <x:v>50</x:v>
      </x:c>
      <x:c r="AB177" t="str">
        <x:v>Eligible</x:v>
      </x:c>
      <x:c r="AC177" t="str">
        <x:v>5902689</x:v>
      </x:c>
      <x:c r="AD177" t="n">
        <x:v>50.000043</x:v>
      </x:c>
    </x:row>
    <x:row r="178">
      <x:c r="V178" t="n">
        <x:v>44</x:v>
      </x:c>
      <x:c r="W178" s="35" t="n">
        <x:v>46188</x:v>
      </x:c>
      <x:c r="X178" t="str">
        <x:v>Marshalls</x:v>
      </x:c>
      <x:c r="Y178" t="str">
        <x:v>Frederick</x:v>
      </x:c>
      <x:c r="Z178" t="str">
        <x:v>MD</x:v>
      </x:c>
      <x:c r="AA178" s="24" t="n">
        <x:v>123.75</x:v>
      </x:c>
      <x:c r="AB178" t="str">
        <x:v>Eligible</x:v>
      </x:c>
      <x:c r="AC178" t="str">
        <x:v>5902930</x:v>
      </x:c>
      <x:c r="AD178" t="n">
        <x:v>123.750044</x:v>
      </x:c>
    </x:row>
    <x:row r="179">
      <x:c r="V179" t="n">
        <x:v>45</x:v>
      </x:c>
      <x:c r="W179" s="35" t="n">
        <x:v>46190</x:v>
      </x:c>
      <x:c r="X179" t="str">
        <x:v>Montpelier Liquors</x:v>
      </x:c>
      <x:c r="Y179" t="str">
        <x:v>Laurel</x:v>
      </x:c>
      <x:c r="Z179" t="str">
        <x:v>MD</x:v>
      </x:c>
      <x:c r="AA179" s="24" t="n">
        <x:v>128</x:v>
      </x:c>
      <x:c r="AB179" t="str">
        <x:v>Eligible</x:v>
      </x:c>
      <x:c r="AC179" t="str">
        <x:v>5900963</x:v>
      </x:c>
      <x:c r="AD179" t="n">
        <x:v>128.000045</x:v>
      </x:c>
    </x:row>
    <x:row r="180">
      <x:c r="V180" t="n">
        <x:v>46</x:v>
      </x:c>
      <x:c r="W180" s="35" t="n">
        <x:v>46190</x:v>
      </x:c>
      <x:c r="X180" t="str">
        <x:v>Marshalls</x:v>
      </x:c>
      <x:c r="Y180" t="str">
        <x:v>Laurel</x:v>
      </x:c>
      <x:c r="Z180" t="str">
        <x:v>MD</x:v>
      </x:c>
      <x:c r="AA180" s="24" t="n">
        <x:v>90</x:v>
      </x:c>
      <x:c r="AB180" t="str">
        <x:v>Eligible</x:v>
      </x:c>
      <x:c r="AC180" t="str">
        <x:v>5904843</x:v>
      </x:c>
      <x:c r="AD180" t="n">
        <x:v>90.000046</x:v>
      </x:c>
    </x:row>
    <x:row r="181">
      <x:c r="V181" t="n">
        <x:v>47</x:v>
      </x:c>
      <x:c r="W181" s="35" t="n">
        <x:v>46191</x:v>
      </x:c>
      <x:c r="X181" t="str">
        <x:v>Office of MD Senator Angela Alsobrooks</x:v>
      </x:c>
      <x:c r="Y181" t="str">
        <x:v>Bowie</x:v>
      </x:c>
      <x:c r="Z181" t="str">
        <x:v>MD</x:v>
      </x:c>
      <x:c r="AA181" s="24" t="n">
        <x:v>130</x:v>
      </x:c>
      <x:c r="AB181" t="str">
        <x:v>Eligible</x:v>
      </x:c>
      <x:c r="AC181" t="str">
        <x:v>5898644</x:v>
      </x:c>
      <x:c r="AD181" t="n">
        <x:v>130.000047</x:v>
      </x:c>
    </x:row>
    <x:row r="182">
      <x:c r="V182" t="n">
        <x:v>48</x:v>
      </x:c>
      <x:c r="W182" s="35" t="n">
        <x:v>46191</x:v>
      </x:c>
      <x:c r="X182" t="str">
        <x:v>Hebrew Home of Greater Washington</x:v>
      </x:c>
      <x:c r="Y182" t="str">
        <x:v>North Bethesda</x:v>
      </x:c>
      <x:c r="Z182" t="str">
        <x:v>MD</x:v>
      </x:c>
      <x:c r="AA182" s="24" t="n">
        <x:v>70</x:v>
      </x:c>
      <x:c r="AB182" t="str">
        <x:v>Eligible</x:v>
      </x:c>
      <x:c r="AC182" t="str">
        <x:v>5905576</x:v>
      </x:c>
      <x:c r="AD182" t="n">
        <x:v>70.000048</x:v>
      </x:c>
    </x:row>
    <x:row r="183">
      <x:c r="V183" t="n">
        <x:v>49</x:v>
      </x:c>
      <x:c r="W183" s="35" t="n">
        <x:v>46192</x:v>
      </x:c>
      <x:c r="X183" t="str">
        <x:v>Weis Markets</x:v>
      </x:c>
      <x:c r="Y183" t="str">
        <x:v>Callaway</x:v>
      </x:c>
      <x:c r="Z183" t="str">
        <x:v>MD</x:v>
      </x:c>
      <x:c r="AA183" s="24" t="n">
        <x:v>90</x:v>
      </x:c>
      <x:c r="AB183" t="str">
        <x:v>Eligible</x:v>
      </x:c>
      <x:c r="AC183" t="str">
        <x:v>5899546</x:v>
      </x:c>
      <x:c r="AD183" t="n">
        <x:v>90.000049</x:v>
      </x:c>
    </x:row>
    <x:row r="184">
      <x:c r="V184" t="n">
        <x:v>50</x:v>
      </x:c>
      <x:c r="W184" s="35" t="n">
        <x:v>46192</x:v>
      </x:c>
      <x:c r="X184" t="str">
        <x:v>Giant Food Stores</x:v>
      </x:c>
      <x:c r="Y184" t="str">
        <x:v>Washington</x:v>
      </x:c>
      <x:c r="Z184" t="str">
        <x:v>DC</x:v>
      </x:c>
      <x:c r="AA184" s="24" t="n">
        <x:v>50</x:v>
      </x:c>
      <x:c r="AB184" t="str">
        <x:v>Eligible</x:v>
      </x:c>
      <x:c r="AC184" t="str">
        <x:v>5903036</x:v>
      </x:c>
      <x:c r="AD184" t="n">
        <x:v>50.00005</x:v>
      </x:c>
    </x:row>
    <x:row r="185">
      <x:c r="V185" t="n">
        <x:v>51</x:v>
      </x:c>
      <x:c r="W185" s="35" t="n">
        <x:v>46195</x:v>
      </x:c>
      <x:c r="X185" t="str">
        <x:v>Hebrew Home of Greater Washington</x:v>
      </x:c>
      <x:c r="Y185" t="str">
        <x:v>North Bethesda</x:v>
      </x:c>
      <x:c r="Z185" t="str">
        <x:v>MD</x:v>
      </x:c>
      <x:c r="AA185" s="24" t="n">
        <x:v>60</x:v>
      </x:c>
      <x:c r="AB185" t="str">
        <x:v>Eligible</x:v>
      </x:c>
      <x:c r="AC185" t="str">
        <x:v>5905579</x:v>
      </x:c>
      <x:c r="AD185" t="n">
        <x:v>60.000051</x:v>
      </x:c>
    </x:row>
    <x:row r="186">
      <x:c r="V186" t="n">
        <x:v>52</x:v>
      </x:c>
      <x:c r="W186" s="35" t="n">
        <x:v>46196</x:v>
      </x:c>
      <x:c r="X186" t="str">
        <x:v>Food Lion</x:v>
      </x:c>
      <x:c r="Y186" t="str">
        <x:v>Upper Marlboro</x:v>
      </x:c>
      <x:c r="Z186" t="str">
        <x:v>MD</x:v>
      </x:c>
      <x:c r="AA186" s="24" t="n">
        <x:v>116.24</x:v>
      </x:c>
      <x:c r="AB186" t="str">
        <x:v>Eligible</x:v>
      </x:c>
      <x:c r="AC186" t="str">
        <x:v>5906380</x:v>
      </x:c>
      <x:c r="AD186" t="n">
        <x:v>116.240052</x:v>
      </x:c>
    </x:row>
    <x:row r="187">
      <x:c r="V187" t="n">
        <x:v>53</x:v>
      </x:c>
      <x:c r="W187" s="35" t="n">
        <x:v>46197</x:v>
      </x:c>
      <x:c r="X187" t="str">
        <x:v>Hilton Garden Inn</x:v>
      </x:c>
      <x:c r="Y187" t="str">
        <x:v>Washington</x:v>
      </x:c>
      <x:c r="Z187" t="str">
        <x:v>DC</x:v>
      </x:c>
      <x:c r="AA187" s="24" t="n">
        <x:v>132.03</x:v>
      </x:c>
      <x:c r="AB187" t="str">
        <x:v>Eligible</x:v>
      </x:c>
      <x:c r="AC187" t="str">
        <x:v>5907571</x:v>
      </x:c>
      <x:c r="AD187" t="n">
        <x:v>132.030053</x:v>
      </x:c>
    </x:row>
    <x:row r="188">
      <x:c r="V188" t="n">
        <x:v>54</x:v>
      </x:c>
      <x:c r="W188" s="35" t="n">
        <x:v>46203</x:v>
      </x:c>
      <x:c r="X188" t="str">
        <x:v>7-Eleven</x:v>
      </x:c>
      <x:c r="Y188" t="str">
        <x:v>Owings Mills</x:v>
      </x:c>
      <x:c r="Z188" t="str">
        <x:v>MD</x:v>
      </x:c>
      <x:c r="AA188" s="24" t="n">
        <x:v>120</x:v>
      </x:c>
      <x:c r="AB188" t="str">
        <x:v>Eligible</x:v>
      </x:c>
      <x:c r="AC188" t="str">
        <x:v>5910094</x:v>
      </x:c>
      <x:c r="AD188" t="n">
        <x:v>120.000054</x:v>
      </x:c>
    </x:row>
    <x:row r="189">
      <x:c r="V189" t="n">
        <x:v>55</x:v>
      </x:c>
      <x:c r="W189" s="35" t="n">
        <x:v>46204</x:v>
      </x:c>
      <x:c r="X189" t="str">
        <x:v>Office of MD Senator Angela Alsobrooks</x:v>
      </x:c>
      <x:c r="Y189" t="str">
        <x:v>Largo</x:v>
      </x:c>
      <x:c r="Z189" t="str">
        <x:v>MD</x:v>
      </x:c>
      <x:c r="AA189" s="24" t="n">
        <x:v>120</x:v>
      </x:c>
      <x:c r="AB189" t="str">
        <x:v>Eligible</x:v>
      </x:c>
      <x:c r="AC189" t="str">
        <x:v>5898645</x:v>
      </x:c>
      <x:c r="AD189" t="n">
        <x:v>120.000055</x:v>
      </x:c>
    </x:row>
    <x:row r="190">
      <x:c r="V190" t="n">
        <x:v>56</x:v>
      </x:c>
      <x:c r="W190" s="35" t="n">
        <x:v>46205</x:v>
      </x:c>
      <x:c r="X190" t="str">
        <x:v>Dunkin</x:v>
      </x:c>
      <x:c r="Y190" t="str">
        <x:v>Reisterstown</x:v>
      </x:c>
      <x:c r="Z190" t="str">
        <x:v>MD</x:v>
      </x:c>
      <x:c r="AA190" s="24" t="n">
        <x:v>170.66</x:v>
      </x:c>
      <x:c r="AB190" t="str">
        <x:v>Eligible</x:v>
      </x:c>
      <x:c r="AC190" t="str">
        <x:v>5900784</x:v>
      </x:c>
      <x:c r="AD190" t="n">
        <x:v>170.660056</x:v>
      </x:c>
    </x:row>
    <x:row r="191">
      <x:c r="V191" t="n">
        <x:v>57</x:v>
      </x:c>
      <x:c r="W191" s="35" t="n">
        <x:v>46209</x:v>
      </x:c>
      <x:c r="X191" t="str">
        <x:v>Montpelier Liquors</x:v>
      </x:c>
      <x:c r="Y191" t="str">
        <x:v>Laurel</x:v>
      </x:c>
      <x:c r="Z191" t="str">
        <x:v>MD</x:v>
      </x:c>
      <x:c r="AA191" s="24" t="n">
        <x:v>66.74</x:v>
      </x:c>
      <x:c r="AB191" t="str">
        <x:v>Eligible</x:v>
      </x:c>
      <x:c r="AC191" t="str">
        <x:v>5911577</x:v>
      </x:c>
      <x:c r="AD191" t="n">
        <x:v>66.740057</x:v>
      </x:c>
    </x:row>
    <x:row r="192">
      <x:c r="V192" t="n">
        <x:v>58</x:v>
      </x:c>
      <x:c r="W192" s="35" t="n">
        <x:v>46209</x:v>
      </x:c>
      <x:c r="X192" t="str">
        <x:v>Dunkin</x:v>
      </x:c>
      <x:c r="Y192" t="str">
        <x:v>Lutherville</x:v>
      </x:c>
      <x:c r="Z192" t="str">
        <x:v>MD</x:v>
      </x:c>
      <x:c r="AA192" s="24" t="n">
        <x:v>202.5</x:v>
      </x:c>
      <x:c r="AB192" t="str">
        <x:v>Eligible</x:v>
      </x:c>
      <x:c r="AC192" t="str">
        <x:v>5900780</x:v>
      </x:c>
      <x:c r="AD192" t="n">
        <x:v>202.500058</x:v>
      </x:c>
    </x:row>
    <x:row r="193">
      <x:c r="V193" t="n">
        <x:v>59</x:v>
      </x:c>
      <x:c r="W193" s="35" t="n">
        <x:v>46210</x:v>
      </x:c>
      <x:c r="X193" t="str">
        <x:v>Dunkin</x:v>
      </x:c>
      <x:c r="Y193" t="str">
        <x:v>Aberdeen</x:v>
      </x:c>
      <x:c r="Z193" t="str">
        <x:v>MD</x:v>
      </x:c>
      <x:c r="AA193" s="24" t="n">
        <x:v>250</x:v>
      </x:c>
      <x:c r="AB193" t="str">
        <x:v>Eligible</x:v>
      </x:c>
      <x:c r="AC193" t="str">
        <x:v>5900830</x:v>
      </x:c>
      <x:c r="AD193" t="n">
        <x:v>250.000059</x:v>
      </x:c>
    </x:row>
    <x:row r="194">
      <x:c r="V194" t="n">
        <x:v>60</x:v>
      </x:c>
      <x:c r="W194" s="35" t="n">
        <x:v>46211</x:v>
      </x:c>
      <x:c r="X194" t="str">
        <x:v>Carvana</x:v>
      </x:c>
      <x:c r="Y194" t="str">
        <x:v>Baltimore</x:v>
      </x:c>
      <x:c r="Z194" t="str">
        <x:v>MD</x:v>
      </x:c>
      <x:c r="AA194"/>
      <x:c r="AB194" t="str">
        <x:v>Excluded</x:v>
      </x:c>
      <x:c r="AC194" t="str">
        <x:v>5912364 / 5914049</x:v>
      </x:c>
      <x:c r="AD194" t="n">
        <x:v>0.00006</x:v>
      </x:c>
    </x:row>
    <x:row r="195">
      <x:c r="V195" t="n">
        <x:v>61</x:v>
      </x:c>
      <x:c r="W195" s="35" t="n">
        <x:v>46212</x:v>
      </x:c>
      <x:c r="X195" t="str">
        <x:v>TJ Maxx</x:v>
      </x:c>
      <x:c r="Y195" t="str">
        <x:v>Germantown</x:v>
      </x:c>
      <x:c r="Z195" t="str">
        <x:v>MD</x:v>
      </x:c>
      <x:c r="AA195" t="n">
        <x:v>194.99</x:v>
      </x:c>
      <x:c r="AB195" t="str">
        <x:v>Eligible</x:v>
      </x:c>
      <x:c r="AC195" t="str">
        <x:v>5909344</x:v>
      </x:c>
      <x:c r="AD195" t="n">
        <x:v>194.990061</x:v>
      </x:c>
    </x:row>
    <x:row r="196">
      <x:c r="V196" t="n">
        <x:v>62</x:v>
      </x:c>
      <x:c r="W196" s="35" t="n">
        <x:v>46212</x:v>
      </x:c>
      <x:c r="X196" t="str">
        <x:v>TJ Maxx</x:v>
      </x:c>
      <x:c r="Y196" t="str">
        <x:v>Martinsburg</x:v>
      </x:c>
      <x:c r="Z196" t="str">
        <x:v>WV</x:v>
      </x:c>
      <x:c r="AA196" t="n">
        <x:v>100.83</x:v>
      </x:c>
      <x:c r="AB196" t="str">
        <x:v>Eligible</x:v>
      </x:c>
      <x:c r="AC196" t="str">
        <x:v>5913868</x:v>
      </x:c>
      <x:c r="AD196" t="n">
        <x:v>100.830062</x:v>
      </x:c>
    </x:row>
    <x:row r="197">
      <x:c r="V197" t="n">
        <x:v>63</x:v>
      </x:c>
      <x:c r="W197" s="35" t="n">
        <x:v>46216</x:v>
      </x:c>
      <x:c r="X197" t="str">
        <x:v>Marshalls</x:v>
      </x:c>
      <x:c r="Y197" t="str">
        <x:v>Cockeysville</x:v>
      </x:c>
      <x:c r="Z197" t="str">
        <x:v>MD</x:v>
      </x:c>
      <x:c r="AA197"/>
      <x:c r="AB197" t="str">
        <x:v>Excluded</x:v>
      </x:c>
      <x:c r="AC197" t="str">
        <x:v>5909368</x:v>
      </x:c>
      <x:c r="AD197" t="n">
        <x:v>0.000063</x:v>
      </x:c>
    </x:row>
    <x:row r="198">
      <x:c r="V198" t="n">
        <x:v>64</x:v>
      </x:c>
      <x:c r="W198" s="35" t="n">
        <x:v>46216</x:v>
      </x:c>
      <x:c r="X198" t="str">
        <x:v>Marshalls</x:v>
      </x:c>
      <x:c r="Y198" t="str">
        <x:v>Hagerstown</x:v>
      </x:c>
      <x:c r="Z198" t="str">
        <x:v>MD</x:v>
      </x:c>
      <x:c r="AA198"/>
      <x:c r="AB198" t="str">
        <x:v>Excluded</x:v>
      </x:c>
      <x:c r="AC198" t="str">
        <x:v>5916961</x:v>
      </x:c>
      <x:c r="AD198" t="n">
        <x:v>0.000064</x:v>
      </x:c>
    </x:row>
    <x:row r="199">
      <x:c r="V199" t="n">
        <x:v>65</x:v>
      </x:c>
      <x:c r="W199" s="35" t="n">
        <x:v>46216</x:v>
      </x:c>
      <x:c r="X199" t="str">
        <x:v>HomeGoods</x:v>
      </x:c>
      <x:c r="Y199" t="str">
        <x:v>Gaithersburg</x:v>
      </x:c>
      <x:c r="Z199" t="str">
        <x:v>MD</x:v>
      </x:c>
      <x:c r="AA199"/>
      <x:c r="AB199" t="str">
        <x:v>Excluded</x:v>
      </x:c>
      <x:c r="AC199" t="str">
        <x:v>5917407</x:v>
      </x:c>
      <x:c r="AD199" t="n">
        <x:v>0.000065</x:v>
      </x:c>
    </x:row>
    <x:row r="200">
      <x:c r="V200" t="n">
        <x:v>66</x:v>
      </x:c>
      <x:c r="W200" s="35" t="n">
        <x:v>46217</x:v>
      </x:c>
      <x:c r="X200" t="str">
        <x:v>TJ Maxx</x:v>
      </x:c>
      <x:c r="Y200" t="str">
        <x:v>Bel Air</x:v>
      </x:c>
      <x:c r="Z200" t="str">
        <x:v>MD</x:v>
      </x:c>
      <x:c r="AA200"/>
      <x:c r="AB200" t="str">
        <x:v>Excluded</x:v>
      </x:c>
      <x:c r="AC200" t="str">
        <x:v>5909385</x:v>
      </x:c>
      <x:c r="AD200" t="n">
        <x:v>0.000066</x:v>
      </x:c>
    </x:row>
    <x:row r="201">
      <x:c r="V201" t="n">
        <x:v>67</x:v>
      </x:c>
      <x:c r="W201" s="35" t="n">
        <x:v>46217</x:v>
      </x:c>
      <x:c r="X201" t="str">
        <x:v>Dunkin</x:v>
      </x:c>
      <x:c r="Y201" t="str">
        <x:v>Aberdeen</x:v>
      </x:c>
      <x:c r="Z201" t="str">
        <x:v>MD</x:v>
      </x:c>
      <x:c r="AA201" t="n">
        <x:v>183.74</x:v>
      </x:c>
      <x:c r="AB201" t="str">
        <x:v>Eligible</x:v>
      </x:c>
      <x:c r="AC201" t="str">
        <x:v>5914898</x:v>
      </x:c>
      <x:c r="AD201" t="n">
        <x:v>183.740067</x:v>
      </x:c>
    </x:row>
  </x:sheetData>
  <x:mergeCells>
    <x:mergeCell ref="A1:R2"/>
    <x:mergeCell ref="A4:D4"/>
    <x:mergeCell ref="A10:L10"/>
    <x:mergeCell ref="A41:H41"/>
    <x:mergeCell ref="J41:R41"/>
    <x:mergeCell ref="A50:G50"/>
    <x:mergeCell ref="A57:T58"/>
    <x:mergeCell ref="A60:F60"/>
    <x:mergeCell ref="H60:M60"/>
    <x:mergeCell ref="O60:T60"/>
    <x:mergeCell ref="A74:F74"/>
    <x:mergeCell ref="H74:M74"/>
    <x:mergeCell ref="O74:T74"/>
    <x:mergeCell ref="A88:F88"/>
    <x:mergeCell ref="H88:M88"/>
    <x:mergeCell ref="O88:T88"/>
    <x:mergeCell ref="A105:T105"/>
  </x:mergeCells>
  <x:conditionalFormatting sqref="C62:C71">
    <x:cfRule type="dataBar" priority="5">
      <x:dataBar>
        <x:cfvo type="min"/>
        <x:cfvo type="max"/>
        <x:color rgb="FF5B9BD5"/>
      </x:dataBar>
      <x:extLst>
        <x:ext xmlns:x14="http://schemas.microsoft.com/office/spreadsheetml/2009/9/main" uri="{B025F937-C7B1-47D3-B67F-A62EFF666E3E}">
          <x14:id>{D257180D-4396-6B7C-B3E3-10B52B09EA97}</x14:id>
        </x:ext>
      </x:extLst>
    </x:cfRule>
  </x:conditionalFormatting>
  <x:conditionalFormatting sqref="K62:K71">
    <x:cfRule type="dataBar" priority="6">
      <x:dataBar>
        <x:cfvo type="min"/>
        <x:cfvo type="max"/>
        <x:color rgb="FF5B9BD5"/>
      </x:dataBar>
      <x:extLst>
        <x:ext xmlns:x14="http://schemas.microsoft.com/office/spreadsheetml/2009/9/main" uri="{B025F937-C7B1-47D3-B67F-A62EFF666E3E}">
          <x14:id>{3F740886-0713-E5C1-9EB0-08C8E27EB83E}</x14:id>
        </x:ext>
      </x:extLst>
    </x:cfRule>
  </x:conditionalFormatting>
  <x:conditionalFormatting sqref="Q62:Q71">
    <x:cfRule type="dataBar" priority="7">
      <x:dataBar>
        <x:cfvo type="min"/>
        <x:cfvo type="max"/>
        <x:color rgb="FF5B9BD5"/>
      </x:dataBar>
      <x:extLst>
        <x:ext xmlns:x14="http://schemas.microsoft.com/office/spreadsheetml/2009/9/main" uri="{B025F937-C7B1-47D3-B67F-A62EFF666E3E}">
          <x14:id>{C1A41346-743B-D6AF-EBDF-AD775F32BFE5}</x14:id>
        </x:ext>
      </x:extLst>
    </x:cfRule>
  </x:conditionalFormatting>
  <x:conditionalFormatting sqref="C76:C80">
    <x:cfRule type="dataBar" priority="8">
      <x:dataBar>
        <x:cfvo type="min"/>
        <x:cfvo type="max"/>
        <x:color rgb="FF5B9BD5"/>
      </x:dataBar>
      <x:extLst>
        <x:ext xmlns:x14="http://schemas.microsoft.com/office/spreadsheetml/2009/9/main" uri="{B025F937-C7B1-47D3-B67F-A62EFF666E3E}">
          <x14:id>{69A2FDA2-9957-BE0E-7494-8CA97385BBCD}</x14:id>
        </x:ext>
      </x:extLst>
    </x:cfRule>
  </x:conditionalFormatting>
  <x:conditionalFormatting sqref="K76:K85">
    <x:cfRule type="dataBar" priority="9">
      <x:dataBar>
        <x:cfvo type="min"/>
        <x:cfvo type="max"/>
        <x:color rgb="FF5B9BD5"/>
      </x:dataBar>
      <x:extLst>
        <x:ext xmlns:x14="http://schemas.microsoft.com/office/spreadsheetml/2009/9/main" uri="{B025F937-C7B1-47D3-B67F-A62EFF666E3E}">
          <x14:id>{1FA9B806-574F-EED7-68AA-A11B31C541D5}</x14:id>
        </x:ext>
      </x:extLst>
    </x:cfRule>
  </x:conditionalFormatting>
  <x:conditionalFormatting sqref="T76:T85">
    <x:cfRule type="dataBar" priority="10">
      <x:dataBar>
        <x:cfvo type="min"/>
        <x:cfvo type="max"/>
        <x:color rgb="FF5B9BD5"/>
      </x:dataBar>
      <x:extLst>
        <x:ext xmlns:x14="http://schemas.microsoft.com/office/spreadsheetml/2009/9/main" uri="{B025F937-C7B1-47D3-B67F-A62EFF666E3E}">
          <x14:id>{1FD654BB-E3EE-911C-BA33-25B4775AA362}</x14:id>
        </x:ext>
      </x:extLst>
    </x:cfRule>
  </x:conditionalFormatting>
  <x:conditionalFormatting sqref="C90:C101">
    <x:cfRule type="dataBar" priority="11">
      <x:dataBar>
        <x:cfvo type="min"/>
        <x:cfvo type="max"/>
        <x:color rgb="FF5B9BD5"/>
      </x:dataBar>
      <x:extLst>
        <x:ext xmlns:x14="http://schemas.microsoft.com/office/spreadsheetml/2009/9/main" uri="{B025F937-C7B1-47D3-B67F-A62EFF666E3E}">
          <x14:id>{5FAB4B3D-F900-FAE3-E70B-5F9BD0D219C3}</x14:id>
        </x:ext>
      </x:extLst>
    </x:cfRule>
  </x:conditionalFormatting>
  <x:conditionalFormatting sqref="J90:J92">
    <x:cfRule type="dataBar" priority="12">
      <x:dataBar>
        <x:cfvo type="min"/>
        <x:cfvo type="max"/>
        <x:color rgb="FF5B9BD5"/>
      </x:dataBar>
      <x:extLst>
        <x:ext xmlns:x14="http://schemas.microsoft.com/office/spreadsheetml/2009/9/main" uri="{B025F937-C7B1-47D3-B67F-A62EFF666E3E}">
          <x14:id>{5F0C3A4A-B89D-7364-3E26-2B47469D7B41}</x14:id>
        </x:ext>
      </x:extLst>
    </x:cfRule>
  </x:conditionalFormatting>
  <x:conditionalFormatting sqref="R90:R101">
    <x:cfRule type="dataBar" priority="13">
      <x:dataBar>
        <x:cfvo type="min"/>
        <x:cfvo type="max"/>
        <x:color rgb="FF9DC3E6"/>
      </x:dataBar>
      <x:extLst>
        <x:ext xmlns:x14="http://schemas.microsoft.com/office/spreadsheetml/2009/9/main" uri="{B025F937-C7B1-47D3-B67F-A62EFF666E3E}">
          <x14:id>{21CE3649-1563-6FD3-C9E0-F20B1E4F32D3}</x14:id>
        </x:ext>
      </x:extLst>
    </x:cfRule>
  </x:conditionalFormatting>
  <x:conditionalFormatting sqref="G12:G38">
    <x:cfRule type="dataBar" priority="14">
      <x:dataBar>
        <x:cfvo type="min"/>
        <x:cfvo type="max"/>
        <x:color rgb="FF5B9BD5"/>
      </x:dataBar>
      <x:extLst>
        <x:ext xmlns:x14="http://schemas.microsoft.com/office/spreadsheetml/2009/9/main" uri="{B025F937-C7B1-47D3-B67F-A62EFF666E3E}">
          <x14:id>{1FD654BB-E3EE-911C-BA33-25B4775AA362}</x14:id>
        </x:ext>
      </x:extLst>
    </x:cfRule>
  </x:conditionalFormatting>
  <x:conditionalFormatting sqref="H12:I38">
    <x:cfRule type="colorScale" priority="15">
      <x:colorScale>
        <x:cfvo type="min"/>
        <x:cfvo type="percentile" val="50"/>
        <x:cfvo type="max"/>
        <x:color rgb="FFF4CCCC"/>
        <x:color rgb="FFFFF2CC"/>
        <x:color rgb="FFE2F0D9"/>
      </x:colorScale>
    </x:cfRule>
  </x:conditionalFormatting>
  <x:conditionalFormatting sqref="L12:L38">
    <x:cfRule type="expression" dxfId="89" priority="16">
      <x:formula>$L12="Yes"</x:formula>
    </x:cfRule>
    <x:cfRule type="expression" dxfId="90" priority="17">
      <x:formula>$L12="No"</x:formula>
    </x:cfRule>
  </x:conditionalFormatting>
  <x:conditionalFormatting sqref="B43:B47">
    <x:cfRule type="dataBar" priority="18">
      <x:dataBar>
        <x:cfvo type="min"/>
        <x:cfvo type="max"/>
        <x:color rgb="FF9DC3E6"/>
      </x:dataBar>
      <x:extLst>
        <x:ext xmlns:x14="http://schemas.microsoft.com/office/spreadsheetml/2009/9/main" uri="{B025F937-C7B1-47D3-B67F-A62EFF666E3E}">
          <x14:id>{21CE3649-1563-6FD3-C9E0-F20B1E4F32D3}</x14:id>
        </x:ext>
      </x:extLst>
    </x:cfRule>
  </x:conditionalFormatting>
  <x:conditionalFormatting sqref="E43:E47">
    <x:cfRule type="dataBar" priority="19">
      <x:dataBar>
        <x:cfvo type="min"/>
        <x:cfvo type="max"/>
        <x:color rgb="FF5B9BD5"/>
      </x:dataBar>
      <x:extLst>
        <x:ext xmlns:x14="http://schemas.microsoft.com/office/spreadsheetml/2009/9/main" uri="{B025F937-C7B1-47D3-B67F-A62EFF666E3E}">
          <x14:id>{8AC6AA4C-99C0-1077-2292-96E2B9335CBE}</x14:id>
        </x:ext>
      </x:extLst>
    </x:cfRule>
  </x:conditionalFormatting>
  <x:conditionalFormatting sqref="G43:H47">
    <x:cfRule type="colorScale" priority="20">
      <x:colorScale>
        <x:cfvo type="min"/>
        <x:cfvo type="percentile" val="50"/>
        <x:cfvo type="max"/>
        <x:color rgb="FFFCE4D6"/>
        <x:color rgb="FFFFF2CC"/>
        <x:color rgb="FFE2F0D9"/>
      </x:colorScale>
    </x:cfRule>
  </x:conditionalFormatting>
  <x:conditionalFormatting sqref="K43:K47">
    <x:cfRule type="dataBar" priority="21">
      <x:dataBar>
        <x:cfvo type="min"/>
        <x:cfvo type="max"/>
        <x:color rgb="FF5B9BD5"/>
      </x:dataBar>
      <x:extLst>
        <x:ext xmlns:x14="http://schemas.microsoft.com/office/spreadsheetml/2009/9/main" uri="{B025F937-C7B1-47D3-B67F-A62EFF666E3E}">
          <x14:id>{373A0794-0CC4-C212-8058-55A1183A7639}</x14:id>
        </x:ext>
      </x:extLst>
    </x:cfRule>
  </x:conditionalFormatting>
  <x:conditionalFormatting sqref="O43:O47">
    <x:cfRule type="colorScale" priority="22">
      <x:colorScale>
        <x:cfvo type="min"/>
        <x:cfvo type="percentile" val="50"/>
        <x:cfvo type="max"/>
        <x:color rgb="FFF4CCCC"/>
        <x:color rgb="FFFFF2CC"/>
        <x:color rgb="FFE2F0D9"/>
      </x:colorScale>
    </x:cfRule>
  </x:conditionalFormatting>
  <x:conditionalFormatting sqref="R43:R47">
    <x:cfRule type="expression" dxfId="91" priority="23">
      <x:formula>$R43=1</x:formula>
    </x:cfRule>
    <x:cfRule type="expression" dxfId="92" priority="24">
      <x:formula>$R43=5</x:formula>
    </x:cfRule>
  </x:conditionalFormatting>
  <x:conditionalFormatting sqref="F52:F54">
    <x:cfRule type="dataBar" priority="25">
      <x:dataBar>
        <x:cfvo type="min"/>
        <x:cfvo type="max"/>
        <x:color rgb="FF5B9BD5"/>
      </x:dataBar>
      <x:extLst>
        <x:ext xmlns:x14="http://schemas.microsoft.com/office/spreadsheetml/2009/9/main" uri="{B025F937-C7B1-47D3-B67F-A62EFF666E3E}">
          <x14:id>{1FCB5DE8-2C3A-C80B-C327-9EE94284887E}</x14:id>
        </x:ext>
      </x:extLst>
    </x:cfRule>
  </x:conditionalFormatting>
  <x:conditionalFormatting sqref="G52:G54">
    <x:cfRule type="colorScale" priority="26">
      <x:colorScale>
        <x:cfvo type="min"/>
        <x:cfvo type="percentile" val="50"/>
        <x:cfvo type="max"/>
        <x:color rgb="FFF4CCCC"/>
        <x:color rgb="FFFFF2CC"/>
        <x:color rgb="FFE2F0D9"/>
      </x:colorScale>
    </x:cfRule>
  </x:conditionalFormatting>
  <x:conditionalFormatting sqref="Z2:Z28">
    <x:cfRule type="dataBar" priority="27">
      <x:dataBar>
        <x:cfvo type="min"/>
        <x:cfvo type="max"/>
        <x:color rgb="FF5B9BD5"/>
      </x:dataBar>
      <x:extLst>
        <x:ext xmlns:x14="http://schemas.microsoft.com/office/spreadsheetml/2009/9/main" uri="{B025F937-C7B1-47D3-B67F-A62EFF666E3E}">
          <x14:id>{F1826BE4-4FDA-0323-3728-2DA194C39835}</x14:id>
        </x:ext>
      </x:extLst>
    </x:cfRule>
  </x:conditionalFormatting>
  <x:conditionalFormatting sqref="AA2:AB28">
    <x:cfRule type="colorScale" priority="28">
      <x:colorScale>
        <x:cfvo type="min"/>
        <x:cfvo type="percentile" val="50"/>
        <x:cfvo type="max"/>
        <x:color rgb="FFF4CCCC"/>
        <x:color rgb="FFFFF2CC"/>
        <x:color rgb="FFE2F0D9"/>
      </x:colorScale>
    </x:cfRule>
  </x:conditionalFormatting>
  <x:conditionalFormatting sqref="AC2:AC28">
    <x:cfRule type="expression" dxfId="93" priority="29">
      <x:formula>$AC2="Yes"</x:formula>
    </x:cfRule>
    <x:cfRule type="expression" dxfId="94" priority="30">
      <x:formula>$AC2="No"</x:formula>
    </x:cfRule>
  </x:conditionalFormatting>
  <x:conditionalFormatting sqref="Z32:Z68">
    <x:cfRule type="dataBar" priority="31">
      <x:dataBar>
        <x:cfvo type="min"/>
        <x:cfvo type="max"/>
        <x:color rgb="FF5B9BD5"/>
      </x:dataBar>
      <x:extLst>
        <x:ext xmlns:x14="http://schemas.microsoft.com/office/spreadsheetml/2009/9/main" uri="{B025F937-C7B1-47D3-B67F-A62EFF666E3E}">
          <x14:id>{768FB075-E5BC-5EBD-A4EA-AEBE900E154F}</x14:id>
        </x:ext>
      </x:extLst>
    </x:cfRule>
  </x:conditionalFormatting>
  <x:conditionalFormatting sqref="AA32:AA68">
    <x:cfRule type="colorScale" priority="32">
      <x:colorScale>
        <x:cfvo type="min"/>
        <x:cfvo type="percentile" val="50"/>
        <x:cfvo type="max"/>
        <x:color rgb="FFF4CCCC"/>
        <x:color rgb="FFFFF2CC"/>
        <x:color rgb="FFE2F0D9"/>
      </x:colorScale>
    </x:cfRule>
  </x:conditionalFormatting>
  <x:conditionalFormatting sqref="Y70:Y82">
    <x:cfRule type="dataBar" priority="33">
      <x:dataBar>
        <x:cfvo type="min"/>
        <x:cfvo type="max"/>
        <x:color rgb="FF5B9BD5"/>
      </x:dataBar>
      <x:extLst>
        <x:ext xmlns:x14="http://schemas.microsoft.com/office/spreadsheetml/2009/9/main" uri="{B025F937-C7B1-47D3-B67F-A62EFF666E3E}">
          <x14:id>{2E40AC2E-F260-1052-F7B9-77AA57056ED8}</x14:id>
        </x:ext>
      </x:extLst>
    </x:cfRule>
  </x:conditionalFormatting>
  <x:conditionalFormatting sqref="Z70:Z82">
    <x:cfRule type="colorScale" priority="34">
      <x:colorScale>
        <x:cfvo type="min"/>
        <x:cfvo type="percentile" val="50"/>
        <x:cfvo type="max"/>
        <x:color rgb="FFF4CCCC"/>
        <x:color rgb="FFFFF2CC"/>
        <x:color rgb="FFE2F0D9"/>
      </x:colorScale>
    </x:cfRule>
  </x:conditionalFormatting>
  <x:conditionalFormatting sqref="Z85:Z129">
    <x:cfRule type="dataBar" priority="35">
      <x:dataBar>
        <x:cfvo type="min"/>
        <x:cfvo type="max"/>
        <x:color rgb="FF5B9BD5"/>
      </x:dataBar>
      <x:extLst>
        <x:ext xmlns:x14="http://schemas.microsoft.com/office/spreadsheetml/2009/9/main" uri="{B025F937-C7B1-47D3-B67F-A62EFF666E3E}">
          <x14:id>{C028D795-81BD-A7F4-BA3E-DA7BF6394870}</x14:id>
        </x:ext>
      </x:extLst>
    </x:cfRule>
  </x:conditionalFormatting>
  <x:conditionalFormatting sqref="AA85:AA129">
    <x:cfRule type="colorScale" priority="36">
      <x:colorScale>
        <x:cfvo type="min"/>
        <x:cfvo type="percentile" val="50"/>
        <x:cfvo type="max"/>
        <x:color rgb="FFF4CCCC"/>
        <x:color rgb="FFFFF2CC"/>
        <x:color rgb="FFE2F0D9"/>
      </x:colorScale>
    </x:cfRule>
  </x:conditionalFormatting>
  <x:pageMargins left="0.7" right="0.7" top="0.75" bottom="0.75" header="0.3" footer="0.3"/>
  <x:drawing xmlns:r="http://schemas.openxmlformats.org/officeDocument/2006/relationships" r:id="Rf54d27854ea444fa"/>
  <x:tableParts count="12">
    <x:tablePart xmlns:r="http://schemas.openxmlformats.org/officeDocument/2006/relationships" r:id="Rb128724c7b18466e"/>
    <x:tablePart xmlns:r="http://schemas.openxmlformats.org/officeDocument/2006/relationships" r:id="R0366496b24e54a9e"/>
    <x:tablePart xmlns:r="http://schemas.openxmlformats.org/officeDocument/2006/relationships" r:id="R07a42da1724841a3"/>
    <x:tablePart xmlns:r="http://schemas.openxmlformats.org/officeDocument/2006/relationships" r:id="R2143efbaeb61468d"/>
    <x:tablePart xmlns:r="http://schemas.openxmlformats.org/officeDocument/2006/relationships" r:id="Rf251a08ed96b4467"/>
    <x:tablePart xmlns:r="http://schemas.openxmlformats.org/officeDocument/2006/relationships" r:id="R1145d75e85e34d91"/>
    <x:tablePart xmlns:r="http://schemas.openxmlformats.org/officeDocument/2006/relationships" r:id="R82d8a637ebd947a9"/>
    <x:tablePart xmlns:r="http://schemas.openxmlformats.org/officeDocument/2006/relationships" r:id="Re5c87cbe5f0844a1"/>
    <x:tablePart xmlns:r="http://schemas.openxmlformats.org/officeDocument/2006/relationships" r:id="R99bdd8df67364366"/>
    <x:tablePart xmlns:r="http://schemas.openxmlformats.org/officeDocument/2006/relationships" r:id="R970edd5d07994df7"/>
    <x:tablePart xmlns:r="http://schemas.openxmlformats.org/officeDocument/2006/relationships" r:id="Rb65b30a835674ad3"/>
    <x:tablePart xmlns:r="http://schemas.openxmlformats.org/officeDocument/2006/relationships" r:id="R287e55c8b51c4b72"/>
  </x:tableParts>
  <x:extLst>
    <x:ext xmlns:x14="http://schemas.microsoft.com/office/spreadsheetml/2009/9/main" xmlns:xm="http://schemas.microsoft.com/office/excel/2006/main" uri="{78C0D931-6437-407d-A8EE-F0AAD7539E65}">
      <x14:conditionalFormattings>
        <x14:conditionalFormatting>
          <x14:cfRule type="dataBar" priority="5" id="{D257180D-4396-6B7C-B3E3-10B52B09EA97}">
            <x14:dataBar gradient="1">
              <x14:cfvo type="min"/>
              <x14:cfvo type="max"/>
              <x14:fillColor rgb="FF5B9BD5"/>
            </x14:dataBar>
          </x14:cfRule>
          <xm:sqref>C62:C71</xm:sqref>
        </x14:conditionalFormatting>
        <x14:conditionalFormatting>
          <x14:cfRule type="dataBar" priority="6" id="{3F740886-0713-E5C1-9EB0-08C8E27EB83E}">
            <x14:dataBar gradient="1">
              <x14:cfvo type="min"/>
              <x14:cfvo type="max"/>
              <x14:fillColor rgb="FF5B9BD5"/>
            </x14:dataBar>
          </x14:cfRule>
          <xm:sqref>K62:K71</xm:sqref>
        </x14:conditionalFormatting>
        <x14:conditionalFormatting>
          <x14:cfRule type="dataBar" priority="7" id="{C1A41346-743B-D6AF-EBDF-AD775F32BFE5}">
            <x14:dataBar gradient="1">
              <x14:cfvo type="min"/>
              <x14:cfvo type="max"/>
              <x14:fillColor rgb="FF5B9BD5"/>
            </x14:dataBar>
          </x14:cfRule>
          <xm:sqref>Q62:Q71</xm:sqref>
        </x14:conditionalFormatting>
        <x14:conditionalFormatting>
          <x14:cfRule type="dataBar" priority="8" id="{69A2FDA2-9957-BE0E-7494-8CA97385BBCD}">
            <x14:dataBar gradient="1">
              <x14:cfvo type="min"/>
              <x14:cfvo type="max"/>
              <x14:fillColor rgb="FF5B9BD5"/>
            </x14:dataBar>
          </x14:cfRule>
          <xm:sqref>C76:C80</xm:sqref>
        </x14:conditionalFormatting>
        <x14:conditionalFormatting>
          <x14:cfRule type="dataBar" priority="9" id="{1FA9B806-574F-EED7-68AA-A11B31C541D5}">
            <x14:dataBar gradient="1">
              <x14:cfvo type="min"/>
              <x14:cfvo type="max"/>
              <x14:fillColor rgb="FF5B9BD5"/>
            </x14:dataBar>
          </x14:cfRule>
          <xm:sqref>K76:K85</xm:sqref>
        </x14:conditionalFormatting>
        <x14:conditionalFormatting>
          <x14:cfRule type="dataBar" priority="10" id="{1FD654BB-E3EE-911C-BA33-25B4775AA362}">
            <x14:dataBar gradient="1">
              <x14:cfvo type="min"/>
              <x14:cfvo type="max"/>
              <x14:fillColor rgb="FF5B9BD5"/>
            </x14:dataBar>
          </x14:cfRule>
          <xm:sqref>T76:T85</xm:sqref>
        </x14:conditionalFormatting>
        <x14:conditionalFormatting>
          <x14:cfRule type="dataBar" priority="11" id="{5FAB4B3D-F900-FAE3-E70B-5F9BD0D219C3}">
            <x14:dataBar gradient="1">
              <x14:cfvo type="min"/>
              <x14:cfvo type="max"/>
              <x14:fillColor rgb="FF5B9BD5"/>
            </x14:dataBar>
          </x14:cfRule>
          <xm:sqref>C90:C101</xm:sqref>
        </x14:conditionalFormatting>
        <x14:conditionalFormatting>
          <x14:cfRule type="dataBar" priority="12" id="{5F0C3A4A-B89D-7364-3E26-2B47469D7B41}">
            <x14:dataBar gradient="1">
              <x14:cfvo type="min"/>
              <x14:cfvo type="max"/>
              <x14:fillColor rgb="FF5B9BD5"/>
            </x14:dataBar>
          </x14:cfRule>
          <xm:sqref>J90:J92</xm:sqref>
        </x14:conditionalFormatting>
        <x14:conditionalFormatting>
          <x14:cfRule type="dataBar" priority="13" id="{21CE3649-1563-6FD3-C9E0-F20B1E4F32D3}">
            <x14:dataBar gradient="1">
              <x14:cfvo type="min"/>
              <x14:cfvo type="max"/>
              <x14:fillColor rgb="FF9DC3E6"/>
            </x14:dataBar>
          </x14:cfRule>
          <xm:sqref>R90:R101</xm:sqref>
        </x14:conditionalFormatting>
        <x14:conditionalFormatting>
          <x14:cfRule type="dataBar" priority="14" id="{1FD654BB-E3EE-911C-BA33-25B4775AA362}">
            <x14:dataBar gradient="1">
              <x14:cfvo type="min"/>
              <x14:cfvo type="max"/>
              <x14:fillColor rgb="FF5B9BD5"/>
            </x14:dataBar>
          </x14:cfRule>
          <xm:sqref>G12:G38</xm:sqref>
        </x14:conditionalFormatting>
        <x14:conditionalFormatting>
          <x14:cfRule type="dataBar" priority="18" id="{21CE3649-1563-6FD3-C9E0-F20B1E4F32D3}">
            <x14:dataBar gradient="1">
              <x14:cfvo type="min"/>
              <x14:cfvo type="max"/>
              <x14:fillColor rgb="FF9DC3E6"/>
            </x14:dataBar>
          </x14:cfRule>
          <xm:sqref>B43:B47</xm:sqref>
        </x14:conditionalFormatting>
        <x14:conditionalFormatting>
          <x14:cfRule type="dataBar" priority="19" id="{8AC6AA4C-99C0-1077-2292-96E2B9335CBE}">
            <x14:dataBar gradient="1">
              <x14:cfvo type="min"/>
              <x14:cfvo type="max"/>
              <x14:fillColor rgb="FF5B9BD5"/>
            </x14:dataBar>
          </x14:cfRule>
          <xm:sqref>E43:E47</xm:sqref>
        </x14:conditionalFormatting>
        <x14:conditionalFormatting>
          <x14:cfRule type="dataBar" priority="21" id="{373A0794-0CC4-C212-8058-55A1183A7639}">
            <x14:dataBar gradient="1">
              <x14:cfvo type="min"/>
              <x14:cfvo type="max"/>
              <x14:fillColor rgb="FF5B9BD5"/>
            </x14:dataBar>
          </x14:cfRule>
          <xm:sqref>K43:K47</xm:sqref>
        </x14:conditionalFormatting>
        <x14:conditionalFormatting>
          <x14:cfRule type="dataBar" priority="25" id="{1FCB5DE8-2C3A-C80B-C327-9EE94284887E}">
            <x14:dataBar gradient="1">
              <x14:cfvo type="min"/>
              <x14:cfvo type="max"/>
              <x14:fillColor rgb="FF5B9BD5"/>
            </x14:dataBar>
          </x14:cfRule>
          <xm:sqref>F52:F54</xm:sqref>
        </x14:conditionalFormatting>
        <x14:conditionalFormatting>
          <x14:cfRule type="dataBar" priority="27" id="{F1826BE4-4FDA-0323-3728-2DA194C39835}">
            <x14:dataBar gradient="1">
              <x14:cfvo type="min"/>
              <x14:cfvo type="max"/>
              <x14:fillColor rgb="FF5B9BD5"/>
            </x14:dataBar>
          </x14:cfRule>
          <xm:sqref>Z2:Z28</xm:sqref>
        </x14:conditionalFormatting>
        <x14:conditionalFormatting>
          <x14:cfRule type="dataBar" priority="31" id="{768FB075-E5BC-5EBD-A4EA-AEBE900E154F}">
            <x14:dataBar gradient="1">
              <x14:cfvo type="min"/>
              <x14:cfvo type="max"/>
              <x14:fillColor rgb="FF5B9BD5"/>
            </x14:dataBar>
          </x14:cfRule>
          <xm:sqref>Z32:Z68</xm:sqref>
        </x14:conditionalFormatting>
        <x14:conditionalFormatting>
          <x14:cfRule type="dataBar" priority="33" id="{2E40AC2E-F260-1052-F7B9-77AA57056ED8}">
            <x14:dataBar gradient="1">
              <x14:cfvo type="min"/>
              <x14:cfvo type="max"/>
              <x14:fillColor rgb="FF5B9BD5"/>
            </x14:dataBar>
          </x14:cfRule>
          <xm:sqref>Y70:Y82</xm:sqref>
        </x14:conditionalFormatting>
        <x14:conditionalFormatting>
          <x14:cfRule type="dataBar" priority="35" id="{C028D795-81BD-A7F4-BA3E-DA7BF6394870}">
            <x14:dataBar gradient="1">
              <x14:cfvo type="min"/>
              <x14:cfvo type="max"/>
              <x14:fillColor rgb="FF5B9BD5"/>
            </x14:dataBar>
          </x14:cfRule>
          <xm:sqref>Z85:Z129</xm:sqref>
        </x14:conditionalFormatting>
      </x14:conditionalFormattings>
    </x:ext>
  </x:extLst>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34" hidden="0" customWidth="1"/>
    <x:col min="4" max="4" width="16" hidden="0" customWidth="1"/>
    <x:col min="5" max="5" width="14" hidden="0" customWidth="1"/>
    <x:col min="6" max="6" width="14" hidden="0" customWidth="1"/>
    <x:col min="7" max="7" width="32" hidden="0" customWidth="1"/>
    <x:col min="8" max="8" width="38" hidden="0" customWidth="1"/>
    <x:col min="9" max="9" width="14" hidden="0" customWidth="1"/>
    <x:col min="10" max="10" width="16" hidden="0" customWidth="1"/>
    <x:col min="11" max="11" width="15" hidden="0" customWidth="1"/>
    <x:col min="12" max="12" width="38" hidden="0" customWidth="1"/>
    <x:col min="13" max="13" width="18" hidden="0" customWidth="1"/>
    <x:col min="14" max="14" width="18" hidden="0" customWidth="1"/>
    <x:col min="15" max="15" width="18" hidden="0" customWidth="1"/>
    <x:col min="16" max="16" width="22" hidden="0" customWidth="1"/>
    <x:col min="17" max="17" width="18" hidden="0" customWidth="1"/>
    <x:col min="18" max="18" width="22" hidden="0" customWidth="1"/>
    <x:col min="19" max="19" width="15" hidden="0" customWidth="1"/>
    <x:col min="20" max="20" width="32" hidden="0" customWidth="1"/>
    <x:col min="21" max="21" width="10" hidden="0" customWidth="1"/>
    <x:col min="22" max="22" width="16" hidden="0" customWidth="1"/>
  </x:cols>
  <x:sheetData>
    <x:row r="1">
      <x:c r="A1" s="243" t="str">
        <x:v>Barrister Exception &amp; Integrity Engine — Phase 3H</x:v>
      </x:c>
      <x:c r="B1" s="243"/>
      <x:c r="C1" s="243"/>
      <x:c r="D1" s="243"/>
      <x:c r="E1" s="243"/>
      <x:c r="F1" s="243"/>
      <x:c r="G1" s="243"/>
      <x:c r="H1" s="243"/>
      <x:c r="I1" s="243"/>
      <x:c r="J1" s="243"/>
      <x:c r="K1" s="243"/>
      <x:c r="L1" s="243"/>
      <x:c r="M1" s="243"/>
      <x:c r="N1" s="243"/>
      <x:c r="O1" s="243"/>
      <x:c r="P1" s="243"/>
      <x:c r="Q1" s="243"/>
      <x:c r="R1" s="243"/>
      <x:c r="S1" s="243"/>
      <x:c r="T1" s="243"/>
      <x:c r="U1" s="243"/>
      <x:c r="V1" s="243"/>
      <x:c r="W1" s="52"/>
      <x:c r="X1" s="52"/>
      <x:c r="Y1" s="52"/>
      <x:c r="Z1" s="52"/>
      <x:c r="AA1" s="52"/>
      <x:c r="AB1" s="52"/>
      <x:c r="AC1" s="52"/>
      <x:c r="AD1" s="52"/>
      <x:c r="AE1" s="52"/>
      <x:c r="AT1"/>
      <x:c r="AU1"/>
      <x:c r="AV1"/>
      <x:c r="AW1"/>
      <x:c r="AX1"/>
      <x:c r="AY1"/>
      <x:c r="AZ1"/>
      <x:c r="BA1"/>
      <x:c r="BB1"/>
      <x:c r="BC1"/>
      <x:c r="BD1"/>
      <x:c r="BE1"/>
      <x:c r="BF1"/>
      <x:c r="BG1"/>
      <x:c r="BH1"/>
      <x:c r="BI1"/>
      <x:c r="BJ1"/>
      <x:c r="BK1"/>
    </x:row>
    <x:row r="2">
      <x:c r="A2" s="249"/>
      <x:c r="B2" s="249"/>
      <x:c r="C2" s="249"/>
      <x:c r="D2" s="249"/>
      <x:c r="E2" s="249"/>
      <x:c r="F2" s="249"/>
      <x:c r="G2" s="249"/>
      <x:c r="H2" s="249"/>
      <x:c r="I2" s="249"/>
      <x:c r="J2" s="249"/>
      <x:c r="K2" s="249"/>
      <x:c r="L2" s="249"/>
      <x:c r="M2" s="249"/>
      <x:c r="N2" s="249"/>
      <x:c r="O2" s="249"/>
      <x:c r="P2" s="249"/>
      <x:c r="Q2" s="249"/>
      <x:c r="R2" s="249"/>
      <x:c r="S2" s="249"/>
      <x:c r="T2" s="249"/>
      <x:c r="U2" s="249"/>
      <x:c r="V2" s="249"/>
      <x:c r="X2"/>
      <x:c r="AT2"/>
      <x:c r="AU2"/>
      <x:c r="AV2"/>
      <x:c r="AW2"/>
      <x:c r="AX2"/>
      <x:c r="AY2"/>
      <x:c r="AZ2"/>
      <x:c r="BA2"/>
      <x:c r="BB2"/>
      <x:c r="BC2"/>
      <x:c r="BD2"/>
      <x:c r="BE2"/>
      <x:c r="BF2"/>
      <x:c r="BG2"/>
      <x:c r="BH2"/>
      <x:c r="BI2"/>
      <x:c r="BJ2"/>
      <x:c r="BK2"/>
    </x:row>
    <x:row r="3">
      <x:c r="A3" s="255" t="str">
        <x:v>Formula-driven operational, financial, cross-table, and structural integrity controls</x:v>
      </x:c>
      <x:c r="B3" s="255"/>
      <x:c r="C3" s="255"/>
      <x:c r="D3" s="255"/>
      <x:c r="E3" s="255"/>
      <x:c r="F3" s="255"/>
      <x:c r="G3" s="255"/>
      <x:c r="H3" s="255"/>
      <x:c r="I3" s="255"/>
      <x:c r="J3" s="255"/>
      <x:c r="K3" s="255"/>
      <x:c r="L3" s="255"/>
      <x:c r="M3" s="255"/>
      <x:c r="N3" s="255"/>
      <x:c r="O3" s="255"/>
      <x:c r="P3" s="255"/>
      <x:c r="Q3" s="255"/>
      <x:c r="R3" s="255"/>
      <x:c r="S3" s="255"/>
      <x:c r="T3" s="255"/>
      <x:c r="U3" s="255"/>
      <x:c r="V3" s="255"/>
      <x:c r="X3"/>
    </x:row>
    <x:row r="4">
      <x:c r="A4" s="66"/>
      <x:c r="B4" s="66"/>
      <x:c r="C4" s="66"/>
      <x:c r="D4" s="66"/>
      <x:c r="E4" s="66"/>
      <x:c r="F4" s="66"/>
      <x:c r="G4" s="66"/>
      <x:c r="H4" s="66"/>
      <x:c r="I4" s="68"/>
      <x:c r="J4" s="68"/>
      <x:c r="X4"/>
    </x:row>
    <x:row r="5">
      <x:c r="A5" s="257" t="str">
        <x:v>Critical Exceptions</x:v>
      </x:c>
      <x:c r="B5" s="257"/>
      <x:c r="C5" s="257"/>
      <x:c r="D5" s="257" t="str">
        <x:v>Warnings</x:v>
      </x:c>
      <x:c r="E5" s="257"/>
      <x:c r="F5" s="257"/>
      <x:c r="G5" s="257" t="str">
        <x:v>Pending Items</x:v>
      </x:c>
      <x:c r="H5" s="257"/>
      <x:c r="I5" s="257"/>
      <x:c r="J5" s="257" t="str">
        <x:v>Mapping Holds</x:v>
      </x:c>
      <x:c r="K5" s="257"/>
      <x:c r="L5" s="257"/>
      <x:c r="M5" s="257" t="str">
        <x:v>Duplicate WO Flags</x:v>
      </x:c>
      <x:c r="N5" s="257"/>
      <x:c r="O5" s="257"/>
      <x:c r="P5" s="257" t="str">
        <x:v>Missing Event Links</x:v>
      </x:c>
      <x:c r="Q5" s="257"/>
      <x:c r="R5" s="257"/>
      <x:c r="S5" s="257" t="str">
        <x:v>Variance Exposure</x:v>
      </x:c>
      <x:c r="T5" s="257"/>
      <x:c r="U5" s="257"/>
      <x:c r="V5" s="257"/>
      <x:c r="X5"/>
    </x:row>
    <x:row r="6">
      <x:c r="A6" s="262" t="n">
        <x:f>COUNTIF(S31:S98,"Critical")+COUNTIF(Q100:Q166,"Critical")</x:f>
        <x:v>1</x:v>
      </x:c>
      <x:c r="B6" s="262"/>
      <x:c r="C6" s="262"/>
      <x:c r="D6" s="271" t="n">
        <x:f>COUNTIF(S31:S98,"Warning")+COUNTIF(Q100:Q166,"Warning")</x:f>
        <x:v>2</x:v>
      </x:c>
      <x:c r="E6" s="271"/>
      <x:c r="F6" s="272"/>
      <x:c r="G6" s="280" t="n">
        <x:f>COUNTIF(S31:S98,"Informational")+COUNTIF(Q100:Q166,"Informational")</x:f>
        <x:v>14</x:v>
      </x:c>
      <x:c r="H6" s="280"/>
      <x:c r="I6" s="280"/>
      <x:c r="J6" s="262" t="n">
        <x:f>COUNTIF(J31:J98,"Yes")</x:f>
        <x:v>1</x:v>
      </x:c>
      <x:c r="K6" s="262"/>
      <x:c r="L6" s="262"/>
      <x:c r="M6" s="271" t="n">
        <x:f>COUNTIF(H31:H98,"Yes")</x:f>
        <x:v>0</x:v>
      </x:c>
      <x:c r="N6" s="271"/>
      <x:c r="O6" s="271"/>
      <x:c r="P6" s="262" t="n">
        <x:f>COUNTIF(I31:I98,"Yes")</x:f>
        <x:v>1</x:v>
      </x:c>
      <x:c r="Q6" s="262"/>
      <x:c r="R6" s="262"/>
      <x:c r="S6" s="282" t="n">
        <x:f>SUM(V31:V98)</x:f>
        <x:v>49.17</x:v>
      </x:c>
      <x:c r="T6" s="282"/>
      <x:c r="U6" s="282"/>
      <x:c r="V6" s="282"/>
    </x:row>
    <x:row r="7">
      <x:c r="A7" s="262"/>
      <x:c r="B7" s="262"/>
      <x:c r="C7" s="262"/>
      <x:c r="D7" s="271"/>
      <x:c r="E7" s="271"/>
      <x:c r="F7" s="272"/>
      <x:c r="G7" s="280"/>
      <x:c r="H7" s="280"/>
      <x:c r="I7" s="280"/>
      <x:c r="J7" s="262"/>
      <x:c r="K7" s="262"/>
      <x:c r="L7" s="262"/>
      <x:c r="M7" s="271"/>
      <x:c r="N7" s="271"/>
      <x:c r="O7" s="271"/>
      <x:c r="P7" s="262"/>
      <x:c r="Q7" s="262"/>
      <x:c r="R7" s="262"/>
      <x:c r="S7" s="282"/>
      <x:c r="T7" s="282"/>
      <x:c r="U7" s="282"/>
      <x:c r="V7" s="282"/>
    </x:row>
    <x:row r="8">
      <x:c r="A8"/>
      <x:c r="B8"/>
      <x:c r="C8"/>
      <x:c r="D8"/>
      <x:c r="E8"/>
      <x:c r="F8" s="24"/>
      <x:c r="G8"/>
      <x:c r="H8"/>
      <x:c r="I8"/>
      <x:c r="J8"/>
    </x:row>
    <x:row r="9">
      <x:c r="A9" s="287" t="str">
        <x:v>Current Open Exceptions — Snapshot</x:v>
      </x:c>
      <x:c r="B9" s="287"/>
      <x:c r="C9" s="287"/>
      <x:c r="D9" s="287"/>
      <x:c r="E9" s="287"/>
      <x:c r="F9" s="288"/>
      <x:c r="G9" s="287"/>
      <x:c r="H9" s="287"/>
      <x:c r="I9" s="287"/>
      <x:c r="J9" s="287"/>
      <x:c r="K9" s="287"/>
      <x:c r="L9" s="287"/>
    </x:row>
    <x:row r="10">
      <x:c r="A10" s="294" t="str">
        <x:v>Severity</x:v>
      </x:c>
      <x:c r="B10" s="294" t="str">
        <x:v>Issue</x:v>
      </x:c>
      <x:c r="C10" s="294" t="str">
        <x:v>Event #</x:v>
      </x:c>
      <x:c r="D10" s="294" t="str">
        <x:v>WO #</x:v>
      </x:c>
      <x:c r="E10" s="294" t="str">
        <x:v>Client</x:v>
      </x:c>
      <x:c r="F10" s="295" t="str">
        <x:v>City</x:v>
      </x:c>
      <x:c r="G10" s="294" t="str">
        <x:v>Jurisdiction</x:v>
      </x:c>
      <x:c r="H10" s="294" t="str">
        <x:v>Amount</x:v>
      </x:c>
      <x:c r="I10" s="294" t="str">
        <x:v>Status</x:v>
      </x:c>
      <x:c r="J10" s="294" t="str">
        <x:v>Required Action</x:v>
      </x:c>
      <x:c r="K10" s="294" t="str">
        <x:v>Source</x:v>
      </x:c>
      <x:c r="L10" s="294" t="str">
        <x:v>Notes</x:v>
      </x:c>
    </x:row>
    <x:row r="11">
      <x:c r="A11" t="str">
        <x:v>Informational</x:v>
      </x:c>
      <x:c r="B11" t="str">
        <x:v>Pending ACH</x:v>
      </x:c>
      <x:c r="C11" t="n">
        <x:v>52</x:v>
      </x:c>
      <x:c r="D11" t="str">
        <x:v>5906380</x:v>
      </x:c>
      <x:c r="E11" t="str">
        <x:v>Food Lion</x:v>
      </x:c>
      <x:c r="F11" s="24" t="str">
        <x:v>Upper Marlboro</x:v>
      </x:c>
      <x:c r="G11" t="str">
        <x:v>MD</x:v>
      </x:c>
      <x:c r="H11" s="24" t="n">
        <x:v>116.24</x:v>
      </x:c>
      <x:c r="I11" t="str">
        <x:v>ACH missing</x:v>
      </x:c>
      <x:c r="J11" t="str">
        <x:v>Await ACH processing</x:v>
      </x:c>
      <x:c r="K11" t="str">
        <x:v>WO Alias Index + Canonical Ledger</x:v>
      </x:c>
      <x:c r="L11" t="str">
        <x:v>Food Lion payment breakdown confirmed.</x:v>
      </x:c>
    </x:row>
    <x:row r="12">
      <x:c r="A12" t="str">
        <x:v>Informational</x:v>
      </x:c>
      <x:c r="B12" t="str">
        <x:v>Pending ACH</x:v>
      </x:c>
      <x:c r="C12" t="n">
        <x:v>55</x:v>
      </x:c>
      <x:c r="D12" t="str">
        <x:v>5898645</x:v>
      </x:c>
      <x:c r="E12" t="str">
        <x:v>Office of MD Senator Angela Alsobrooks</x:v>
      </x:c>
      <x:c r="F12" s="24" t="str">
        <x:v>Largo</x:v>
      </x:c>
      <x:c r="G12" t="str">
        <x:v>MD</x:v>
      </x:c>
      <x:c r="H12" s="24" t="n">
        <x:v>120</x:v>
      </x:c>
      <x:c r="I12" t="str">
        <x:v>ACH missing</x:v>
      </x:c>
      <x:c r="J12" t="str">
        <x:v>Await ACH processing</x:v>
      </x:c>
      <x:c r="K12" t="str">
        <x:v>WO Alias Index + Canonical Ledger</x:v>
      </x:c>
      <x:c r="L12" t="str">
        <x:v>Payment breakdown $120 received; ACH pending.</x:v>
      </x:c>
    </x:row>
    <x:row r="13">
      <x:c r="A13" t="str">
        <x:v>Informational</x:v>
      </x:c>
      <x:c r="B13" t="str">
        <x:v>Pending ACH</x:v>
      </x:c>
      <x:c r="C13" t="n">
        <x:v>56</x:v>
      </x:c>
      <x:c r="D13" t="str">
        <x:v>5900784</x:v>
      </x:c>
      <x:c r="E13" t="str">
        <x:v>Dunkin</x:v>
      </x:c>
      <x:c r="F13" s="24" t="str">
        <x:v>Reisterstown</x:v>
      </x:c>
      <x:c r="G13" t="str">
        <x:v>MD</x:v>
      </x:c>
      <x:c r="H13" s="24" t="n">
        <x:v>170.66</x:v>
      </x:c>
      <x:c r="I13" t="str">
        <x:v>ACH missing</x:v>
      </x:c>
      <x:c r="J13" t="str">
        <x:v>Await ACH processing</x:v>
      </x:c>
      <x:c r="K13" t="str">
        <x:v>WO Alias Index + Canonical Ledger</x:v>
      </x:c>
      <x:c r="L13" t="str">
        <x:v>Dunkin Reisterstown payment breakdown confirmed.</x:v>
      </x:c>
    </x:row>
    <x:row r="14">
      <x:c r="A14" t="str">
        <x:v>Informational</x:v>
      </x:c>
      <x:c r="B14" t="str">
        <x:v>Pending ACH</x:v>
      </x:c>
      <x:c r="C14" t="n">
        <x:v>57</x:v>
      </x:c>
      <x:c r="D14" t="str">
        <x:v>5911577</x:v>
      </x:c>
      <x:c r="E14" t="str">
        <x:v>Montpelier Liquors</x:v>
      </x:c>
      <x:c r="F14" s="24" t="str">
        <x:v>Laurel</x:v>
      </x:c>
      <x:c r="G14" t="str">
        <x:v>MD</x:v>
      </x:c>
      <x:c r="H14" s="24" t="n">
        <x:v>66.74</x:v>
      </x:c>
      <x:c r="I14" t="str">
        <x:v>ACH missing</x:v>
      </x:c>
      <x:c r="J14" t="str">
        <x:v>Await ACH processing</x:v>
      </x:c>
      <x:c r="K14" t="str">
        <x:v>WO Alias Index + Canonical Ledger</x:v>
      </x:c>
      <x:c r="L14" t="str">
        <x:v>No-access visit paid breakdown.</x:v>
      </x:c>
    </x:row>
    <x:row r="15">
      <x:c r="A15" t="str">
        <x:v>Informational</x:v>
      </x:c>
      <x:c r="B15" t="str">
        <x:v>Pending ACH</x:v>
      </x:c>
      <x:c r="C15" t="n">
        <x:v>58</x:v>
      </x:c>
      <x:c r="D15" t="str">
        <x:v>5900780</x:v>
      </x:c>
      <x:c r="E15" t="str">
        <x:v>Dunkin</x:v>
      </x:c>
      <x:c r="F15" s="24" t="str">
        <x:v>Lutherville</x:v>
      </x:c>
      <x:c r="G15" t="str">
        <x:v>MD</x:v>
      </x:c>
      <x:c r="H15" s="24" t="n">
        <x:v>202.5</x:v>
      </x:c>
      <x:c r="I15" t="str">
        <x:v>ACH missing</x:v>
      </x:c>
      <x:c r="J15" t="str">
        <x:v>Await ACH processing</x:v>
      </x:c>
      <x:c r="K15" t="str">
        <x:v>WO Alias Index + Canonical Ledger</x:v>
      </x:c>
      <x:c r="L15" t="str">
        <x:v>Dunkin Lutherville payment breakdown confirmed.</x:v>
      </x:c>
    </x:row>
    <x:row r="16">
      <x:c r="A16" t="str">
        <x:v>Informational</x:v>
      </x:c>
      <x:c r="B16" t="str">
        <x:v>Pending ACH</x:v>
      </x:c>
      <x:c r="C16" t="n">
        <x:v>59</x:v>
      </x:c>
      <x:c r="D16" t="str">
        <x:v>5900830</x:v>
      </x:c>
      <x:c r="E16" t="str">
        <x:v>Dunkin</x:v>
      </x:c>
      <x:c r="F16" s="24" t="str">
        <x:v>Aberdeen</x:v>
      </x:c>
      <x:c r="G16" t="str">
        <x:v>MD</x:v>
      </x:c>
      <x:c r="H16" s="24" t="n">
        <x:v>250</x:v>
      </x:c>
      <x:c r="I16" t="str">
        <x:v>ACH missing</x:v>
      </x:c>
      <x:c r="J16" t="str">
        <x:v>Await ACH processing</x:v>
      </x:c>
      <x:c r="K16" t="str">
        <x:v>WO Alias Index + Canonical Ledger</x:v>
      </x:c>
      <x:c r="L16" t="str">
        <x:v>First Aberdeen visit payment breakdown confirmed.</x:v>
      </x:c>
    </x:row>
    <x:row r="17">
      <x:c r="A17" t="str">
        <x:v>Informational</x:v>
      </x:c>
      <x:c r="B17" t="str">
        <x:v>Pending Breakdown</x:v>
      </x:c>
      <x:c r="C17" t="n">
        <x:v>60</x:v>
      </x:c>
      <x:c r="D17" t="str">
        <x:v>5912364</x:v>
      </x:c>
      <x:c r="E17" t="str">
        <x:v>Carvana</x:v>
      </x:c>
      <x:c r="F17" s="24" t="str">
        <x:v>Baltimore</x:v>
      </x:c>
      <x:c r="G17" t="str">
        <x:v>MD</x:v>
      </x:c>
      <x:c r="H17" s="24"/>
      <x:c r="I17" t="str">
        <x:v>Combined visit / partial breakdown</x:v>
      </x:c>
      <x:c r="J17" t="str">
        <x:v>Await payment breakdown</x:v>
      </x:c>
      <x:c r="K17" t="str">
        <x:v>WO Alias Index + Canonical Ledger</x:v>
      </x:c>
      <x:c r="L17" t="str">
        <x:v>Alias maps to combined one-visit Carvana event; 5912364 closed by user, breakdown pending.</x:v>
      </x:c>
    </x:row>
    <x:row r="18">
      <x:c r="A18" t="str">
        <x:v>Warning</x:v>
      </x:c>
      <x:c r="B18" t="str">
        <x:v>Partial Breakdown</x:v>
      </x:c>
      <x:c r="C18" t="n">
        <x:v>60</x:v>
      </x:c>
      <x:c r="D18" t="str">
        <x:v>5914049</x:v>
      </x:c>
      <x:c r="E18" t="str">
        <x:v>Carvana</x:v>
      </x:c>
      <x:c r="F18" s="24" t="str">
        <x:v>Baltimore</x:v>
      </x:c>
      <x:c r="G18" t="str">
        <x:v>MD</x:v>
      </x:c>
      <x:c r="H18" s="24" t="n">
        <x:v>65</x:v>
      </x:c>
      <x:c r="I18" t="str">
        <x:v>Combined visit / partial breakdown</x:v>
      </x:c>
      <x:c r="J18" t="str">
        <x:v>Confirm remaining work-order breakdown</x:v>
      </x:c>
      <x:c r="K18" t="str">
        <x:v>WO Alias Index + Canonical Ledger</x:v>
      </x:c>
      <x:c r="L18" t="str">
        <x:v>Alias maps to combined one-visit Carvana event; 5914049 breakdown $65 received.</x:v>
      </x:c>
    </x:row>
    <x:row r="19">
      <x:c r="A19" s="12" t="str">
        <x:v>Informational</x:v>
      </x:c>
      <x:c r="B19" s="12" t="str">
        <x:v>Pending ACH</x:v>
      </x:c>
      <x:c r="C19" s="12" t="n">
        <x:v>61</x:v>
      </x:c>
      <x:c r="D19" s="12" t="str">
        <x:v>5909344</x:v>
      </x:c>
      <x:c r="E19" s="12" t="str">
        <x:v>TJ Maxx</x:v>
      </x:c>
      <x:c r="F19" s="69" t="str">
        <x:v>Germantown</x:v>
      </x:c>
      <x:c r="G19" s="12" t="str">
        <x:v>MD</x:v>
      </x:c>
      <x:c r="H19" s="69" t="n">
        <x:v>194.99</x:v>
      </x:c>
      <x:c r="I19" s="12" t="str">
        <x:v>ACH missing</x:v>
      </x:c>
      <x:c r="J19" s="12" t="str">
        <x:v>Await ACH processing</x:v>
      </x:c>
      <x:c r="K19" t="str">
        <x:v>Gmail payment breakdown 2026-07-11</x:v>
      </x:c>
      <x:c r="L19" t="str">
        <x:v>Payment breakdown confirmed at $194.99; expected payment 2026-07-23; ACH pending.</x:v>
      </x:c>
    </x:row>
    <x:row r="20">
      <x:c r="A20" s="29" t="str">
        <x:v>Warning</x:v>
      </x:c>
      <x:c r="B20" s="29" t="str">
        <x:v>Revenue Variance</x:v>
      </x:c>
      <x:c r="C20" s="29" t="n">
        <x:v>62</x:v>
      </x:c>
      <x:c r="D20" s="29" t="str">
        <x:v>5913868</x:v>
      </x:c>
      <x:c r="E20" s="29" t="str">
        <x:v>TJ Maxx</x:v>
      </x:c>
      <x:c r="F20" s="70" t="str">
        <x:v>Martinsburg</x:v>
      </x:c>
      <x:c r="G20" s="29" t="str">
        <x:v>WV</x:v>
      </x:c>
      <x:c r="H20" s="70" t="n">
        <x:v>49.17</x:v>
      </x:c>
      <x:c r="I20" s="29" t="str">
        <x:v>BREAKDOWN_MISMATCH</x:v>
      </x:c>
      <x:c r="J20" s="29" t="str">
        <x:v>Review and dispute or reconcile the variance</x:v>
      </x:c>
      <x:c r="K20" t="str">
        <x:v>Gmail payment breakdown 2026-07-10 + Phase 1 ledger</x:v>
      </x:c>
      <x:c r="L20" t="str">
        <x:v>Negotiated amount $150.00; payment breakdown received for $100.83; variance -$49.17; expected payment 2026-07-23.</x:v>
      </x:c>
    </x:row>
    <x:row r="21">
      <x:c r="A21" t="str">
        <x:v>Critical</x:v>
      </x:c>
      <x:c r="B21" t="str">
        <x:v>Mapping Hold</x:v>
      </x:c>
      <x:c r="C21"/>
      <x:c r="D21" t="str">
        <x:v>5905579</x:v>
      </x:c>
      <x:c r="E21" t="str">
        <x:v>Hebrew Home of Greater Washington</x:v>
      </x:c>
      <x:c r="F21" s="24" t="str">
        <x:v>North Bethesda</x:v>
      </x:c>
      <x:c r="G21" t="str">
        <x:v>MD</x:v>
      </x:c>
      <x:c r="H21" s="24" t="n">
        <x:v>35</x:v>
      </x:c>
      <x:c r="I21" t="str">
        <x:v>MAPPING_HOLD</x:v>
      </x:c>
      <x:c r="J21" t="str">
        <x:v>Resolve WO-to-event ownership before financial closure</x:v>
      </x:c>
      <x:c r="K21" t="str">
        <x:v>Phase 1 duplicate rows consolidated</x:v>
      </x:c>
      <x:c r="L21" t="str">
        <x:v>Duplicate WO collision preserved without guessing. Event 48 legacy breakdown $70; Event 51 legacy breakdown $60; ACH $35. Human mapping required before assigning this WO.</x:v>
      </x:c>
    </x:row>
    <x:row r="22">
      <x:c r="A22" t="str">
        <x:v>Informational</x:v>
      </x:c>
      <x:c r="B22" t="str">
        <x:v>Pending Breakdown</x:v>
      </x:c>
      <x:c r="C22" t="n">
        <x:v>63</x:v>
      </x:c>
      <x:c r="D22" t="str">
        <x:v>5909368</x:v>
      </x:c>
      <x:c r="E22" t="str">
        <x:v>Marshalls</x:v>
      </x:c>
      <x:c r="F22" t="str">
        <x:v>Cockeysville</x:v>
      </x:c>
      <x:c r="G22" t="str">
        <x:v>MD</x:v>
      </x:c>
      <x:c r="H22" s="24"/>
      <x:c r="I22" t="str">
        <x:v>Breakdown pending</x:v>
      </x:c>
      <x:c r="J22" t="str">
        <x:v>Await payment breakdown</x:v>
      </x:c>
      <x:c r="K22" t="str">
        <x:v>WO 5909368 + user completion</x:v>
      </x:c>
      <x:c r="L22" t="str">
        <x:v>Hourly rate $40.00; final payable hours and breakdown pending.</x:v>
      </x:c>
    </x:row>
    <x:row r="23">
      <x:c r="A23" t="str">
        <x:v>Informational</x:v>
      </x:c>
      <x:c r="B23" t="str">
        <x:v>Pending Breakdown</x:v>
      </x:c>
      <x:c r="C23" t="n">
        <x:v>64</x:v>
      </x:c>
      <x:c r="D23" t="str">
        <x:v>5916961</x:v>
      </x:c>
      <x:c r="E23" t="str">
        <x:v>Marshalls</x:v>
      </x:c>
      <x:c r="F23" t="str">
        <x:v>Hagerstown</x:v>
      </x:c>
      <x:c r="G23" t="str">
        <x:v>MD</x:v>
      </x:c>
      <x:c r="H23" s="24"/>
      <x:c r="I23" t="str">
        <x:v>Breakdown pending</x:v>
      </x:c>
      <x:c r="J23" t="str">
        <x:v>Await payment breakdown</x:v>
      </x:c>
      <x:c r="K23" t="str">
        <x:v>WO 5916961 + onsite timeline</x:v>
      </x:c>
      <x:c r="L23" t="str">
        <x:v>Hourly rate $55.00; documented support-driven extended onsite time; final breakdown pending.</x:v>
      </x:c>
    </x:row>
    <x:row r="24">
      <x:c r="A24" t="str">
        <x:v>Informational</x:v>
      </x:c>
      <x:c r="B24" t="str">
        <x:v>Pending Breakdown</x:v>
      </x:c>
      <x:c r="C24" t="n">
        <x:v>65</x:v>
      </x:c>
      <x:c r="D24" t="str">
        <x:v>5917407</x:v>
      </x:c>
      <x:c r="E24" t="str">
        <x:v>HomeGoods</x:v>
      </x:c>
      <x:c r="F24" t="str">
        <x:v>Gaithersburg</x:v>
      </x:c>
      <x:c r="G24" t="str">
        <x:v>MD</x:v>
      </x:c>
      <x:c r="H24" s="24"/>
      <x:c r="I24" t="str">
        <x:v>Breakdown pending</x:v>
      </x:c>
      <x:c r="J24" t="str">
        <x:v>Await payment breakdown</x:v>
      </x:c>
      <x:c r="K24" t="str">
        <x:v>User completion + ticket/photo evidence</x:v>
      </x:c>
      <x:c r="L24" t="str">
        <x:v>Hourly rate $50.00; power cable and pin pad replaced; final breakdown pending.</x:v>
      </x:c>
    </x:row>
    <x:row r="25">
      <x:c r="A25" t="str">
        <x:v>Informational</x:v>
      </x:c>
      <x:c r="B25" t="str">
        <x:v>Pending Breakdown</x:v>
      </x:c>
      <x:c r="C25" t="n">
        <x:v>66</x:v>
      </x:c>
      <x:c r="D25" t="str">
        <x:v>5909385</x:v>
      </x:c>
      <x:c r="E25" t="str">
        <x:v>TJ Maxx</x:v>
      </x:c>
      <x:c r="F25" t="str">
        <x:v>Bel Air</x:v>
      </x:c>
      <x:c r="G25" t="str">
        <x:v>MD</x:v>
      </x:c>
      <x:c r="H25" s="24"/>
      <x:c r="I25" t="str">
        <x:v>Breakdown pending</x:v>
      </x:c>
      <x:c r="J25" t="str">
        <x:v>Await payment breakdown</x:v>
      </x:c>
      <x:c r="K25" t="str">
        <x:v>WO 5909385 + user completion</x:v>
      </x:c>
      <x:c r="L25" t="str">
        <x:v>Hourly rate $45.00; NextGen 11 server refresh completed; final breakdown pending.</x:v>
      </x:c>
    </x:row>
    <x:row r="26">
      <x:c r="A26" t="str">
        <x:v>Informational</x:v>
      </x:c>
      <x:c r="B26" t="str">
        <x:v>Pending ACH</x:v>
      </x:c>
      <x:c r="C26" t="n">
        <x:v>67</x:v>
      </x:c>
      <x:c r="D26" t="str">
        <x:v>5914898</x:v>
      </x:c>
      <x:c r="E26" t="str">
        <x:v>Dunkin</x:v>
      </x:c>
      <x:c r="F26" t="str">
        <x:v>Aberdeen</x:v>
      </x:c>
      <x:c r="G26" t="str">
        <x:v>MD</x:v>
      </x:c>
      <x:c r="H26" s="24" t="n">
        <x:v>183.74</x:v>
      </x:c>
      <x:c r="I26" t="str">
        <x:v>ACH missing</x:v>
      </x:c>
      <x:c r="J26" t="str">
        <x:v>Await ACH processing</x:v>
      </x:c>
      <x:c r="K26" t="str">
        <x:v>Gmail payment breakdown 2026-07-14 + user completion</x:v>
      </x:c>
      <x:c r="L26" t="str">
        <x:v>Return visit completed; $183.74 breakdown confirmed; expected payment 2026-07-28; ACH pending.</x:v>
      </x:c>
    </x:row>
    <x:row r="27">
      <x:c r="A27"/>
      <x:c r="B27"/>
      <x:c r="C27"/>
      <x:c r="D27"/>
      <x:c r="E27"/>
      <x:c r="F27"/>
      <x:c r="G27"/>
      <x:c r="H27"/>
      <x:c r="I27"/>
      <x:c r="J27"/>
      <x:c r="K27"/>
      <x:c r="L27"/>
    </x:row>
    <x:row r="28">
      <x:c r="A28"/>
      <x:c r="B28"/>
      <x:c r="C28"/>
      <x:c r="D28"/>
      <x:c r="E28"/>
      <x:c r="F28"/>
      <x:c r="G28"/>
      <x:c r="H28"/>
      <x:c r="I28"/>
      <x:c r="J28"/>
      <x:c r="K28"/>
      <x:c r="L28"/>
    </x:row>
    <x:row r="29">
      <x:c r="A29" s="287" t="str">
        <x:v>Ledger Exception Matrix — Dynamic</x:v>
      </x:c>
      <x:c r="B29" s="287"/>
      <x:c r="C29" s="287"/>
      <x:c r="D29" s="287"/>
      <x:c r="E29" s="287"/>
      <x:c r="F29" s="287"/>
      <x:c r="G29" s="287"/>
      <x:c r="H29" s="287"/>
      <x:c r="I29" s="287"/>
      <x:c r="J29" s="287"/>
      <x:c r="K29" s="287"/>
      <x:c r="L29" s="287"/>
      <x:c r="M29" s="287"/>
      <x:c r="N29" s="287"/>
      <x:c r="O29" s="287"/>
      <x:c r="P29" s="287"/>
      <x:c r="Q29" s="287"/>
      <x:c r="R29" s="287"/>
      <x:c r="S29" s="287"/>
      <x:c r="T29" s="287"/>
      <x:c r="U29" s="287"/>
      <x:c r="V29" s="287"/>
    </x:row>
    <x:row r="30">
      <x:c r="A30" s="294" t="str">
        <x:v>Ledger Record ID</x:v>
      </x:c>
      <x:c r="B30" s="294" t="str">
        <x:v>WO #</x:v>
      </x:c>
      <x:c r="C30" s="294" t="str">
        <x:v>Event #</x:v>
      </x:c>
      <x:c r="D30" s="294" t="str">
        <x:v>Client</x:v>
      </x:c>
      <x:c r="E30" s="294" t="str">
        <x:v>Breakdown Status</x:v>
      </x:c>
      <x:c r="F30" s="294" t="str">
        <x:v>ACH Status</x:v>
      </x:c>
      <x:c r="G30" s="294" t="str">
        <x:v>Variance</x:v>
      </x:c>
      <x:c r="H30" s="294" t="str">
        <x:v>Duplicate WO</x:v>
      </x:c>
      <x:c r="I30" s="294" t="str">
        <x:v>Missing Event Link</x:v>
      </x:c>
      <x:c r="J30" s="294" t="str">
        <x:v>Mapping Hold</x:v>
      </x:c>
      <x:c r="K30" s="294" t="str">
        <x:v>Missing Breakdown</x:v>
      </x:c>
      <x:c r="L30" s="294" t="str">
        <x:v>Pending ACH</x:v>
      </x:c>
      <x:c r="M30" s="294" t="str">
        <x:v>Revenue Variance</x:v>
      </x:c>
      <x:c r="N30" s="294" t="str">
        <x:v>Missing Client</x:v>
      </x:c>
      <x:c r="O30" s="294" t="str">
        <x:v>Missing Location</x:v>
      </x:c>
      <x:c r="P30" s="294" t="str">
        <x:v>Unknown Breakdown Status</x:v>
      </x:c>
      <x:c r="Q30" s="294" t="str">
        <x:v>Unknown ACH Status</x:v>
      </x:c>
      <x:c r="R30" s="294" t="str">
        <x:v>Primary Issue</x:v>
      </x:c>
      <x:c r="S30" s="294" t="str">
        <x:v>Severity</x:v>
      </x:c>
      <x:c r="T30" s="294" t="str">
        <x:v>Required Action</x:v>
      </x:c>
      <x:c r="U30" s="294" t="str">
        <x:v>Open?</x:v>
      </x:c>
      <x:c r="V30" s="294" t="str">
        <x:v>Absolute Variance</x:v>
      </x:c>
    </x:row>
    <x:row r="31">
      <x:c r="A31" t="str">
        <x:v>LED-0001</x:v>
      </x:c>
      <x:c r="B31" t="n">
        <x:f>INDEX(tblLedger[Work Order #],MATCH($A31,tblLedger[Ledger Record ID],0))</x:f>
        <x:v>5847113</x:v>
      </x:c>
      <x:c r="C31" t="n">
        <x:f>INDEX(tblLedger[Event #],MATCH($A31,tblLedger[Ledger Record ID],0))</x:f>
        <x:v>1</x:v>
      </x:c>
      <x:c r="D31" t="str">
        <x:f>INDEX(tblLedger[Client],MATCH($A31,tblLedger[Ledger Record ID],0))</x:f>
        <x:v>Macy's</x:v>
      </x:c>
      <x:c r="E31" t="str">
        <x:f>INDEX(tblLedger[Breakdown Confirmed],MATCH($A31,tblLedger[Ledger Record ID],0))</x:f>
        <x:v>Yes</x:v>
      </x:c>
      <x:c r="F31" t="str">
        <x:f>INDEX(tblLedger[ACH Confirmed],MATCH($A31,tblLedger[Ledger Record ID],0))</x:f>
        <x:v>Yes</x:v>
      </x:c>
      <x:c r="G31" s="24" t="str">
        <x:f>INDEX(tblLedger[Variance],MATCH($A31,tblLedger[Ledger Record ID],0))</x:f>
      </x:c>
      <x:c r="H31" t="str">
        <x:f>IF(COUNTIF(tblLedger[Work Order #],B31)&gt;1,"Yes","No")</x:f>
        <x:v>No</x:v>
      </x:c>
      <x:c r="I31" t="str">
        <x:f>IF(C31="","Yes","No")</x:f>
        <x:v>No</x:v>
      </x:c>
      <x:c r="J31" t="str">
        <x:f>IF(INDEX(tblLedger[Mapping Status],MATCH($A31,tblLedger[Ledger Record ID],0))="MAPPING_HOLD","Yes","No")</x:f>
        <x:v>No</x:v>
      </x:c>
      <x:c r="K31" t="str">
        <x:f>IF(AND(OR(E31="No",E31="Pending"),IFERROR(INDEX(tblServiceEvents[Financial Scope],MATCH(C31,tblServiceEvents[Event #],0)),"Included")="Included"),"Yes","No")</x:f>
        <x:v>No</x:v>
      </x:c>
      <x:c r="L31" t="str">
        <x:f>IF(AND(E31="Yes",OR(F31="No",F31="Pending")),"Yes","No")</x:f>
        <x:v>No</x:v>
      </x:c>
      <x:c r="M31" t="str">
        <x:f>IF(OR(ABS(N(G31))&gt;0,INDEX(tblLedger[Reconciliation Status],MATCH($A31,tblLedger[Ledger Record ID],0))="BREAKDOWN_MISMATCH",INDEX(tblLedger[Reconciliation Status],MATCH($A31,tblLedger[Ledger Record ID],0))="ACH_MISMATCH"),"Yes","No")</x:f>
        <x:v>No</x:v>
      </x:c>
      <x:c r="N31" t="str">
        <x:f>IF(D31="","Yes","No")</x:f>
        <x:v>No</x:v>
      </x:c>
      <x:c r="O31" t="str">
        <x:f>IF(OR(INDEX(tblLedger[City],MATCH($A31,tblLedger[Ledger Record ID],0))="",INDEX(tblLedger[Jurisdiction],MATCH($A31,tblLedger[Ledger Record ID],0))=""),"Yes","No")</x:f>
        <x:v>No</x:v>
      </x:c>
      <x:c r="P31" t="str">
        <x:f>IF(COUNTIF({"Yes","No","Partial","Pending","Mapping Hold"},E31)=0,"Yes","No")</x:f>
        <x:v>No</x:v>
      </x:c>
      <x:c r="Q31" t="str">
        <x:f>IF(COUNTIF({"Yes","No","Partial","Pending","Mapping Review"},F31)=0,"Yes","No")</x:f>
        <x:v>No</x:v>
      </x:c>
      <x:c r="R31" t="str">
        <x:f>IF(J31="Yes","Mapping Hold",IF(I31="Yes","Missing Event Link",IF(H31="Yes","Duplicate WO",IF(M31="Yes","Revenue Variance",IF(K31="Yes","Missing Breakdown",IF(L31="Yes","Pending ACH",IF(E31="Partial","Partial Breakdown",IF(N31="Yes","Missing Client",IF(O31="Yes","Missing Location",IF(P31="Yes","Unknown Breakdown Status",IF(Q31="Yes","Unknown ACH Status","OK")))))))))))</x:f>
        <x:v>OK</x:v>
      </x:c>
      <x:c r="S31" t="str">
        <x:f>IF(OR(J31="Yes",I31="Yes",H31="Yes"),"Critical",IF(OR(M31="Yes",E31="Partial",N31="Yes",O31="Yes",P31="Yes",Q31="Yes"),"Warning",IF(OR(K31="Yes",L31="Yes"),"Informational","OK")))</x:f>
        <x:v>OK</x:v>
      </x:c>
      <x:c r="T31" t="str">
        <x:f>IF(R31="Mapping Hold","Resolve mapping before update",IF(R31="Missing Event Link","Map to one authoritative event",IF(R31="Duplicate WO","Review duplicate identity",IF(R31="Revenue Variance","Reconcile or dispute amount",IF(R31="Missing Breakdown","Await breakdown",IF(R31="Pending ACH","Await ACH",IF(R31="Partial Breakdown","Confirm remaining breakdown",IF(R31="Missing Client","Add canonical client",IF(R31="Missing Location","Complete location fields",IF(R31="OK","No action","Review invalid status"))))))))))</x:f>
        <x:v>No action</x:v>
      </x:c>
      <x:c r="U31" t="str">
        <x:f>IF(R31="OK","No","Yes")</x:f>
        <x:v>No</x:v>
      </x:c>
      <x:c r="V31" s="24" t="n">
        <x:f>ABS(N(G31))</x:f>
        <x:v>0</x:v>
      </x:c>
    </x:row>
    <x:row r="32">
      <x:c r="A32" t="str">
        <x:v>LED-0002</x:v>
      </x:c>
      <x:c r="B32" t="n">
        <x:f>INDEX(tblLedger[Work Order #],MATCH($A32,tblLedger[Ledger Record ID],0))</x:f>
        <x:v>5860365</x:v>
      </x:c>
      <x:c r="C32" t="n">
        <x:f>INDEX(tblLedger[Event #],MATCH($A32,tblLedger[Ledger Record ID],0))</x:f>
        <x:v>2</x:v>
      </x:c>
      <x:c r="D32" t="str">
        <x:f>INDEX(tblLedger[Client],MATCH($A32,tblLedger[Ledger Record ID],0))</x:f>
        <x:v>Bloomingdale's</x:v>
      </x:c>
      <x:c r="E32" t="str">
        <x:f>INDEX(tblLedger[Breakdown Confirmed],MATCH($A32,tblLedger[Ledger Record ID],0))</x:f>
        <x:v>Yes</x:v>
      </x:c>
      <x:c r="F32" t="str">
        <x:f>INDEX(tblLedger[ACH Confirmed],MATCH($A32,tblLedger[Ledger Record ID],0))</x:f>
        <x:v>Yes</x:v>
      </x:c>
      <x:c r="G32" s="24" t="str">
        <x:f>INDEX(tblLedger[Variance],MATCH($A32,tblLedger[Ledger Record ID],0))</x:f>
      </x:c>
      <x:c r="H32" t="str">
        <x:f>IF(COUNTIF(tblLedger[Work Order #],B32)&gt;1,"Yes","No")</x:f>
        <x:v>No</x:v>
      </x:c>
      <x:c r="I32" t="str">
        <x:f>IF(C32="","Yes","No")</x:f>
        <x:v>No</x:v>
      </x:c>
      <x:c r="J32" t="str">
        <x:f>IF(INDEX(tblLedger[Mapping Status],MATCH($A32,tblLedger[Ledger Record ID],0))="MAPPING_HOLD","Yes","No")</x:f>
        <x:v>No</x:v>
      </x:c>
      <x:c r="K32" t="str">
        <x:f>IF(AND(OR(E32="No",E32="Pending"),IFERROR(INDEX(tblServiceEvents[Financial Scope],MATCH(C32,tblServiceEvents[Event #],0)),"Included")="Included"),"Yes","No")</x:f>
        <x:v>No</x:v>
      </x:c>
      <x:c r="L32" t="str">
        <x:f>IF(AND(E32="Yes",OR(F32="No",F32="Pending")),"Yes","No")</x:f>
        <x:v>No</x:v>
      </x:c>
      <x:c r="M32" t="str">
        <x:f>IF(OR(ABS(N(G32))&gt;0,INDEX(tblLedger[Reconciliation Status],MATCH($A32,tblLedger[Ledger Record ID],0))="BREAKDOWN_MISMATCH",INDEX(tblLedger[Reconciliation Status],MATCH($A32,tblLedger[Ledger Record ID],0))="ACH_MISMATCH"),"Yes","No")</x:f>
        <x:v>No</x:v>
      </x:c>
      <x:c r="N32" t="str">
        <x:f>IF(D32="","Yes","No")</x:f>
        <x:v>No</x:v>
      </x:c>
      <x:c r="O32" t="str">
        <x:f>IF(OR(INDEX(tblLedger[City],MATCH($A32,tblLedger[Ledger Record ID],0))="",INDEX(tblLedger[Jurisdiction],MATCH($A32,tblLedger[Ledger Record ID],0))=""),"Yes","No")</x:f>
        <x:v>No</x:v>
      </x:c>
      <x:c r="P32" t="str">
        <x:f>IF(COUNTIF({"Yes","No","Partial","Pending","Mapping Hold"},E32)=0,"Yes","No")</x:f>
        <x:v>No</x:v>
      </x:c>
      <x:c r="Q32" t="str">
        <x:f>IF(COUNTIF({"Yes","No","Partial","Pending","Mapping Review"},F32)=0,"Yes","No")</x:f>
        <x:v>No</x:v>
      </x:c>
      <x:c r="R32" t="str">
        <x:f>IF(J32="Yes","Mapping Hold",IF(I32="Yes","Missing Event Link",IF(H32="Yes","Duplicate WO",IF(M32="Yes","Revenue Variance",IF(K32="Yes","Missing Breakdown",IF(L32="Yes","Pending ACH",IF(E32="Partial","Partial Breakdown",IF(N32="Yes","Missing Client",IF(O32="Yes","Missing Location",IF(P32="Yes","Unknown Breakdown Status",IF(Q32="Yes","Unknown ACH Status","OK")))))))))))</x:f>
        <x:v>OK</x:v>
      </x:c>
      <x:c r="S32" t="str">
        <x:f>IF(OR(J32="Yes",I32="Yes",H32="Yes"),"Critical",IF(OR(M32="Yes",E32="Partial",N32="Yes",O32="Yes",P32="Yes",Q32="Yes"),"Warning",IF(OR(K32="Yes",L32="Yes"),"Informational","OK")))</x:f>
        <x:v>OK</x:v>
      </x:c>
      <x:c r="T32" t="str">
        <x:f>IF(R32="Mapping Hold","Resolve mapping before update",IF(R32="Missing Event Link","Map to one authoritative event",IF(R32="Duplicate WO","Review duplicate identity",IF(R32="Revenue Variance","Reconcile or dispute amount",IF(R32="Missing Breakdown","Await breakdown",IF(R32="Pending ACH","Await ACH",IF(R32="Partial Breakdown","Confirm remaining breakdown",IF(R32="Missing Client","Add canonical client",IF(R32="Missing Location","Complete location fields",IF(R32="OK","No action","Review invalid status"))))))))))</x:f>
        <x:v>No action</x:v>
      </x:c>
      <x:c r="U32" t="str">
        <x:f>IF(R32="OK","No","Yes")</x:f>
        <x:v>No</x:v>
      </x:c>
      <x:c r="V32" s="24" t="n">
        <x:f>ABS(N(G32))</x:f>
        <x:v>0</x:v>
      </x:c>
    </x:row>
    <x:row r="33">
      <x:c r="A33" t="str">
        <x:v>LED-0003</x:v>
      </x:c>
      <x:c r="B33" t="n">
        <x:f>INDEX(tblLedger[Work Order #],MATCH($A33,tblLedger[Ledger Record ID],0))</x:f>
        <x:v>5860393</x:v>
      </x:c>
      <x:c r="C33" t="n">
        <x:f>INDEX(tblLedger[Event #],MATCH($A33,tblLedger[Ledger Record ID],0))</x:f>
        <x:v>3</x:v>
      </x:c>
      <x:c r="D33" t="str">
        <x:f>INDEX(tblLedger[Client],MATCH($A33,tblLedger[Ledger Record ID],0))</x:f>
        <x:v>Bloomingdale's</x:v>
      </x:c>
      <x:c r="E33" t="str">
        <x:f>INDEX(tblLedger[Breakdown Confirmed],MATCH($A33,tblLedger[Ledger Record ID],0))</x:f>
        <x:v>Yes</x:v>
      </x:c>
      <x:c r="F33" t="str">
        <x:f>INDEX(tblLedger[ACH Confirmed],MATCH($A33,tblLedger[Ledger Record ID],0))</x:f>
        <x:v>Yes</x:v>
      </x:c>
      <x:c r="G33" s="24" t="str">
        <x:f>INDEX(tblLedger[Variance],MATCH($A33,tblLedger[Ledger Record ID],0))</x:f>
      </x:c>
      <x:c r="H33" t="str">
        <x:f>IF(COUNTIF(tblLedger[Work Order #],B33)&gt;1,"Yes","No")</x:f>
        <x:v>No</x:v>
      </x:c>
      <x:c r="I33" t="str">
        <x:f>IF(C33="","Yes","No")</x:f>
        <x:v>No</x:v>
      </x:c>
      <x:c r="J33" t="str">
        <x:f>IF(INDEX(tblLedger[Mapping Status],MATCH($A33,tblLedger[Ledger Record ID],0))="MAPPING_HOLD","Yes","No")</x:f>
        <x:v>No</x:v>
      </x:c>
      <x:c r="K33" t="str">
        <x:f>IF(AND(OR(E33="No",E33="Pending"),IFERROR(INDEX(tblServiceEvents[Financial Scope],MATCH(C33,tblServiceEvents[Event #],0)),"Included")="Included"),"Yes","No")</x:f>
        <x:v>No</x:v>
      </x:c>
      <x:c r="L33" t="str">
        <x:f>IF(AND(E33="Yes",OR(F33="No",F33="Pending")),"Yes","No")</x:f>
        <x:v>No</x:v>
      </x:c>
      <x:c r="M33" t="str">
        <x:f>IF(OR(ABS(N(G33))&gt;0,INDEX(tblLedger[Reconciliation Status],MATCH($A33,tblLedger[Ledger Record ID],0))="BREAKDOWN_MISMATCH",INDEX(tblLedger[Reconciliation Status],MATCH($A33,tblLedger[Ledger Record ID],0))="ACH_MISMATCH"),"Yes","No")</x:f>
        <x:v>No</x:v>
      </x:c>
      <x:c r="N33" t="str">
        <x:f>IF(D33="","Yes","No")</x:f>
        <x:v>No</x:v>
      </x:c>
      <x:c r="O33" t="str">
        <x:f>IF(OR(INDEX(tblLedger[City],MATCH($A33,tblLedger[Ledger Record ID],0))="",INDEX(tblLedger[Jurisdiction],MATCH($A33,tblLedger[Ledger Record ID],0))=""),"Yes","No")</x:f>
        <x:v>No</x:v>
      </x:c>
      <x:c r="P33" t="str">
        <x:f>IF(COUNTIF({"Yes","No","Partial","Pending","Mapping Hold"},E33)=0,"Yes","No")</x:f>
        <x:v>No</x:v>
      </x:c>
      <x:c r="Q33" t="str">
        <x:f>IF(COUNTIF({"Yes","No","Partial","Pending","Mapping Review"},F33)=0,"Yes","No")</x:f>
        <x:v>No</x:v>
      </x:c>
      <x:c r="R33" t="str">
        <x:f>IF(J33="Yes","Mapping Hold",IF(I33="Yes","Missing Event Link",IF(H33="Yes","Duplicate WO",IF(M33="Yes","Revenue Variance",IF(K33="Yes","Missing Breakdown",IF(L33="Yes","Pending ACH",IF(E33="Partial","Partial Breakdown",IF(N33="Yes","Missing Client",IF(O33="Yes","Missing Location",IF(P33="Yes","Unknown Breakdown Status",IF(Q33="Yes","Unknown ACH Status","OK")))))))))))</x:f>
        <x:v>OK</x:v>
      </x:c>
      <x:c r="S33" t="str">
        <x:f>IF(OR(J33="Yes",I33="Yes",H33="Yes"),"Critical",IF(OR(M33="Yes",E33="Partial",N33="Yes",O33="Yes",P33="Yes",Q33="Yes"),"Warning",IF(OR(K33="Yes",L33="Yes"),"Informational","OK")))</x:f>
        <x:v>OK</x:v>
      </x:c>
      <x:c r="T33" t="str">
        <x:f>IF(R33="Mapping Hold","Resolve mapping before update",IF(R33="Missing Event Link","Map to one authoritative event",IF(R33="Duplicate WO","Review duplicate identity",IF(R33="Revenue Variance","Reconcile or dispute amount",IF(R33="Missing Breakdown","Await breakdown",IF(R33="Pending ACH","Await ACH",IF(R33="Partial Breakdown","Confirm remaining breakdown",IF(R33="Missing Client","Add canonical client",IF(R33="Missing Location","Complete location fields",IF(R33="OK","No action","Review invalid status"))))))))))</x:f>
        <x:v>No action</x:v>
      </x:c>
      <x:c r="U33" t="str">
        <x:f>IF(R33="OK","No","Yes")</x:f>
        <x:v>No</x:v>
      </x:c>
      <x:c r="V33" s="24" t="n">
        <x:f>ABS(N(G33))</x:f>
        <x:v>0</x:v>
      </x:c>
    </x:row>
    <x:row r="34">
      <x:c r="A34" s="12" t="str">
        <x:v>LED-0004</x:v>
      </x:c>
      <x:c r="B34" s="12" t="n">
        <x:f>INDEX(tblLedger[Work Order #],MATCH($A34,tblLedger[Ledger Record ID],0))</x:f>
        <x:v>5874484</x:v>
      </x:c>
      <x:c r="C34" s="12" t="n">
        <x:f>INDEX(tblLedger[Event #],MATCH($A34,tblLedger[Ledger Record ID],0))</x:f>
        <x:v>4</x:v>
      </x:c>
      <x:c r="D34" s="12" t="str">
        <x:f>INDEX(tblLedger[Client],MATCH($A34,tblLedger[Ledger Record ID],0))</x:f>
        <x:v>Macy's</x:v>
      </x:c>
      <x:c r="E34" s="12" t="str">
        <x:f>INDEX(tblLedger[Breakdown Confirmed],MATCH($A34,tblLedger[Ledger Record ID],0))</x:f>
        <x:v>Yes</x:v>
      </x:c>
      <x:c r="F34" s="12" t="str">
        <x:f>INDEX(tblLedger[ACH Confirmed],MATCH($A34,tblLedger[Ledger Record ID],0))</x:f>
        <x:v>Yes</x:v>
      </x:c>
      <x:c r="G34" s="69" t="str">
        <x:f>INDEX(tblLedger[Variance],MATCH($A34,tblLedger[Ledger Record ID],0))</x:f>
      </x:c>
      <x:c r="H34" s="12" t="str">
        <x:f>IF(COUNTIF(tblLedger[Work Order #],B34)&gt;1,"Yes","No")</x:f>
        <x:v>No</x:v>
      </x:c>
      <x:c r="I34" t="str">
        <x:f>IF(C34="","Yes","No")</x:f>
        <x:v>No</x:v>
      </x:c>
      <x:c r="J34" t="str">
        <x:f>IF(INDEX(tblLedger[Mapping Status],MATCH($A34,tblLedger[Ledger Record ID],0))="MAPPING_HOLD","Yes","No")</x:f>
        <x:v>No</x:v>
      </x:c>
      <x:c r="K34" t="str">
        <x:f>IF(AND(OR(E34="No",E34="Pending"),IFERROR(INDEX(tblServiceEvents[Financial Scope],MATCH(C34,tblServiceEvents[Event #],0)),"Included")="Included"),"Yes","No")</x:f>
        <x:v>No</x:v>
      </x:c>
      <x:c r="L34" t="str">
        <x:f>IF(AND(E34="Yes",OR(F34="No",F34="Pending")),"Yes","No")</x:f>
        <x:v>No</x:v>
      </x:c>
      <x:c r="M34" t="str">
        <x:f>IF(OR(ABS(N(G34))&gt;0,INDEX(tblLedger[Reconciliation Status],MATCH($A34,tblLedger[Ledger Record ID],0))="BREAKDOWN_MISMATCH",INDEX(tblLedger[Reconciliation Status],MATCH($A34,tblLedger[Ledger Record ID],0))="ACH_MISMATCH"),"Yes","No")</x:f>
        <x:v>No</x:v>
      </x:c>
      <x:c r="N34" t="str">
        <x:f>IF(D34="","Yes","No")</x:f>
        <x:v>No</x:v>
      </x:c>
      <x:c r="O34" t="str">
        <x:f>IF(OR(INDEX(tblLedger[City],MATCH($A34,tblLedger[Ledger Record ID],0))="",INDEX(tblLedger[Jurisdiction],MATCH($A34,tblLedger[Ledger Record ID],0))=""),"Yes","No")</x:f>
        <x:v>No</x:v>
      </x:c>
      <x:c r="P34" t="str">
        <x:f>IF(COUNTIF({"Yes","No","Partial","Pending","Mapping Hold"},E34)=0,"Yes","No")</x:f>
        <x:v>No</x:v>
      </x:c>
      <x:c r="Q34" t="str">
        <x:f>IF(COUNTIF({"Yes","No","Partial","Pending","Mapping Review"},F34)=0,"Yes","No")</x:f>
        <x:v>No</x:v>
      </x:c>
      <x:c r="R34" t="str">
        <x:f>IF(J34="Yes","Mapping Hold",IF(I34="Yes","Missing Event Link",IF(H34="Yes","Duplicate WO",IF(M34="Yes","Revenue Variance",IF(K34="Yes","Missing Breakdown",IF(L34="Yes","Pending ACH",IF(E34="Partial","Partial Breakdown",IF(N34="Yes","Missing Client",IF(O34="Yes","Missing Location",IF(P34="Yes","Unknown Breakdown Status",IF(Q34="Yes","Unknown ACH Status","OK")))))))))))</x:f>
        <x:v>OK</x:v>
      </x:c>
      <x:c r="S34" t="str">
        <x:f>IF(OR(J34="Yes",I34="Yes",H34="Yes"),"Critical",IF(OR(M34="Yes",E34="Partial",N34="Yes",O34="Yes",P34="Yes",Q34="Yes"),"Warning",IF(OR(K34="Yes",L34="Yes"),"Informational","OK")))</x:f>
        <x:v>OK</x:v>
      </x:c>
      <x:c r="T34" t="str">
        <x:f>IF(R34="Mapping Hold","Resolve mapping before update",IF(R34="Missing Event Link","Map to one authoritative event",IF(R34="Duplicate WO","Review duplicate identity",IF(R34="Revenue Variance","Reconcile or dispute amount",IF(R34="Missing Breakdown","Await breakdown",IF(R34="Pending ACH","Await ACH",IF(R34="Partial Breakdown","Confirm remaining breakdown",IF(R34="Missing Client","Add canonical client",IF(R34="Missing Location","Complete location fields",IF(R34="OK","No action","Review invalid status"))))))))))</x:f>
        <x:v>No action</x:v>
      </x:c>
      <x:c r="U34" t="str">
        <x:f>IF(R34="OK","No","Yes")</x:f>
        <x:v>No</x:v>
      </x:c>
      <x:c r="V34" s="24" t="n">
        <x:f>ABS(N(G34))</x:f>
        <x:v>0</x:v>
      </x:c>
    </x:row>
    <x:row r="35">
      <x:c r="A35" s="29" t="str">
        <x:v>LED-0005</x:v>
      </x:c>
      <x:c r="B35" s="29" t="n">
        <x:f>INDEX(tblLedger[Work Order #],MATCH($A35,tblLedger[Ledger Record ID],0))</x:f>
        <x:v>5876589</x:v>
      </x:c>
      <x:c r="C35" s="29" t="n">
        <x:f>INDEX(tblLedger[Event #],MATCH($A35,tblLedger[Ledger Record ID],0))</x:f>
        <x:v>5</x:v>
      </x:c>
      <x:c r="D35" s="29" t="str">
        <x:f>INDEX(tblLedger[Client],MATCH($A35,tblLedger[Ledger Record ID],0))</x:f>
        <x:v>Hampton Inn &amp; Suites</x:v>
      </x:c>
      <x:c r="E35" s="29" t="str">
        <x:f>INDEX(tblLedger[Breakdown Confirmed],MATCH($A35,tblLedger[Ledger Record ID],0))</x:f>
        <x:v>Yes</x:v>
      </x:c>
      <x:c r="F35" s="29" t="str">
        <x:f>INDEX(tblLedger[ACH Confirmed],MATCH($A35,tblLedger[Ledger Record ID],0))</x:f>
        <x:v>Yes</x:v>
      </x:c>
      <x:c r="G35" s="70" t="str">
        <x:f>INDEX(tblLedger[Variance],MATCH($A35,tblLedger[Ledger Record ID],0))</x:f>
      </x:c>
      <x:c r="H35" s="29" t="str">
        <x:f>IF(COUNTIF(tblLedger[Work Order #],B35)&gt;1,"Yes","No")</x:f>
        <x:v>No</x:v>
      </x:c>
      <x:c r="I35" t="str">
        <x:f>IF(C35="","Yes","No")</x:f>
        <x:v>No</x:v>
      </x:c>
      <x:c r="J35" t="str">
        <x:f>IF(INDEX(tblLedger[Mapping Status],MATCH($A35,tblLedger[Ledger Record ID],0))="MAPPING_HOLD","Yes","No")</x:f>
        <x:v>No</x:v>
      </x:c>
      <x:c r="K35" t="str">
        <x:f>IF(AND(OR(E35="No",E35="Pending"),IFERROR(INDEX(tblServiceEvents[Financial Scope],MATCH(C35,tblServiceEvents[Event #],0)),"Included")="Included"),"Yes","No")</x:f>
        <x:v>No</x:v>
      </x:c>
      <x:c r="L35" t="str">
        <x:f>IF(AND(E35="Yes",OR(F35="No",F35="Pending")),"Yes","No")</x:f>
        <x:v>No</x:v>
      </x:c>
      <x:c r="M35" t="str">
        <x:f>IF(OR(ABS(N(G35))&gt;0,INDEX(tblLedger[Reconciliation Status],MATCH($A35,tblLedger[Ledger Record ID],0))="BREAKDOWN_MISMATCH",INDEX(tblLedger[Reconciliation Status],MATCH($A35,tblLedger[Ledger Record ID],0))="ACH_MISMATCH"),"Yes","No")</x:f>
        <x:v>No</x:v>
      </x:c>
      <x:c r="N35" t="str">
        <x:f>IF(D35="","Yes","No")</x:f>
        <x:v>No</x:v>
      </x:c>
      <x:c r="O35" t="str">
        <x:f>IF(OR(INDEX(tblLedger[City],MATCH($A35,tblLedger[Ledger Record ID],0))="",INDEX(tblLedger[Jurisdiction],MATCH($A35,tblLedger[Ledger Record ID],0))=""),"Yes","No")</x:f>
        <x:v>No</x:v>
      </x:c>
      <x:c r="P35" t="str">
        <x:f>IF(COUNTIF({"Yes","No","Partial","Pending","Mapping Hold"},E35)=0,"Yes","No")</x:f>
        <x:v>No</x:v>
      </x:c>
      <x:c r="Q35" t="str">
        <x:f>IF(COUNTIF({"Yes","No","Partial","Pending","Mapping Review"},F35)=0,"Yes","No")</x:f>
        <x:v>No</x:v>
      </x:c>
      <x:c r="R35" t="str">
        <x:f>IF(J35="Yes","Mapping Hold",IF(I35="Yes","Missing Event Link",IF(H35="Yes","Duplicate WO",IF(M35="Yes","Revenue Variance",IF(K35="Yes","Missing Breakdown",IF(L35="Yes","Pending ACH",IF(E35="Partial","Partial Breakdown",IF(N35="Yes","Missing Client",IF(O35="Yes","Missing Location",IF(P35="Yes","Unknown Breakdown Status",IF(Q35="Yes","Unknown ACH Status","OK")))))))))))</x:f>
        <x:v>OK</x:v>
      </x:c>
      <x:c r="S35" t="str">
        <x:f>IF(OR(J35="Yes",I35="Yes",H35="Yes"),"Critical",IF(OR(M35="Yes",E35="Partial",N35="Yes",O35="Yes",P35="Yes",Q35="Yes"),"Warning",IF(OR(K35="Yes",L35="Yes"),"Informational","OK")))</x:f>
        <x:v>OK</x:v>
      </x:c>
      <x:c r="T35" t="str">
        <x:f>IF(R35="Mapping Hold","Resolve mapping before update",IF(R35="Missing Event Link","Map to one authoritative event",IF(R35="Duplicate WO","Review duplicate identity",IF(R35="Revenue Variance","Reconcile or dispute amount",IF(R35="Missing Breakdown","Await breakdown",IF(R35="Pending ACH","Await ACH",IF(R35="Partial Breakdown","Confirm remaining breakdown",IF(R35="Missing Client","Add canonical client",IF(R35="Missing Location","Complete location fields",IF(R35="OK","No action","Review invalid status"))))))))))</x:f>
        <x:v>No action</x:v>
      </x:c>
      <x:c r="U35" t="str">
        <x:f>IF(R35="OK","No","Yes")</x:f>
        <x:v>No</x:v>
      </x:c>
      <x:c r="V35" s="24" t="n">
        <x:f>ABS(N(G35))</x:f>
        <x:v>0</x:v>
      </x:c>
    </x:row>
    <x:row r="36">
      <x:c r="A36" t="str">
        <x:v>LED-0006</x:v>
      </x:c>
      <x:c r="B36" t="n">
        <x:f>INDEX(tblLedger[Work Order #],MATCH($A36,tblLedger[Ledger Record ID],0))</x:f>
        <x:v>5874982</x:v>
      </x:c>
      <x:c r="C36" t="n">
        <x:f>INDEX(tblLedger[Event #],MATCH($A36,tblLedger[Ledger Record ID],0))</x:f>
        <x:v>6</x:v>
      </x:c>
      <x:c r="D36" t="str">
        <x:f>INDEX(tblLedger[Client],MATCH($A36,tblLedger[Ledger Record ID],0))</x:f>
        <x:v>Macy's</x:v>
      </x:c>
      <x:c r="E36" t="str">
        <x:f>INDEX(tblLedger[Breakdown Confirmed],MATCH($A36,tblLedger[Ledger Record ID],0))</x:f>
        <x:v>Yes</x:v>
      </x:c>
      <x:c r="F36" t="str">
        <x:f>INDEX(tblLedger[ACH Confirmed],MATCH($A36,tblLedger[Ledger Record ID],0))</x:f>
        <x:v>Yes</x:v>
      </x:c>
      <x:c r="G36" s="24" t="str">
        <x:f>INDEX(tblLedger[Variance],MATCH($A36,tblLedger[Ledger Record ID],0))</x:f>
      </x:c>
      <x:c r="H36" t="str">
        <x:f>IF(COUNTIF(tblLedger[Work Order #],B36)&gt;1,"Yes","No")</x:f>
        <x:v>No</x:v>
      </x:c>
      <x:c r="I36" t="str">
        <x:f>IF(C36="","Yes","No")</x:f>
        <x:v>No</x:v>
      </x:c>
      <x:c r="J36" t="str">
        <x:f>IF(INDEX(tblLedger[Mapping Status],MATCH($A36,tblLedger[Ledger Record ID],0))="MAPPING_HOLD","Yes","No")</x:f>
        <x:v>No</x:v>
      </x:c>
      <x:c r="K36" t="str">
        <x:f>IF(AND(OR(E36="No",E36="Pending"),IFERROR(INDEX(tblServiceEvents[Financial Scope],MATCH(C36,tblServiceEvents[Event #],0)),"Included")="Included"),"Yes","No")</x:f>
        <x:v>No</x:v>
      </x:c>
      <x:c r="L36" t="str">
        <x:f>IF(AND(E36="Yes",OR(F36="No",F36="Pending")),"Yes","No")</x:f>
        <x:v>No</x:v>
      </x:c>
      <x:c r="M36" t="str">
        <x:f>IF(OR(ABS(N(G36))&gt;0,INDEX(tblLedger[Reconciliation Status],MATCH($A36,tblLedger[Ledger Record ID],0))="BREAKDOWN_MISMATCH",INDEX(tblLedger[Reconciliation Status],MATCH($A36,tblLedger[Ledger Record ID],0))="ACH_MISMATCH"),"Yes","No")</x:f>
        <x:v>No</x:v>
      </x:c>
      <x:c r="N36" t="str">
        <x:f>IF(D36="","Yes","No")</x:f>
        <x:v>No</x:v>
      </x:c>
      <x:c r="O36" t="str">
        <x:f>IF(OR(INDEX(tblLedger[City],MATCH($A36,tblLedger[Ledger Record ID],0))="",INDEX(tblLedger[Jurisdiction],MATCH($A36,tblLedger[Ledger Record ID],0))=""),"Yes","No")</x:f>
        <x:v>No</x:v>
      </x:c>
      <x:c r="P36" t="str">
        <x:f>IF(COUNTIF({"Yes","No","Partial","Pending","Mapping Hold"},E36)=0,"Yes","No")</x:f>
        <x:v>No</x:v>
      </x:c>
      <x:c r="Q36" t="str">
        <x:f>IF(COUNTIF({"Yes","No","Partial","Pending","Mapping Review"},F36)=0,"Yes","No")</x:f>
        <x:v>No</x:v>
      </x:c>
      <x:c r="R36" t="str">
        <x:f>IF(J36="Yes","Mapping Hold",IF(I36="Yes","Missing Event Link",IF(H36="Yes","Duplicate WO",IF(M36="Yes","Revenue Variance",IF(K36="Yes","Missing Breakdown",IF(L36="Yes","Pending ACH",IF(E36="Partial","Partial Breakdown",IF(N36="Yes","Missing Client",IF(O36="Yes","Missing Location",IF(P36="Yes","Unknown Breakdown Status",IF(Q36="Yes","Unknown ACH Status","OK")))))))))))</x:f>
        <x:v>OK</x:v>
      </x:c>
      <x:c r="S36" t="str">
        <x:f>IF(OR(J36="Yes",I36="Yes",H36="Yes"),"Critical",IF(OR(M36="Yes",E36="Partial",N36="Yes",O36="Yes",P36="Yes",Q36="Yes"),"Warning",IF(OR(K36="Yes",L36="Yes"),"Informational","OK")))</x:f>
        <x:v>OK</x:v>
      </x:c>
      <x:c r="T36" t="str">
        <x:f>IF(R36="Mapping Hold","Resolve mapping before update",IF(R36="Missing Event Link","Map to one authoritative event",IF(R36="Duplicate WO","Review duplicate identity",IF(R36="Revenue Variance","Reconcile or dispute amount",IF(R36="Missing Breakdown","Await breakdown",IF(R36="Pending ACH","Await ACH",IF(R36="Partial Breakdown","Confirm remaining breakdown",IF(R36="Missing Client","Add canonical client",IF(R36="Missing Location","Complete location fields",IF(R36="OK","No action","Review invalid status"))))))))))</x:f>
        <x:v>No action</x:v>
      </x:c>
      <x:c r="U36" t="str">
        <x:f>IF(R36="OK","No","Yes")</x:f>
        <x:v>No</x:v>
      </x:c>
      <x:c r="V36" s="24" t="n">
        <x:f>ABS(N(G36))</x:f>
        <x:v>0</x:v>
      </x:c>
    </x:row>
    <x:row r="37">
      <x:c r="A37" t="str">
        <x:v>LED-0007</x:v>
      </x:c>
      <x:c r="B37" t="n">
        <x:f>INDEX(tblLedger[Work Order #],MATCH($A37,tblLedger[Ledger Record ID],0))</x:f>
        <x:v>5876638</x:v>
      </x:c>
      <x:c r="C37" t="n">
        <x:f>INDEX(tblLedger[Event #],MATCH($A37,tblLedger[Ledger Record ID],0))</x:f>
        <x:v>7</x:v>
      </x:c>
      <x:c r="D37" t="str">
        <x:f>INDEX(tblLedger[Client],MATCH($A37,tblLedger[Ledger Record ID],0))</x:f>
        <x:v>Davis Polk &amp; Wardwell</x:v>
      </x:c>
      <x:c r="E37" t="str">
        <x:f>INDEX(tblLedger[Breakdown Confirmed],MATCH($A37,tblLedger[Ledger Record ID],0))</x:f>
        <x:v>Yes</x:v>
      </x:c>
      <x:c r="F37" t="str">
        <x:f>INDEX(tblLedger[ACH Confirmed],MATCH($A37,tblLedger[Ledger Record ID],0))</x:f>
        <x:v>Yes</x:v>
      </x:c>
      <x:c r="G37" s="24" t="str">
        <x:f>INDEX(tblLedger[Variance],MATCH($A37,tblLedger[Ledger Record ID],0))</x:f>
      </x:c>
      <x:c r="H37" t="str">
        <x:f>IF(COUNTIF(tblLedger[Work Order #],B37)&gt;1,"Yes","No")</x:f>
        <x:v>No</x:v>
      </x:c>
      <x:c r="I37" t="str">
        <x:f>IF(C37="","Yes","No")</x:f>
        <x:v>No</x:v>
      </x:c>
      <x:c r="J37" t="str">
        <x:f>IF(INDEX(tblLedger[Mapping Status],MATCH($A37,tblLedger[Ledger Record ID],0))="MAPPING_HOLD","Yes","No")</x:f>
        <x:v>No</x:v>
      </x:c>
      <x:c r="K37" t="str">
        <x:f>IF(AND(OR(E37="No",E37="Pending"),IFERROR(INDEX(tblServiceEvents[Financial Scope],MATCH(C37,tblServiceEvents[Event #],0)),"Included")="Included"),"Yes","No")</x:f>
        <x:v>No</x:v>
      </x:c>
      <x:c r="L37" t="str">
        <x:f>IF(AND(E37="Yes",OR(F37="No",F37="Pending")),"Yes","No")</x:f>
        <x:v>No</x:v>
      </x:c>
      <x:c r="M37" t="str">
        <x:f>IF(OR(ABS(N(G37))&gt;0,INDEX(tblLedger[Reconciliation Status],MATCH($A37,tblLedger[Ledger Record ID],0))="BREAKDOWN_MISMATCH",INDEX(tblLedger[Reconciliation Status],MATCH($A37,tblLedger[Ledger Record ID],0))="ACH_MISMATCH"),"Yes","No")</x:f>
        <x:v>No</x:v>
      </x:c>
      <x:c r="N37" t="str">
        <x:f>IF(D37="","Yes","No")</x:f>
        <x:v>No</x:v>
      </x:c>
      <x:c r="O37" t="str">
        <x:f>IF(OR(INDEX(tblLedger[City],MATCH($A37,tblLedger[Ledger Record ID],0))="",INDEX(tblLedger[Jurisdiction],MATCH($A37,tblLedger[Ledger Record ID],0))=""),"Yes","No")</x:f>
        <x:v>No</x:v>
      </x:c>
      <x:c r="P37" t="str">
        <x:f>IF(COUNTIF({"Yes","No","Partial","Pending","Mapping Hold"},E37)=0,"Yes","No")</x:f>
        <x:v>No</x:v>
      </x:c>
      <x:c r="Q37" t="str">
        <x:f>IF(COUNTIF({"Yes","No","Partial","Pending","Mapping Review"},F37)=0,"Yes","No")</x:f>
        <x:v>No</x:v>
      </x:c>
      <x:c r="R37" t="str">
        <x:f>IF(J37="Yes","Mapping Hold",IF(I37="Yes","Missing Event Link",IF(H37="Yes","Duplicate WO",IF(M37="Yes","Revenue Variance",IF(K37="Yes","Missing Breakdown",IF(L37="Yes","Pending ACH",IF(E37="Partial","Partial Breakdown",IF(N37="Yes","Missing Client",IF(O37="Yes","Missing Location",IF(P37="Yes","Unknown Breakdown Status",IF(Q37="Yes","Unknown ACH Status","OK")))))))))))</x:f>
        <x:v>OK</x:v>
      </x:c>
      <x:c r="S37" t="str">
        <x:f>IF(OR(J37="Yes",I37="Yes",H37="Yes"),"Critical",IF(OR(M37="Yes",E37="Partial",N37="Yes",O37="Yes",P37="Yes",Q37="Yes"),"Warning",IF(OR(K37="Yes",L37="Yes"),"Informational","OK")))</x:f>
        <x:v>OK</x:v>
      </x:c>
      <x:c r="T37" t="str">
        <x:f>IF(R37="Mapping Hold","Resolve mapping before update",IF(R37="Missing Event Link","Map to one authoritative event",IF(R37="Duplicate WO","Review duplicate identity",IF(R37="Revenue Variance","Reconcile or dispute amount",IF(R37="Missing Breakdown","Await breakdown",IF(R37="Pending ACH","Await ACH",IF(R37="Partial Breakdown","Confirm remaining breakdown",IF(R37="Missing Client","Add canonical client",IF(R37="Missing Location","Complete location fields",IF(R37="OK","No action","Review invalid status"))))))))))</x:f>
        <x:v>No action</x:v>
      </x:c>
      <x:c r="U37" t="str">
        <x:f>IF(R37="OK","No","Yes")</x:f>
        <x:v>No</x:v>
      </x:c>
      <x:c r="V37" s="24" t="n">
        <x:f>ABS(N(G37))</x:f>
        <x:v>0</x:v>
      </x:c>
    </x:row>
    <x:row r="38">
      <x:c r="A38" t="str">
        <x:v>LED-0008</x:v>
      </x:c>
      <x:c r="B38" t="n">
        <x:f>INDEX(tblLedger[Work Order #],MATCH($A38,tblLedger[Ledger Record ID],0))</x:f>
        <x:v>5878985</x:v>
      </x:c>
      <x:c r="C38" t="n">
        <x:f>INDEX(tblLedger[Event #],MATCH($A38,tblLedger[Ledger Record ID],0))</x:f>
        <x:v>8</x:v>
      </x:c>
      <x:c r="D38" t="str">
        <x:f>INDEX(tblLedger[Client],MATCH($A38,tblLedger[Ledger Record ID],0))</x:f>
        <x:v>Hebrew Home of Greater Washington</x:v>
      </x:c>
      <x:c r="E38" t="str">
        <x:f>INDEX(tblLedger[Breakdown Confirmed],MATCH($A38,tblLedger[Ledger Record ID],0))</x:f>
        <x:v>Yes</x:v>
      </x:c>
      <x:c r="F38" t="str">
        <x:f>INDEX(tblLedger[ACH Confirmed],MATCH($A38,tblLedger[Ledger Record ID],0))</x:f>
        <x:v>Yes</x:v>
      </x:c>
      <x:c r="G38" s="24" t="str">
        <x:f>INDEX(tblLedger[Variance],MATCH($A38,tblLedger[Ledger Record ID],0))</x:f>
      </x:c>
      <x:c r="H38" t="str">
        <x:f>IF(COUNTIF(tblLedger[Work Order #],B38)&gt;1,"Yes","No")</x:f>
        <x:v>No</x:v>
      </x:c>
      <x:c r="I38" t="str">
        <x:f>IF(C38="","Yes","No")</x:f>
        <x:v>No</x:v>
      </x:c>
      <x:c r="J38" t="str">
        <x:f>IF(INDEX(tblLedger[Mapping Status],MATCH($A38,tblLedger[Ledger Record ID],0))="MAPPING_HOLD","Yes","No")</x:f>
        <x:v>No</x:v>
      </x:c>
      <x:c r="K38" t="str">
        <x:f>IF(AND(OR(E38="No",E38="Pending"),IFERROR(INDEX(tblServiceEvents[Financial Scope],MATCH(C38,tblServiceEvents[Event #],0)),"Included")="Included"),"Yes","No")</x:f>
        <x:v>No</x:v>
      </x:c>
      <x:c r="L38" t="str">
        <x:f>IF(AND(E38="Yes",OR(F38="No",F38="Pending")),"Yes","No")</x:f>
        <x:v>No</x:v>
      </x:c>
      <x:c r="M38" t="str">
        <x:f>IF(OR(ABS(N(G38))&gt;0,INDEX(tblLedger[Reconciliation Status],MATCH($A38,tblLedger[Ledger Record ID],0))="BREAKDOWN_MISMATCH",INDEX(tblLedger[Reconciliation Status],MATCH($A38,tblLedger[Ledger Record ID],0))="ACH_MISMATCH"),"Yes","No")</x:f>
        <x:v>No</x:v>
      </x:c>
      <x:c r="N38" t="str">
        <x:f>IF(D38="","Yes","No")</x:f>
        <x:v>No</x:v>
      </x:c>
      <x:c r="O38" t="str">
        <x:f>IF(OR(INDEX(tblLedger[City],MATCH($A38,tblLedger[Ledger Record ID],0))="",INDEX(tblLedger[Jurisdiction],MATCH($A38,tblLedger[Ledger Record ID],0))=""),"Yes","No")</x:f>
        <x:v>No</x:v>
      </x:c>
      <x:c r="P38" t="str">
        <x:f>IF(COUNTIF({"Yes","No","Partial","Pending","Mapping Hold"},E38)=0,"Yes","No")</x:f>
        <x:v>No</x:v>
      </x:c>
      <x:c r="Q38" t="str">
        <x:f>IF(COUNTIF({"Yes","No","Partial","Pending","Mapping Review"},F38)=0,"Yes","No")</x:f>
        <x:v>No</x:v>
      </x:c>
      <x:c r="R38" t="str">
        <x:f>IF(J38="Yes","Mapping Hold",IF(I38="Yes","Missing Event Link",IF(H38="Yes","Duplicate WO",IF(M38="Yes","Revenue Variance",IF(K38="Yes","Missing Breakdown",IF(L38="Yes","Pending ACH",IF(E38="Partial","Partial Breakdown",IF(N38="Yes","Missing Client",IF(O38="Yes","Missing Location",IF(P38="Yes","Unknown Breakdown Status",IF(Q38="Yes","Unknown ACH Status","OK")))))))))))</x:f>
        <x:v>OK</x:v>
      </x:c>
      <x:c r="S38" t="str">
        <x:f>IF(OR(J38="Yes",I38="Yes",H38="Yes"),"Critical",IF(OR(M38="Yes",E38="Partial",N38="Yes",O38="Yes",P38="Yes",Q38="Yes"),"Warning",IF(OR(K38="Yes",L38="Yes"),"Informational","OK")))</x:f>
        <x:v>OK</x:v>
      </x:c>
      <x:c r="T38" t="str">
        <x:f>IF(R38="Mapping Hold","Resolve mapping before update",IF(R38="Missing Event Link","Map to one authoritative event",IF(R38="Duplicate WO","Review duplicate identity",IF(R38="Revenue Variance","Reconcile or dispute amount",IF(R38="Missing Breakdown","Await breakdown",IF(R38="Pending ACH","Await ACH",IF(R38="Partial Breakdown","Confirm remaining breakdown",IF(R38="Missing Client","Add canonical client",IF(R38="Missing Location","Complete location fields",IF(R38="OK","No action","Review invalid status"))))))))))</x:f>
        <x:v>No action</x:v>
      </x:c>
      <x:c r="U38" t="str">
        <x:f>IF(R38="OK","No","Yes")</x:f>
        <x:v>No</x:v>
      </x:c>
      <x:c r="V38" s="24" t="n">
        <x:f>ABS(N(G38))</x:f>
        <x:v>0</x:v>
      </x:c>
    </x:row>
    <x:row r="39">
      <x:c r="A39" t="str">
        <x:v>LED-0009</x:v>
      </x:c>
      <x:c r="B39" t="str">
        <x:f>INDEX(tblLedger[Work Order #],MATCH($A39,tblLedger[Ledger Record ID],0))</x:f>
        <x:v>UNRESOLVED-E009</x:v>
      </x:c>
      <x:c r="C39" t="n">
        <x:f>INDEX(tblLedger[Event #],MATCH($A39,tblLedger[Ledger Record ID],0))</x:f>
        <x:v>9</x:v>
      </x:c>
      <x:c r="D39" t="str">
        <x:f>INDEX(tblLedger[Client],MATCH($A39,tblLedger[Ledger Record ID],0))</x:f>
        <x:v>7-Eleven</x:v>
      </x:c>
      <x:c r="E39" t="str">
        <x:f>INDEX(tblLedger[Breakdown Confirmed],MATCH($A39,tblLedger[Ledger Record ID],0))</x:f>
        <x:v>Yes</x:v>
      </x:c>
      <x:c r="F39" t="str">
        <x:f>INDEX(tblLedger[ACH Confirmed],MATCH($A39,tblLedger[Ledger Record ID],0))</x:f>
        <x:v>No</x:v>
      </x:c>
      <x:c r="G39" s="24" t="n">
        <x:f>INDEX(tblLedger[Variance],MATCH($A39,tblLedger[Ledger Record ID],0))</x:f>
        <x:v>0</x:v>
      </x:c>
      <x:c r="H39" t="str">
        <x:f>IF(COUNTIF(tblLedger[Work Order #],B39)&gt;1,"Yes","No")</x:f>
        <x:v>No</x:v>
      </x:c>
      <x:c r="I39" t="str">
        <x:f>IF(C39="","Yes","No")</x:f>
        <x:v>No</x:v>
      </x:c>
      <x:c r="J39" t="str">
        <x:f>IF(INDEX(tblLedger[Mapping Status],MATCH($A39,tblLedger[Ledger Record ID],0))="MAPPING_HOLD","Yes","No")</x:f>
        <x:v>No</x:v>
      </x:c>
      <x:c r="K39" t="str">
        <x:f>IF(AND(OR(E39="No",E39="Pending"),IFERROR(INDEX(tblServiceEvents[Financial Scope],MATCH(C39,tblServiceEvents[Event #],0)),"Included")="Included"),"Yes","No")</x:f>
        <x:v>No</x:v>
      </x:c>
      <x:c r="L39" t="str">
        <x:f>IF(AND(E39="Yes",OR(F39="No",F39="Pending")),"Yes","No")</x:f>
        <x:v>Yes</x:v>
      </x:c>
      <x:c r="M39" t="str">
        <x:f>IF(OR(ABS(N(G39))&gt;0,INDEX(tblLedger[Reconciliation Status],MATCH($A39,tblLedger[Ledger Record ID],0))="BREAKDOWN_MISMATCH",INDEX(tblLedger[Reconciliation Status],MATCH($A39,tblLedger[Ledger Record ID],0))="ACH_MISMATCH"),"Yes","No")</x:f>
        <x:v>No</x:v>
      </x:c>
      <x:c r="N39" t="str">
        <x:f>IF(D39="","Yes","No")</x:f>
        <x:v>No</x:v>
      </x:c>
      <x:c r="O39" t="str">
        <x:f>IF(OR(INDEX(tblLedger[City],MATCH($A39,tblLedger[Ledger Record ID],0))="",INDEX(tblLedger[Jurisdiction],MATCH($A39,tblLedger[Ledger Record ID],0))=""),"Yes","No")</x:f>
        <x:v>No</x:v>
      </x:c>
      <x:c r="P39" t="str">
        <x:f>IF(COUNTIF({"Yes","No","Partial","Pending","Mapping Hold"},E39)=0,"Yes","No")</x:f>
        <x:v>No</x:v>
      </x:c>
      <x:c r="Q39" t="str">
        <x:f>IF(COUNTIF({"Yes","No","Partial","Pending","Mapping Review"},F39)=0,"Yes","No")</x:f>
        <x:v>No</x:v>
      </x:c>
      <x:c r="R39" t="str">
        <x:f>IF(J39="Yes","Mapping Hold",IF(I39="Yes","Missing Event Link",IF(H39="Yes","Duplicate WO",IF(M39="Yes","Revenue Variance",IF(K39="Yes","Missing Breakdown",IF(L39="Yes","Pending ACH",IF(E39="Partial","Partial Breakdown",IF(N39="Yes","Missing Client",IF(O39="Yes","Missing Location",IF(P39="Yes","Unknown Breakdown Status",IF(Q39="Yes","Unknown ACH Status","OK")))))))))))</x:f>
        <x:v>Pending ACH</x:v>
      </x:c>
      <x:c r="S39" t="str">
        <x:f>IF(OR(J39="Yes",I39="Yes",H39="Yes"),"Critical",IF(OR(M39="Yes",E39="Partial",N39="Yes",O39="Yes",P39="Yes",Q39="Yes"),"Warning",IF(OR(K39="Yes",L39="Yes"),"Informational","OK")))</x:f>
        <x:v>Informational</x:v>
      </x:c>
      <x:c r="T39" t="str">
        <x:f>IF(R39="Mapping Hold","Resolve mapping before update",IF(R39="Missing Event Link","Map to one authoritative event",IF(R39="Duplicate WO","Review duplicate identity",IF(R39="Revenue Variance","Reconcile or dispute amount",IF(R39="Missing Breakdown","Await breakdown",IF(R39="Pending ACH","Await ACH",IF(R39="Partial Breakdown","Confirm remaining breakdown",IF(R39="Missing Client","Add canonical client",IF(R39="Missing Location","Complete location fields",IF(R39="OK","No action","Review invalid status"))))))))))</x:f>
        <x:v>Await ACH</x:v>
      </x:c>
      <x:c r="U39" t="str">
        <x:f>IF(R39="OK","No","Yes")</x:f>
        <x:v>Yes</x:v>
      </x:c>
      <x:c r="V39" s="24" t="n">
        <x:f>ABS(N(G39))</x:f>
        <x:v>0</x:v>
      </x:c>
    </x:row>
    <x:row r="40">
      <x:c r="A40" t="str">
        <x:v>LED-0010</x:v>
      </x:c>
      <x:c r="B40" t="n">
        <x:f>INDEX(tblLedger[Work Order #],MATCH($A40,tblLedger[Ledger Record ID],0))</x:f>
        <x:v>5882097</x:v>
      </x:c>
      <x:c r="C40" t="n">
        <x:f>INDEX(tblLedger[Event #],MATCH($A40,tblLedger[Ledger Record ID],0))</x:f>
        <x:v>10</x:v>
      </x:c>
      <x:c r="D40" t="str">
        <x:f>INDEX(tblLedger[Client],MATCH($A40,tblLedger[Ledger Record ID],0))</x:f>
        <x:v>Giant Food Stores</x:v>
      </x:c>
      <x:c r="E40" t="str">
        <x:f>INDEX(tblLedger[Breakdown Confirmed],MATCH($A40,tblLedger[Ledger Record ID],0))</x:f>
        <x:v>Yes</x:v>
      </x:c>
      <x:c r="F40" t="str">
        <x:f>INDEX(tblLedger[ACH Confirmed],MATCH($A40,tblLedger[Ledger Record ID],0))</x:f>
        <x:v>Yes</x:v>
      </x:c>
      <x:c r="G40" s="24" t="str">
        <x:f>INDEX(tblLedger[Variance],MATCH($A40,tblLedger[Ledger Record ID],0))</x:f>
      </x:c>
      <x:c r="H40" t="str">
        <x:f>IF(COUNTIF(tblLedger[Work Order #],B40)&gt;1,"Yes","No")</x:f>
        <x:v>No</x:v>
      </x:c>
      <x:c r="I40" t="str">
        <x:f>IF(C40="","Yes","No")</x:f>
        <x:v>No</x:v>
      </x:c>
      <x:c r="J40" t="str">
        <x:f>IF(INDEX(tblLedger[Mapping Status],MATCH($A40,tblLedger[Ledger Record ID],0))="MAPPING_HOLD","Yes","No")</x:f>
        <x:v>No</x:v>
      </x:c>
      <x:c r="K40" t="str">
        <x:f>IF(AND(OR(E40="No",E40="Pending"),IFERROR(INDEX(tblServiceEvents[Financial Scope],MATCH(C40,tblServiceEvents[Event #],0)),"Included")="Included"),"Yes","No")</x:f>
        <x:v>No</x:v>
      </x:c>
      <x:c r="L40" t="str">
        <x:f>IF(AND(E40="Yes",OR(F40="No",F40="Pending")),"Yes","No")</x:f>
        <x:v>No</x:v>
      </x:c>
      <x:c r="M40" t="str">
        <x:f>IF(OR(ABS(N(G40))&gt;0,INDEX(tblLedger[Reconciliation Status],MATCH($A40,tblLedger[Ledger Record ID],0))="BREAKDOWN_MISMATCH",INDEX(tblLedger[Reconciliation Status],MATCH($A40,tblLedger[Ledger Record ID],0))="ACH_MISMATCH"),"Yes","No")</x:f>
        <x:v>No</x:v>
      </x:c>
      <x:c r="N40" t="str">
        <x:f>IF(D40="","Yes","No")</x:f>
        <x:v>No</x:v>
      </x:c>
      <x:c r="O40" t="str">
        <x:f>IF(OR(INDEX(tblLedger[City],MATCH($A40,tblLedger[Ledger Record ID],0))="",INDEX(tblLedger[Jurisdiction],MATCH($A40,tblLedger[Ledger Record ID],0))=""),"Yes","No")</x:f>
        <x:v>No</x:v>
      </x:c>
      <x:c r="P40" t="str">
        <x:f>IF(COUNTIF({"Yes","No","Partial","Pending","Mapping Hold"},E40)=0,"Yes","No")</x:f>
        <x:v>No</x:v>
      </x:c>
      <x:c r="Q40" t="str">
        <x:f>IF(COUNTIF({"Yes","No","Partial","Pending","Mapping Review"},F40)=0,"Yes","No")</x:f>
        <x:v>No</x:v>
      </x:c>
      <x:c r="R40" t="str">
        <x:f>IF(J40="Yes","Mapping Hold",IF(I40="Yes","Missing Event Link",IF(H40="Yes","Duplicate WO",IF(M40="Yes","Revenue Variance",IF(K40="Yes","Missing Breakdown",IF(L40="Yes","Pending ACH",IF(E40="Partial","Partial Breakdown",IF(N40="Yes","Missing Client",IF(O40="Yes","Missing Location",IF(P40="Yes","Unknown Breakdown Status",IF(Q40="Yes","Unknown ACH Status","OK")))))))))))</x:f>
        <x:v>OK</x:v>
      </x:c>
      <x:c r="S40" t="str">
        <x:f>IF(OR(J40="Yes",I40="Yes",H40="Yes"),"Critical",IF(OR(M40="Yes",E40="Partial",N40="Yes",O40="Yes",P40="Yes",Q40="Yes"),"Warning",IF(OR(K40="Yes",L40="Yes"),"Informational","OK")))</x:f>
        <x:v>OK</x:v>
      </x:c>
      <x:c r="T40" t="str">
        <x:f>IF(R40="Mapping Hold","Resolve mapping before update",IF(R40="Missing Event Link","Map to one authoritative event",IF(R40="Duplicate WO","Review duplicate identity",IF(R40="Revenue Variance","Reconcile or dispute amount",IF(R40="Missing Breakdown","Await breakdown",IF(R40="Pending ACH","Await ACH",IF(R40="Partial Breakdown","Confirm remaining breakdown",IF(R40="Missing Client","Add canonical client",IF(R40="Missing Location","Complete location fields",IF(R40="OK","No action","Review invalid status"))))))))))</x:f>
        <x:v>No action</x:v>
      </x:c>
      <x:c r="U40" t="str">
        <x:f>IF(R40="OK","No","Yes")</x:f>
        <x:v>No</x:v>
      </x:c>
      <x:c r="V40" s="24" t="n">
        <x:f>ABS(N(G40))</x:f>
        <x:v>0</x:v>
      </x:c>
    </x:row>
    <x:row r="41">
      <x:c r="A41" t="str">
        <x:v>LED-0011</x:v>
      </x:c>
      <x:c r="B41" t="n">
        <x:f>INDEX(tblLedger[Work Order #],MATCH($A41,tblLedger[Ledger Record ID],0))</x:f>
        <x:v>5884987</x:v>
      </x:c>
      <x:c r="C41" t="n">
        <x:f>INDEX(tblLedger[Event #],MATCH($A41,tblLedger[Ledger Record ID],0))</x:f>
        <x:v>11</x:v>
      </x:c>
      <x:c r="D41" t="str">
        <x:f>INDEX(tblLedger[Client],MATCH($A41,tblLedger[Ledger Record ID],0))</x:f>
        <x:v>Food Lion</x:v>
      </x:c>
      <x:c r="E41" t="str">
        <x:f>INDEX(tblLedger[Breakdown Confirmed],MATCH($A41,tblLedger[Ledger Record ID],0))</x:f>
        <x:v>Yes</x:v>
      </x:c>
      <x:c r="F41" t="str">
        <x:f>INDEX(tblLedger[ACH Confirmed],MATCH($A41,tblLedger[Ledger Record ID],0))</x:f>
        <x:v>Yes</x:v>
      </x:c>
      <x:c r="G41" s="24" t="str">
        <x:f>INDEX(tblLedger[Variance],MATCH($A41,tblLedger[Ledger Record ID],0))</x:f>
      </x:c>
      <x:c r="H41" t="str">
        <x:f>IF(COUNTIF(tblLedger[Work Order #],B41)&gt;1,"Yes","No")</x:f>
        <x:v>No</x:v>
      </x:c>
      <x:c r="I41" t="str">
        <x:f>IF(C41="","Yes","No")</x:f>
        <x:v>No</x:v>
      </x:c>
      <x:c r="J41" t="str">
        <x:f>IF(INDEX(tblLedger[Mapping Status],MATCH($A41,tblLedger[Ledger Record ID],0))="MAPPING_HOLD","Yes","No")</x:f>
        <x:v>No</x:v>
      </x:c>
      <x:c r="K41" t="str">
        <x:f>IF(AND(OR(E41="No",E41="Pending"),IFERROR(INDEX(tblServiceEvents[Financial Scope],MATCH(C41,tblServiceEvents[Event #],0)),"Included")="Included"),"Yes","No")</x:f>
        <x:v>No</x:v>
      </x:c>
      <x:c r="L41" t="str">
        <x:f>IF(AND(E41="Yes",OR(F41="No",F41="Pending")),"Yes","No")</x:f>
        <x:v>No</x:v>
      </x:c>
      <x:c r="M41" t="str">
        <x:f>IF(OR(ABS(N(G41))&gt;0,INDEX(tblLedger[Reconciliation Status],MATCH($A41,tblLedger[Ledger Record ID],0))="BREAKDOWN_MISMATCH",INDEX(tblLedger[Reconciliation Status],MATCH($A41,tblLedger[Ledger Record ID],0))="ACH_MISMATCH"),"Yes","No")</x:f>
        <x:v>No</x:v>
      </x:c>
      <x:c r="N41" t="str">
        <x:f>IF(D41="","Yes","No")</x:f>
        <x:v>No</x:v>
      </x:c>
      <x:c r="O41" t="str">
        <x:f>IF(OR(INDEX(tblLedger[City],MATCH($A41,tblLedger[Ledger Record ID],0))="",INDEX(tblLedger[Jurisdiction],MATCH($A41,tblLedger[Ledger Record ID],0))=""),"Yes","No")</x:f>
        <x:v>No</x:v>
      </x:c>
      <x:c r="P41" t="str">
        <x:f>IF(COUNTIF({"Yes","No","Partial","Pending","Mapping Hold"},E41)=0,"Yes","No")</x:f>
        <x:v>No</x:v>
      </x:c>
      <x:c r="Q41" t="str">
        <x:f>IF(COUNTIF({"Yes","No","Partial","Pending","Mapping Review"},F41)=0,"Yes","No")</x:f>
        <x:v>No</x:v>
      </x:c>
      <x:c r="R41" t="str">
        <x:f>IF(J41="Yes","Mapping Hold",IF(I41="Yes","Missing Event Link",IF(H41="Yes","Duplicate WO",IF(M41="Yes","Revenue Variance",IF(K41="Yes","Missing Breakdown",IF(L41="Yes","Pending ACH",IF(E41="Partial","Partial Breakdown",IF(N41="Yes","Missing Client",IF(O41="Yes","Missing Location",IF(P41="Yes","Unknown Breakdown Status",IF(Q41="Yes","Unknown ACH Status","OK")))))))))))</x:f>
        <x:v>OK</x:v>
      </x:c>
      <x:c r="S41" t="str">
        <x:f>IF(OR(J41="Yes",I41="Yes",H41="Yes"),"Critical",IF(OR(M41="Yes",E41="Partial",N41="Yes",O41="Yes",P41="Yes",Q41="Yes"),"Warning",IF(OR(K41="Yes",L41="Yes"),"Informational","OK")))</x:f>
        <x:v>OK</x:v>
      </x:c>
      <x:c r="T41" t="str">
        <x:f>IF(R41="Mapping Hold","Resolve mapping before update",IF(R41="Missing Event Link","Map to one authoritative event",IF(R41="Duplicate WO","Review duplicate identity",IF(R41="Revenue Variance","Reconcile or dispute amount",IF(R41="Missing Breakdown","Await breakdown",IF(R41="Pending ACH","Await ACH",IF(R41="Partial Breakdown","Confirm remaining breakdown",IF(R41="Missing Client","Add canonical client",IF(R41="Missing Location","Complete location fields",IF(R41="OK","No action","Review invalid status"))))))))))</x:f>
        <x:v>No action</x:v>
      </x:c>
      <x:c r="U41" t="str">
        <x:f>IF(R41="OK","No","Yes")</x:f>
        <x:v>No</x:v>
      </x:c>
      <x:c r="V41" s="24" t="n">
        <x:f>ABS(N(G41))</x:f>
        <x:v>0</x:v>
      </x:c>
    </x:row>
    <x:row r="42">
      <x:c r="A42" t="str">
        <x:v>LED-0012</x:v>
      </x:c>
      <x:c r="B42" t="n">
        <x:f>INDEX(tblLedger[Work Order #],MATCH($A42,tblLedger[Ledger Record ID],0))</x:f>
        <x:v>5884369</x:v>
      </x:c>
      <x:c r="C42" t="n">
        <x:f>INDEX(tblLedger[Event #],MATCH($A42,tblLedger[Ledger Record ID],0))</x:f>
        <x:v>12</x:v>
      </x:c>
      <x:c r="D42" t="str">
        <x:f>INDEX(tblLedger[Client],MATCH($A42,tblLedger[Ledger Record ID],0))</x:f>
        <x:v>Weis Markets</x:v>
      </x:c>
      <x:c r="E42" t="str">
        <x:f>INDEX(tblLedger[Breakdown Confirmed],MATCH($A42,tblLedger[Ledger Record ID],0))</x:f>
        <x:v>Yes</x:v>
      </x:c>
      <x:c r="F42" t="str">
        <x:f>INDEX(tblLedger[ACH Confirmed],MATCH($A42,tblLedger[Ledger Record ID],0))</x:f>
        <x:v>Yes</x:v>
      </x:c>
      <x:c r="G42" s="24" t="str">
        <x:f>INDEX(tblLedger[Variance],MATCH($A42,tblLedger[Ledger Record ID],0))</x:f>
      </x:c>
      <x:c r="H42" t="str">
        <x:f>IF(COUNTIF(tblLedger[Work Order #],B42)&gt;1,"Yes","No")</x:f>
        <x:v>No</x:v>
      </x:c>
      <x:c r="I42" t="str">
        <x:f>IF(C42="","Yes","No")</x:f>
        <x:v>No</x:v>
      </x:c>
      <x:c r="J42" t="str">
        <x:f>IF(INDEX(tblLedger[Mapping Status],MATCH($A42,tblLedger[Ledger Record ID],0))="MAPPING_HOLD","Yes","No")</x:f>
        <x:v>No</x:v>
      </x:c>
      <x:c r="K42" t="str">
        <x:f>IF(AND(OR(E42="No",E42="Pending"),IFERROR(INDEX(tblServiceEvents[Financial Scope],MATCH(C42,tblServiceEvents[Event #],0)),"Included")="Included"),"Yes","No")</x:f>
        <x:v>No</x:v>
      </x:c>
      <x:c r="L42" t="str">
        <x:f>IF(AND(E42="Yes",OR(F42="No",F42="Pending")),"Yes","No")</x:f>
        <x:v>No</x:v>
      </x:c>
      <x:c r="M42" t="str">
        <x:f>IF(OR(ABS(N(G42))&gt;0,INDEX(tblLedger[Reconciliation Status],MATCH($A42,tblLedger[Ledger Record ID],0))="BREAKDOWN_MISMATCH",INDEX(tblLedger[Reconciliation Status],MATCH($A42,tblLedger[Ledger Record ID],0))="ACH_MISMATCH"),"Yes","No")</x:f>
        <x:v>No</x:v>
      </x:c>
      <x:c r="N42" t="str">
        <x:f>IF(D42="","Yes","No")</x:f>
        <x:v>No</x:v>
      </x:c>
      <x:c r="O42" t="str">
        <x:f>IF(OR(INDEX(tblLedger[City],MATCH($A42,tblLedger[Ledger Record ID],0))="",INDEX(tblLedger[Jurisdiction],MATCH($A42,tblLedger[Ledger Record ID],0))=""),"Yes","No")</x:f>
        <x:v>No</x:v>
      </x:c>
      <x:c r="P42" t="str">
        <x:f>IF(COUNTIF({"Yes","No","Partial","Pending","Mapping Hold"},E42)=0,"Yes","No")</x:f>
        <x:v>No</x:v>
      </x:c>
      <x:c r="Q42" t="str">
        <x:f>IF(COUNTIF({"Yes","No","Partial","Pending","Mapping Review"},F42)=0,"Yes","No")</x:f>
        <x:v>No</x:v>
      </x:c>
      <x:c r="R42" t="str">
        <x:f>IF(J42="Yes","Mapping Hold",IF(I42="Yes","Missing Event Link",IF(H42="Yes","Duplicate WO",IF(M42="Yes","Revenue Variance",IF(K42="Yes","Missing Breakdown",IF(L42="Yes","Pending ACH",IF(E42="Partial","Partial Breakdown",IF(N42="Yes","Missing Client",IF(O42="Yes","Missing Location",IF(P42="Yes","Unknown Breakdown Status",IF(Q42="Yes","Unknown ACH Status","OK")))))))))))</x:f>
        <x:v>OK</x:v>
      </x:c>
      <x:c r="S42" t="str">
        <x:f>IF(OR(J42="Yes",I42="Yes",H42="Yes"),"Critical",IF(OR(M42="Yes",E42="Partial",N42="Yes",O42="Yes",P42="Yes",Q42="Yes"),"Warning",IF(OR(K42="Yes",L42="Yes"),"Informational","OK")))</x:f>
        <x:v>OK</x:v>
      </x:c>
      <x:c r="T42" t="str">
        <x:f>IF(R42="Mapping Hold","Resolve mapping before update",IF(R42="Missing Event Link","Map to one authoritative event",IF(R42="Duplicate WO","Review duplicate identity",IF(R42="Revenue Variance","Reconcile or dispute amount",IF(R42="Missing Breakdown","Await breakdown",IF(R42="Pending ACH","Await ACH",IF(R42="Partial Breakdown","Confirm remaining breakdown",IF(R42="Missing Client","Add canonical client",IF(R42="Missing Location","Complete location fields",IF(R42="OK","No action","Review invalid status"))))))))))</x:f>
        <x:v>No action</x:v>
      </x:c>
      <x:c r="U42" t="str">
        <x:f>IF(R42="OK","No","Yes")</x:f>
        <x:v>No</x:v>
      </x:c>
      <x:c r="V42" s="24" t="n">
        <x:f>ABS(N(G42))</x:f>
        <x:v>0</x:v>
      </x:c>
    </x:row>
    <x:row r="43">
      <x:c r="A43" t="str">
        <x:v>LED-0013</x:v>
      </x:c>
      <x:c r="B43" t="n">
        <x:f>INDEX(tblLedger[Work Order #],MATCH($A43,tblLedger[Ledger Record ID],0))</x:f>
        <x:v>5885429</x:v>
      </x:c>
      <x:c r="C43" t="n">
        <x:f>INDEX(tblLedger[Event #],MATCH($A43,tblLedger[Ledger Record ID],0))</x:f>
        <x:v>13</x:v>
      </x:c>
      <x:c r="D43" t="str">
        <x:f>INDEX(tblLedger[Client],MATCH($A43,tblLedger[Ledger Record ID],0))</x:f>
        <x:v>Office of MD Senator Chris Van Hollen</x:v>
      </x:c>
      <x:c r="E43" t="str">
        <x:f>INDEX(tblLedger[Breakdown Confirmed],MATCH($A43,tblLedger[Ledger Record ID],0))</x:f>
        <x:v>Yes</x:v>
      </x:c>
      <x:c r="F43" t="str">
        <x:f>INDEX(tblLedger[ACH Confirmed],MATCH($A43,tblLedger[Ledger Record ID],0))</x:f>
        <x:v>Yes</x:v>
      </x:c>
      <x:c r="G43" s="24" t="str">
        <x:f>INDEX(tblLedger[Variance],MATCH($A43,tblLedger[Ledger Record ID],0))</x:f>
      </x:c>
      <x:c r="H43" t="str">
        <x:f>IF(COUNTIF(tblLedger[Work Order #],B43)&gt;1,"Yes","No")</x:f>
        <x:v>No</x:v>
      </x:c>
      <x:c r="I43" t="str">
        <x:f>IF(C43="","Yes","No")</x:f>
        <x:v>No</x:v>
      </x:c>
      <x:c r="J43" t="str">
        <x:f>IF(INDEX(tblLedger[Mapping Status],MATCH($A43,tblLedger[Ledger Record ID],0))="MAPPING_HOLD","Yes","No")</x:f>
        <x:v>No</x:v>
      </x:c>
      <x:c r="K43" t="str">
        <x:f>IF(AND(OR(E43="No",E43="Pending"),IFERROR(INDEX(tblServiceEvents[Financial Scope],MATCH(C43,tblServiceEvents[Event #],0)),"Included")="Included"),"Yes","No")</x:f>
        <x:v>No</x:v>
      </x:c>
      <x:c r="L43" t="str">
        <x:f>IF(AND(E43="Yes",OR(F43="No",F43="Pending")),"Yes","No")</x:f>
        <x:v>No</x:v>
      </x:c>
      <x:c r="M43" t="str">
        <x:f>IF(OR(ABS(N(G43))&gt;0,INDEX(tblLedger[Reconciliation Status],MATCH($A43,tblLedger[Ledger Record ID],0))="BREAKDOWN_MISMATCH",INDEX(tblLedger[Reconciliation Status],MATCH($A43,tblLedger[Ledger Record ID],0))="ACH_MISMATCH"),"Yes","No")</x:f>
        <x:v>No</x:v>
      </x:c>
      <x:c r="N43" t="str">
        <x:f>IF(D43="","Yes","No")</x:f>
        <x:v>No</x:v>
      </x:c>
      <x:c r="O43" t="str">
        <x:f>IF(OR(INDEX(tblLedger[City],MATCH($A43,tblLedger[Ledger Record ID],0))="",INDEX(tblLedger[Jurisdiction],MATCH($A43,tblLedger[Ledger Record ID],0))=""),"Yes","No")</x:f>
        <x:v>No</x:v>
      </x:c>
      <x:c r="P43" t="str">
        <x:f>IF(COUNTIF({"Yes","No","Partial","Pending","Mapping Hold"},E43)=0,"Yes","No")</x:f>
        <x:v>No</x:v>
      </x:c>
      <x:c r="Q43" t="str">
        <x:f>IF(COUNTIF({"Yes","No","Partial","Pending","Mapping Review"},F43)=0,"Yes","No")</x:f>
        <x:v>No</x:v>
      </x:c>
      <x:c r="R43" t="str">
        <x:f>IF(J43="Yes","Mapping Hold",IF(I43="Yes","Missing Event Link",IF(H43="Yes","Duplicate WO",IF(M43="Yes","Revenue Variance",IF(K43="Yes","Missing Breakdown",IF(L43="Yes","Pending ACH",IF(E43="Partial","Partial Breakdown",IF(N43="Yes","Missing Client",IF(O43="Yes","Missing Location",IF(P43="Yes","Unknown Breakdown Status",IF(Q43="Yes","Unknown ACH Status","OK")))))))))))</x:f>
        <x:v>OK</x:v>
      </x:c>
      <x:c r="S43" t="str">
        <x:f>IF(OR(J43="Yes",I43="Yes",H43="Yes"),"Critical",IF(OR(M43="Yes",E43="Partial",N43="Yes",O43="Yes",P43="Yes",Q43="Yes"),"Warning",IF(OR(K43="Yes",L43="Yes"),"Informational","OK")))</x:f>
        <x:v>OK</x:v>
      </x:c>
      <x:c r="T43" t="str">
        <x:f>IF(R43="Mapping Hold","Resolve mapping before update",IF(R43="Missing Event Link","Map to one authoritative event",IF(R43="Duplicate WO","Review duplicate identity",IF(R43="Revenue Variance","Reconcile or dispute amount",IF(R43="Missing Breakdown","Await breakdown",IF(R43="Pending ACH","Await ACH",IF(R43="Partial Breakdown","Confirm remaining breakdown",IF(R43="Missing Client","Add canonical client",IF(R43="Missing Location","Complete location fields",IF(R43="OK","No action","Review invalid status"))))))))))</x:f>
        <x:v>No action</x:v>
      </x:c>
      <x:c r="U43" t="str">
        <x:f>IF(R43="OK","No","Yes")</x:f>
        <x:v>No</x:v>
      </x:c>
      <x:c r="V43" s="24" t="n">
        <x:f>ABS(N(G43))</x:f>
        <x:v>0</x:v>
      </x:c>
    </x:row>
    <x:row r="44">
      <x:c r="A44" t="str">
        <x:v>LED-0014</x:v>
      </x:c>
      <x:c r="B44" t="str">
        <x:f>INDEX(tblLedger[Work Order #],MATCH($A44,tblLedger[Ledger Record ID],0))</x:f>
        <x:v>UNRESOLVED-E014</x:v>
      </x:c>
      <x:c r="C44" t="n">
        <x:f>INDEX(tblLedger[Event #],MATCH($A44,tblLedger[Ledger Record ID],0))</x:f>
        <x:v>14</x:v>
      </x:c>
      <x:c r="D44" t="str">
        <x:f>INDEX(tblLedger[Client],MATCH($A44,tblLedger[Ledger Record ID],0))</x:f>
        <x:v>Residential – Annapolis Neck, MD</x:v>
      </x:c>
      <x:c r="E44" t="str">
        <x:f>INDEX(tblLedger[Breakdown Confirmed],MATCH($A44,tblLedger[Ledger Record ID],0))</x:f>
        <x:v>Yes</x:v>
      </x:c>
      <x:c r="F44" t="str">
        <x:f>INDEX(tblLedger[ACH Confirmed],MATCH($A44,tblLedger[Ledger Record ID],0))</x:f>
        <x:v>No</x:v>
      </x:c>
      <x:c r="G44" s="24" t="n">
        <x:f>INDEX(tblLedger[Variance],MATCH($A44,tblLedger[Ledger Record ID],0))</x:f>
        <x:v>0</x:v>
      </x:c>
      <x:c r="H44" t="str">
        <x:f>IF(COUNTIF(tblLedger[Work Order #],B44)&gt;1,"Yes","No")</x:f>
        <x:v>No</x:v>
      </x:c>
      <x:c r="I44" t="str">
        <x:f>IF(C44="","Yes","No")</x:f>
        <x:v>No</x:v>
      </x:c>
      <x:c r="J44" t="str">
        <x:f>IF(INDEX(tblLedger[Mapping Status],MATCH($A44,tblLedger[Ledger Record ID],0))="MAPPING_HOLD","Yes","No")</x:f>
        <x:v>No</x:v>
      </x:c>
      <x:c r="K44" t="str">
        <x:f>IF(AND(OR(E44="No",E44="Pending"),IFERROR(INDEX(tblServiceEvents[Financial Scope],MATCH(C44,tblServiceEvents[Event #],0)),"Included")="Included"),"Yes","No")</x:f>
        <x:v>No</x:v>
      </x:c>
      <x:c r="L44" t="str">
        <x:f>IF(AND(E44="Yes",OR(F44="No",F44="Pending")),"Yes","No")</x:f>
        <x:v>Yes</x:v>
      </x:c>
      <x:c r="M44" t="str">
        <x:f>IF(OR(ABS(N(G44))&gt;0,INDEX(tblLedger[Reconciliation Status],MATCH($A44,tblLedger[Ledger Record ID],0))="BREAKDOWN_MISMATCH",INDEX(tblLedger[Reconciliation Status],MATCH($A44,tblLedger[Ledger Record ID],0))="ACH_MISMATCH"),"Yes","No")</x:f>
        <x:v>No</x:v>
      </x:c>
      <x:c r="N44" t="str">
        <x:f>IF(D44="","Yes","No")</x:f>
        <x:v>No</x:v>
      </x:c>
      <x:c r="O44" t="str">
        <x:f>IF(OR(INDEX(tblLedger[City],MATCH($A44,tblLedger[Ledger Record ID],0))="",INDEX(tblLedger[Jurisdiction],MATCH($A44,tblLedger[Ledger Record ID],0))=""),"Yes","No")</x:f>
        <x:v>No</x:v>
      </x:c>
      <x:c r="P44" t="str">
        <x:f>IF(COUNTIF({"Yes","No","Partial","Pending","Mapping Hold"},E44)=0,"Yes","No")</x:f>
        <x:v>No</x:v>
      </x:c>
      <x:c r="Q44" t="str">
        <x:f>IF(COUNTIF({"Yes","No","Partial","Pending","Mapping Review"},F44)=0,"Yes","No")</x:f>
        <x:v>No</x:v>
      </x:c>
      <x:c r="R44" t="str">
        <x:f>IF(J44="Yes","Mapping Hold",IF(I44="Yes","Missing Event Link",IF(H44="Yes","Duplicate WO",IF(M44="Yes","Revenue Variance",IF(K44="Yes","Missing Breakdown",IF(L44="Yes","Pending ACH",IF(E44="Partial","Partial Breakdown",IF(N44="Yes","Missing Client",IF(O44="Yes","Missing Location",IF(P44="Yes","Unknown Breakdown Status",IF(Q44="Yes","Unknown ACH Status","OK")))))))))))</x:f>
        <x:v>Pending ACH</x:v>
      </x:c>
      <x:c r="S44" t="str">
        <x:f>IF(OR(J44="Yes",I44="Yes",H44="Yes"),"Critical",IF(OR(M44="Yes",E44="Partial",N44="Yes",O44="Yes",P44="Yes",Q44="Yes"),"Warning",IF(OR(K44="Yes",L44="Yes"),"Informational","OK")))</x:f>
        <x:v>Informational</x:v>
      </x:c>
      <x:c r="T44" t="str">
        <x:f>IF(R44="Mapping Hold","Resolve mapping before update",IF(R44="Missing Event Link","Map to one authoritative event",IF(R44="Duplicate WO","Review duplicate identity",IF(R44="Revenue Variance","Reconcile or dispute amount",IF(R44="Missing Breakdown","Await breakdown",IF(R44="Pending ACH","Await ACH",IF(R44="Partial Breakdown","Confirm remaining breakdown",IF(R44="Missing Client","Add canonical client",IF(R44="Missing Location","Complete location fields",IF(R44="OK","No action","Review invalid status"))))))))))</x:f>
        <x:v>Await ACH</x:v>
      </x:c>
      <x:c r="U44" t="str">
        <x:f>IF(R44="OK","No","Yes")</x:f>
        <x:v>Yes</x:v>
      </x:c>
      <x:c r="V44" s="24" t="n">
        <x:f>ABS(N(G44))</x:f>
        <x:v>0</x:v>
      </x:c>
    </x:row>
    <x:row r="45">
      <x:c r="A45" t="str">
        <x:v>LED-0015</x:v>
      </x:c>
      <x:c r="B45" t="n">
        <x:f>INDEX(tblLedger[Work Order #],MATCH($A45,tblLedger[Ledger Record ID],0))</x:f>
        <x:v>5886658</x:v>
      </x:c>
      <x:c r="C45" t="n">
        <x:f>INDEX(tblLedger[Event #],MATCH($A45,tblLedger[Ledger Record ID],0))</x:f>
        <x:v>15</x:v>
      </x:c>
      <x:c r="D45" t="str">
        <x:f>INDEX(tblLedger[Client],MATCH($A45,tblLedger[Ledger Record ID],0))</x:f>
        <x:v>Verizon</x:v>
      </x:c>
      <x:c r="E45" t="str">
        <x:f>INDEX(tblLedger[Breakdown Confirmed],MATCH($A45,tblLedger[Ledger Record ID],0))</x:f>
        <x:v>Yes</x:v>
      </x:c>
      <x:c r="F45" t="str">
        <x:f>INDEX(tblLedger[ACH Confirmed],MATCH($A45,tblLedger[Ledger Record ID],0))</x:f>
        <x:v>Yes</x:v>
      </x:c>
      <x:c r="G45" s="24" t="str">
        <x:f>INDEX(tblLedger[Variance],MATCH($A45,tblLedger[Ledger Record ID],0))</x:f>
      </x:c>
      <x:c r="H45" t="str">
        <x:f>IF(COUNTIF(tblLedger[Work Order #],B45)&gt;1,"Yes","No")</x:f>
        <x:v>No</x:v>
      </x:c>
      <x:c r="I45" t="str">
        <x:f>IF(C45="","Yes","No")</x:f>
        <x:v>No</x:v>
      </x:c>
      <x:c r="J45" t="str">
        <x:f>IF(INDEX(tblLedger[Mapping Status],MATCH($A45,tblLedger[Ledger Record ID],0))="MAPPING_HOLD","Yes","No")</x:f>
        <x:v>No</x:v>
      </x:c>
      <x:c r="K45" t="str">
        <x:f>IF(AND(OR(E45="No",E45="Pending"),IFERROR(INDEX(tblServiceEvents[Financial Scope],MATCH(C45,tblServiceEvents[Event #],0)),"Included")="Included"),"Yes","No")</x:f>
        <x:v>No</x:v>
      </x:c>
      <x:c r="L45" t="str">
        <x:f>IF(AND(E45="Yes",OR(F45="No",F45="Pending")),"Yes","No")</x:f>
        <x:v>No</x:v>
      </x:c>
      <x:c r="M45" t="str">
        <x:f>IF(OR(ABS(N(G45))&gt;0,INDEX(tblLedger[Reconciliation Status],MATCH($A45,tblLedger[Ledger Record ID],0))="BREAKDOWN_MISMATCH",INDEX(tblLedger[Reconciliation Status],MATCH($A45,tblLedger[Ledger Record ID],0))="ACH_MISMATCH"),"Yes","No")</x:f>
        <x:v>No</x:v>
      </x:c>
      <x:c r="N45" t="str">
        <x:f>IF(D45="","Yes","No")</x:f>
        <x:v>No</x:v>
      </x:c>
      <x:c r="O45" t="str">
        <x:f>IF(OR(INDEX(tblLedger[City],MATCH($A45,tblLedger[Ledger Record ID],0))="",INDEX(tblLedger[Jurisdiction],MATCH($A45,tblLedger[Ledger Record ID],0))=""),"Yes","No")</x:f>
        <x:v>No</x:v>
      </x:c>
      <x:c r="P45" t="str">
        <x:f>IF(COUNTIF({"Yes","No","Partial","Pending","Mapping Hold"},E45)=0,"Yes","No")</x:f>
        <x:v>No</x:v>
      </x:c>
      <x:c r="Q45" t="str">
        <x:f>IF(COUNTIF({"Yes","No","Partial","Pending","Mapping Review"},F45)=0,"Yes","No")</x:f>
        <x:v>No</x:v>
      </x:c>
      <x:c r="R45" t="str">
        <x:f>IF(J45="Yes","Mapping Hold",IF(I45="Yes","Missing Event Link",IF(H45="Yes","Duplicate WO",IF(M45="Yes","Revenue Variance",IF(K45="Yes","Missing Breakdown",IF(L45="Yes","Pending ACH",IF(E45="Partial","Partial Breakdown",IF(N45="Yes","Missing Client",IF(O45="Yes","Missing Location",IF(P45="Yes","Unknown Breakdown Status",IF(Q45="Yes","Unknown ACH Status","OK")))))))))))</x:f>
        <x:v>OK</x:v>
      </x:c>
      <x:c r="S45" t="str">
        <x:f>IF(OR(J45="Yes",I45="Yes",H45="Yes"),"Critical",IF(OR(M45="Yes",E45="Partial",N45="Yes",O45="Yes",P45="Yes",Q45="Yes"),"Warning",IF(OR(K45="Yes",L45="Yes"),"Informational","OK")))</x:f>
        <x:v>OK</x:v>
      </x:c>
      <x:c r="T45" t="str">
        <x:f>IF(R45="Mapping Hold","Resolve mapping before update",IF(R45="Missing Event Link","Map to one authoritative event",IF(R45="Duplicate WO","Review duplicate identity",IF(R45="Revenue Variance","Reconcile or dispute amount",IF(R45="Missing Breakdown","Await breakdown",IF(R45="Pending ACH","Await ACH",IF(R45="Partial Breakdown","Confirm remaining breakdown",IF(R45="Missing Client","Add canonical client",IF(R45="Missing Location","Complete location fields",IF(R45="OK","No action","Review invalid status"))))))))))</x:f>
        <x:v>No action</x:v>
      </x:c>
      <x:c r="U45" t="str">
        <x:f>IF(R45="OK","No","Yes")</x:f>
        <x:v>No</x:v>
      </x:c>
      <x:c r="V45" s="24" t="n">
        <x:f>ABS(N(G45))</x:f>
        <x:v>0</x:v>
      </x:c>
    </x:row>
    <x:row r="46">
      <x:c r="A46" t="str">
        <x:v>LED-0016</x:v>
      </x:c>
      <x:c r="B46" t="n">
        <x:f>INDEX(tblLedger[Work Order #],MATCH($A46,tblLedger[Ledger Record ID],0))</x:f>
        <x:v>5887090</x:v>
      </x:c>
      <x:c r="C46" t="n">
        <x:f>INDEX(tblLedger[Event #],MATCH($A46,tblLedger[Ledger Record ID],0))</x:f>
        <x:v>16</x:v>
      </x:c>
      <x:c r="D46" t="str">
        <x:f>INDEX(tblLedger[Client],MATCH($A46,tblLedger[Ledger Record ID],0))</x:f>
        <x:v>Atrium Village</x:v>
      </x:c>
      <x:c r="E46" t="str">
        <x:f>INDEX(tblLedger[Breakdown Confirmed],MATCH($A46,tblLedger[Ledger Record ID],0))</x:f>
        <x:v>Yes</x:v>
      </x:c>
      <x:c r="F46" t="str">
        <x:f>INDEX(tblLedger[ACH Confirmed],MATCH($A46,tblLedger[Ledger Record ID],0))</x:f>
        <x:v>Yes</x:v>
      </x:c>
      <x:c r="G46" s="24" t="str">
        <x:f>INDEX(tblLedger[Variance],MATCH($A46,tblLedger[Ledger Record ID],0))</x:f>
      </x:c>
      <x:c r="H46" t="str">
        <x:f>IF(COUNTIF(tblLedger[Work Order #],B46)&gt;1,"Yes","No")</x:f>
        <x:v>No</x:v>
      </x:c>
      <x:c r="I46" t="str">
        <x:f>IF(C46="","Yes","No")</x:f>
        <x:v>No</x:v>
      </x:c>
      <x:c r="J46" t="str">
        <x:f>IF(INDEX(tblLedger[Mapping Status],MATCH($A46,tblLedger[Ledger Record ID],0))="MAPPING_HOLD","Yes","No")</x:f>
        <x:v>No</x:v>
      </x:c>
      <x:c r="K46" t="str">
        <x:f>IF(AND(OR(E46="No",E46="Pending"),IFERROR(INDEX(tblServiceEvents[Financial Scope],MATCH(C46,tblServiceEvents[Event #],0)),"Included")="Included"),"Yes","No")</x:f>
        <x:v>No</x:v>
      </x:c>
      <x:c r="L46" t="str">
        <x:f>IF(AND(E46="Yes",OR(F46="No",F46="Pending")),"Yes","No")</x:f>
        <x:v>No</x:v>
      </x:c>
      <x:c r="M46" t="str">
        <x:f>IF(OR(ABS(N(G46))&gt;0,INDEX(tblLedger[Reconciliation Status],MATCH($A46,tblLedger[Ledger Record ID],0))="BREAKDOWN_MISMATCH",INDEX(tblLedger[Reconciliation Status],MATCH($A46,tblLedger[Ledger Record ID],0))="ACH_MISMATCH"),"Yes","No")</x:f>
        <x:v>No</x:v>
      </x:c>
      <x:c r="N46" t="str">
        <x:f>IF(D46="","Yes","No")</x:f>
        <x:v>No</x:v>
      </x:c>
      <x:c r="O46" t="str">
        <x:f>IF(OR(INDEX(tblLedger[City],MATCH($A46,tblLedger[Ledger Record ID],0))="",INDEX(tblLedger[Jurisdiction],MATCH($A46,tblLedger[Ledger Record ID],0))=""),"Yes","No")</x:f>
        <x:v>No</x:v>
      </x:c>
      <x:c r="P46" t="str">
        <x:f>IF(COUNTIF({"Yes","No","Partial","Pending","Mapping Hold"},E46)=0,"Yes","No")</x:f>
        <x:v>No</x:v>
      </x:c>
      <x:c r="Q46" t="str">
        <x:f>IF(COUNTIF({"Yes","No","Partial","Pending","Mapping Review"},F46)=0,"Yes","No")</x:f>
        <x:v>No</x:v>
      </x:c>
      <x:c r="R46" t="str">
        <x:f>IF(J46="Yes","Mapping Hold",IF(I46="Yes","Missing Event Link",IF(H46="Yes","Duplicate WO",IF(M46="Yes","Revenue Variance",IF(K46="Yes","Missing Breakdown",IF(L46="Yes","Pending ACH",IF(E46="Partial","Partial Breakdown",IF(N46="Yes","Missing Client",IF(O46="Yes","Missing Location",IF(P46="Yes","Unknown Breakdown Status",IF(Q46="Yes","Unknown ACH Status","OK")))))))))))</x:f>
        <x:v>OK</x:v>
      </x:c>
      <x:c r="S46" t="str">
        <x:f>IF(OR(J46="Yes",I46="Yes",H46="Yes"),"Critical",IF(OR(M46="Yes",E46="Partial",N46="Yes",O46="Yes",P46="Yes",Q46="Yes"),"Warning",IF(OR(K46="Yes",L46="Yes"),"Informational","OK")))</x:f>
        <x:v>OK</x:v>
      </x:c>
      <x:c r="T46" t="str">
        <x:f>IF(R46="Mapping Hold","Resolve mapping before update",IF(R46="Missing Event Link","Map to one authoritative event",IF(R46="Duplicate WO","Review duplicate identity",IF(R46="Revenue Variance","Reconcile or dispute amount",IF(R46="Missing Breakdown","Await breakdown",IF(R46="Pending ACH","Await ACH",IF(R46="Partial Breakdown","Confirm remaining breakdown",IF(R46="Missing Client","Add canonical client",IF(R46="Missing Location","Complete location fields",IF(R46="OK","No action","Review invalid status"))))))))))</x:f>
        <x:v>No action</x:v>
      </x:c>
      <x:c r="U46" t="str">
        <x:f>IF(R46="OK","No","Yes")</x:f>
        <x:v>No</x:v>
      </x:c>
      <x:c r="V46" s="24" t="n">
        <x:f>ABS(N(G46))</x:f>
        <x:v>0</x:v>
      </x:c>
    </x:row>
    <x:row r="47">
      <x:c r="A47" t="str">
        <x:v>LED-0017</x:v>
      </x:c>
      <x:c r="B47" t="n">
        <x:f>INDEX(tblLedger[Work Order #],MATCH($A47,tblLedger[Ledger Record ID],0))</x:f>
        <x:v>5887094</x:v>
      </x:c>
      <x:c r="C47" t="n">
        <x:f>INDEX(tblLedger[Event #],MATCH($A47,tblLedger[Ledger Record ID],0))</x:f>
        <x:v>17</x:v>
      </x:c>
      <x:c r="D47" t="str">
        <x:f>INDEX(tblLedger[Client],MATCH($A47,tblLedger[Ledger Record ID],0))</x:f>
        <x:v>Maryland Baptist Age Home</x:v>
      </x:c>
      <x:c r="E47" t="str">
        <x:f>INDEX(tblLedger[Breakdown Confirmed],MATCH($A47,tblLedger[Ledger Record ID],0))</x:f>
        <x:v>Yes</x:v>
      </x:c>
      <x:c r="F47" t="str">
        <x:f>INDEX(tblLedger[ACH Confirmed],MATCH($A47,tblLedger[Ledger Record ID],0))</x:f>
        <x:v>Yes</x:v>
      </x:c>
      <x:c r="G47" s="24" t="str">
        <x:f>INDEX(tblLedger[Variance],MATCH($A47,tblLedger[Ledger Record ID],0))</x:f>
      </x:c>
      <x:c r="H47" t="str">
        <x:f>IF(COUNTIF(tblLedger[Work Order #],B47)&gt;1,"Yes","No")</x:f>
        <x:v>No</x:v>
      </x:c>
      <x:c r="I47" t="str">
        <x:f>IF(C47="","Yes","No")</x:f>
        <x:v>No</x:v>
      </x:c>
      <x:c r="J47" t="str">
        <x:f>IF(INDEX(tblLedger[Mapping Status],MATCH($A47,tblLedger[Ledger Record ID],0))="MAPPING_HOLD","Yes","No")</x:f>
        <x:v>No</x:v>
      </x:c>
      <x:c r="K47" t="str">
        <x:f>IF(AND(OR(E47="No",E47="Pending"),IFERROR(INDEX(tblServiceEvents[Financial Scope],MATCH(C47,tblServiceEvents[Event #],0)),"Included")="Included"),"Yes","No")</x:f>
        <x:v>No</x:v>
      </x:c>
      <x:c r="L47" t="str">
        <x:f>IF(AND(E47="Yes",OR(F47="No",F47="Pending")),"Yes","No")</x:f>
        <x:v>No</x:v>
      </x:c>
      <x:c r="M47" t="str">
        <x:f>IF(OR(ABS(N(G47))&gt;0,INDEX(tblLedger[Reconciliation Status],MATCH($A47,tblLedger[Ledger Record ID],0))="BREAKDOWN_MISMATCH",INDEX(tblLedger[Reconciliation Status],MATCH($A47,tblLedger[Ledger Record ID],0))="ACH_MISMATCH"),"Yes","No")</x:f>
        <x:v>No</x:v>
      </x:c>
      <x:c r="N47" t="str">
        <x:f>IF(D47="","Yes","No")</x:f>
        <x:v>No</x:v>
      </x:c>
      <x:c r="O47" t="str">
        <x:f>IF(OR(INDEX(tblLedger[City],MATCH($A47,tblLedger[Ledger Record ID],0))="",INDEX(tblLedger[Jurisdiction],MATCH($A47,tblLedger[Ledger Record ID],0))=""),"Yes","No")</x:f>
        <x:v>No</x:v>
      </x:c>
      <x:c r="P47" t="str">
        <x:f>IF(COUNTIF({"Yes","No","Partial","Pending","Mapping Hold"},E47)=0,"Yes","No")</x:f>
        <x:v>No</x:v>
      </x:c>
      <x:c r="Q47" t="str">
        <x:f>IF(COUNTIF({"Yes","No","Partial","Pending","Mapping Review"},F47)=0,"Yes","No")</x:f>
        <x:v>No</x:v>
      </x:c>
      <x:c r="R47" t="str">
        <x:f>IF(J47="Yes","Mapping Hold",IF(I47="Yes","Missing Event Link",IF(H47="Yes","Duplicate WO",IF(M47="Yes","Revenue Variance",IF(K47="Yes","Missing Breakdown",IF(L47="Yes","Pending ACH",IF(E47="Partial","Partial Breakdown",IF(N47="Yes","Missing Client",IF(O47="Yes","Missing Location",IF(P47="Yes","Unknown Breakdown Status",IF(Q47="Yes","Unknown ACH Status","OK")))))))))))</x:f>
        <x:v>OK</x:v>
      </x:c>
      <x:c r="S47" t="str">
        <x:f>IF(OR(J47="Yes",I47="Yes",H47="Yes"),"Critical",IF(OR(M47="Yes",E47="Partial",N47="Yes",O47="Yes",P47="Yes",Q47="Yes"),"Warning",IF(OR(K47="Yes",L47="Yes"),"Informational","OK")))</x:f>
        <x:v>OK</x:v>
      </x:c>
      <x:c r="T47" t="str">
        <x:f>IF(R47="Mapping Hold","Resolve mapping before update",IF(R47="Missing Event Link","Map to one authoritative event",IF(R47="Duplicate WO","Review duplicate identity",IF(R47="Revenue Variance","Reconcile or dispute amount",IF(R47="Missing Breakdown","Await breakdown",IF(R47="Pending ACH","Await ACH",IF(R47="Partial Breakdown","Confirm remaining breakdown",IF(R47="Missing Client","Add canonical client",IF(R47="Missing Location","Complete location fields",IF(R47="OK","No action","Review invalid status"))))))))))</x:f>
        <x:v>No action</x:v>
      </x:c>
      <x:c r="U47" t="str">
        <x:f>IF(R47="OK","No","Yes")</x:f>
        <x:v>No</x:v>
      </x:c>
      <x:c r="V47" s="24" t="n">
        <x:f>ABS(N(G47))</x:f>
        <x:v>0</x:v>
      </x:c>
    </x:row>
    <x:row r="48">
      <x:c r="A48" t="str">
        <x:v>LED-0018</x:v>
      </x:c>
      <x:c r="B48" t="n">
        <x:f>INDEX(tblLedger[Work Order #],MATCH($A48,tblLedger[Ledger Record ID],0))</x:f>
        <x:v>5889356</x:v>
      </x:c>
      <x:c r="C48" t="n">
        <x:f>INDEX(tblLedger[Event #],MATCH($A48,tblLedger[Ledger Record ID],0))</x:f>
        <x:v>18</x:v>
      </x:c>
      <x:c r="D48" t="str">
        <x:f>INDEX(tblLedger[Client],MATCH($A48,tblLedger[Ledger Record ID],0))</x:f>
        <x:v>Under Armour</x:v>
      </x:c>
      <x:c r="E48" t="str">
        <x:f>INDEX(tblLedger[Breakdown Confirmed],MATCH($A48,tblLedger[Ledger Record ID],0))</x:f>
        <x:v>Yes</x:v>
      </x:c>
      <x:c r="F48" t="str">
        <x:f>INDEX(tblLedger[ACH Confirmed],MATCH($A48,tblLedger[Ledger Record ID],0))</x:f>
        <x:v>Yes</x:v>
      </x:c>
      <x:c r="G48" s="24" t="str">
        <x:f>INDEX(tblLedger[Variance],MATCH($A48,tblLedger[Ledger Record ID],0))</x:f>
      </x:c>
      <x:c r="H48" t="str">
        <x:f>IF(COUNTIF(tblLedger[Work Order #],B48)&gt;1,"Yes","No")</x:f>
        <x:v>No</x:v>
      </x:c>
      <x:c r="I48" t="str">
        <x:f>IF(C48="","Yes","No")</x:f>
        <x:v>No</x:v>
      </x:c>
      <x:c r="J48" t="str">
        <x:f>IF(INDEX(tblLedger[Mapping Status],MATCH($A48,tblLedger[Ledger Record ID],0))="MAPPING_HOLD","Yes","No")</x:f>
        <x:v>No</x:v>
      </x:c>
      <x:c r="K48" t="str">
        <x:f>IF(AND(OR(E48="No",E48="Pending"),IFERROR(INDEX(tblServiceEvents[Financial Scope],MATCH(C48,tblServiceEvents[Event #],0)),"Included")="Included"),"Yes","No")</x:f>
        <x:v>No</x:v>
      </x:c>
      <x:c r="L48" t="str">
        <x:f>IF(AND(E48="Yes",OR(F48="No",F48="Pending")),"Yes","No")</x:f>
        <x:v>No</x:v>
      </x:c>
      <x:c r="M48" t="str">
        <x:f>IF(OR(ABS(N(G48))&gt;0,INDEX(tblLedger[Reconciliation Status],MATCH($A48,tblLedger[Ledger Record ID],0))="BREAKDOWN_MISMATCH",INDEX(tblLedger[Reconciliation Status],MATCH($A48,tblLedger[Ledger Record ID],0))="ACH_MISMATCH"),"Yes","No")</x:f>
        <x:v>No</x:v>
      </x:c>
      <x:c r="N48" t="str">
        <x:f>IF(D48="","Yes","No")</x:f>
        <x:v>No</x:v>
      </x:c>
      <x:c r="O48" t="str">
        <x:f>IF(OR(INDEX(tblLedger[City],MATCH($A48,tblLedger[Ledger Record ID],0))="",INDEX(tblLedger[Jurisdiction],MATCH($A48,tblLedger[Ledger Record ID],0))=""),"Yes","No")</x:f>
        <x:v>No</x:v>
      </x:c>
      <x:c r="P48" t="str">
        <x:f>IF(COUNTIF({"Yes","No","Partial","Pending","Mapping Hold"},E48)=0,"Yes","No")</x:f>
        <x:v>No</x:v>
      </x:c>
      <x:c r="Q48" t="str">
        <x:f>IF(COUNTIF({"Yes","No","Partial","Pending","Mapping Review"},F48)=0,"Yes","No")</x:f>
        <x:v>No</x:v>
      </x:c>
      <x:c r="R48" t="str">
        <x:f>IF(J48="Yes","Mapping Hold",IF(I48="Yes","Missing Event Link",IF(H48="Yes","Duplicate WO",IF(M48="Yes","Revenue Variance",IF(K48="Yes","Missing Breakdown",IF(L48="Yes","Pending ACH",IF(E48="Partial","Partial Breakdown",IF(N48="Yes","Missing Client",IF(O48="Yes","Missing Location",IF(P48="Yes","Unknown Breakdown Status",IF(Q48="Yes","Unknown ACH Status","OK")))))))))))</x:f>
        <x:v>OK</x:v>
      </x:c>
      <x:c r="S48" t="str">
        <x:f>IF(OR(J48="Yes",I48="Yes",H48="Yes"),"Critical",IF(OR(M48="Yes",E48="Partial",N48="Yes",O48="Yes",P48="Yes",Q48="Yes"),"Warning",IF(OR(K48="Yes",L48="Yes"),"Informational","OK")))</x:f>
        <x:v>OK</x:v>
      </x:c>
      <x:c r="T48" t="str">
        <x:f>IF(R48="Mapping Hold","Resolve mapping before update",IF(R48="Missing Event Link","Map to one authoritative event",IF(R48="Duplicate WO","Review duplicate identity",IF(R48="Revenue Variance","Reconcile or dispute amount",IF(R48="Missing Breakdown","Await breakdown",IF(R48="Pending ACH","Await ACH",IF(R48="Partial Breakdown","Confirm remaining breakdown",IF(R48="Missing Client","Add canonical client",IF(R48="Missing Location","Complete location fields",IF(R48="OK","No action","Review invalid status"))))))))))</x:f>
        <x:v>No action</x:v>
      </x:c>
      <x:c r="U48" t="str">
        <x:f>IF(R48="OK","No","Yes")</x:f>
        <x:v>No</x:v>
      </x:c>
      <x:c r="V48" s="24" t="n">
        <x:f>ABS(N(G48))</x:f>
        <x:v>0</x:v>
      </x:c>
    </x:row>
    <x:row r="49">
      <x:c r="A49" t="str">
        <x:v>LED-0019</x:v>
      </x:c>
      <x:c r="B49" t="str">
        <x:f>INDEX(tblLedger[Work Order #],MATCH($A49,tblLedger[Ledger Record ID],0))</x:f>
        <x:v>5889356-D2</x:v>
      </x:c>
      <x:c r="C49" t="n">
        <x:f>INDEX(tblLedger[Event #],MATCH($A49,tblLedger[Ledger Record ID],0))</x:f>
        <x:v>19</x:v>
      </x:c>
      <x:c r="D49" t="str">
        <x:f>INDEX(tblLedger[Client],MATCH($A49,tblLedger[Ledger Record ID],0))</x:f>
        <x:v>Under Armour</x:v>
      </x:c>
      <x:c r="E49" t="str">
        <x:f>INDEX(tblLedger[Breakdown Confirmed],MATCH($A49,tblLedger[Ledger Record ID],0))</x:f>
        <x:v>Yes</x:v>
      </x:c>
      <x:c r="F49" t="str">
        <x:f>INDEX(tblLedger[ACH Confirmed],MATCH($A49,tblLedger[Ledger Record ID],0))</x:f>
        <x:v>Yes</x:v>
      </x:c>
      <x:c r="G49" s="24" t="str">
        <x:f>INDEX(tblLedger[Variance],MATCH($A49,tblLedger[Ledger Record ID],0))</x:f>
      </x:c>
      <x:c r="H49" t="str">
        <x:f>IF(COUNTIF(tblLedger[Work Order #],B49)&gt;1,"Yes","No")</x:f>
        <x:v>No</x:v>
      </x:c>
      <x:c r="I49" t="str">
        <x:f>IF(C49="","Yes","No")</x:f>
        <x:v>No</x:v>
      </x:c>
      <x:c r="J49" t="str">
        <x:f>IF(INDEX(tblLedger[Mapping Status],MATCH($A49,tblLedger[Ledger Record ID],0))="MAPPING_HOLD","Yes","No")</x:f>
        <x:v>No</x:v>
      </x:c>
      <x:c r="K49" t="str">
        <x:f>IF(AND(OR(E49="No",E49="Pending"),IFERROR(INDEX(tblServiceEvents[Financial Scope],MATCH(C49,tblServiceEvents[Event #],0)),"Included")="Included"),"Yes","No")</x:f>
        <x:v>No</x:v>
      </x:c>
      <x:c r="L49" t="str">
        <x:f>IF(AND(E49="Yes",OR(F49="No",F49="Pending")),"Yes","No")</x:f>
        <x:v>No</x:v>
      </x:c>
      <x:c r="M49" t="str">
        <x:f>IF(OR(ABS(N(G49))&gt;0,INDEX(tblLedger[Reconciliation Status],MATCH($A49,tblLedger[Ledger Record ID],0))="BREAKDOWN_MISMATCH",INDEX(tblLedger[Reconciliation Status],MATCH($A49,tblLedger[Ledger Record ID],0))="ACH_MISMATCH"),"Yes","No")</x:f>
        <x:v>No</x:v>
      </x:c>
      <x:c r="N49" t="str">
        <x:f>IF(D49="","Yes","No")</x:f>
        <x:v>No</x:v>
      </x:c>
      <x:c r="O49" t="str">
        <x:f>IF(OR(INDEX(tblLedger[City],MATCH($A49,tblLedger[Ledger Record ID],0))="",INDEX(tblLedger[Jurisdiction],MATCH($A49,tblLedger[Ledger Record ID],0))=""),"Yes","No")</x:f>
        <x:v>No</x:v>
      </x:c>
      <x:c r="P49" t="str">
        <x:f>IF(COUNTIF({"Yes","No","Partial","Pending","Mapping Hold"},E49)=0,"Yes","No")</x:f>
        <x:v>No</x:v>
      </x:c>
      <x:c r="Q49" t="str">
        <x:f>IF(COUNTIF({"Yes","No","Partial","Pending","Mapping Review"},F49)=0,"Yes","No")</x:f>
        <x:v>No</x:v>
      </x:c>
      <x:c r="R49" t="str">
        <x:f>IF(J49="Yes","Mapping Hold",IF(I49="Yes","Missing Event Link",IF(H49="Yes","Duplicate WO",IF(M49="Yes","Revenue Variance",IF(K49="Yes","Missing Breakdown",IF(L49="Yes","Pending ACH",IF(E49="Partial","Partial Breakdown",IF(N49="Yes","Missing Client",IF(O49="Yes","Missing Location",IF(P49="Yes","Unknown Breakdown Status",IF(Q49="Yes","Unknown ACH Status","OK")))))))))))</x:f>
        <x:v>OK</x:v>
      </x:c>
      <x:c r="S49" t="str">
        <x:f>IF(OR(J49="Yes",I49="Yes",H49="Yes"),"Critical",IF(OR(M49="Yes",E49="Partial",N49="Yes",O49="Yes",P49="Yes",Q49="Yes"),"Warning",IF(OR(K49="Yes",L49="Yes"),"Informational","OK")))</x:f>
        <x:v>OK</x:v>
      </x:c>
      <x:c r="T49" t="str">
        <x:f>IF(R49="Mapping Hold","Resolve mapping before update",IF(R49="Missing Event Link","Map to one authoritative event",IF(R49="Duplicate WO","Review duplicate identity",IF(R49="Revenue Variance","Reconcile or dispute amount",IF(R49="Missing Breakdown","Await breakdown",IF(R49="Pending ACH","Await ACH",IF(R49="Partial Breakdown","Confirm remaining breakdown",IF(R49="Missing Client","Add canonical client",IF(R49="Missing Location","Complete location fields",IF(R49="OK","No action","Review invalid status"))))))))))</x:f>
        <x:v>No action</x:v>
      </x:c>
      <x:c r="U49" t="str">
        <x:f>IF(R49="OK","No","Yes")</x:f>
        <x:v>No</x:v>
      </x:c>
      <x:c r="V49" s="24" t="n">
        <x:f>ABS(N(G49))</x:f>
        <x:v>0</x:v>
      </x:c>
    </x:row>
    <x:row r="50">
      <x:c r="A50" t="str">
        <x:v>LED-0020</x:v>
      </x:c>
      <x:c r="B50" t="n">
        <x:f>INDEX(tblLedger[Work Order #],MATCH($A50,tblLedger[Ledger Record ID],0))</x:f>
        <x:v>5890220</x:v>
      </x:c>
      <x:c r="C50" t="n">
        <x:f>INDEX(tblLedger[Event #],MATCH($A50,tblLedger[Ledger Record ID],0))</x:f>
        <x:v>20</x:v>
      </x:c>
      <x:c r="D50" t="str">
        <x:f>INDEX(tblLedger[Client],MATCH($A50,tblLedger[Ledger Record ID],0))</x:f>
        <x:v>Giant Food Stores</x:v>
      </x:c>
      <x:c r="E50" t="str">
        <x:f>INDEX(tblLedger[Breakdown Confirmed],MATCH($A50,tblLedger[Ledger Record ID],0))</x:f>
        <x:v>Yes</x:v>
      </x:c>
      <x:c r="F50" t="str">
        <x:f>INDEX(tblLedger[ACH Confirmed],MATCH($A50,tblLedger[Ledger Record ID],0))</x:f>
        <x:v>Yes</x:v>
      </x:c>
      <x:c r="G50" s="24" t="str">
        <x:f>INDEX(tblLedger[Variance],MATCH($A50,tblLedger[Ledger Record ID],0))</x:f>
      </x:c>
      <x:c r="H50" t="str">
        <x:f>IF(COUNTIF(tblLedger[Work Order #],B50)&gt;1,"Yes","No")</x:f>
        <x:v>No</x:v>
      </x:c>
      <x:c r="I50" t="str">
        <x:f>IF(C50="","Yes","No")</x:f>
        <x:v>No</x:v>
      </x:c>
      <x:c r="J50" t="str">
        <x:f>IF(INDEX(tblLedger[Mapping Status],MATCH($A50,tblLedger[Ledger Record ID],0))="MAPPING_HOLD","Yes","No")</x:f>
        <x:v>No</x:v>
      </x:c>
      <x:c r="K50" t="str">
        <x:f>IF(AND(OR(E50="No",E50="Pending"),IFERROR(INDEX(tblServiceEvents[Financial Scope],MATCH(C50,tblServiceEvents[Event #],0)),"Included")="Included"),"Yes","No")</x:f>
        <x:v>No</x:v>
      </x:c>
      <x:c r="L50" t="str">
        <x:f>IF(AND(E50="Yes",OR(F50="No",F50="Pending")),"Yes","No")</x:f>
        <x:v>No</x:v>
      </x:c>
      <x:c r="M50" t="str">
        <x:f>IF(OR(ABS(N(G50))&gt;0,INDEX(tblLedger[Reconciliation Status],MATCH($A50,tblLedger[Ledger Record ID],0))="BREAKDOWN_MISMATCH",INDEX(tblLedger[Reconciliation Status],MATCH($A50,tblLedger[Ledger Record ID],0))="ACH_MISMATCH"),"Yes","No")</x:f>
        <x:v>No</x:v>
      </x:c>
      <x:c r="N50" t="str">
        <x:f>IF(D50="","Yes","No")</x:f>
        <x:v>No</x:v>
      </x:c>
      <x:c r="O50" t="str">
        <x:f>IF(OR(INDEX(tblLedger[City],MATCH($A50,tblLedger[Ledger Record ID],0))="",INDEX(tblLedger[Jurisdiction],MATCH($A50,tblLedger[Ledger Record ID],0))=""),"Yes","No")</x:f>
        <x:v>No</x:v>
      </x:c>
      <x:c r="P50" t="str">
        <x:f>IF(COUNTIF({"Yes","No","Partial","Pending","Mapping Hold"},E50)=0,"Yes","No")</x:f>
        <x:v>No</x:v>
      </x:c>
      <x:c r="Q50" t="str">
        <x:f>IF(COUNTIF({"Yes","No","Partial","Pending","Mapping Review"},F50)=0,"Yes","No")</x:f>
        <x:v>No</x:v>
      </x:c>
      <x:c r="R50" t="str">
        <x:f>IF(J50="Yes","Mapping Hold",IF(I50="Yes","Missing Event Link",IF(H50="Yes","Duplicate WO",IF(M50="Yes","Revenue Variance",IF(K50="Yes","Missing Breakdown",IF(L50="Yes","Pending ACH",IF(E50="Partial","Partial Breakdown",IF(N50="Yes","Missing Client",IF(O50="Yes","Missing Location",IF(P50="Yes","Unknown Breakdown Status",IF(Q50="Yes","Unknown ACH Status","OK")))))))))))</x:f>
        <x:v>OK</x:v>
      </x:c>
      <x:c r="S50" t="str">
        <x:f>IF(OR(J50="Yes",I50="Yes",H50="Yes"),"Critical",IF(OR(M50="Yes",E50="Partial",N50="Yes",O50="Yes",P50="Yes",Q50="Yes"),"Warning",IF(OR(K50="Yes",L50="Yes"),"Informational","OK")))</x:f>
        <x:v>OK</x:v>
      </x:c>
      <x:c r="T50" t="str">
        <x:f>IF(R50="Mapping Hold","Resolve mapping before update",IF(R50="Missing Event Link","Map to one authoritative event",IF(R50="Duplicate WO","Review duplicate identity",IF(R50="Revenue Variance","Reconcile or dispute amount",IF(R50="Missing Breakdown","Await breakdown",IF(R50="Pending ACH","Await ACH",IF(R50="Partial Breakdown","Confirm remaining breakdown",IF(R50="Missing Client","Add canonical client",IF(R50="Missing Location","Complete location fields",IF(R50="OK","No action","Review invalid status"))))))))))</x:f>
        <x:v>No action</x:v>
      </x:c>
      <x:c r="U50" t="str">
        <x:f>IF(R50="OK","No","Yes")</x:f>
        <x:v>No</x:v>
      </x:c>
      <x:c r="V50" s="24" t="n">
        <x:f>ABS(N(G50))</x:f>
        <x:v>0</x:v>
      </x:c>
    </x:row>
    <x:row r="51">
      <x:c r="A51" t="str">
        <x:v>LED-0021</x:v>
      </x:c>
      <x:c r="B51" t="n">
        <x:f>INDEX(tblLedger[Work Order #],MATCH($A51,tblLedger[Ledger Record ID],0))</x:f>
        <x:v>5892123</x:v>
      </x:c>
      <x:c r="C51" t="n">
        <x:f>INDEX(tblLedger[Event #],MATCH($A51,tblLedger[Ledger Record ID],0))</x:f>
        <x:v>21</x:v>
      </x:c>
      <x:c r="D51" t="str">
        <x:f>INDEX(tblLedger[Client],MATCH($A51,tblLedger[Ledger Record ID],0))</x:f>
        <x:v>Food Lion</x:v>
      </x:c>
      <x:c r="E51" t="str">
        <x:f>INDEX(tblLedger[Breakdown Confirmed],MATCH($A51,tblLedger[Ledger Record ID],0))</x:f>
        <x:v>Yes</x:v>
      </x:c>
      <x:c r="F51" t="str">
        <x:f>INDEX(tblLedger[ACH Confirmed],MATCH($A51,tblLedger[Ledger Record ID],0))</x:f>
        <x:v>Yes</x:v>
      </x:c>
      <x:c r="G51" s="24" t="str">
        <x:f>INDEX(tblLedger[Variance],MATCH($A51,tblLedger[Ledger Record ID],0))</x:f>
      </x:c>
      <x:c r="H51" t="str">
        <x:f>IF(COUNTIF(tblLedger[Work Order #],B51)&gt;1,"Yes","No")</x:f>
        <x:v>No</x:v>
      </x:c>
      <x:c r="I51" t="str">
        <x:f>IF(C51="","Yes","No")</x:f>
        <x:v>No</x:v>
      </x:c>
      <x:c r="J51" t="str">
        <x:f>IF(INDEX(tblLedger[Mapping Status],MATCH($A51,tblLedger[Ledger Record ID],0))="MAPPING_HOLD","Yes","No")</x:f>
        <x:v>No</x:v>
      </x:c>
      <x:c r="K51" t="str">
        <x:f>IF(AND(OR(E51="No",E51="Pending"),IFERROR(INDEX(tblServiceEvents[Financial Scope],MATCH(C51,tblServiceEvents[Event #],0)),"Included")="Included"),"Yes","No")</x:f>
        <x:v>No</x:v>
      </x:c>
      <x:c r="L51" t="str">
        <x:f>IF(AND(E51="Yes",OR(F51="No",F51="Pending")),"Yes","No")</x:f>
        <x:v>No</x:v>
      </x:c>
      <x:c r="M51" t="str">
        <x:f>IF(OR(ABS(N(G51))&gt;0,INDEX(tblLedger[Reconciliation Status],MATCH($A51,tblLedger[Ledger Record ID],0))="BREAKDOWN_MISMATCH",INDEX(tblLedger[Reconciliation Status],MATCH($A51,tblLedger[Ledger Record ID],0))="ACH_MISMATCH"),"Yes","No")</x:f>
        <x:v>No</x:v>
      </x:c>
      <x:c r="N51" t="str">
        <x:f>IF(D51="","Yes","No")</x:f>
        <x:v>No</x:v>
      </x:c>
      <x:c r="O51" t="str">
        <x:f>IF(OR(INDEX(tblLedger[City],MATCH($A51,tblLedger[Ledger Record ID],0))="",INDEX(tblLedger[Jurisdiction],MATCH($A51,tblLedger[Ledger Record ID],0))=""),"Yes","No")</x:f>
        <x:v>No</x:v>
      </x:c>
      <x:c r="P51" t="str">
        <x:f>IF(COUNTIF({"Yes","No","Partial","Pending","Mapping Hold"},E51)=0,"Yes","No")</x:f>
        <x:v>No</x:v>
      </x:c>
      <x:c r="Q51" t="str">
        <x:f>IF(COUNTIF({"Yes","No","Partial","Pending","Mapping Review"},F51)=0,"Yes","No")</x:f>
        <x:v>No</x:v>
      </x:c>
      <x:c r="R51" t="str">
        <x:f>IF(J51="Yes","Mapping Hold",IF(I51="Yes","Missing Event Link",IF(H51="Yes","Duplicate WO",IF(M51="Yes","Revenue Variance",IF(K51="Yes","Missing Breakdown",IF(L51="Yes","Pending ACH",IF(E51="Partial","Partial Breakdown",IF(N51="Yes","Missing Client",IF(O51="Yes","Missing Location",IF(P51="Yes","Unknown Breakdown Status",IF(Q51="Yes","Unknown ACH Status","OK")))))))))))</x:f>
        <x:v>OK</x:v>
      </x:c>
      <x:c r="S51" t="str">
        <x:f>IF(OR(J51="Yes",I51="Yes",H51="Yes"),"Critical",IF(OR(M51="Yes",E51="Partial",N51="Yes",O51="Yes",P51="Yes",Q51="Yes"),"Warning",IF(OR(K51="Yes",L51="Yes"),"Informational","OK")))</x:f>
        <x:v>OK</x:v>
      </x:c>
      <x:c r="T51" t="str">
        <x:f>IF(R51="Mapping Hold","Resolve mapping before update",IF(R51="Missing Event Link","Map to one authoritative event",IF(R51="Duplicate WO","Review duplicate identity",IF(R51="Revenue Variance","Reconcile or dispute amount",IF(R51="Missing Breakdown","Await breakdown",IF(R51="Pending ACH","Await ACH",IF(R51="Partial Breakdown","Confirm remaining breakdown",IF(R51="Missing Client","Add canonical client",IF(R51="Missing Location","Complete location fields",IF(R51="OK","No action","Review invalid status"))))))))))</x:f>
        <x:v>No action</x:v>
      </x:c>
      <x:c r="U51" t="str">
        <x:f>IF(R51="OK","No","Yes")</x:f>
        <x:v>No</x:v>
      </x:c>
      <x:c r="V51" s="24" t="n">
        <x:f>ABS(N(G51))</x:f>
        <x:v>0</x:v>
      </x:c>
    </x:row>
    <x:row r="52">
      <x:c r="A52" t="str">
        <x:v>LED-0022</x:v>
      </x:c>
      <x:c r="B52" t="n">
        <x:f>INDEX(tblLedger[Work Order #],MATCH($A52,tblLedger[Ledger Record ID],0))</x:f>
        <x:v>5889718</x:v>
      </x:c>
      <x:c r="C52" t="n">
        <x:f>INDEX(tblLedger[Event #],MATCH($A52,tblLedger[Ledger Record ID],0))</x:f>
        <x:v>22</x:v>
      </x:c>
      <x:c r="D52" t="str">
        <x:f>INDEX(tblLedger[Client],MATCH($A52,tblLedger[Ledger Record ID],0))</x:f>
        <x:v>HomeGoods</x:v>
      </x:c>
      <x:c r="E52" t="str">
        <x:f>INDEX(tblLedger[Breakdown Confirmed],MATCH($A52,tblLedger[Ledger Record ID],0))</x:f>
        <x:v>Yes</x:v>
      </x:c>
      <x:c r="F52" t="str">
        <x:f>INDEX(tblLedger[ACH Confirmed],MATCH($A52,tblLedger[Ledger Record ID],0))</x:f>
        <x:v>Yes</x:v>
      </x:c>
      <x:c r="G52" s="24" t="str">
        <x:f>INDEX(tblLedger[Variance],MATCH($A52,tblLedger[Ledger Record ID],0))</x:f>
      </x:c>
      <x:c r="H52" t="str">
        <x:f>IF(COUNTIF(tblLedger[Work Order #],B52)&gt;1,"Yes","No")</x:f>
        <x:v>No</x:v>
      </x:c>
      <x:c r="I52" t="str">
        <x:f>IF(C52="","Yes","No")</x:f>
        <x:v>No</x:v>
      </x:c>
      <x:c r="J52" t="str">
        <x:f>IF(INDEX(tblLedger[Mapping Status],MATCH($A52,tblLedger[Ledger Record ID],0))="MAPPING_HOLD","Yes","No")</x:f>
        <x:v>No</x:v>
      </x:c>
      <x:c r="K52" t="str">
        <x:f>IF(AND(OR(E52="No",E52="Pending"),IFERROR(INDEX(tblServiceEvents[Financial Scope],MATCH(C52,tblServiceEvents[Event #],0)),"Included")="Included"),"Yes","No")</x:f>
        <x:v>No</x:v>
      </x:c>
      <x:c r="L52" t="str">
        <x:f>IF(AND(E52="Yes",OR(F52="No",F52="Pending")),"Yes","No")</x:f>
        <x:v>No</x:v>
      </x:c>
      <x:c r="M52" t="str">
        <x:f>IF(OR(ABS(N(G52))&gt;0,INDEX(tblLedger[Reconciliation Status],MATCH($A52,tblLedger[Ledger Record ID],0))="BREAKDOWN_MISMATCH",INDEX(tblLedger[Reconciliation Status],MATCH($A52,tblLedger[Ledger Record ID],0))="ACH_MISMATCH"),"Yes","No")</x:f>
        <x:v>No</x:v>
      </x:c>
      <x:c r="N52" t="str">
        <x:f>IF(D52="","Yes","No")</x:f>
        <x:v>No</x:v>
      </x:c>
      <x:c r="O52" t="str">
        <x:f>IF(OR(INDEX(tblLedger[City],MATCH($A52,tblLedger[Ledger Record ID],0))="",INDEX(tblLedger[Jurisdiction],MATCH($A52,tblLedger[Ledger Record ID],0))=""),"Yes","No")</x:f>
        <x:v>No</x:v>
      </x:c>
      <x:c r="P52" t="str">
        <x:f>IF(COUNTIF({"Yes","No","Partial","Pending","Mapping Hold"},E52)=0,"Yes","No")</x:f>
        <x:v>No</x:v>
      </x:c>
      <x:c r="Q52" t="str">
        <x:f>IF(COUNTIF({"Yes","No","Partial","Pending","Mapping Review"},F52)=0,"Yes","No")</x:f>
        <x:v>No</x:v>
      </x:c>
      <x:c r="R52" t="str">
        <x:f>IF(J52="Yes","Mapping Hold",IF(I52="Yes","Missing Event Link",IF(H52="Yes","Duplicate WO",IF(M52="Yes","Revenue Variance",IF(K52="Yes","Missing Breakdown",IF(L52="Yes","Pending ACH",IF(E52="Partial","Partial Breakdown",IF(N52="Yes","Missing Client",IF(O52="Yes","Missing Location",IF(P52="Yes","Unknown Breakdown Status",IF(Q52="Yes","Unknown ACH Status","OK")))))))))))</x:f>
        <x:v>OK</x:v>
      </x:c>
      <x:c r="S52" t="str">
        <x:f>IF(OR(J52="Yes",I52="Yes",H52="Yes"),"Critical",IF(OR(M52="Yes",E52="Partial",N52="Yes",O52="Yes",P52="Yes",Q52="Yes"),"Warning",IF(OR(K52="Yes",L52="Yes"),"Informational","OK")))</x:f>
        <x:v>OK</x:v>
      </x:c>
      <x:c r="T52" t="str">
        <x:f>IF(R52="Mapping Hold","Resolve mapping before update",IF(R52="Missing Event Link","Map to one authoritative event",IF(R52="Duplicate WO","Review duplicate identity",IF(R52="Revenue Variance","Reconcile or dispute amount",IF(R52="Missing Breakdown","Await breakdown",IF(R52="Pending ACH","Await ACH",IF(R52="Partial Breakdown","Confirm remaining breakdown",IF(R52="Missing Client","Add canonical client",IF(R52="Missing Location","Complete location fields",IF(R52="OK","No action","Review invalid status"))))))))))</x:f>
        <x:v>No action</x:v>
      </x:c>
      <x:c r="U52" t="str">
        <x:f>IF(R52="OK","No","Yes")</x:f>
        <x:v>No</x:v>
      </x:c>
      <x:c r="V52" s="24" t="n">
        <x:f>ABS(N(G52))</x:f>
        <x:v>0</x:v>
      </x:c>
    </x:row>
    <x:row r="53">
      <x:c r="A53" t="str">
        <x:v>LED-0023</x:v>
      </x:c>
      <x:c r="B53" t="str">
        <x:f>INDEX(tblLedger[Work Order #],MATCH($A53,tblLedger[Ledger Record ID],0))</x:f>
        <x:v>UNRESOLVED-E023</x:v>
      </x:c>
      <x:c r="C53" t="n">
        <x:f>INDEX(tblLedger[Event #],MATCH($A53,tblLedger[Ledger Record ID],0))</x:f>
        <x:v>23</x:v>
      </x:c>
      <x:c r="D53" t="str">
        <x:f>INDEX(tblLedger[Client],MATCH($A53,tblLedger[Ledger Record ID],0))</x:f>
        <x:v>Joint Base Andrews</x:v>
      </x:c>
      <x:c r="E53" t="str">
        <x:f>INDEX(tblLedger[Breakdown Confirmed],MATCH($A53,tblLedger[Ledger Record ID],0))</x:f>
        <x:v>Yes</x:v>
      </x:c>
      <x:c r="F53" t="str">
        <x:f>INDEX(tblLedger[ACH Confirmed],MATCH($A53,tblLedger[Ledger Record ID],0))</x:f>
        <x:v>No</x:v>
      </x:c>
      <x:c r="G53" s="24" t="n">
        <x:f>INDEX(tblLedger[Variance],MATCH($A53,tblLedger[Ledger Record ID],0))</x:f>
        <x:v>0</x:v>
      </x:c>
      <x:c r="H53" t="str">
        <x:f>IF(COUNTIF(tblLedger[Work Order #],B53)&gt;1,"Yes","No")</x:f>
        <x:v>No</x:v>
      </x:c>
      <x:c r="I53" t="str">
        <x:f>IF(C53="","Yes","No")</x:f>
        <x:v>No</x:v>
      </x:c>
      <x:c r="J53" t="str">
        <x:f>IF(INDEX(tblLedger[Mapping Status],MATCH($A53,tblLedger[Ledger Record ID],0))="MAPPING_HOLD","Yes","No")</x:f>
        <x:v>No</x:v>
      </x:c>
      <x:c r="K53" t="str">
        <x:f>IF(AND(OR(E53="No",E53="Pending"),IFERROR(INDEX(tblServiceEvents[Financial Scope],MATCH(C53,tblServiceEvents[Event #],0)),"Included")="Included"),"Yes","No")</x:f>
        <x:v>No</x:v>
      </x:c>
      <x:c r="L53" t="str">
        <x:f>IF(AND(E53="Yes",OR(F53="No",F53="Pending")),"Yes","No")</x:f>
        <x:v>Yes</x:v>
      </x:c>
      <x:c r="M53" t="str">
        <x:f>IF(OR(ABS(N(G53))&gt;0,INDEX(tblLedger[Reconciliation Status],MATCH($A53,tblLedger[Ledger Record ID],0))="BREAKDOWN_MISMATCH",INDEX(tblLedger[Reconciliation Status],MATCH($A53,tblLedger[Ledger Record ID],0))="ACH_MISMATCH"),"Yes","No")</x:f>
        <x:v>No</x:v>
      </x:c>
      <x:c r="N53" t="str">
        <x:f>IF(D53="","Yes","No")</x:f>
        <x:v>No</x:v>
      </x:c>
      <x:c r="O53" t="str">
        <x:f>IF(OR(INDEX(tblLedger[City],MATCH($A53,tblLedger[Ledger Record ID],0))="",INDEX(tblLedger[Jurisdiction],MATCH($A53,tblLedger[Ledger Record ID],0))=""),"Yes","No")</x:f>
        <x:v>No</x:v>
      </x:c>
      <x:c r="P53" t="str">
        <x:f>IF(COUNTIF({"Yes","No","Partial","Pending","Mapping Hold"},E53)=0,"Yes","No")</x:f>
        <x:v>No</x:v>
      </x:c>
      <x:c r="Q53" t="str">
        <x:f>IF(COUNTIF({"Yes","No","Partial","Pending","Mapping Review"},F53)=0,"Yes","No")</x:f>
        <x:v>No</x:v>
      </x:c>
      <x:c r="R53" t="str">
        <x:f>IF(J53="Yes","Mapping Hold",IF(I53="Yes","Missing Event Link",IF(H53="Yes","Duplicate WO",IF(M53="Yes","Revenue Variance",IF(K53="Yes","Missing Breakdown",IF(L53="Yes","Pending ACH",IF(E53="Partial","Partial Breakdown",IF(N53="Yes","Missing Client",IF(O53="Yes","Missing Location",IF(P53="Yes","Unknown Breakdown Status",IF(Q53="Yes","Unknown ACH Status","OK")))))))))))</x:f>
        <x:v>Pending ACH</x:v>
      </x:c>
      <x:c r="S53" t="str">
        <x:f>IF(OR(J53="Yes",I53="Yes",H53="Yes"),"Critical",IF(OR(M53="Yes",E53="Partial",N53="Yes",O53="Yes",P53="Yes",Q53="Yes"),"Warning",IF(OR(K53="Yes",L53="Yes"),"Informational","OK")))</x:f>
        <x:v>Informational</x:v>
      </x:c>
      <x:c r="T53" t="str">
        <x:f>IF(R53="Mapping Hold","Resolve mapping before update",IF(R53="Missing Event Link","Map to one authoritative event",IF(R53="Duplicate WO","Review duplicate identity",IF(R53="Revenue Variance","Reconcile or dispute amount",IF(R53="Missing Breakdown","Await breakdown",IF(R53="Pending ACH","Await ACH",IF(R53="Partial Breakdown","Confirm remaining breakdown",IF(R53="Missing Client","Add canonical client",IF(R53="Missing Location","Complete location fields",IF(R53="OK","No action","Review invalid status"))))))))))</x:f>
        <x:v>Await ACH</x:v>
      </x:c>
      <x:c r="U53" t="str">
        <x:f>IF(R53="OK","No","Yes")</x:f>
        <x:v>Yes</x:v>
      </x:c>
      <x:c r="V53" s="24" t="n">
        <x:f>ABS(N(G53))</x:f>
        <x:v>0</x:v>
      </x:c>
    </x:row>
    <x:row r="54">
      <x:c r="A54" t="str">
        <x:v>LED-0024</x:v>
      </x:c>
      <x:c r="B54" t="str">
        <x:f>INDEX(tblLedger[Work Order #],MATCH($A54,tblLedger[Ledger Record ID],0))</x:f>
        <x:v>USDA-SPECIAL-E024</x:v>
      </x:c>
      <x:c r="C54" t="n">
        <x:f>INDEX(tblLedger[Event #],MATCH($A54,tblLedger[Ledger Record ID],0))</x:f>
        <x:v>24</x:v>
      </x:c>
      <x:c r="D54" t="str">
        <x:f>INDEX(tblLedger[Client],MATCH($A54,tblLedger[Ledger Record ID],0))</x:f>
        <x:v>USDA</x:v>
      </x:c>
      <x:c r="E54" t="str">
        <x:f>INDEX(tblLedger[Breakdown Confirmed],MATCH($A54,tblLedger[Ledger Record ID],0))</x:f>
        <x:v>Yes</x:v>
      </x:c>
      <x:c r="F54" t="str">
        <x:f>INDEX(tblLedger[ACH Confirmed],MATCH($A54,tblLedger[Ledger Record ID],0))</x:f>
        <x:v>Yes</x:v>
      </x:c>
      <x:c r="G54" s="24" t="str">
        <x:f>INDEX(tblLedger[Variance],MATCH($A54,tblLedger[Ledger Record ID],0))</x:f>
      </x:c>
      <x:c r="H54" t="str">
        <x:f>IF(COUNTIF(tblLedger[Work Order #],B54)&gt;1,"Yes","No")</x:f>
        <x:v>No</x:v>
      </x:c>
      <x:c r="I54" t="str">
        <x:f>IF(C54="","Yes","No")</x:f>
        <x:v>No</x:v>
      </x:c>
      <x:c r="J54" t="str">
        <x:f>IF(INDEX(tblLedger[Mapping Status],MATCH($A54,tblLedger[Ledger Record ID],0))="MAPPING_HOLD","Yes","No")</x:f>
        <x:v>No</x:v>
      </x:c>
      <x:c r="K54" t="str">
        <x:f>IF(AND(OR(E54="No",E54="Pending"),IFERROR(INDEX(tblServiceEvents[Financial Scope],MATCH(C54,tblServiceEvents[Event #],0)),"Included")="Included"),"Yes","No")</x:f>
        <x:v>No</x:v>
      </x:c>
      <x:c r="L54" t="str">
        <x:f>IF(AND(E54="Yes",OR(F54="No",F54="Pending")),"Yes","No")</x:f>
        <x:v>No</x:v>
      </x:c>
      <x:c r="M54" t="str">
        <x:f>IF(OR(ABS(N(G54))&gt;0,INDEX(tblLedger[Reconciliation Status],MATCH($A54,tblLedger[Ledger Record ID],0))="BREAKDOWN_MISMATCH",INDEX(tblLedger[Reconciliation Status],MATCH($A54,tblLedger[Ledger Record ID],0))="ACH_MISMATCH"),"Yes","No")</x:f>
        <x:v>No</x:v>
      </x:c>
      <x:c r="N54" t="str">
        <x:f>IF(D54="","Yes","No")</x:f>
        <x:v>No</x:v>
      </x:c>
      <x:c r="O54" t="str">
        <x:f>IF(OR(INDEX(tblLedger[City],MATCH($A54,tblLedger[Ledger Record ID],0))="",INDEX(tblLedger[Jurisdiction],MATCH($A54,tblLedger[Ledger Record ID],0))=""),"Yes","No")</x:f>
        <x:v>No</x:v>
      </x:c>
      <x:c r="P54" t="str">
        <x:f>IF(COUNTIF({"Yes","No","Partial","Pending","Mapping Hold"},E54)=0,"Yes","No")</x:f>
        <x:v>No</x:v>
      </x:c>
      <x:c r="Q54" t="str">
        <x:f>IF(COUNTIF({"Yes","No","Partial","Pending","Mapping Review"},F54)=0,"Yes","No")</x:f>
        <x:v>No</x:v>
      </x:c>
      <x:c r="R54" t="str">
        <x:f>IF(J54="Yes","Mapping Hold",IF(I54="Yes","Missing Event Link",IF(H54="Yes","Duplicate WO",IF(M54="Yes","Revenue Variance",IF(K54="Yes","Missing Breakdown",IF(L54="Yes","Pending ACH",IF(E54="Partial","Partial Breakdown",IF(N54="Yes","Missing Client",IF(O54="Yes","Missing Location",IF(P54="Yes","Unknown Breakdown Status",IF(Q54="Yes","Unknown ACH Status","OK")))))))))))</x:f>
        <x:v>OK</x:v>
      </x:c>
      <x:c r="S54" t="str">
        <x:f>IF(OR(J54="Yes",I54="Yes",H54="Yes"),"Critical",IF(OR(M54="Yes",E54="Partial",N54="Yes",O54="Yes",P54="Yes",Q54="Yes"),"Warning",IF(OR(K54="Yes",L54="Yes"),"Informational","OK")))</x:f>
        <x:v>OK</x:v>
      </x:c>
      <x:c r="T54" t="str">
        <x:f>IF(R54="Mapping Hold","Resolve mapping before update",IF(R54="Missing Event Link","Map to one authoritative event",IF(R54="Duplicate WO","Review duplicate identity",IF(R54="Revenue Variance","Reconcile or dispute amount",IF(R54="Missing Breakdown","Await breakdown",IF(R54="Pending ACH","Await ACH",IF(R54="Partial Breakdown","Confirm remaining breakdown",IF(R54="Missing Client","Add canonical client",IF(R54="Missing Location","Complete location fields",IF(R54="OK","No action","Review invalid status"))))))))))</x:f>
        <x:v>No action</x:v>
      </x:c>
      <x:c r="U54" t="str">
        <x:f>IF(R54="OK","No","Yes")</x:f>
        <x:v>No</x:v>
      </x:c>
      <x:c r="V54" s="24" t="n">
        <x:f>ABS(N(G54))</x:f>
        <x:v>0</x:v>
      </x:c>
    </x:row>
    <x:row r="55">
      <x:c r="A55" t="str">
        <x:v>LED-0025</x:v>
      </x:c>
      <x:c r="B55" t="str">
        <x:f>INDEX(tblLedger[Work Order #],MATCH($A55,tblLedger[Ledger Record ID],0))</x:f>
        <x:v>UNRESOLVED-E025</x:v>
      </x:c>
      <x:c r="C55" t="n">
        <x:f>INDEX(tblLedger[Event #],MATCH($A55,tblLedger[Ledger Record ID],0))</x:f>
        <x:v>25</x:v>
      </x:c>
      <x:c r="D55" t="str">
        <x:f>INDEX(tblLedger[Client],MATCH($A55,tblLedger[Ledger Record ID],0))</x:f>
        <x:v>PepsiCo</x:v>
      </x:c>
      <x:c r="E55" t="str">
        <x:f>INDEX(tblLedger[Breakdown Confirmed],MATCH($A55,tblLedger[Ledger Record ID],0))</x:f>
        <x:v>Yes</x:v>
      </x:c>
      <x:c r="F55" t="str">
        <x:f>INDEX(tblLedger[ACH Confirmed],MATCH($A55,tblLedger[Ledger Record ID],0))</x:f>
        <x:v>No</x:v>
      </x:c>
      <x:c r="G55" s="24" t="n">
        <x:f>INDEX(tblLedger[Variance],MATCH($A55,tblLedger[Ledger Record ID],0))</x:f>
        <x:v>0</x:v>
      </x:c>
      <x:c r="H55" t="str">
        <x:f>IF(COUNTIF(tblLedger[Work Order #],B55)&gt;1,"Yes","No")</x:f>
        <x:v>No</x:v>
      </x:c>
      <x:c r="I55" t="str">
        <x:f>IF(C55="","Yes","No")</x:f>
        <x:v>No</x:v>
      </x:c>
      <x:c r="J55" t="str">
        <x:f>IF(INDEX(tblLedger[Mapping Status],MATCH($A55,tblLedger[Ledger Record ID],0))="MAPPING_HOLD","Yes","No")</x:f>
        <x:v>No</x:v>
      </x:c>
      <x:c r="K55" t="str">
        <x:f>IF(AND(OR(E55="No",E55="Pending"),IFERROR(INDEX(tblServiceEvents[Financial Scope],MATCH(C55,tblServiceEvents[Event #],0)),"Included")="Included"),"Yes","No")</x:f>
        <x:v>No</x:v>
      </x:c>
      <x:c r="L55" t="str">
        <x:f>IF(AND(E55="Yes",OR(F55="No",F55="Pending")),"Yes","No")</x:f>
        <x:v>Yes</x:v>
      </x:c>
      <x:c r="M55" t="str">
        <x:f>IF(OR(ABS(N(G55))&gt;0,INDEX(tblLedger[Reconciliation Status],MATCH($A55,tblLedger[Ledger Record ID],0))="BREAKDOWN_MISMATCH",INDEX(tblLedger[Reconciliation Status],MATCH($A55,tblLedger[Ledger Record ID],0))="ACH_MISMATCH"),"Yes","No")</x:f>
        <x:v>No</x:v>
      </x:c>
      <x:c r="N55" t="str">
        <x:f>IF(D55="","Yes","No")</x:f>
        <x:v>No</x:v>
      </x:c>
      <x:c r="O55" t="str">
        <x:f>IF(OR(INDEX(tblLedger[City],MATCH($A55,tblLedger[Ledger Record ID],0))="",INDEX(tblLedger[Jurisdiction],MATCH($A55,tblLedger[Ledger Record ID],0))=""),"Yes","No")</x:f>
        <x:v>No</x:v>
      </x:c>
      <x:c r="P55" t="str">
        <x:f>IF(COUNTIF({"Yes","No","Partial","Pending","Mapping Hold"},E55)=0,"Yes","No")</x:f>
        <x:v>No</x:v>
      </x:c>
      <x:c r="Q55" t="str">
        <x:f>IF(COUNTIF({"Yes","No","Partial","Pending","Mapping Review"},F55)=0,"Yes","No")</x:f>
        <x:v>No</x:v>
      </x:c>
      <x:c r="R55" t="str">
        <x:f>IF(J55="Yes","Mapping Hold",IF(I55="Yes","Missing Event Link",IF(H55="Yes","Duplicate WO",IF(M55="Yes","Revenue Variance",IF(K55="Yes","Missing Breakdown",IF(L55="Yes","Pending ACH",IF(E55="Partial","Partial Breakdown",IF(N55="Yes","Missing Client",IF(O55="Yes","Missing Location",IF(P55="Yes","Unknown Breakdown Status",IF(Q55="Yes","Unknown ACH Status","OK")))))))))))</x:f>
        <x:v>Pending ACH</x:v>
      </x:c>
      <x:c r="S55" t="str">
        <x:f>IF(OR(J55="Yes",I55="Yes",H55="Yes"),"Critical",IF(OR(M55="Yes",E55="Partial",N55="Yes",O55="Yes",P55="Yes",Q55="Yes"),"Warning",IF(OR(K55="Yes",L55="Yes"),"Informational","OK")))</x:f>
        <x:v>Informational</x:v>
      </x:c>
      <x:c r="T55" t="str">
        <x:f>IF(R55="Mapping Hold","Resolve mapping before update",IF(R55="Missing Event Link","Map to one authoritative event",IF(R55="Duplicate WO","Review duplicate identity",IF(R55="Revenue Variance","Reconcile or dispute amount",IF(R55="Missing Breakdown","Await breakdown",IF(R55="Pending ACH","Await ACH",IF(R55="Partial Breakdown","Confirm remaining breakdown",IF(R55="Missing Client","Add canonical client",IF(R55="Missing Location","Complete location fields",IF(R55="OK","No action","Review invalid status"))))))))))</x:f>
        <x:v>Await ACH</x:v>
      </x:c>
      <x:c r="U55" t="str">
        <x:f>IF(R55="OK","No","Yes")</x:f>
        <x:v>Yes</x:v>
      </x:c>
      <x:c r="V55" s="24" t="n">
        <x:f>ABS(N(G55))</x:f>
        <x:v>0</x:v>
      </x:c>
    </x:row>
    <x:row r="56">
      <x:c r="A56" t="str">
        <x:v>LED-0026</x:v>
      </x:c>
      <x:c r="B56" t="str">
        <x:f>INDEX(tblLedger[Work Order #],MATCH($A56,tblLedger[Ledger Record ID],0))</x:f>
        <x:v>USDA-SPECIAL-E026</x:v>
      </x:c>
      <x:c r="C56" t="n">
        <x:f>INDEX(tblLedger[Event #],MATCH($A56,tblLedger[Ledger Record ID],0))</x:f>
        <x:v>26</x:v>
      </x:c>
      <x:c r="D56" t="str">
        <x:f>INDEX(tblLedger[Client],MATCH($A56,tblLedger[Ledger Record ID],0))</x:f>
        <x:v>USDA</x:v>
      </x:c>
      <x:c r="E56" t="str">
        <x:f>INDEX(tblLedger[Breakdown Confirmed],MATCH($A56,tblLedger[Ledger Record ID],0))</x:f>
        <x:v>Yes</x:v>
      </x:c>
      <x:c r="F56" t="str">
        <x:f>INDEX(tblLedger[ACH Confirmed],MATCH($A56,tblLedger[Ledger Record ID],0))</x:f>
        <x:v>Yes</x:v>
      </x:c>
      <x:c r="G56" s="24" t="str">
        <x:f>INDEX(tblLedger[Variance],MATCH($A56,tblLedger[Ledger Record ID],0))</x:f>
      </x:c>
      <x:c r="H56" t="str">
        <x:f>IF(COUNTIF(tblLedger[Work Order #],B56)&gt;1,"Yes","No")</x:f>
        <x:v>No</x:v>
      </x:c>
      <x:c r="I56" t="str">
        <x:f>IF(C56="","Yes","No")</x:f>
        <x:v>No</x:v>
      </x:c>
      <x:c r="J56" t="str">
        <x:f>IF(INDEX(tblLedger[Mapping Status],MATCH($A56,tblLedger[Ledger Record ID],0))="MAPPING_HOLD","Yes","No")</x:f>
        <x:v>No</x:v>
      </x:c>
      <x:c r="K56" t="str">
        <x:f>IF(AND(OR(E56="No",E56="Pending"),IFERROR(INDEX(tblServiceEvents[Financial Scope],MATCH(C56,tblServiceEvents[Event #],0)),"Included")="Included"),"Yes","No")</x:f>
        <x:v>No</x:v>
      </x:c>
      <x:c r="L56" t="str">
        <x:f>IF(AND(E56="Yes",OR(F56="No",F56="Pending")),"Yes","No")</x:f>
        <x:v>No</x:v>
      </x:c>
      <x:c r="M56" t="str">
        <x:f>IF(OR(ABS(N(G56))&gt;0,INDEX(tblLedger[Reconciliation Status],MATCH($A56,tblLedger[Ledger Record ID],0))="BREAKDOWN_MISMATCH",INDEX(tblLedger[Reconciliation Status],MATCH($A56,tblLedger[Ledger Record ID],0))="ACH_MISMATCH"),"Yes","No")</x:f>
        <x:v>No</x:v>
      </x:c>
      <x:c r="N56" t="str">
        <x:f>IF(D56="","Yes","No")</x:f>
        <x:v>No</x:v>
      </x:c>
      <x:c r="O56" t="str">
        <x:f>IF(OR(INDEX(tblLedger[City],MATCH($A56,tblLedger[Ledger Record ID],0))="",INDEX(tblLedger[Jurisdiction],MATCH($A56,tblLedger[Ledger Record ID],0))=""),"Yes","No")</x:f>
        <x:v>No</x:v>
      </x:c>
      <x:c r="P56" t="str">
        <x:f>IF(COUNTIF({"Yes","No","Partial","Pending","Mapping Hold"},E56)=0,"Yes","No")</x:f>
        <x:v>No</x:v>
      </x:c>
      <x:c r="Q56" t="str">
        <x:f>IF(COUNTIF({"Yes","No","Partial","Pending","Mapping Review"},F56)=0,"Yes","No")</x:f>
        <x:v>No</x:v>
      </x:c>
      <x:c r="R56" t="str">
        <x:f>IF(J56="Yes","Mapping Hold",IF(I56="Yes","Missing Event Link",IF(H56="Yes","Duplicate WO",IF(M56="Yes","Revenue Variance",IF(K56="Yes","Missing Breakdown",IF(L56="Yes","Pending ACH",IF(E56="Partial","Partial Breakdown",IF(N56="Yes","Missing Client",IF(O56="Yes","Missing Location",IF(P56="Yes","Unknown Breakdown Status",IF(Q56="Yes","Unknown ACH Status","OK")))))))))))</x:f>
        <x:v>OK</x:v>
      </x:c>
      <x:c r="S56" t="str">
        <x:f>IF(OR(J56="Yes",I56="Yes",H56="Yes"),"Critical",IF(OR(M56="Yes",E56="Partial",N56="Yes",O56="Yes",P56="Yes",Q56="Yes"),"Warning",IF(OR(K56="Yes",L56="Yes"),"Informational","OK")))</x:f>
        <x:v>OK</x:v>
      </x:c>
      <x:c r="T56" t="str">
        <x:f>IF(R56="Mapping Hold","Resolve mapping before update",IF(R56="Missing Event Link","Map to one authoritative event",IF(R56="Duplicate WO","Review duplicate identity",IF(R56="Revenue Variance","Reconcile or dispute amount",IF(R56="Missing Breakdown","Await breakdown",IF(R56="Pending ACH","Await ACH",IF(R56="Partial Breakdown","Confirm remaining breakdown",IF(R56="Missing Client","Add canonical client",IF(R56="Missing Location","Complete location fields",IF(R56="OK","No action","Review invalid status"))))))))))</x:f>
        <x:v>No action</x:v>
      </x:c>
      <x:c r="U56" t="str">
        <x:f>IF(R56="OK","No","Yes")</x:f>
        <x:v>No</x:v>
      </x:c>
      <x:c r="V56" s="24" t="n">
        <x:f>ABS(N(G56))</x:f>
        <x:v>0</x:v>
      </x:c>
    </x:row>
    <x:row r="57">
      <x:c r="A57" t="str">
        <x:v>LED-0027</x:v>
      </x:c>
      <x:c r="B57" t="str">
        <x:f>INDEX(tblLedger[Work Order #],MATCH($A57,tblLedger[Ledger Record ID],0))</x:f>
        <x:v>USDA-SPECIAL-E027</x:v>
      </x:c>
      <x:c r="C57" t="n">
        <x:f>INDEX(tblLedger[Event #],MATCH($A57,tblLedger[Ledger Record ID],0))</x:f>
        <x:v>27</x:v>
      </x:c>
      <x:c r="D57" t="str">
        <x:f>INDEX(tblLedger[Client],MATCH($A57,tblLedger[Ledger Record ID],0))</x:f>
        <x:v>USDA</x:v>
      </x:c>
      <x:c r="E57" t="str">
        <x:f>INDEX(tblLedger[Breakdown Confirmed],MATCH($A57,tblLedger[Ledger Record ID],0))</x:f>
        <x:v>Yes</x:v>
      </x:c>
      <x:c r="F57" t="str">
        <x:f>INDEX(tblLedger[ACH Confirmed],MATCH($A57,tblLedger[Ledger Record ID],0))</x:f>
        <x:v>Yes</x:v>
      </x:c>
      <x:c r="G57" s="24" t="str">
        <x:f>INDEX(tblLedger[Variance],MATCH($A57,tblLedger[Ledger Record ID],0))</x:f>
      </x:c>
      <x:c r="H57" t="str">
        <x:f>IF(COUNTIF(tblLedger[Work Order #],B57)&gt;1,"Yes","No")</x:f>
        <x:v>No</x:v>
      </x:c>
      <x:c r="I57" t="str">
        <x:f>IF(C57="","Yes","No")</x:f>
        <x:v>No</x:v>
      </x:c>
      <x:c r="J57" t="str">
        <x:f>IF(INDEX(tblLedger[Mapping Status],MATCH($A57,tblLedger[Ledger Record ID],0))="MAPPING_HOLD","Yes","No")</x:f>
        <x:v>No</x:v>
      </x:c>
      <x:c r="K57" t="str">
        <x:f>IF(AND(OR(E57="No",E57="Pending"),IFERROR(INDEX(tblServiceEvents[Financial Scope],MATCH(C57,tblServiceEvents[Event #],0)),"Included")="Included"),"Yes","No")</x:f>
        <x:v>No</x:v>
      </x:c>
      <x:c r="L57" t="str">
        <x:f>IF(AND(E57="Yes",OR(F57="No",F57="Pending")),"Yes","No")</x:f>
        <x:v>No</x:v>
      </x:c>
      <x:c r="M57" t="str">
        <x:f>IF(OR(ABS(N(G57))&gt;0,INDEX(tblLedger[Reconciliation Status],MATCH($A57,tblLedger[Ledger Record ID],0))="BREAKDOWN_MISMATCH",INDEX(tblLedger[Reconciliation Status],MATCH($A57,tblLedger[Ledger Record ID],0))="ACH_MISMATCH"),"Yes","No")</x:f>
        <x:v>No</x:v>
      </x:c>
      <x:c r="N57" t="str">
        <x:f>IF(D57="","Yes","No")</x:f>
        <x:v>No</x:v>
      </x:c>
      <x:c r="O57" t="str">
        <x:f>IF(OR(INDEX(tblLedger[City],MATCH($A57,tblLedger[Ledger Record ID],0))="",INDEX(tblLedger[Jurisdiction],MATCH($A57,tblLedger[Ledger Record ID],0))=""),"Yes","No")</x:f>
        <x:v>No</x:v>
      </x:c>
      <x:c r="P57" t="str">
        <x:f>IF(COUNTIF({"Yes","No","Partial","Pending","Mapping Hold"},E57)=0,"Yes","No")</x:f>
        <x:v>No</x:v>
      </x:c>
      <x:c r="Q57" t="str">
        <x:f>IF(COUNTIF({"Yes","No","Partial","Pending","Mapping Review"},F57)=0,"Yes","No")</x:f>
        <x:v>No</x:v>
      </x:c>
      <x:c r="R57" t="str">
        <x:f>IF(J57="Yes","Mapping Hold",IF(I57="Yes","Missing Event Link",IF(H57="Yes","Duplicate WO",IF(M57="Yes","Revenue Variance",IF(K57="Yes","Missing Breakdown",IF(L57="Yes","Pending ACH",IF(E57="Partial","Partial Breakdown",IF(N57="Yes","Missing Client",IF(O57="Yes","Missing Location",IF(P57="Yes","Unknown Breakdown Status",IF(Q57="Yes","Unknown ACH Status","OK")))))))))))</x:f>
        <x:v>OK</x:v>
      </x:c>
      <x:c r="S57" t="str">
        <x:f>IF(OR(J57="Yes",I57="Yes",H57="Yes"),"Critical",IF(OR(M57="Yes",E57="Partial",N57="Yes",O57="Yes",P57="Yes",Q57="Yes"),"Warning",IF(OR(K57="Yes",L57="Yes"),"Informational","OK")))</x:f>
        <x:v>OK</x:v>
      </x:c>
      <x:c r="T57" t="str">
        <x:f>IF(R57="Mapping Hold","Resolve mapping before update",IF(R57="Missing Event Link","Map to one authoritative event",IF(R57="Duplicate WO","Review duplicate identity",IF(R57="Revenue Variance","Reconcile or dispute amount",IF(R57="Missing Breakdown","Await breakdown",IF(R57="Pending ACH","Await ACH",IF(R57="Partial Breakdown","Confirm remaining breakdown",IF(R57="Missing Client","Add canonical client",IF(R57="Missing Location","Complete location fields",IF(R57="OK","No action","Review invalid status"))))))))))</x:f>
        <x:v>No action</x:v>
      </x:c>
      <x:c r="U57" t="str">
        <x:f>IF(R57="OK","No","Yes")</x:f>
        <x:v>No</x:v>
      </x:c>
      <x:c r="V57" s="24" t="n">
        <x:f>ABS(N(G57))</x:f>
        <x:v>0</x:v>
      </x:c>
    </x:row>
    <x:row r="58">
      <x:c r="A58" t="str">
        <x:v>LED-0028</x:v>
      </x:c>
      <x:c r="B58" t="str">
        <x:f>INDEX(tblLedger[Work Order #],MATCH($A58,tblLedger[Ledger Record ID],0))</x:f>
        <x:v>USDA-SPECIAL-E028</x:v>
      </x:c>
      <x:c r="C58" t="n">
        <x:f>INDEX(tblLedger[Event #],MATCH($A58,tblLedger[Ledger Record ID],0))</x:f>
        <x:v>28</x:v>
      </x:c>
      <x:c r="D58" t="str">
        <x:f>INDEX(tblLedger[Client],MATCH($A58,tblLedger[Ledger Record ID],0))</x:f>
        <x:v>USDA</x:v>
      </x:c>
      <x:c r="E58" t="str">
        <x:f>INDEX(tblLedger[Breakdown Confirmed],MATCH($A58,tblLedger[Ledger Record ID],0))</x:f>
        <x:v>Yes</x:v>
      </x:c>
      <x:c r="F58" t="str">
        <x:f>INDEX(tblLedger[ACH Confirmed],MATCH($A58,tblLedger[Ledger Record ID],0))</x:f>
        <x:v>Yes</x:v>
      </x:c>
      <x:c r="G58" s="24" t="str">
        <x:f>INDEX(tblLedger[Variance],MATCH($A58,tblLedger[Ledger Record ID],0))</x:f>
      </x:c>
      <x:c r="H58" t="str">
        <x:f>IF(COUNTIF(tblLedger[Work Order #],B58)&gt;1,"Yes","No")</x:f>
        <x:v>No</x:v>
      </x:c>
      <x:c r="I58" t="str">
        <x:f>IF(C58="","Yes","No")</x:f>
        <x:v>No</x:v>
      </x:c>
      <x:c r="J58" t="str">
        <x:f>IF(INDEX(tblLedger[Mapping Status],MATCH($A58,tblLedger[Ledger Record ID],0))="MAPPING_HOLD","Yes","No")</x:f>
        <x:v>No</x:v>
      </x:c>
      <x:c r="K58" t="str">
        <x:f>IF(AND(OR(E58="No",E58="Pending"),IFERROR(INDEX(tblServiceEvents[Financial Scope],MATCH(C58,tblServiceEvents[Event #],0)),"Included")="Included"),"Yes","No")</x:f>
        <x:v>No</x:v>
      </x:c>
      <x:c r="L58" t="str">
        <x:f>IF(AND(E58="Yes",OR(F58="No",F58="Pending")),"Yes","No")</x:f>
        <x:v>No</x:v>
      </x:c>
      <x:c r="M58" t="str">
        <x:f>IF(OR(ABS(N(G58))&gt;0,INDEX(tblLedger[Reconciliation Status],MATCH($A58,tblLedger[Ledger Record ID],0))="BREAKDOWN_MISMATCH",INDEX(tblLedger[Reconciliation Status],MATCH($A58,tblLedger[Ledger Record ID],0))="ACH_MISMATCH"),"Yes","No")</x:f>
        <x:v>No</x:v>
      </x:c>
      <x:c r="N58" t="str">
        <x:f>IF(D58="","Yes","No")</x:f>
        <x:v>No</x:v>
      </x:c>
      <x:c r="O58" t="str">
        <x:f>IF(OR(INDEX(tblLedger[City],MATCH($A58,tblLedger[Ledger Record ID],0))="",INDEX(tblLedger[Jurisdiction],MATCH($A58,tblLedger[Ledger Record ID],0))=""),"Yes","No")</x:f>
        <x:v>No</x:v>
      </x:c>
      <x:c r="P58" t="str">
        <x:f>IF(COUNTIF({"Yes","No","Partial","Pending","Mapping Hold"},E58)=0,"Yes","No")</x:f>
        <x:v>No</x:v>
      </x:c>
      <x:c r="Q58" t="str">
        <x:f>IF(COUNTIF({"Yes","No","Partial","Pending","Mapping Review"},F58)=0,"Yes","No")</x:f>
        <x:v>No</x:v>
      </x:c>
      <x:c r="R58" t="str">
        <x:f>IF(J58="Yes","Mapping Hold",IF(I58="Yes","Missing Event Link",IF(H58="Yes","Duplicate WO",IF(M58="Yes","Revenue Variance",IF(K58="Yes","Missing Breakdown",IF(L58="Yes","Pending ACH",IF(E58="Partial","Partial Breakdown",IF(N58="Yes","Missing Client",IF(O58="Yes","Missing Location",IF(P58="Yes","Unknown Breakdown Status",IF(Q58="Yes","Unknown ACH Status","OK")))))))))))</x:f>
        <x:v>OK</x:v>
      </x:c>
      <x:c r="S58" t="str">
        <x:f>IF(OR(J58="Yes",I58="Yes",H58="Yes"),"Critical",IF(OR(M58="Yes",E58="Partial",N58="Yes",O58="Yes",P58="Yes",Q58="Yes"),"Warning",IF(OR(K58="Yes",L58="Yes"),"Informational","OK")))</x:f>
        <x:v>OK</x:v>
      </x:c>
      <x:c r="T58" t="str">
        <x:f>IF(R58="Mapping Hold","Resolve mapping before update",IF(R58="Missing Event Link","Map to one authoritative event",IF(R58="Duplicate WO","Review duplicate identity",IF(R58="Revenue Variance","Reconcile or dispute amount",IF(R58="Missing Breakdown","Await breakdown",IF(R58="Pending ACH","Await ACH",IF(R58="Partial Breakdown","Confirm remaining breakdown",IF(R58="Missing Client","Add canonical client",IF(R58="Missing Location","Complete location fields",IF(R58="OK","No action","Review invalid status"))))))))))</x:f>
        <x:v>No action</x:v>
      </x:c>
      <x:c r="U58" t="str">
        <x:f>IF(R58="OK","No","Yes")</x:f>
        <x:v>No</x:v>
      </x:c>
      <x:c r="V58" s="24" t="n">
        <x:f>ABS(N(G58))</x:f>
        <x:v>0</x:v>
      </x:c>
    </x:row>
    <x:row r="59">
      <x:c r="A59" t="str">
        <x:v>LED-0029</x:v>
      </x:c>
      <x:c r="B59" t="str">
        <x:f>INDEX(tblLedger[Work Order #],MATCH($A59,tblLedger[Ledger Record ID],0))</x:f>
        <x:v>USDA-SPECIAL-E029</x:v>
      </x:c>
      <x:c r="C59" t="n">
        <x:f>INDEX(tblLedger[Event #],MATCH($A59,tblLedger[Ledger Record ID],0))</x:f>
        <x:v>29</x:v>
      </x:c>
      <x:c r="D59" t="str">
        <x:f>INDEX(tblLedger[Client],MATCH($A59,tblLedger[Ledger Record ID],0))</x:f>
        <x:v>USDA</x:v>
      </x:c>
      <x:c r="E59" t="str">
        <x:f>INDEX(tblLedger[Breakdown Confirmed],MATCH($A59,tblLedger[Ledger Record ID],0))</x:f>
        <x:v>Yes</x:v>
      </x:c>
      <x:c r="F59" t="str">
        <x:f>INDEX(tblLedger[ACH Confirmed],MATCH($A59,tblLedger[Ledger Record ID],0))</x:f>
        <x:v>Yes</x:v>
      </x:c>
      <x:c r="G59" s="24" t="str">
        <x:f>INDEX(tblLedger[Variance],MATCH($A59,tblLedger[Ledger Record ID],0))</x:f>
      </x:c>
      <x:c r="H59" t="str">
        <x:f>IF(COUNTIF(tblLedger[Work Order #],B59)&gt;1,"Yes","No")</x:f>
        <x:v>No</x:v>
      </x:c>
      <x:c r="I59" t="str">
        <x:f>IF(C59="","Yes","No")</x:f>
        <x:v>No</x:v>
      </x:c>
      <x:c r="J59" t="str">
        <x:f>IF(INDEX(tblLedger[Mapping Status],MATCH($A59,tblLedger[Ledger Record ID],0))="MAPPING_HOLD","Yes","No")</x:f>
        <x:v>No</x:v>
      </x:c>
      <x:c r="K59" t="str">
        <x:f>IF(AND(OR(E59="No",E59="Pending"),IFERROR(INDEX(tblServiceEvents[Financial Scope],MATCH(C59,tblServiceEvents[Event #],0)),"Included")="Included"),"Yes","No")</x:f>
        <x:v>No</x:v>
      </x:c>
      <x:c r="L59" t="str">
        <x:f>IF(AND(E59="Yes",OR(F59="No",F59="Pending")),"Yes","No")</x:f>
        <x:v>No</x:v>
      </x:c>
      <x:c r="M59" t="str">
        <x:f>IF(OR(ABS(N(G59))&gt;0,INDEX(tblLedger[Reconciliation Status],MATCH($A59,tblLedger[Ledger Record ID],0))="BREAKDOWN_MISMATCH",INDEX(tblLedger[Reconciliation Status],MATCH($A59,tblLedger[Ledger Record ID],0))="ACH_MISMATCH"),"Yes","No")</x:f>
        <x:v>No</x:v>
      </x:c>
      <x:c r="N59" t="str">
        <x:f>IF(D59="","Yes","No")</x:f>
        <x:v>No</x:v>
      </x:c>
      <x:c r="O59" t="str">
        <x:f>IF(OR(INDEX(tblLedger[City],MATCH($A59,tblLedger[Ledger Record ID],0))="",INDEX(tblLedger[Jurisdiction],MATCH($A59,tblLedger[Ledger Record ID],0))=""),"Yes","No")</x:f>
        <x:v>No</x:v>
      </x:c>
      <x:c r="P59" t="str">
        <x:f>IF(COUNTIF({"Yes","No","Partial","Pending","Mapping Hold"},E59)=0,"Yes","No")</x:f>
        <x:v>No</x:v>
      </x:c>
      <x:c r="Q59" t="str">
        <x:f>IF(COUNTIF({"Yes","No","Partial","Pending","Mapping Review"},F59)=0,"Yes","No")</x:f>
        <x:v>No</x:v>
      </x:c>
      <x:c r="R59" t="str">
        <x:f>IF(J59="Yes","Mapping Hold",IF(I59="Yes","Missing Event Link",IF(H59="Yes","Duplicate WO",IF(M59="Yes","Revenue Variance",IF(K59="Yes","Missing Breakdown",IF(L59="Yes","Pending ACH",IF(E59="Partial","Partial Breakdown",IF(N59="Yes","Missing Client",IF(O59="Yes","Missing Location",IF(P59="Yes","Unknown Breakdown Status",IF(Q59="Yes","Unknown ACH Status","OK")))))))))))</x:f>
        <x:v>OK</x:v>
      </x:c>
      <x:c r="S59" t="str">
        <x:f>IF(OR(J59="Yes",I59="Yes",H59="Yes"),"Critical",IF(OR(M59="Yes",E59="Partial",N59="Yes",O59="Yes",P59="Yes",Q59="Yes"),"Warning",IF(OR(K59="Yes",L59="Yes"),"Informational","OK")))</x:f>
        <x:v>OK</x:v>
      </x:c>
      <x:c r="T59" t="str">
        <x:f>IF(R59="Mapping Hold","Resolve mapping before update",IF(R59="Missing Event Link","Map to one authoritative event",IF(R59="Duplicate WO","Review duplicate identity",IF(R59="Revenue Variance","Reconcile or dispute amount",IF(R59="Missing Breakdown","Await breakdown",IF(R59="Pending ACH","Await ACH",IF(R59="Partial Breakdown","Confirm remaining breakdown",IF(R59="Missing Client","Add canonical client",IF(R59="Missing Location","Complete location fields",IF(R59="OK","No action","Review invalid status"))))))))))</x:f>
        <x:v>No action</x:v>
      </x:c>
      <x:c r="U59" t="str">
        <x:f>IF(R59="OK","No","Yes")</x:f>
        <x:v>No</x:v>
      </x:c>
      <x:c r="V59" s="24" t="n">
        <x:f>ABS(N(G59))</x:f>
        <x:v>0</x:v>
      </x:c>
    </x:row>
    <x:row r="60">
      <x:c r="A60" t="str">
        <x:v>LED-0030</x:v>
      </x:c>
      <x:c r="B60" t="n">
        <x:f>INDEX(tblLedger[Work Order #],MATCH($A60,tblLedger[Ledger Record ID],0))</x:f>
        <x:v>5896733</x:v>
      </x:c>
      <x:c r="C60" t="n">
        <x:f>INDEX(tblLedger[Event #],MATCH($A60,tblLedger[Ledger Record ID],0))</x:f>
        <x:v>30</x:v>
      </x:c>
      <x:c r="D60" t="str">
        <x:f>INDEX(tblLedger[Client],MATCH($A60,tblLedger[Ledger Record ID],0))</x:f>
        <x:v>TJ Maxx</x:v>
      </x:c>
      <x:c r="E60" t="str">
        <x:f>INDEX(tblLedger[Breakdown Confirmed],MATCH($A60,tblLedger[Ledger Record ID],0))</x:f>
        <x:v>Yes</x:v>
      </x:c>
      <x:c r="F60" t="str">
        <x:f>INDEX(tblLedger[ACH Confirmed],MATCH($A60,tblLedger[Ledger Record ID],0))</x:f>
        <x:v>Yes</x:v>
      </x:c>
      <x:c r="G60" s="24" t="str">
        <x:f>INDEX(tblLedger[Variance],MATCH($A60,tblLedger[Ledger Record ID],0))</x:f>
      </x:c>
      <x:c r="H60" t="str">
        <x:f>IF(COUNTIF(tblLedger[Work Order #],B60)&gt;1,"Yes","No")</x:f>
        <x:v>No</x:v>
      </x:c>
      <x:c r="I60" t="str">
        <x:f>IF(C60="","Yes","No")</x:f>
        <x:v>No</x:v>
      </x:c>
      <x:c r="J60" t="str">
        <x:f>IF(INDEX(tblLedger[Mapping Status],MATCH($A60,tblLedger[Ledger Record ID],0))="MAPPING_HOLD","Yes","No")</x:f>
        <x:v>No</x:v>
      </x:c>
      <x:c r="K60" t="str">
        <x:f>IF(AND(OR(E60="No",E60="Pending"),IFERROR(INDEX(tblServiceEvents[Financial Scope],MATCH(C60,tblServiceEvents[Event #],0)),"Included")="Included"),"Yes","No")</x:f>
        <x:v>No</x:v>
      </x:c>
      <x:c r="L60" t="str">
        <x:f>IF(AND(E60="Yes",OR(F60="No",F60="Pending")),"Yes","No")</x:f>
        <x:v>No</x:v>
      </x:c>
      <x:c r="M60" t="str">
        <x:f>IF(OR(ABS(N(G60))&gt;0,INDEX(tblLedger[Reconciliation Status],MATCH($A60,tblLedger[Ledger Record ID],0))="BREAKDOWN_MISMATCH",INDEX(tblLedger[Reconciliation Status],MATCH($A60,tblLedger[Ledger Record ID],0))="ACH_MISMATCH"),"Yes","No")</x:f>
        <x:v>No</x:v>
      </x:c>
      <x:c r="N60" t="str">
        <x:f>IF(D60="","Yes","No")</x:f>
        <x:v>No</x:v>
      </x:c>
      <x:c r="O60" t="str">
        <x:f>IF(OR(INDEX(tblLedger[City],MATCH($A60,tblLedger[Ledger Record ID],0))="",INDEX(tblLedger[Jurisdiction],MATCH($A60,tblLedger[Ledger Record ID],0))=""),"Yes","No")</x:f>
        <x:v>No</x:v>
      </x:c>
      <x:c r="P60" t="str">
        <x:f>IF(COUNTIF({"Yes","No","Partial","Pending","Mapping Hold"},E60)=0,"Yes","No")</x:f>
        <x:v>No</x:v>
      </x:c>
      <x:c r="Q60" t="str">
        <x:f>IF(COUNTIF({"Yes","No","Partial","Pending","Mapping Review"},F60)=0,"Yes","No")</x:f>
        <x:v>No</x:v>
      </x:c>
      <x:c r="R60" t="str">
        <x:f>IF(J60="Yes","Mapping Hold",IF(I60="Yes","Missing Event Link",IF(H60="Yes","Duplicate WO",IF(M60="Yes","Revenue Variance",IF(K60="Yes","Missing Breakdown",IF(L60="Yes","Pending ACH",IF(E60="Partial","Partial Breakdown",IF(N60="Yes","Missing Client",IF(O60="Yes","Missing Location",IF(P60="Yes","Unknown Breakdown Status",IF(Q60="Yes","Unknown ACH Status","OK")))))))))))</x:f>
        <x:v>OK</x:v>
      </x:c>
      <x:c r="S60" t="str">
        <x:f>IF(OR(J60="Yes",I60="Yes",H60="Yes"),"Critical",IF(OR(M60="Yes",E60="Partial",N60="Yes",O60="Yes",P60="Yes",Q60="Yes"),"Warning",IF(OR(K60="Yes",L60="Yes"),"Informational","OK")))</x:f>
        <x:v>OK</x:v>
      </x:c>
      <x:c r="T60" t="str">
        <x:f>IF(R60="Mapping Hold","Resolve mapping before update",IF(R60="Missing Event Link","Map to one authoritative event",IF(R60="Duplicate WO","Review duplicate identity",IF(R60="Revenue Variance","Reconcile or dispute amount",IF(R60="Missing Breakdown","Await breakdown",IF(R60="Pending ACH","Await ACH",IF(R60="Partial Breakdown","Confirm remaining breakdown",IF(R60="Missing Client","Add canonical client",IF(R60="Missing Location","Complete location fields",IF(R60="OK","No action","Review invalid status"))))))))))</x:f>
        <x:v>No action</x:v>
      </x:c>
      <x:c r="U60" t="str">
        <x:f>IF(R60="OK","No","Yes")</x:f>
        <x:v>No</x:v>
      </x:c>
      <x:c r="V60" s="24" t="n">
        <x:f>ABS(N(G60))</x:f>
        <x:v>0</x:v>
      </x:c>
    </x:row>
    <x:row r="61">
      <x:c r="A61" t="str">
        <x:v>LED-0031</x:v>
      </x:c>
      <x:c r="B61" t="str">
        <x:f>INDEX(tblLedger[Work Order #],MATCH($A61,tblLedger[Ledger Record ID],0))</x:f>
        <x:v>USDA-SPECIAL-E031</x:v>
      </x:c>
      <x:c r="C61" t="n">
        <x:f>INDEX(tblLedger[Event #],MATCH($A61,tblLedger[Ledger Record ID],0))</x:f>
        <x:v>31</x:v>
      </x:c>
      <x:c r="D61" t="str">
        <x:f>INDEX(tblLedger[Client],MATCH($A61,tblLedger[Ledger Record ID],0))</x:f>
        <x:v>USDA</x:v>
      </x:c>
      <x:c r="E61" t="str">
        <x:f>INDEX(tblLedger[Breakdown Confirmed],MATCH($A61,tblLedger[Ledger Record ID],0))</x:f>
        <x:v>Yes</x:v>
      </x:c>
      <x:c r="F61" t="str">
        <x:f>INDEX(tblLedger[ACH Confirmed],MATCH($A61,tblLedger[Ledger Record ID],0))</x:f>
        <x:v>Yes</x:v>
      </x:c>
      <x:c r="G61" s="24" t="str">
        <x:f>INDEX(tblLedger[Variance],MATCH($A61,tblLedger[Ledger Record ID],0))</x:f>
      </x:c>
      <x:c r="H61" t="str">
        <x:f>IF(COUNTIF(tblLedger[Work Order #],B61)&gt;1,"Yes","No")</x:f>
        <x:v>No</x:v>
      </x:c>
      <x:c r="I61" t="str">
        <x:f>IF(C61="","Yes","No")</x:f>
        <x:v>No</x:v>
      </x:c>
      <x:c r="J61" t="str">
        <x:f>IF(INDEX(tblLedger[Mapping Status],MATCH($A61,tblLedger[Ledger Record ID],0))="MAPPING_HOLD","Yes","No")</x:f>
        <x:v>No</x:v>
      </x:c>
      <x:c r="K61" t="str">
        <x:f>IF(AND(OR(E61="No",E61="Pending"),IFERROR(INDEX(tblServiceEvents[Financial Scope],MATCH(C61,tblServiceEvents[Event #],0)),"Included")="Included"),"Yes","No")</x:f>
        <x:v>No</x:v>
      </x:c>
      <x:c r="L61" t="str">
        <x:f>IF(AND(E61="Yes",OR(F61="No",F61="Pending")),"Yes","No")</x:f>
        <x:v>No</x:v>
      </x:c>
      <x:c r="M61" t="str">
        <x:f>IF(OR(ABS(N(G61))&gt;0,INDEX(tblLedger[Reconciliation Status],MATCH($A61,tblLedger[Ledger Record ID],0))="BREAKDOWN_MISMATCH",INDEX(tblLedger[Reconciliation Status],MATCH($A61,tblLedger[Ledger Record ID],0))="ACH_MISMATCH"),"Yes","No")</x:f>
        <x:v>No</x:v>
      </x:c>
      <x:c r="N61" t="str">
        <x:f>IF(D61="","Yes","No")</x:f>
        <x:v>No</x:v>
      </x:c>
      <x:c r="O61" t="str">
        <x:f>IF(OR(INDEX(tblLedger[City],MATCH($A61,tblLedger[Ledger Record ID],0))="",INDEX(tblLedger[Jurisdiction],MATCH($A61,tblLedger[Ledger Record ID],0))=""),"Yes","No")</x:f>
        <x:v>No</x:v>
      </x:c>
      <x:c r="P61" t="str">
        <x:f>IF(COUNTIF({"Yes","No","Partial","Pending","Mapping Hold"},E61)=0,"Yes","No")</x:f>
        <x:v>No</x:v>
      </x:c>
      <x:c r="Q61" t="str">
        <x:f>IF(COUNTIF({"Yes","No","Partial","Pending","Mapping Review"},F61)=0,"Yes","No")</x:f>
        <x:v>No</x:v>
      </x:c>
      <x:c r="R61" t="str">
        <x:f>IF(J61="Yes","Mapping Hold",IF(I61="Yes","Missing Event Link",IF(H61="Yes","Duplicate WO",IF(M61="Yes","Revenue Variance",IF(K61="Yes","Missing Breakdown",IF(L61="Yes","Pending ACH",IF(E61="Partial","Partial Breakdown",IF(N61="Yes","Missing Client",IF(O61="Yes","Missing Location",IF(P61="Yes","Unknown Breakdown Status",IF(Q61="Yes","Unknown ACH Status","OK")))))))))))</x:f>
        <x:v>OK</x:v>
      </x:c>
      <x:c r="S61" t="str">
        <x:f>IF(OR(J61="Yes",I61="Yes",H61="Yes"),"Critical",IF(OR(M61="Yes",E61="Partial",N61="Yes",O61="Yes",P61="Yes",Q61="Yes"),"Warning",IF(OR(K61="Yes",L61="Yes"),"Informational","OK")))</x:f>
        <x:v>OK</x:v>
      </x:c>
      <x:c r="T61" t="str">
        <x:f>IF(R61="Mapping Hold","Resolve mapping before update",IF(R61="Missing Event Link","Map to one authoritative event",IF(R61="Duplicate WO","Review duplicate identity",IF(R61="Revenue Variance","Reconcile or dispute amount",IF(R61="Missing Breakdown","Await breakdown",IF(R61="Pending ACH","Await ACH",IF(R61="Partial Breakdown","Confirm remaining breakdown",IF(R61="Missing Client","Add canonical client",IF(R61="Missing Location","Complete location fields",IF(R61="OK","No action","Review invalid status"))))))))))</x:f>
        <x:v>No action</x:v>
      </x:c>
      <x:c r="U61" t="str">
        <x:f>IF(R61="OK","No","Yes")</x:f>
        <x:v>No</x:v>
      </x:c>
      <x:c r="V61" s="24" t="n">
        <x:f>ABS(N(G61))</x:f>
        <x:v>0</x:v>
      </x:c>
    </x:row>
    <x:row r="62">
      <x:c r="A62" t="str">
        <x:v>LED-0032</x:v>
      </x:c>
      <x:c r="B62" t="n">
        <x:f>INDEX(tblLedger[Work Order #],MATCH($A62,tblLedger[Ledger Record ID],0))</x:f>
        <x:v>5898007</x:v>
      </x:c>
      <x:c r="C62" t="n">
        <x:f>INDEX(tblLedger[Event #],MATCH($A62,tblLedger[Ledger Record ID],0))</x:f>
        <x:v>32</x:v>
      </x:c>
      <x:c r="D62" t="str">
        <x:f>INDEX(tblLedger[Client],MATCH($A62,tblLedger[Ledger Record ID],0))</x:f>
        <x:v>Hilton Garden Inn</x:v>
      </x:c>
      <x:c r="E62" t="str">
        <x:f>INDEX(tblLedger[Breakdown Confirmed],MATCH($A62,tblLedger[Ledger Record ID],0))</x:f>
        <x:v>Yes</x:v>
      </x:c>
      <x:c r="F62" t="str">
        <x:f>INDEX(tblLedger[ACH Confirmed],MATCH($A62,tblLedger[Ledger Record ID],0))</x:f>
        <x:v>Yes</x:v>
      </x:c>
      <x:c r="G62" s="24" t="str">
        <x:f>INDEX(tblLedger[Variance],MATCH($A62,tblLedger[Ledger Record ID],0))</x:f>
      </x:c>
      <x:c r="H62" t="str">
        <x:f>IF(COUNTIF(tblLedger[Work Order #],B62)&gt;1,"Yes","No")</x:f>
        <x:v>No</x:v>
      </x:c>
      <x:c r="I62" t="str">
        <x:f>IF(C62="","Yes","No")</x:f>
        <x:v>No</x:v>
      </x:c>
      <x:c r="J62" t="str">
        <x:f>IF(INDEX(tblLedger[Mapping Status],MATCH($A62,tblLedger[Ledger Record ID],0))="MAPPING_HOLD","Yes","No")</x:f>
        <x:v>No</x:v>
      </x:c>
      <x:c r="K62" t="str">
        <x:f>IF(AND(OR(E62="No",E62="Pending"),IFERROR(INDEX(tblServiceEvents[Financial Scope],MATCH(C62,tblServiceEvents[Event #],0)),"Included")="Included"),"Yes","No")</x:f>
        <x:v>No</x:v>
      </x:c>
      <x:c r="L62" t="str">
        <x:f>IF(AND(E62="Yes",OR(F62="No",F62="Pending")),"Yes","No")</x:f>
        <x:v>No</x:v>
      </x:c>
      <x:c r="M62" t="str">
        <x:f>IF(OR(ABS(N(G62))&gt;0,INDEX(tblLedger[Reconciliation Status],MATCH($A62,tblLedger[Ledger Record ID],0))="BREAKDOWN_MISMATCH",INDEX(tblLedger[Reconciliation Status],MATCH($A62,tblLedger[Ledger Record ID],0))="ACH_MISMATCH"),"Yes","No")</x:f>
        <x:v>No</x:v>
      </x:c>
      <x:c r="N62" t="str">
        <x:f>IF(D62="","Yes","No")</x:f>
        <x:v>No</x:v>
      </x:c>
      <x:c r="O62" t="str">
        <x:f>IF(OR(INDEX(tblLedger[City],MATCH($A62,tblLedger[Ledger Record ID],0))="",INDEX(tblLedger[Jurisdiction],MATCH($A62,tblLedger[Ledger Record ID],0))=""),"Yes","No")</x:f>
        <x:v>No</x:v>
      </x:c>
      <x:c r="P62" t="str">
        <x:f>IF(COUNTIF({"Yes","No","Partial","Pending","Mapping Hold"},E62)=0,"Yes","No")</x:f>
        <x:v>No</x:v>
      </x:c>
      <x:c r="Q62" t="str">
        <x:f>IF(COUNTIF({"Yes","No","Partial","Pending","Mapping Review"},F62)=0,"Yes","No")</x:f>
        <x:v>No</x:v>
      </x:c>
      <x:c r="R62" t="str">
        <x:f>IF(J62="Yes","Mapping Hold",IF(I62="Yes","Missing Event Link",IF(H62="Yes","Duplicate WO",IF(M62="Yes","Revenue Variance",IF(K62="Yes","Missing Breakdown",IF(L62="Yes","Pending ACH",IF(E62="Partial","Partial Breakdown",IF(N62="Yes","Missing Client",IF(O62="Yes","Missing Location",IF(P62="Yes","Unknown Breakdown Status",IF(Q62="Yes","Unknown ACH Status","OK")))))))))))</x:f>
        <x:v>OK</x:v>
      </x:c>
      <x:c r="S62" t="str">
        <x:f>IF(OR(J62="Yes",I62="Yes",H62="Yes"),"Critical",IF(OR(M62="Yes",E62="Partial",N62="Yes",O62="Yes",P62="Yes",Q62="Yes"),"Warning",IF(OR(K62="Yes",L62="Yes"),"Informational","OK")))</x:f>
        <x:v>OK</x:v>
      </x:c>
      <x:c r="T62" t="str">
        <x:f>IF(R62="Mapping Hold","Resolve mapping before update",IF(R62="Missing Event Link","Map to one authoritative event",IF(R62="Duplicate WO","Review duplicate identity",IF(R62="Revenue Variance","Reconcile or dispute amount",IF(R62="Missing Breakdown","Await breakdown",IF(R62="Pending ACH","Await ACH",IF(R62="Partial Breakdown","Confirm remaining breakdown",IF(R62="Missing Client","Add canonical client",IF(R62="Missing Location","Complete location fields",IF(R62="OK","No action","Review invalid status"))))))))))</x:f>
        <x:v>No action</x:v>
      </x:c>
      <x:c r="U62" t="str">
        <x:f>IF(R62="OK","No","Yes")</x:f>
        <x:v>No</x:v>
      </x:c>
      <x:c r="V62" s="24" t="n">
        <x:f>ABS(N(G62))</x:f>
        <x:v>0</x:v>
      </x:c>
    </x:row>
    <x:row r="63">
      <x:c r="A63" t="str">
        <x:v>LED-0033</x:v>
      </x:c>
      <x:c r="B63" t="n">
        <x:f>INDEX(tblLedger[Work Order #],MATCH($A63,tblLedger[Ledger Record ID],0))</x:f>
        <x:v>5896039</x:v>
      </x:c>
      <x:c r="C63" t="n">
        <x:f>INDEX(tblLedger[Event #],MATCH($A63,tblLedger[Ledger Record ID],0))</x:f>
        <x:v>33</x:v>
      </x:c>
      <x:c r="D63" t="str">
        <x:f>INDEX(tblLedger[Client],MATCH($A63,tblLedger[Ledger Record ID],0))</x:f>
        <x:v>Hebrew Home of Greater Washington</x:v>
      </x:c>
      <x:c r="E63" t="str">
        <x:f>INDEX(tblLedger[Breakdown Confirmed],MATCH($A63,tblLedger[Ledger Record ID],0))</x:f>
        <x:v>Yes</x:v>
      </x:c>
      <x:c r="F63" t="str">
        <x:f>INDEX(tblLedger[ACH Confirmed],MATCH($A63,tblLedger[Ledger Record ID],0))</x:f>
        <x:v>Yes</x:v>
      </x:c>
      <x:c r="G63" s="24" t="str">
        <x:f>INDEX(tblLedger[Variance],MATCH($A63,tblLedger[Ledger Record ID],0))</x:f>
      </x:c>
      <x:c r="H63" t="str">
        <x:f>IF(COUNTIF(tblLedger[Work Order #],B63)&gt;1,"Yes","No")</x:f>
        <x:v>No</x:v>
      </x:c>
      <x:c r="I63" t="str">
        <x:f>IF(C63="","Yes","No")</x:f>
        <x:v>No</x:v>
      </x:c>
      <x:c r="J63" t="str">
        <x:f>IF(INDEX(tblLedger[Mapping Status],MATCH($A63,tblLedger[Ledger Record ID],0))="MAPPING_HOLD","Yes","No")</x:f>
        <x:v>No</x:v>
      </x:c>
      <x:c r="K63" t="str">
        <x:f>IF(AND(OR(E63="No",E63="Pending"),IFERROR(INDEX(tblServiceEvents[Financial Scope],MATCH(C63,tblServiceEvents[Event #],0)),"Included")="Included"),"Yes","No")</x:f>
        <x:v>No</x:v>
      </x:c>
      <x:c r="L63" t="str">
        <x:f>IF(AND(E63="Yes",OR(F63="No",F63="Pending")),"Yes","No")</x:f>
        <x:v>No</x:v>
      </x:c>
      <x:c r="M63" t="str">
        <x:f>IF(OR(ABS(N(G63))&gt;0,INDEX(tblLedger[Reconciliation Status],MATCH($A63,tblLedger[Ledger Record ID],0))="BREAKDOWN_MISMATCH",INDEX(tblLedger[Reconciliation Status],MATCH($A63,tblLedger[Ledger Record ID],0))="ACH_MISMATCH"),"Yes","No")</x:f>
        <x:v>No</x:v>
      </x:c>
      <x:c r="N63" t="str">
        <x:f>IF(D63="","Yes","No")</x:f>
        <x:v>No</x:v>
      </x:c>
      <x:c r="O63" t="str">
        <x:f>IF(OR(INDEX(tblLedger[City],MATCH($A63,tblLedger[Ledger Record ID],0))="",INDEX(tblLedger[Jurisdiction],MATCH($A63,tblLedger[Ledger Record ID],0))=""),"Yes","No")</x:f>
        <x:v>No</x:v>
      </x:c>
      <x:c r="P63" t="str">
        <x:f>IF(COUNTIF({"Yes","No","Partial","Pending","Mapping Hold"},E63)=0,"Yes","No")</x:f>
        <x:v>No</x:v>
      </x:c>
      <x:c r="Q63" t="str">
        <x:f>IF(COUNTIF({"Yes","No","Partial","Pending","Mapping Review"},F63)=0,"Yes","No")</x:f>
        <x:v>No</x:v>
      </x:c>
      <x:c r="R63" t="str">
        <x:f>IF(J63="Yes","Mapping Hold",IF(I63="Yes","Missing Event Link",IF(H63="Yes","Duplicate WO",IF(M63="Yes","Revenue Variance",IF(K63="Yes","Missing Breakdown",IF(L63="Yes","Pending ACH",IF(E63="Partial","Partial Breakdown",IF(N63="Yes","Missing Client",IF(O63="Yes","Missing Location",IF(P63="Yes","Unknown Breakdown Status",IF(Q63="Yes","Unknown ACH Status","OK")))))))))))</x:f>
        <x:v>OK</x:v>
      </x:c>
      <x:c r="S63" t="str">
        <x:f>IF(OR(J63="Yes",I63="Yes",H63="Yes"),"Critical",IF(OR(M63="Yes",E63="Partial",N63="Yes",O63="Yes",P63="Yes",Q63="Yes"),"Warning",IF(OR(K63="Yes",L63="Yes"),"Informational","OK")))</x:f>
        <x:v>OK</x:v>
      </x:c>
      <x:c r="T63" t="str">
        <x:f>IF(R63="Mapping Hold","Resolve mapping before update",IF(R63="Missing Event Link","Map to one authoritative event",IF(R63="Duplicate WO","Review duplicate identity",IF(R63="Revenue Variance","Reconcile or dispute amount",IF(R63="Missing Breakdown","Await breakdown",IF(R63="Pending ACH","Await ACH",IF(R63="Partial Breakdown","Confirm remaining breakdown",IF(R63="Missing Client","Add canonical client",IF(R63="Missing Location","Complete location fields",IF(R63="OK","No action","Review invalid status"))))))))))</x:f>
        <x:v>No action</x:v>
      </x:c>
      <x:c r="U63" t="str">
        <x:f>IF(R63="OK","No","Yes")</x:f>
        <x:v>No</x:v>
      </x:c>
      <x:c r="V63" s="24" t="n">
        <x:f>ABS(N(G63))</x:f>
        <x:v>0</x:v>
      </x:c>
    </x:row>
    <x:row r="64">
      <x:c r="A64" t="str">
        <x:v>LED-0034</x:v>
      </x:c>
      <x:c r="B64" t="n">
        <x:f>INDEX(tblLedger[Work Order #],MATCH($A64,tblLedger[Ledger Record ID],0))</x:f>
        <x:v>5898904</x:v>
      </x:c>
      <x:c r="C64" t="n">
        <x:f>INDEX(tblLedger[Event #],MATCH($A64,tblLedger[Ledger Record ID],0))</x:f>
        <x:v>34</x:v>
      </x:c>
      <x:c r="D64" t="str">
        <x:f>INDEX(tblLedger[Client],MATCH($A64,tblLedger[Ledger Record ID],0))</x:f>
        <x:v>TJ Maxx</x:v>
      </x:c>
      <x:c r="E64" t="str">
        <x:f>INDEX(tblLedger[Breakdown Confirmed],MATCH($A64,tblLedger[Ledger Record ID],0))</x:f>
        <x:v>Yes</x:v>
      </x:c>
      <x:c r="F64" t="str">
        <x:f>INDEX(tblLedger[ACH Confirmed],MATCH($A64,tblLedger[Ledger Record ID],0))</x:f>
        <x:v>Yes</x:v>
      </x:c>
      <x:c r="G64" s="24" t="str">
        <x:f>INDEX(tblLedger[Variance],MATCH($A64,tblLedger[Ledger Record ID],0))</x:f>
      </x:c>
      <x:c r="H64" t="str">
        <x:f>IF(COUNTIF(tblLedger[Work Order #],B64)&gt;1,"Yes","No")</x:f>
        <x:v>No</x:v>
      </x:c>
      <x:c r="I64" t="str">
        <x:f>IF(C64="","Yes","No")</x:f>
        <x:v>No</x:v>
      </x:c>
      <x:c r="J64" t="str">
        <x:f>IF(INDEX(tblLedger[Mapping Status],MATCH($A64,tblLedger[Ledger Record ID],0))="MAPPING_HOLD","Yes","No")</x:f>
        <x:v>No</x:v>
      </x:c>
      <x:c r="K64" t="str">
        <x:f>IF(AND(OR(E64="No",E64="Pending"),IFERROR(INDEX(tblServiceEvents[Financial Scope],MATCH(C64,tblServiceEvents[Event #],0)),"Included")="Included"),"Yes","No")</x:f>
        <x:v>No</x:v>
      </x:c>
      <x:c r="L64" t="str">
        <x:f>IF(AND(E64="Yes",OR(F64="No",F64="Pending")),"Yes","No")</x:f>
        <x:v>No</x:v>
      </x:c>
      <x:c r="M64" t="str">
        <x:f>IF(OR(ABS(N(G64))&gt;0,INDEX(tblLedger[Reconciliation Status],MATCH($A64,tblLedger[Ledger Record ID],0))="BREAKDOWN_MISMATCH",INDEX(tblLedger[Reconciliation Status],MATCH($A64,tblLedger[Ledger Record ID],0))="ACH_MISMATCH"),"Yes","No")</x:f>
        <x:v>No</x:v>
      </x:c>
      <x:c r="N64" t="str">
        <x:f>IF(D64="","Yes","No")</x:f>
        <x:v>No</x:v>
      </x:c>
      <x:c r="O64" t="str">
        <x:f>IF(OR(INDEX(tblLedger[City],MATCH($A64,tblLedger[Ledger Record ID],0))="",INDEX(tblLedger[Jurisdiction],MATCH($A64,tblLedger[Ledger Record ID],0))=""),"Yes","No")</x:f>
        <x:v>No</x:v>
      </x:c>
      <x:c r="P64" t="str">
        <x:f>IF(COUNTIF({"Yes","No","Partial","Pending","Mapping Hold"},E64)=0,"Yes","No")</x:f>
        <x:v>No</x:v>
      </x:c>
      <x:c r="Q64" t="str">
        <x:f>IF(COUNTIF({"Yes","No","Partial","Pending","Mapping Review"},F64)=0,"Yes","No")</x:f>
        <x:v>No</x:v>
      </x:c>
      <x:c r="R64" t="str">
        <x:f>IF(J64="Yes","Mapping Hold",IF(I64="Yes","Missing Event Link",IF(H64="Yes","Duplicate WO",IF(M64="Yes","Revenue Variance",IF(K64="Yes","Missing Breakdown",IF(L64="Yes","Pending ACH",IF(E64="Partial","Partial Breakdown",IF(N64="Yes","Missing Client",IF(O64="Yes","Missing Location",IF(P64="Yes","Unknown Breakdown Status",IF(Q64="Yes","Unknown ACH Status","OK")))))))))))</x:f>
        <x:v>OK</x:v>
      </x:c>
      <x:c r="S64" t="str">
        <x:f>IF(OR(J64="Yes",I64="Yes",H64="Yes"),"Critical",IF(OR(M64="Yes",E64="Partial",N64="Yes",O64="Yes",P64="Yes",Q64="Yes"),"Warning",IF(OR(K64="Yes",L64="Yes"),"Informational","OK")))</x:f>
        <x:v>OK</x:v>
      </x:c>
      <x:c r="T64" t="str">
        <x:f>IF(R64="Mapping Hold","Resolve mapping before update",IF(R64="Missing Event Link","Map to one authoritative event",IF(R64="Duplicate WO","Review duplicate identity",IF(R64="Revenue Variance","Reconcile or dispute amount",IF(R64="Missing Breakdown","Await breakdown",IF(R64="Pending ACH","Await ACH",IF(R64="Partial Breakdown","Confirm remaining breakdown",IF(R64="Missing Client","Add canonical client",IF(R64="Missing Location","Complete location fields",IF(R64="OK","No action","Review invalid status"))))))))))</x:f>
        <x:v>No action</x:v>
      </x:c>
      <x:c r="U64" t="str">
        <x:f>IF(R64="OK","No","Yes")</x:f>
        <x:v>No</x:v>
      </x:c>
      <x:c r="V64" s="24" t="n">
        <x:f>ABS(N(G64))</x:f>
        <x:v>0</x:v>
      </x:c>
    </x:row>
    <x:row r="65">
      <x:c r="A65" t="str">
        <x:v>LED-0035</x:v>
      </x:c>
      <x:c r="B65" t="n">
        <x:f>INDEX(tblLedger[Work Order #],MATCH($A65,tblLedger[Ledger Record ID],0))</x:f>
        <x:v>5899056</x:v>
      </x:c>
      <x:c r="C65" t="n">
        <x:f>INDEX(tblLedger[Event #],MATCH($A65,tblLedger[Ledger Record ID],0))</x:f>
        <x:v>35</x:v>
      </x:c>
      <x:c r="D65" t="str">
        <x:f>INDEX(tblLedger[Client],MATCH($A65,tblLedger[Ledger Record ID],0))</x:f>
        <x:v>Marshalls</x:v>
      </x:c>
      <x:c r="E65" t="str">
        <x:f>INDEX(tblLedger[Breakdown Confirmed],MATCH($A65,tblLedger[Ledger Record ID],0))</x:f>
        <x:v>Yes</x:v>
      </x:c>
      <x:c r="F65" t="str">
        <x:f>INDEX(tblLedger[ACH Confirmed],MATCH($A65,tblLedger[Ledger Record ID],0))</x:f>
        <x:v>Yes</x:v>
      </x:c>
      <x:c r="G65" s="24" t="str">
        <x:f>INDEX(tblLedger[Variance],MATCH($A65,tblLedger[Ledger Record ID],0))</x:f>
      </x:c>
      <x:c r="H65" t="str">
        <x:f>IF(COUNTIF(tblLedger[Work Order #],B65)&gt;1,"Yes","No")</x:f>
        <x:v>No</x:v>
      </x:c>
      <x:c r="I65" t="str">
        <x:f>IF(C65="","Yes","No")</x:f>
        <x:v>No</x:v>
      </x:c>
      <x:c r="J65" t="str">
        <x:f>IF(INDEX(tblLedger[Mapping Status],MATCH($A65,tblLedger[Ledger Record ID],0))="MAPPING_HOLD","Yes","No")</x:f>
        <x:v>No</x:v>
      </x:c>
      <x:c r="K65" t="str">
        <x:f>IF(AND(OR(E65="No",E65="Pending"),IFERROR(INDEX(tblServiceEvents[Financial Scope],MATCH(C65,tblServiceEvents[Event #],0)),"Included")="Included"),"Yes","No")</x:f>
        <x:v>No</x:v>
      </x:c>
      <x:c r="L65" t="str">
        <x:f>IF(AND(E65="Yes",OR(F65="No",F65="Pending")),"Yes","No")</x:f>
        <x:v>No</x:v>
      </x:c>
      <x:c r="M65" t="str">
        <x:f>IF(OR(ABS(N(G65))&gt;0,INDEX(tblLedger[Reconciliation Status],MATCH($A65,tblLedger[Ledger Record ID],0))="BREAKDOWN_MISMATCH",INDEX(tblLedger[Reconciliation Status],MATCH($A65,tblLedger[Ledger Record ID],0))="ACH_MISMATCH"),"Yes","No")</x:f>
        <x:v>No</x:v>
      </x:c>
      <x:c r="N65" t="str">
        <x:f>IF(D65="","Yes","No")</x:f>
        <x:v>No</x:v>
      </x:c>
      <x:c r="O65" t="str">
        <x:f>IF(OR(INDEX(tblLedger[City],MATCH($A65,tblLedger[Ledger Record ID],0))="",INDEX(tblLedger[Jurisdiction],MATCH($A65,tblLedger[Ledger Record ID],0))=""),"Yes","No")</x:f>
        <x:v>No</x:v>
      </x:c>
      <x:c r="P65" t="str">
        <x:f>IF(COUNTIF({"Yes","No","Partial","Pending","Mapping Hold"},E65)=0,"Yes","No")</x:f>
        <x:v>No</x:v>
      </x:c>
      <x:c r="Q65" t="str">
        <x:f>IF(COUNTIF({"Yes","No","Partial","Pending","Mapping Review"},F65)=0,"Yes","No")</x:f>
        <x:v>No</x:v>
      </x:c>
      <x:c r="R65" t="str">
        <x:f>IF(J65="Yes","Mapping Hold",IF(I65="Yes","Missing Event Link",IF(H65="Yes","Duplicate WO",IF(M65="Yes","Revenue Variance",IF(K65="Yes","Missing Breakdown",IF(L65="Yes","Pending ACH",IF(E65="Partial","Partial Breakdown",IF(N65="Yes","Missing Client",IF(O65="Yes","Missing Location",IF(P65="Yes","Unknown Breakdown Status",IF(Q65="Yes","Unknown ACH Status","OK")))))))))))</x:f>
        <x:v>OK</x:v>
      </x:c>
      <x:c r="S65" t="str">
        <x:f>IF(OR(J65="Yes",I65="Yes",H65="Yes"),"Critical",IF(OR(M65="Yes",E65="Partial",N65="Yes",O65="Yes",P65="Yes",Q65="Yes"),"Warning",IF(OR(K65="Yes",L65="Yes"),"Informational","OK")))</x:f>
        <x:v>OK</x:v>
      </x:c>
      <x:c r="T65" t="str">
        <x:f>IF(R65="Mapping Hold","Resolve mapping before update",IF(R65="Missing Event Link","Map to one authoritative event",IF(R65="Duplicate WO","Review duplicate identity",IF(R65="Revenue Variance","Reconcile or dispute amount",IF(R65="Missing Breakdown","Await breakdown",IF(R65="Pending ACH","Await ACH",IF(R65="Partial Breakdown","Confirm remaining breakdown",IF(R65="Missing Client","Add canonical client",IF(R65="Missing Location","Complete location fields",IF(R65="OK","No action","Review invalid status"))))))))))</x:f>
        <x:v>No action</x:v>
      </x:c>
      <x:c r="U65" t="str">
        <x:f>IF(R65="OK","No","Yes")</x:f>
        <x:v>No</x:v>
      </x:c>
      <x:c r="V65" s="24" t="n">
        <x:f>ABS(N(G65))</x:f>
        <x:v>0</x:v>
      </x:c>
    </x:row>
    <x:row r="66">
      <x:c r="A66" t="str">
        <x:v>LED-0036</x:v>
      </x:c>
      <x:c r="B66" t="n">
        <x:f>INDEX(tblLedger[Work Order #],MATCH($A66,tblLedger[Ledger Record ID],0))</x:f>
        <x:v>5899295</x:v>
      </x:c>
      <x:c r="C66" t="n">
        <x:f>INDEX(tblLedger[Event #],MATCH($A66,tblLedger[Ledger Record ID],0))</x:f>
        <x:v>36</x:v>
      </x:c>
      <x:c r="D66" t="str">
        <x:f>INDEX(tblLedger[Client],MATCH($A66,tblLedger[Ledger Record ID],0))</x:f>
        <x:v>Hampton Inn &amp; Suites</x:v>
      </x:c>
      <x:c r="E66" t="str">
        <x:f>INDEX(tblLedger[Breakdown Confirmed],MATCH($A66,tblLedger[Ledger Record ID],0))</x:f>
        <x:v>Yes</x:v>
      </x:c>
      <x:c r="F66" t="str">
        <x:f>INDEX(tblLedger[ACH Confirmed],MATCH($A66,tblLedger[Ledger Record ID],0))</x:f>
        <x:v>Yes</x:v>
      </x:c>
      <x:c r="G66" s="24" t="str">
        <x:f>INDEX(tblLedger[Variance],MATCH($A66,tblLedger[Ledger Record ID],0))</x:f>
      </x:c>
      <x:c r="H66" t="str">
        <x:f>IF(COUNTIF(tblLedger[Work Order #],B66)&gt;1,"Yes","No")</x:f>
        <x:v>No</x:v>
      </x:c>
      <x:c r="I66" t="str">
        <x:f>IF(C66="","Yes","No")</x:f>
        <x:v>No</x:v>
      </x:c>
      <x:c r="J66" t="str">
        <x:f>IF(INDEX(tblLedger[Mapping Status],MATCH($A66,tblLedger[Ledger Record ID],0))="MAPPING_HOLD","Yes","No")</x:f>
        <x:v>No</x:v>
      </x:c>
      <x:c r="K66" t="str">
        <x:f>IF(AND(OR(E66="No",E66="Pending"),IFERROR(INDEX(tblServiceEvents[Financial Scope],MATCH(C66,tblServiceEvents[Event #],0)),"Included")="Included"),"Yes","No")</x:f>
        <x:v>No</x:v>
      </x:c>
      <x:c r="L66" t="str">
        <x:f>IF(AND(E66="Yes",OR(F66="No",F66="Pending")),"Yes","No")</x:f>
        <x:v>No</x:v>
      </x:c>
      <x:c r="M66" t="str">
        <x:f>IF(OR(ABS(N(G66))&gt;0,INDEX(tblLedger[Reconciliation Status],MATCH($A66,tblLedger[Ledger Record ID],0))="BREAKDOWN_MISMATCH",INDEX(tblLedger[Reconciliation Status],MATCH($A66,tblLedger[Ledger Record ID],0))="ACH_MISMATCH"),"Yes","No")</x:f>
        <x:v>No</x:v>
      </x:c>
      <x:c r="N66" t="str">
        <x:f>IF(D66="","Yes","No")</x:f>
        <x:v>No</x:v>
      </x:c>
      <x:c r="O66" t="str">
        <x:f>IF(OR(INDEX(tblLedger[City],MATCH($A66,tblLedger[Ledger Record ID],0))="",INDEX(tblLedger[Jurisdiction],MATCH($A66,tblLedger[Ledger Record ID],0))=""),"Yes","No")</x:f>
        <x:v>No</x:v>
      </x:c>
      <x:c r="P66" t="str">
        <x:f>IF(COUNTIF({"Yes","No","Partial","Pending","Mapping Hold"},E66)=0,"Yes","No")</x:f>
        <x:v>No</x:v>
      </x:c>
      <x:c r="Q66" t="str">
        <x:f>IF(COUNTIF({"Yes","No","Partial","Pending","Mapping Review"},F66)=0,"Yes","No")</x:f>
        <x:v>No</x:v>
      </x:c>
      <x:c r="R66" t="str">
        <x:f>IF(J66="Yes","Mapping Hold",IF(I66="Yes","Missing Event Link",IF(H66="Yes","Duplicate WO",IF(M66="Yes","Revenue Variance",IF(K66="Yes","Missing Breakdown",IF(L66="Yes","Pending ACH",IF(E66="Partial","Partial Breakdown",IF(N66="Yes","Missing Client",IF(O66="Yes","Missing Location",IF(P66="Yes","Unknown Breakdown Status",IF(Q66="Yes","Unknown ACH Status","OK")))))))))))</x:f>
        <x:v>OK</x:v>
      </x:c>
      <x:c r="S66" t="str">
        <x:f>IF(OR(J66="Yes",I66="Yes",H66="Yes"),"Critical",IF(OR(M66="Yes",E66="Partial",N66="Yes",O66="Yes",P66="Yes",Q66="Yes"),"Warning",IF(OR(K66="Yes",L66="Yes"),"Informational","OK")))</x:f>
        <x:v>OK</x:v>
      </x:c>
      <x:c r="T66" t="str">
        <x:f>IF(R66="Mapping Hold","Resolve mapping before update",IF(R66="Missing Event Link","Map to one authoritative event",IF(R66="Duplicate WO","Review duplicate identity",IF(R66="Revenue Variance","Reconcile or dispute amount",IF(R66="Missing Breakdown","Await breakdown",IF(R66="Pending ACH","Await ACH",IF(R66="Partial Breakdown","Confirm remaining breakdown",IF(R66="Missing Client","Add canonical client",IF(R66="Missing Location","Complete location fields",IF(R66="OK","No action","Review invalid status"))))))))))</x:f>
        <x:v>No action</x:v>
      </x:c>
      <x:c r="U66" t="str">
        <x:f>IF(R66="OK","No","Yes")</x:f>
        <x:v>No</x:v>
      </x:c>
      <x:c r="V66" s="24" t="n">
        <x:f>ABS(N(G66))</x:f>
        <x:v>0</x:v>
      </x:c>
    </x:row>
    <x:row r="67">
      <x:c r="A67" t="str">
        <x:v>LED-0037</x:v>
      </x:c>
      <x:c r="B67" t="n">
        <x:f>INDEX(tblLedger[Work Order #],MATCH($A67,tblLedger[Ledger Record ID],0))</x:f>
        <x:v>5899715</x:v>
      </x:c>
      <x:c r="C67" t="n">
        <x:f>INDEX(tblLedger[Event #],MATCH($A67,tblLedger[Ledger Record ID],0))</x:f>
        <x:v>37</x:v>
      </x:c>
      <x:c r="D67" t="str">
        <x:f>INDEX(tblLedger[Client],MATCH($A67,tblLedger[Ledger Record ID],0))</x:f>
        <x:v>HomeGoods</x:v>
      </x:c>
      <x:c r="E67" t="str">
        <x:f>INDEX(tblLedger[Breakdown Confirmed],MATCH($A67,tblLedger[Ledger Record ID],0))</x:f>
        <x:v>Yes</x:v>
      </x:c>
      <x:c r="F67" t="str">
        <x:f>INDEX(tblLedger[ACH Confirmed],MATCH($A67,tblLedger[Ledger Record ID],0))</x:f>
        <x:v>Yes</x:v>
      </x:c>
      <x:c r="G67" s="24" t="str">
        <x:f>INDEX(tblLedger[Variance],MATCH($A67,tblLedger[Ledger Record ID],0))</x:f>
      </x:c>
      <x:c r="H67" t="str">
        <x:f>IF(COUNTIF(tblLedger[Work Order #],B67)&gt;1,"Yes","No")</x:f>
        <x:v>No</x:v>
      </x:c>
      <x:c r="I67" t="str">
        <x:f>IF(C67="","Yes","No")</x:f>
        <x:v>No</x:v>
      </x:c>
      <x:c r="J67" t="str">
        <x:f>IF(INDEX(tblLedger[Mapping Status],MATCH($A67,tblLedger[Ledger Record ID],0))="MAPPING_HOLD","Yes","No")</x:f>
        <x:v>No</x:v>
      </x:c>
      <x:c r="K67" t="str">
        <x:f>IF(AND(OR(E67="No",E67="Pending"),IFERROR(INDEX(tblServiceEvents[Financial Scope],MATCH(C67,tblServiceEvents[Event #],0)),"Included")="Included"),"Yes","No")</x:f>
        <x:v>No</x:v>
      </x:c>
      <x:c r="L67" t="str">
        <x:f>IF(AND(E67="Yes",OR(F67="No",F67="Pending")),"Yes","No")</x:f>
        <x:v>No</x:v>
      </x:c>
      <x:c r="M67" t="str">
        <x:f>IF(OR(ABS(N(G67))&gt;0,INDEX(tblLedger[Reconciliation Status],MATCH($A67,tblLedger[Ledger Record ID],0))="BREAKDOWN_MISMATCH",INDEX(tblLedger[Reconciliation Status],MATCH($A67,tblLedger[Ledger Record ID],0))="ACH_MISMATCH"),"Yes","No")</x:f>
        <x:v>No</x:v>
      </x:c>
      <x:c r="N67" t="str">
        <x:f>IF(D67="","Yes","No")</x:f>
        <x:v>No</x:v>
      </x:c>
      <x:c r="O67" t="str">
        <x:f>IF(OR(INDEX(tblLedger[City],MATCH($A67,tblLedger[Ledger Record ID],0))="",INDEX(tblLedger[Jurisdiction],MATCH($A67,tblLedger[Ledger Record ID],0))=""),"Yes","No")</x:f>
        <x:v>No</x:v>
      </x:c>
      <x:c r="P67" t="str">
        <x:f>IF(COUNTIF({"Yes","No","Partial","Pending","Mapping Hold"},E67)=0,"Yes","No")</x:f>
        <x:v>No</x:v>
      </x:c>
      <x:c r="Q67" t="str">
        <x:f>IF(COUNTIF({"Yes","No","Partial","Pending","Mapping Review"},F67)=0,"Yes","No")</x:f>
        <x:v>No</x:v>
      </x:c>
      <x:c r="R67" t="str">
        <x:f>IF(J67="Yes","Mapping Hold",IF(I67="Yes","Missing Event Link",IF(H67="Yes","Duplicate WO",IF(M67="Yes","Revenue Variance",IF(K67="Yes","Missing Breakdown",IF(L67="Yes","Pending ACH",IF(E67="Partial","Partial Breakdown",IF(N67="Yes","Missing Client",IF(O67="Yes","Missing Location",IF(P67="Yes","Unknown Breakdown Status",IF(Q67="Yes","Unknown ACH Status","OK")))))))))))</x:f>
        <x:v>OK</x:v>
      </x:c>
      <x:c r="S67" t="str">
        <x:f>IF(OR(J67="Yes",I67="Yes",H67="Yes"),"Critical",IF(OR(M67="Yes",E67="Partial",N67="Yes",O67="Yes",P67="Yes",Q67="Yes"),"Warning",IF(OR(K67="Yes",L67="Yes"),"Informational","OK")))</x:f>
        <x:v>OK</x:v>
      </x:c>
      <x:c r="T67" t="str">
        <x:f>IF(R67="Mapping Hold","Resolve mapping before update",IF(R67="Missing Event Link","Map to one authoritative event",IF(R67="Duplicate WO","Review duplicate identity",IF(R67="Revenue Variance","Reconcile or dispute amount",IF(R67="Missing Breakdown","Await breakdown",IF(R67="Pending ACH","Await ACH",IF(R67="Partial Breakdown","Confirm remaining breakdown",IF(R67="Missing Client","Add canonical client",IF(R67="Missing Location","Complete location fields",IF(R67="OK","No action","Review invalid status"))))))))))</x:f>
        <x:v>No action</x:v>
      </x:c>
      <x:c r="U67" t="str">
        <x:f>IF(R67="OK","No","Yes")</x:f>
        <x:v>No</x:v>
      </x:c>
      <x:c r="V67" s="24" t="n">
        <x:f>ABS(N(G67))</x:f>
        <x:v>0</x:v>
      </x:c>
    </x:row>
    <x:row r="68">
      <x:c r="A68" t="str">
        <x:v>LED-0038</x:v>
      </x:c>
      <x:c r="B68" t="n">
        <x:f>INDEX(tblLedger[Work Order #],MATCH($A68,tblLedger[Ledger Record ID],0))</x:f>
        <x:v>5900102</x:v>
      </x:c>
      <x:c r="C68" t="n">
        <x:f>INDEX(tblLedger[Event #],MATCH($A68,tblLedger[Ledger Record ID],0))</x:f>
        <x:v>38</x:v>
      </x:c>
      <x:c r="D68" t="str">
        <x:f>INDEX(tblLedger[Client],MATCH($A68,tblLedger[Ledger Record ID],0))</x:f>
        <x:v>7-Eleven</x:v>
      </x:c>
      <x:c r="E68" t="str">
        <x:f>INDEX(tblLedger[Breakdown Confirmed],MATCH($A68,tblLedger[Ledger Record ID],0))</x:f>
        <x:v>Yes</x:v>
      </x:c>
      <x:c r="F68" t="str">
        <x:f>INDEX(tblLedger[ACH Confirmed],MATCH($A68,tblLedger[Ledger Record ID],0))</x:f>
        <x:v>Yes</x:v>
      </x:c>
      <x:c r="G68" s="24" t="str">
        <x:f>INDEX(tblLedger[Variance],MATCH($A68,tblLedger[Ledger Record ID],0))</x:f>
      </x:c>
      <x:c r="H68" t="str">
        <x:f>IF(COUNTIF(tblLedger[Work Order #],B68)&gt;1,"Yes","No")</x:f>
        <x:v>No</x:v>
      </x:c>
      <x:c r="I68" t="str">
        <x:f>IF(C68="","Yes","No")</x:f>
        <x:v>No</x:v>
      </x:c>
      <x:c r="J68" t="str">
        <x:f>IF(INDEX(tblLedger[Mapping Status],MATCH($A68,tblLedger[Ledger Record ID],0))="MAPPING_HOLD","Yes","No")</x:f>
        <x:v>No</x:v>
      </x:c>
      <x:c r="K68" t="str">
        <x:f>IF(AND(OR(E68="No",E68="Pending"),IFERROR(INDEX(tblServiceEvents[Financial Scope],MATCH(C68,tblServiceEvents[Event #],0)),"Included")="Included"),"Yes","No")</x:f>
        <x:v>No</x:v>
      </x:c>
      <x:c r="L68" t="str">
        <x:f>IF(AND(E68="Yes",OR(F68="No",F68="Pending")),"Yes","No")</x:f>
        <x:v>No</x:v>
      </x:c>
      <x:c r="M68" t="str">
        <x:f>IF(OR(ABS(N(G68))&gt;0,INDEX(tblLedger[Reconciliation Status],MATCH($A68,tblLedger[Ledger Record ID],0))="BREAKDOWN_MISMATCH",INDEX(tblLedger[Reconciliation Status],MATCH($A68,tblLedger[Ledger Record ID],0))="ACH_MISMATCH"),"Yes","No")</x:f>
        <x:v>No</x:v>
      </x:c>
      <x:c r="N68" t="str">
        <x:f>IF(D68="","Yes","No")</x:f>
        <x:v>No</x:v>
      </x:c>
      <x:c r="O68" t="str">
        <x:f>IF(OR(INDEX(tblLedger[City],MATCH($A68,tblLedger[Ledger Record ID],0))="",INDEX(tblLedger[Jurisdiction],MATCH($A68,tblLedger[Ledger Record ID],0))=""),"Yes","No")</x:f>
        <x:v>No</x:v>
      </x:c>
      <x:c r="P68" t="str">
        <x:f>IF(COUNTIF({"Yes","No","Partial","Pending","Mapping Hold"},E68)=0,"Yes","No")</x:f>
        <x:v>No</x:v>
      </x:c>
      <x:c r="Q68" t="str">
        <x:f>IF(COUNTIF({"Yes","No","Partial","Pending","Mapping Review"},F68)=0,"Yes","No")</x:f>
        <x:v>No</x:v>
      </x:c>
      <x:c r="R68" t="str">
        <x:f>IF(J68="Yes","Mapping Hold",IF(I68="Yes","Missing Event Link",IF(H68="Yes","Duplicate WO",IF(M68="Yes","Revenue Variance",IF(K68="Yes","Missing Breakdown",IF(L68="Yes","Pending ACH",IF(E68="Partial","Partial Breakdown",IF(N68="Yes","Missing Client",IF(O68="Yes","Missing Location",IF(P68="Yes","Unknown Breakdown Status",IF(Q68="Yes","Unknown ACH Status","OK")))))))))))</x:f>
        <x:v>OK</x:v>
      </x:c>
      <x:c r="S68" t="str">
        <x:f>IF(OR(J68="Yes",I68="Yes",H68="Yes"),"Critical",IF(OR(M68="Yes",E68="Partial",N68="Yes",O68="Yes",P68="Yes",Q68="Yes"),"Warning",IF(OR(K68="Yes",L68="Yes"),"Informational","OK")))</x:f>
        <x:v>OK</x:v>
      </x:c>
      <x:c r="T68" t="str">
        <x:f>IF(R68="Mapping Hold","Resolve mapping before update",IF(R68="Missing Event Link","Map to one authoritative event",IF(R68="Duplicate WO","Review duplicate identity",IF(R68="Revenue Variance","Reconcile or dispute amount",IF(R68="Missing Breakdown","Await breakdown",IF(R68="Pending ACH","Await ACH",IF(R68="Partial Breakdown","Confirm remaining breakdown",IF(R68="Missing Client","Add canonical client",IF(R68="Missing Location","Complete location fields",IF(R68="OK","No action","Review invalid status"))))))))))</x:f>
        <x:v>No action</x:v>
      </x:c>
      <x:c r="U68" t="str">
        <x:f>IF(R68="OK","No","Yes")</x:f>
        <x:v>No</x:v>
      </x:c>
      <x:c r="V68" s="24" t="n">
        <x:f>ABS(N(G68))</x:f>
        <x:v>0</x:v>
      </x:c>
    </x:row>
    <x:row r="69">
      <x:c r="A69" t="str">
        <x:v>LED-0039</x:v>
      </x:c>
      <x:c r="B69" t="n">
        <x:f>INDEX(tblLedger[Work Order #],MATCH($A69,tblLedger[Ledger Record ID],0))</x:f>
        <x:v>5900492</x:v>
      </x:c>
      <x:c r="C69" t="n">
        <x:f>INDEX(tblLedger[Event #],MATCH($A69,tblLedger[Ledger Record ID],0))</x:f>
        <x:v>39</x:v>
      </x:c>
      <x:c r="D69" t="str">
        <x:f>INDEX(tblLedger[Client],MATCH($A69,tblLedger[Ledger Record ID],0))</x:f>
        <x:v>TJ Maxx</x:v>
      </x:c>
      <x:c r="E69" t="str">
        <x:f>INDEX(tblLedger[Breakdown Confirmed],MATCH($A69,tblLedger[Ledger Record ID],0))</x:f>
        <x:v>Yes</x:v>
      </x:c>
      <x:c r="F69" t="str">
        <x:f>INDEX(tblLedger[ACH Confirmed],MATCH($A69,tblLedger[Ledger Record ID],0))</x:f>
        <x:v>Yes</x:v>
      </x:c>
      <x:c r="G69" s="24" t="str">
        <x:f>INDEX(tblLedger[Variance],MATCH($A69,tblLedger[Ledger Record ID],0))</x:f>
      </x:c>
      <x:c r="H69" t="str">
        <x:f>IF(COUNTIF(tblLedger[Work Order #],B69)&gt;1,"Yes","No")</x:f>
        <x:v>No</x:v>
      </x:c>
      <x:c r="I69" t="str">
        <x:f>IF(C69="","Yes","No")</x:f>
        <x:v>No</x:v>
      </x:c>
      <x:c r="J69" t="str">
        <x:f>IF(INDEX(tblLedger[Mapping Status],MATCH($A69,tblLedger[Ledger Record ID],0))="MAPPING_HOLD","Yes","No")</x:f>
        <x:v>No</x:v>
      </x:c>
      <x:c r="K69" t="str">
        <x:f>IF(AND(OR(E69="No",E69="Pending"),IFERROR(INDEX(tblServiceEvents[Financial Scope],MATCH(C69,tblServiceEvents[Event #],0)),"Included")="Included"),"Yes","No")</x:f>
        <x:v>No</x:v>
      </x:c>
      <x:c r="L69" t="str">
        <x:f>IF(AND(E69="Yes",OR(F69="No",F69="Pending")),"Yes","No")</x:f>
        <x:v>No</x:v>
      </x:c>
      <x:c r="M69" t="str">
        <x:f>IF(OR(ABS(N(G69))&gt;0,INDEX(tblLedger[Reconciliation Status],MATCH($A69,tblLedger[Ledger Record ID],0))="BREAKDOWN_MISMATCH",INDEX(tblLedger[Reconciliation Status],MATCH($A69,tblLedger[Ledger Record ID],0))="ACH_MISMATCH"),"Yes","No")</x:f>
        <x:v>No</x:v>
      </x:c>
      <x:c r="N69" t="str">
        <x:f>IF(D69="","Yes","No")</x:f>
        <x:v>No</x:v>
      </x:c>
      <x:c r="O69" t="str">
        <x:f>IF(OR(INDEX(tblLedger[City],MATCH($A69,tblLedger[Ledger Record ID],0))="",INDEX(tblLedger[Jurisdiction],MATCH($A69,tblLedger[Ledger Record ID],0))=""),"Yes","No")</x:f>
        <x:v>No</x:v>
      </x:c>
      <x:c r="P69" t="str">
        <x:f>IF(COUNTIF({"Yes","No","Partial","Pending","Mapping Hold"},E69)=0,"Yes","No")</x:f>
        <x:v>No</x:v>
      </x:c>
      <x:c r="Q69" t="str">
        <x:f>IF(COUNTIF({"Yes","No","Partial","Pending","Mapping Review"},F69)=0,"Yes","No")</x:f>
        <x:v>No</x:v>
      </x:c>
      <x:c r="R69" t="str">
        <x:f>IF(J69="Yes","Mapping Hold",IF(I69="Yes","Missing Event Link",IF(H69="Yes","Duplicate WO",IF(M69="Yes","Revenue Variance",IF(K69="Yes","Missing Breakdown",IF(L69="Yes","Pending ACH",IF(E69="Partial","Partial Breakdown",IF(N69="Yes","Missing Client",IF(O69="Yes","Missing Location",IF(P69="Yes","Unknown Breakdown Status",IF(Q69="Yes","Unknown ACH Status","OK")))))))))))</x:f>
        <x:v>OK</x:v>
      </x:c>
      <x:c r="S69" t="str">
        <x:f>IF(OR(J69="Yes",I69="Yes",H69="Yes"),"Critical",IF(OR(M69="Yes",E69="Partial",N69="Yes",O69="Yes",P69="Yes",Q69="Yes"),"Warning",IF(OR(K69="Yes",L69="Yes"),"Informational","OK")))</x:f>
        <x:v>OK</x:v>
      </x:c>
      <x:c r="T69" t="str">
        <x:f>IF(R69="Mapping Hold","Resolve mapping before update",IF(R69="Missing Event Link","Map to one authoritative event",IF(R69="Duplicate WO","Review duplicate identity",IF(R69="Revenue Variance","Reconcile or dispute amount",IF(R69="Missing Breakdown","Await breakdown",IF(R69="Pending ACH","Await ACH",IF(R69="Partial Breakdown","Confirm remaining breakdown",IF(R69="Missing Client","Add canonical client",IF(R69="Missing Location","Complete location fields",IF(R69="OK","No action","Review invalid status"))))))))))</x:f>
        <x:v>No action</x:v>
      </x:c>
      <x:c r="U69" t="str">
        <x:f>IF(R69="OK","No","Yes")</x:f>
        <x:v>No</x:v>
      </x:c>
      <x:c r="V69" s="24" t="n">
        <x:f>ABS(N(G69))</x:f>
        <x:v>0</x:v>
      </x:c>
    </x:row>
    <x:row r="70">
      <x:c r="A70" t="str">
        <x:v>LED-0040</x:v>
      </x:c>
      <x:c r="B70" t="n">
        <x:f>INDEX(tblLedger[Work Order #],MATCH($A70,tblLedger[Ledger Record ID],0))</x:f>
        <x:v>5877236</x:v>
      </x:c>
      <x:c r="C70" t="n">
        <x:f>INDEX(tblLedger[Event #],MATCH($A70,tblLedger[Ledger Record ID],0))</x:f>
        <x:v>40</x:v>
      </x:c>
      <x:c r="D70" t="str">
        <x:f>INDEX(tblLedger[Client],MATCH($A70,tblLedger[Ledger Record ID],0))</x:f>
        <x:v>Residential – Annapolis Neck, MD</x:v>
      </x:c>
      <x:c r="E70" t="str">
        <x:f>INDEX(tblLedger[Breakdown Confirmed],MATCH($A70,tblLedger[Ledger Record ID],0))</x:f>
        <x:v>Yes</x:v>
      </x:c>
      <x:c r="F70" t="str">
        <x:f>INDEX(tblLedger[ACH Confirmed],MATCH($A70,tblLedger[Ledger Record ID],0))</x:f>
        <x:v>Yes</x:v>
      </x:c>
      <x:c r="G70" s="24" t="str">
        <x:f>INDEX(tblLedger[Variance],MATCH($A70,tblLedger[Ledger Record ID],0))</x:f>
      </x:c>
      <x:c r="H70" t="str">
        <x:f>IF(COUNTIF(tblLedger[Work Order #],B70)&gt;1,"Yes","No")</x:f>
        <x:v>No</x:v>
      </x:c>
      <x:c r="I70" t="str">
        <x:f>IF(C70="","Yes","No")</x:f>
        <x:v>No</x:v>
      </x:c>
      <x:c r="J70" t="str">
        <x:f>IF(INDEX(tblLedger[Mapping Status],MATCH($A70,tblLedger[Ledger Record ID],0))="MAPPING_HOLD","Yes","No")</x:f>
        <x:v>No</x:v>
      </x:c>
      <x:c r="K70" t="str">
        <x:f>IF(AND(OR(E70="No",E70="Pending"),IFERROR(INDEX(tblServiceEvents[Financial Scope],MATCH(C70,tblServiceEvents[Event #],0)),"Included")="Included"),"Yes","No")</x:f>
        <x:v>No</x:v>
      </x:c>
      <x:c r="L70" t="str">
        <x:f>IF(AND(E70="Yes",OR(F70="No",F70="Pending")),"Yes","No")</x:f>
        <x:v>No</x:v>
      </x:c>
      <x:c r="M70" t="str">
        <x:f>IF(OR(ABS(N(G70))&gt;0,INDEX(tblLedger[Reconciliation Status],MATCH($A70,tblLedger[Ledger Record ID],0))="BREAKDOWN_MISMATCH",INDEX(tblLedger[Reconciliation Status],MATCH($A70,tblLedger[Ledger Record ID],0))="ACH_MISMATCH"),"Yes","No")</x:f>
        <x:v>No</x:v>
      </x:c>
      <x:c r="N70" t="str">
        <x:f>IF(D70="","Yes","No")</x:f>
        <x:v>No</x:v>
      </x:c>
      <x:c r="O70" t="str">
        <x:f>IF(OR(INDEX(tblLedger[City],MATCH($A70,tblLedger[Ledger Record ID],0))="",INDEX(tblLedger[Jurisdiction],MATCH($A70,tblLedger[Ledger Record ID],0))=""),"Yes","No")</x:f>
        <x:v>No</x:v>
      </x:c>
      <x:c r="P70" t="str">
        <x:f>IF(COUNTIF({"Yes","No","Partial","Pending","Mapping Hold"},E70)=0,"Yes","No")</x:f>
        <x:v>No</x:v>
      </x:c>
      <x:c r="Q70" t="str">
        <x:f>IF(COUNTIF({"Yes","No","Partial","Pending","Mapping Review"},F70)=0,"Yes","No")</x:f>
        <x:v>No</x:v>
      </x:c>
      <x:c r="R70" t="str">
        <x:f>IF(J70="Yes","Mapping Hold",IF(I70="Yes","Missing Event Link",IF(H70="Yes","Duplicate WO",IF(M70="Yes","Revenue Variance",IF(K70="Yes","Missing Breakdown",IF(L70="Yes","Pending ACH",IF(E70="Partial","Partial Breakdown",IF(N70="Yes","Missing Client",IF(O70="Yes","Missing Location",IF(P70="Yes","Unknown Breakdown Status",IF(Q70="Yes","Unknown ACH Status","OK")))))))))))</x:f>
        <x:v>OK</x:v>
      </x:c>
      <x:c r="S70" t="str">
        <x:f>IF(OR(J70="Yes",I70="Yes",H70="Yes"),"Critical",IF(OR(M70="Yes",E70="Partial",N70="Yes",O70="Yes",P70="Yes",Q70="Yes"),"Warning",IF(OR(K70="Yes",L70="Yes"),"Informational","OK")))</x:f>
        <x:v>OK</x:v>
      </x:c>
      <x:c r="T70" t="str">
        <x:f>IF(R70="Mapping Hold","Resolve mapping before update",IF(R70="Missing Event Link","Map to one authoritative event",IF(R70="Duplicate WO","Review duplicate identity",IF(R70="Revenue Variance","Reconcile or dispute amount",IF(R70="Missing Breakdown","Await breakdown",IF(R70="Pending ACH","Await ACH",IF(R70="Partial Breakdown","Confirm remaining breakdown",IF(R70="Missing Client","Add canonical client",IF(R70="Missing Location","Complete location fields",IF(R70="OK","No action","Review invalid status"))))))))))</x:f>
        <x:v>No action</x:v>
      </x:c>
      <x:c r="U70" t="str">
        <x:f>IF(R70="OK","No","Yes")</x:f>
        <x:v>No</x:v>
      </x:c>
      <x:c r="V70" s="24" t="n">
        <x:f>ABS(N(G70))</x:f>
        <x:v>0</x:v>
      </x:c>
    </x:row>
    <x:row r="71">
      <x:c r="A71" t="str">
        <x:v>LED-0041</x:v>
      </x:c>
      <x:c r="B71" t="n">
        <x:f>INDEX(tblLedger[Work Order #],MATCH($A71,tblLedger[Ledger Record ID],0))</x:f>
        <x:v>5887374</x:v>
      </x:c>
      <x:c r="C71" t="n">
        <x:f>INDEX(tblLedger[Event #],MATCH($A71,tblLedger[Ledger Record ID],0))</x:f>
        <x:v>41</x:v>
      </x:c>
      <x:c r="D71" t="str">
        <x:f>INDEX(tblLedger[Client],MATCH($A71,tblLedger[Ledger Record ID],0))</x:f>
        <x:v>Baskin-Robbins</x:v>
      </x:c>
      <x:c r="E71" t="str">
        <x:f>INDEX(tblLedger[Breakdown Confirmed],MATCH($A71,tblLedger[Ledger Record ID],0))</x:f>
        <x:v>Yes</x:v>
      </x:c>
      <x:c r="F71" t="str">
        <x:f>INDEX(tblLedger[ACH Confirmed],MATCH($A71,tblLedger[Ledger Record ID],0))</x:f>
        <x:v>Yes</x:v>
      </x:c>
      <x:c r="G71" s="24" t="str">
        <x:f>INDEX(tblLedger[Variance],MATCH($A71,tblLedger[Ledger Record ID],0))</x:f>
      </x:c>
      <x:c r="H71" t="str">
        <x:f>IF(COUNTIF(tblLedger[Work Order #],B71)&gt;1,"Yes","No")</x:f>
        <x:v>No</x:v>
      </x:c>
      <x:c r="I71" t="str">
        <x:f>IF(C71="","Yes","No")</x:f>
        <x:v>No</x:v>
      </x:c>
      <x:c r="J71" t="str">
        <x:f>IF(INDEX(tblLedger[Mapping Status],MATCH($A71,tblLedger[Ledger Record ID],0))="MAPPING_HOLD","Yes","No")</x:f>
        <x:v>No</x:v>
      </x:c>
      <x:c r="K71" t="str">
        <x:f>IF(AND(OR(E71="No",E71="Pending"),IFERROR(INDEX(tblServiceEvents[Financial Scope],MATCH(C71,tblServiceEvents[Event #],0)),"Included")="Included"),"Yes","No")</x:f>
        <x:v>No</x:v>
      </x:c>
      <x:c r="L71" t="str">
        <x:f>IF(AND(E71="Yes",OR(F71="No",F71="Pending")),"Yes","No")</x:f>
        <x:v>No</x:v>
      </x:c>
      <x:c r="M71" t="str">
        <x:f>IF(OR(ABS(N(G71))&gt;0,INDEX(tblLedger[Reconciliation Status],MATCH($A71,tblLedger[Ledger Record ID],0))="BREAKDOWN_MISMATCH",INDEX(tblLedger[Reconciliation Status],MATCH($A71,tblLedger[Ledger Record ID],0))="ACH_MISMATCH"),"Yes","No")</x:f>
        <x:v>No</x:v>
      </x:c>
      <x:c r="N71" t="str">
        <x:f>IF(D71="","Yes","No")</x:f>
        <x:v>No</x:v>
      </x:c>
      <x:c r="O71" t="str">
        <x:f>IF(OR(INDEX(tblLedger[City],MATCH($A71,tblLedger[Ledger Record ID],0))="",INDEX(tblLedger[Jurisdiction],MATCH($A71,tblLedger[Ledger Record ID],0))=""),"Yes","No")</x:f>
        <x:v>No</x:v>
      </x:c>
      <x:c r="P71" t="str">
        <x:f>IF(COUNTIF({"Yes","No","Partial","Pending","Mapping Hold"},E71)=0,"Yes","No")</x:f>
        <x:v>No</x:v>
      </x:c>
      <x:c r="Q71" t="str">
        <x:f>IF(COUNTIF({"Yes","No","Partial","Pending","Mapping Review"},F71)=0,"Yes","No")</x:f>
        <x:v>No</x:v>
      </x:c>
      <x:c r="R71" t="str">
        <x:f>IF(J71="Yes","Mapping Hold",IF(I71="Yes","Missing Event Link",IF(H71="Yes","Duplicate WO",IF(M71="Yes","Revenue Variance",IF(K71="Yes","Missing Breakdown",IF(L71="Yes","Pending ACH",IF(E71="Partial","Partial Breakdown",IF(N71="Yes","Missing Client",IF(O71="Yes","Missing Location",IF(P71="Yes","Unknown Breakdown Status",IF(Q71="Yes","Unknown ACH Status","OK")))))))))))</x:f>
        <x:v>OK</x:v>
      </x:c>
      <x:c r="S71" t="str">
        <x:f>IF(OR(J71="Yes",I71="Yes",H71="Yes"),"Critical",IF(OR(M71="Yes",E71="Partial",N71="Yes",O71="Yes",P71="Yes",Q71="Yes"),"Warning",IF(OR(K71="Yes",L71="Yes"),"Informational","OK")))</x:f>
        <x:v>OK</x:v>
      </x:c>
      <x:c r="T71" t="str">
        <x:f>IF(R71="Mapping Hold","Resolve mapping before update",IF(R71="Missing Event Link","Map to one authoritative event",IF(R71="Duplicate WO","Review duplicate identity",IF(R71="Revenue Variance","Reconcile or dispute amount",IF(R71="Missing Breakdown","Await breakdown",IF(R71="Pending ACH","Await ACH",IF(R71="Partial Breakdown","Confirm remaining breakdown",IF(R71="Missing Client","Add canonical client",IF(R71="Missing Location","Complete location fields",IF(R71="OK","No action","Review invalid status"))))))))))</x:f>
        <x:v>No action</x:v>
      </x:c>
      <x:c r="U71" t="str">
        <x:f>IF(R71="OK","No","Yes")</x:f>
        <x:v>No</x:v>
      </x:c>
      <x:c r="V71" s="24" t="n">
        <x:f>ABS(N(G71))</x:f>
        <x:v>0</x:v>
      </x:c>
    </x:row>
    <x:row r="72">
      <x:c r="A72" t="str">
        <x:v>LED-0042</x:v>
      </x:c>
      <x:c r="B72" t="n">
        <x:f>INDEX(tblLedger[Work Order #],MATCH($A72,tblLedger[Ledger Record ID],0))</x:f>
        <x:v>5901061</x:v>
      </x:c>
      <x:c r="C72" t="n">
        <x:f>INDEX(tblLedger[Event #],MATCH($A72,tblLedger[Ledger Record ID],0))</x:f>
        <x:v>42</x:v>
      </x:c>
      <x:c r="D72" t="str">
        <x:f>INDEX(tblLedger[Client],MATCH($A72,tblLedger[Ledger Record ID],0))</x:f>
        <x:v>Verizon</x:v>
      </x:c>
      <x:c r="E72" t="str">
        <x:f>INDEX(tblLedger[Breakdown Confirmed],MATCH($A72,tblLedger[Ledger Record ID],0))</x:f>
        <x:v>Yes</x:v>
      </x:c>
      <x:c r="F72" t="str">
        <x:f>INDEX(tblLedger[ACH Confirmed],MATCH($A72,tblLedger[Ledger Record ID],0))</x:f>
        <x:v>Yes</x:v>
      </x:c>
      <x:c r="G72" s="24" t="str">
        <x:f>INDEX(tblLedger[Variance],MATCH($A72,tblLedger[Ledger Record ID],0))</x:f>
      </x:c>
      <x:c r="H72" t="str">
        <x:f>IF(COUNTIF(tblLedger[Work Order #],B72)&gt;1,"Yes","No")</x:f>
        <x:v>No</x:v>
      </x:c>
      <x:c r="I72" t="str">
        <x:f>IF(C72="","Yes","No")</x:f>
        <x:v>No</x:v>
      </x:c>
      <x:c r="J72" t="str">
        <x:f>IF(INDEX(tblLedger[Mapping Status],MATCH($A72,tblLedger[Ledger Record ID],0))="MAPPING_HOLD","Yes","No")</x:f>
        <x:v>No</x:v>
      </x:c>
      <x:c r="K72" t="str">
        <x:f>IF(AND(OR(E72="No",E72="Pending"),IFERROR(INDEX(tblServiceEvents[Financial Scope],MATCH(C72,tblServiceEvents[Event #],0)),"Included")="Included"),"Yes","No")</x:f>
        <x:v>No</x:v>
      </x:c>
      <x:c r="L72" t="str">
        <x:f>IF(AND(E72="Yes",OR(F72="No",F72="Pending")),"Yes","No")</x:f>
        <x:v>No</x:v>
      </x:c>
      <x:c r="M72" t="str">
        <x:f>IF(OR(ABS(N(G72))&gt;0,INDEX(tblLedger[Reconciliation Status],MATCH($A72,tblLedger[Ledger Record ID],0))="BREAKDOWN_MISMATCH",INDEX(tblLedger[Reconciliation Status],MATCH($A72,tblLedger[Ledger Record ID],0))="ACH_MISMATCH"),"Yes","No")</x:f>
        <x:v>No</x:v>
      </x:c>
      <x:c r="N72" t="str">
        <x:f>IF(D72="","Yes","No")</x:f>
        <x:v>No</x:v>
      </x:c>
      <x:c r="O72" t="str">
        <x:f>IF(OR(INDEX(tblLedger[City],MATCH($A72,tblLedger[Ledger Record ID],0))="",INDEX(tblLedger[Jurisdiction],MATCH($A72,tblLedger[Ledger Record ID],0))=""),"Yes","No")</x:f>
        <x:v>No</x:v>
      </x:c>
      <x:c r="P72" t="str">
        <x:f>IF(COUNTIF({"Yes","No","Partial","Pending","Mapping Hold"},E72)=0,"Yes","No")</x:f>
        <x:v>No</x:v>
      </x:c>
      <x:c r="Q72" t="str">
        <x:f>IF(COUNTIF({"Yes","No","Partial","Pending","Mapping Review"},F72)=0,"Yes","No")</x:f>
        <x:v>No</x:v>
      </x:c>
      <x:c r="R72" t="str">
        <x:f>IF(J72="Yes","Mapping Hold",IF(I72="Yes","Missing Event Link",IF(H72="Yes","Duplicate WO",IF(M72="Yes","Revenue Variance",IF(K72="Yes","Missing Breakdown",IF(L72="Yes","Pending ACH",IF(E72="Partial","Partial Breakdown",IF(N72="Yes","Missing Client",IF(O72="Yes","Missing Location",IF(P72="Yes","Unknown Breakdown Status",IF(Q72="Yes","Unknown ACH Status","OK")))))))))))</x:f>
        <x:v>OK</x:v>
      </x:c>
      <x:c r="S72" t="str">
        <x:f>IF(OR(J72="Yes",I72="Yes",H72="Yes"),"Critical",IF(OR(M72="Yes",E72="Partial",N72="Yes",O72="Yes",P72="Yes",Q72="Yes"),"Warning",IF(OR(K72="Yes",L72="Yes"),"Informational","OK")))</x:f>
        <x:v>OK</x:v>
      </x:c>
      <x:c r="T72" t="str">
        <x:f>IF(R72="Mapping Hold","Resolve mapping before update",IF(R72="Missing Event Link","Map to one authoritative event",IF(R72="Duplicate WO","Review duplicate identity",IF(R72="Revenue Variance","Reconcile or dispute amount",IF(R72="Missing Breakdown","Await breakdown",IF(R72="Pending ACH","Await ACH",IF(R72="Partial Breakdown","Confirm remaining breakdown",IF(R72="Missing Client","Add canonical client",IF(R72="Missing Location","Complete location fields",IF(R72="OK","No action","Review invalid status"))))))))))</x:f>
        <x:v>No action</x:v>
      </x:c>
      <x:c r="U72" t="str">
        <x:f>IF(R72="OK","No","Yes")</x:f>
        <x:v>No</x:v>
      </x:c>
      <x:c r="V72" s="24" t="n">
        <x:f>ABS(N(G72))</x:f>
        <x:v>0</x:v>
      </x:c>
    </x:row>
    <x:row r="73">
      <x:c r="A73" t="str">
        <x:v>LED-0043</x:v>
      </x:c>
      <x:c r="B73" t="n">
        <x:f>INDEX(tblLedger[Work Order #],MATCH($A73,tblLedger[Ledger Record ID],0))</x:f>
        <x:v>5902689</x:v>
      </x:c>
      <x:c r="C73" t="n">
        <x:f>INDEX(tblLedger[Event #],MATCH($A73,tblLedger[Ledger Record ID],0))</x:f>
        <x:v>43</x:v>
      </x:c>
      <x:c r="D73" t="str">
        <x:f>INDEX(tblLedger[Client],MATCH($A73,tblLedger[Ledger Record ID],0))</x:f>
        <x:v>Verizon</x:v>
      </x:c>
      <x:c r="E73" t="str">
        <x:f>INDEX(tblLedger[Breakdown Confirmed],MATCH($A73,tblLedger[Ledger Record ID],0))</x:f>
        <x:v>Yes</x:v>
      </x:c>
      <x:c r="F73" t="str">
        <x:f>INDEX(tblLedger[ACH Confirmed],MATCH($A73,tblLedger[Ledger Record ID],0))</x:f>
        <x:v>Yes</x:v>
      </x:c>
      <x:c r="G73" s="24" t="str">
        <x:f>INDEX(tblLedger[Variance],MATCH($A73,tblLedger[Ledger Record ID],0))</x:f>
      </x:c>
      <x:c r="H73" t="str">
        <x:f>IF(COUNTIF(tblLedger[Work Order #],B73)&gt;1,"Yes","No")</x:f>
        <x:v>No</x:v>
      </x:c>
      <x:c r="I73" t="str">
        <x:f>IF(C73="","Yes","No")</x:f>
        <x:v>No</x:v>
      </x:c>
      <x:c r="J73" t="str">
        <x:f>IF(INDEX(tblLedger[Mapping Status],MATCH($A73,tblLedger[Ledger Record ID],0))="MAPPING_HOLD","Yes","No")</x:f>
        <x:v>No</x:v>
      </x:c>
      <x:c r="K73" t="str">
        <x:f>IF(AND(OR(E73="No",E73="Pending"),IFERROR(INDEX(tblServiceEvents[Financial Scope],MATCH(C73,tblServiceEvents[Event #],0)),"Included")="Included"),"Yes","No")</x:f>
        <x:v>No</x:v>
      </x:c>
      <x:c r="L73" t="str">
        <x:f>IF(AND(E73="Yes",OR(F73="No",F73="Pending")),"Yes","No")</x:f>
        <x:v>No</x:v>
      </x:c>
      <x:c r="M73" t="str">
        <x:f>IF(OR(ABS(N(G73))&gt;0,INDEX(tblLedger[Reconciliation Status],MATCH($A73,tblLedger[Ledger Record ID],0))="BREAKDOWN_MISMATCH",INDEX(tblLedger[Reconciliation Status],MATCH($A73,tblLedger[Ledger Record ID],0))="ACH_MISMATCH"),"Yes","No")</x:f>
        <x:v>No</x:v>
      </x:c>
      <x:c r="N73" t="str">
        <x:f>IF(D73="","Yes","No")</x:f>
        <x:v>No</x:v>
      </x:c>
      <x:c r="O73" t="str">
        <x:f>IF(OR(INDEX(tblLedger[City],MATCH($A73,tblLedger[Ledger Record ID],0))="",INDEX(tblLedger[Jurisdiction],MATCH($A73,tblLedger[Ledger Record ID],0))=""),"Yes","No")</x:f>
        <x:v>No</x:v>
      </x:c>
      <x:c r="P73" t="str">
        <x:f>IF(COUNTIF({"Yes","No","Partial","Pending","Mapping Hold"},E73)=0,"Yes","No")</x:f>
        <x:v>No</x:v>
      </x:c>
      <x:c r="Q73" t="str">
        <x:f>IF(COUNTIF({"Yes","No","Partial","Pending","Mapping Review"},F73)=0,"Yes","No")</x:f>
        <x:v>No</x:v>
      </x:c>
      <x:c r="R73" t="str">
        <x:f>IF(J73="Yes","Mapping Hold",IF(I73="Yes","Missing Event Link",IF(H73="Yes","Duplicate WO",IF(M73="Yes","Revenue Variance",IF(K73="Yes","Missing Breakdown",IF(L73="Yes","Pending ACH",IF(E73="Partial","Partial Breakdown",IF(N73="Yes","Missing Client",IF(O73="Yes","Missing Location",IF(P73="Yes","Unknown Breakdown Status",IF(Q73="Yes","Unknown ACH Status","OK")))))))))))</x:f>
        <x:v>OK</x:v>
      </x:c>
      <x:c r="S73" t="str">
        <x:f>IF(OR(J73="Yes",I73="Yes",H73="Yes"),"Critical",IF(OR(M73="Yes",E73="Partial",N73="Yes",O73="Yes",P73="Yes",Q73="Yes"),"Warning",IF(OR(K73="Yes",L73="Yes"),"Informational","OK")))</x:f>
        <x:v>OK</x:v>
      </x:c>
      <x:c r="T73" t="str">
        <x:f>IF(R73="Mapping Hold","Resolve mapping before update",IF(R73="Missing Event Link","Map to one authoritative event",IF(R73="Duplicate WO","Review duplicate identity",IF(R73="Revenue Variance","Reconcile or dispute amount",IF(R73="Missing Breakdown","Await breakdown",IF(R73="Pending ACH","Await ACH",IF(R73="Partial Breakdown","Confirm remaining breakdown",IF(R73="Missing Client","Add canonical client",IF(R73="Missing Location","Complete location fields",IF(R73="OK","No action","Review invalid status"))))))))))</x:f>
        <x:v>No action</x:v>
      </x:c>
      <x:c r="U73" t="str">
        <x:f>IF(R73="OK","No","Yes")</x:f>
        <x:v>No</x:v>
      </x:c>
      <x:c r="V73" s="24" t="n">
        <x:f>ABS(N(G73))</x:f>
        <x:v>0</x:v>
      </x:c>
    </x:row>
    <x:row r="74">
      <x:c r="A74" t="str">
        <x:v>LED-0044</x:v>
      </x:c>
      <x:c r="B74" t="n">
        <x:f>INDEX(tblLedger[Work Order #],MATCH($A74,tblLedger[Ledger Record ID],0))</x:f>
        <x:v>5902930</x:v>
      </x:c>
      <x:c r="C74" t="n">
        <x:f>INDEX(tblLedger[Event #],MATCH($A74,tblLedger[Ledger Record ID],0))</x:f>
        <x:v>44</x:v>
      </x:c>
      <x:c r="D74" t="str">
        <x:f>INDEX(tblLedger[Client],MATCH($A74,tblLedger[Ledger Record ID],0))</x:f>
        <x:v>Marshalls</x:v>
      </x:c>
      <x:c r="E74" t="str">
        <x:f>INDEX(tblLedger[Breakdown Confirmed],MATCH($A74,tblLedger[Ledger Record ID],0))</x:f>
        <x:v>Yes</x:v>
      </x:c>
      <x:c r="F74" t="str">
        <x:f>INDEX(tblLedger[ACH Confirmed],MATCH($A74,tblLedger[Ledger Record ID],0))</x:f>
        <x:v>Yes</x:v>
      </x:c>
      <x:c r="G74" s="24" t="str">
        <x:f>INDEX(tblLedger[Variance],MATCH($A74,tblLedger[Ledger Record ID],0))</x:f>
      </x:c>
      <x:c r="H74" t="str">
        <x:f>IF(COUNTIF(tblLedger[Work Order #],B74)&gt;1,"Yes","No")</x:f>
        <x:v>No</x:v>
      </x:c>
      <x:c r="I74" t="str">
        <x:f>IF(C74="","Yes","No")</x:f>
        <x:v>No</x:v>
      </x:c>
      <x:c r="J74" t="str">
        <x:f>IF(INDEX(tblLedger[Mapping Status],MATCH($A74,tblLedger[Ledger Record ID],0))="MAPPING_HOLD","Yes","No")</x:f>
        <x:v>No</x:v>
      </x:c>
      <x:c r="K74" t="str">
        <x:f>IF(AND(OR(E74="No",E74="Pending"),IFERROR(INDEX(tblServiceEvents[Financial Scope],MATCH(C74,tblServiceEvents[Event #],0)),"Included")="Included"),"Yes","No")</x:f>
        <x:v>No</x:v>
      </x:c>
      <x:c r="L74" t="str">
        <x:f>IF(AND(E74="Yes",OR(F74="No",F74="Pending")),"Yes","No")</x:f>
        <x:v>No</x:v>
      </x:c>
      <x:c r="M74" t="str">
        <x:f>IF(OR(ABS(N(G74))&gt;0,INDEX(tblLedger[Reconciliation Status],MATCH($A74,tblLedger[Ledger Record ID],0))="BREAKDOWN_MISMATCH",INDEX(tblLedger[Reconciliation Status],MATCH($A74,tblLedger[Ledger Record ID],0))="ACH_MISMATCH"),"Yes","No")</x:f>
        <x:v>No</x:v>
      </x:c>
      <x:c r="N74" t="str">
        <x:f>IF(D74="","Yes","No")</x:f>
        <x:v>No</x:v>
      </x:c>
      <x:c r="O74" t="str">
        <x:f>IF(OR(INDEX(tblLedger[City],MATCH($A74,tblLedger[Ledger Record ID],0))="",INDEX(tblLedger[Jurisdiction],MATCH($A74,tblLedger[Ledger Record ID],0))=""),"Yes","No")</x:f>
        <x:v>No</x:v>
      </x:c>
      <x:c r="P74" t="str">
        <x:f>IF(COUNTIF({"Yes","No","Partial","Pending","Mapping Hold"},E74)=0,"Yes","No")</x:f>
        <x:v>No</x:v>
      </x:c>
      <x:c r="Q74" t="str">
        <x:f>IF(COUNTIF({"Yes","No","Partial","Pending","Mapping Review"},F74)=0,"Yes","No")</x:f>
        <x:v>No</x:v>
      </x:c>
      <x:c r="R74" t="str">
        <x:f>IF(J74="Yes","Mapping Hold",IF(I74="Yes","Missing Event Link",IF(H74="Yes","Duplicate WO",IF(M74="Yes","Revenue Variance",IF(K74="Yes","Missing Breakdown",IF(L74="Yes","Pending ACH",IF(E74="Partial","Partial Breakdown",IF(N74="Yes","Missing Client",IF(O74="Yes","Missing Location",IF(P74="Yes","Unknown Breakdown Status",IF(Q74="Yes","Unknown ACH Status","OK")))))))))))</x:f>
        <x:v>OK</x:v>
      </x:c>
      <x:c r="S74" t="str">
        <x:f>IF(OR(J74="Yes",I74="Yes",H74="Yes"),"Critical",IF(OR(M74="Yes",E74="Partial",N74="Yes",O74="Yes",P74="Yes",Q74="Yes"),"Warning",IF(OR(K74="Yes",L74="Yes"),"Informational","OK")))</x:f>
        <x:v>OK</x:v>
      </x:c>
      <x:c r="T74" t="str">
        <x:f>IF(R74="Mapping Hold","Resolve mapping before update",IF(R74="Missing Event Link","Map to one authoritative event",IF(R74="Duplicate WO","Review duplicate identity",IF(R74="Revenue Variance","Reconcile or dispute amount",IF(R74="Missing Breakdown","Await breakdown",IF(R74="Pending ACH","Await ACH",IF(R74="Partial Breakdown","Confirm remaining breakdown",IF(R74="Missing Client","Add canonical client",IF(R74="Missing Location","Complete location fields",IF(R74="OK","No action","Review invalid status"))))))))))</x:f>
        <x:v>No action</x:v>
      </x:c>
      <x:c r="U74" t="str">
        <x:f>IF(R74="OK","No","Yes")</x:f>
        <x:v>No</x:v>
      </x:c>
      <x:c r="V74" s="24" t="n">
        <x:f>ABS(N(G74))</x:f>
        <x:v>0</x:v>
      </x:c>
    </x:row>
    <x:row r="75">
      <x:c r="A75" t="str">
        <x:v>LED-0045</x:v>
      </x:c>
      <x:c r="B75" t="n">
        <x:f>INDEX(tblLedger[Work Order #],MATCH($A75,tblLedger[Ledger Record ID],0))</x:f>
        <x:v>5900963</x:v>
      </x:c>
      <x:c r="C75" t="n">
        <x:f>INDEX(tblLedger[Event #],MATCH($A75,tblLedger[Ledger Record ID],0))</x:f>
        <x:v>45</x:v>
      </x:c>
      <x:c r="D75" t="str">
        <x:f>INDEX(tblLedger[Client],MATCH($A75,tblLedger[Ledger Record ID],0))</x:f>
        <x:v>Montpelier Liquors</x:v>
      </x:c>
      <x:c r="E75" t="str">
        <x:f>INDEX(tblLedger[Breakdown Confirmed],MATCH($A75,tblLedger[Ledger Record ID],0))</x:f>
        <x:v>Yes</x:v>
      </x:c>
      <x:c r="F75" t="str">
        <x:f>INDEX(tblLedger[ACH Confirmed],MATCH($A75,tblLedger[Ledger Record ID],0))</x:f>
        <x:v>Yes</x:v>
      </x:c>
      <x:c r="G75" s="24" t="str">
        <x:f>INDEX(tblLedger[Variance],MATCH($A75,tblLedger[Ledger Record ID],0))</x:f>
      </x:c>
      <x:c r="H75" t="str">
        <x:f>IF(COUNTIF(tblLedger[Work Order #],B75)&gt;1,"Yes","No")</x:f>
        <x:v>No</x:v>
      </x:c>
      <x:c r="I75" t="str">
        <x:f>IF(C75="","Yes","No")</x:f>
        <x:v>No</x:v>
      </x:c>
      <x:c r="J75" t="str">
        <x:f>IF(INDEX(tblLedger[Mapping Status],MATCH($A75,tblLedger[Ledger Record ID],0))="MAPPING_HOLD","Yes","No")</x:f>
        <x:v>No</x:v>
      </x:c>
      <x:c r="K75" t="str">
        <x:f>IF(AND(OR(E75="No",E75="Pending"),IFERROR(INDEX(tblServiceEvents[Financial Scope],MATCH(C75,tblServiceEvents[Event #],0)),"Included")="Included"),"Yes","No")</x:f>
        <x:v>No</x:v>
      </x:c>
      <x:c r="L75" t="str">
        <x:f>IF(AND(E75="Yes",OR(F75="No",F75="Pending")),"Yes","No")</x:f>
        <x:v>No</x:v>
      </x:c>
      <x:c r="M75" t="str">
        <x:f>IF(OR(ABS(N(G75))&gt;0,INDEX(tblLedger[Reconciliation Status],MATCH($A75,tblLedger[Ledger Record ID],0))="BREAKDOWN_MISMATCH",INDEX(tblLedger[Reconciliation Status],MATCH($A75,tblLedger[Ledger Record ID],0))="ACH_MISMATCH"),"Yes","No")</x:f>
        <x:v>No</x:v>
      </x:c>
      <x:c r="N75" t="str">
        <x:f>IF(D75="","Yes","No")</x:f>
        <x:v>No</x:v>
      </x:c>
      <x:c r="O75" t="str">
        <x:f>IF(OR(INDEX(tblLedger[City],MATCH($A75,tblLedger[Ledger Record ID],0))="",INDEX(tblLedger[Jurisdiction],MATCH($A75,tblLedger[Ledger Record ID],0))=""),"Yes","No")</x:f>
        <x:v>No</x:v>
      </x:c>
      <x:c r="P75" t="str">
        <x:f>IF(COUNTIF({"Yes","No","Partial","Pending","Mapping Hold"},E75)=0,"Yes","No")</x:f>
        <x:v>No</x:v>
      </x:c>
      <x:c r="Q75" t="str">
        <x:f>IF(COUNTIF({"Yes","No","Partial","Pending","Mapping Review"},F75)=0,"Yes","No")</x:f>
        <x:v>No</x:v>
      </x:c>
      <x:c r="R75" t="str">
        <x:f>IF(J75="Yes","Mapping Hold",IF(I75="Yes","Missing Event Link",IF(H75="Yes","Duplicate WO",IF(M75="Yes","Revenue Variance",IF(K75="Yes","Missing Breakdown",IF(L75="Yes","Pending ACH",IF(E75="Partial","Partial Breakdown",IF(N75="Yes","Missing Client",IF(O75="Yes","Missing Location",IF(P75="Yes","Unknown Breakdown Status",IF(Q75="Yes","Unknown ACH Status","OK")))))))))))</x:f>
        <x:v>OK</x:v>
      </x:c>
      <x:c r="S75" t="str">
        <x:f>IF(OR(J75="Yes",I75="Yes",H75="Yes"),"Critical",IF(OR(M75="Yes",E75="Partial",N75="Yes",O75="Yes",P75="Yes",Q75="Yes"),"Warning",IF(OR(K75="Yes",L75="Yes"),"Informational","OK")))</x:f>
        <x:v>OK</x:v>
      </x:c>
      <x:c r="T75" t="str">
        <x:f>IF(R75="Mapping Hold","Resolve mapping before update",IF(R75="Missing Event Link","Map to one authoritative event",IF(R75="Duplicate WO","Review duplicate identity",IF(R75="Revenue Variance","Reconcile or dispute amount",IF(R75="Missing Breakdown","Await breakdown",IF(R75="Pending ACH","Await ACH",IF(R75="Partial Breakdown","Confirm remaining breakdown",IF(R75="Missing Client","Add canonical client",IF(R75="Missing Location","Complete location fields",IF(R75="OK","No action","Review invalid status"))))))))))</x:f>
        <x:v>No action</x:v>
      </x:c>
      <x:c r="U75" t="str">
        <x:f>IF(R75="OK","No","Yes")</x:f>
        <x:v>No</x:v>
      </x:c>
      <x:c r="V75" s="24" t="n">
        <x:f>ABS(N(G75))</x:f>
        <x:v>0</x:v>
      </x:c>
    </x:row>
    <x:row r="76">
      <x:c r="A76" t="str">
        <x:v>LED-0046</x:v>
      </x:c>
      <x:c r="B76" t="n">
        <x:f>INDEX(tblLedger[Work Order #],MATCH($A76,tblLedger[Ledger Record ID],0))</x:f>
        <x:v>5904843</x:v>
      </x:c>
      <x:c r="C76" t="n">
        <x:f>INDEX(tblLedger[Event #],MATCH($A76,tblLedger[Ledger Record ID],0))</x:f>
        <x:v>46</x:v>
      </x:c>
      <x:c r="D76" t="str">
        <x:f>INDEX(tblLedger[Client],MATCH($A76,tblLedger[Ledger Record ID],0))</x:f>
        <x:v>Marshalls</x:v>
      </x:c>
      <x:c r="E76" t="str">
        <x:f>INDEX(tblLedger[Breakdown Confirmed],MATCH($A76,tblLedger[Ledger Record ID],0))</x:f>
        <x:v>Yes</x:v>
      </x:c>
      <x:c r="F76" t="str">
        <x:f>INDEX(tblLedger[ACH Confirmed],MATCH($A76,tblLedger[Ledger Record ID],0))</x:f>
        <x:v>Yes</x:v>
      </x:c>
      <x:c r="G76" s="24" t="str">
        <x:f>INDEX(tblLedger[Variance],MATCH($A76,tblLedger[Ledger Record ID],0))</x:f>
      </x:c>
      <x:c r="H76" t="str">
        <x:f>IF(COUNTIF(tblLedger[Work Order #],B76)&gt;1,"Yes","No")</x:f>
        <x:v>No</x:v>
      </x:c>
      <x:c r="I76" t="str">
        <x:f>IF(C76="","Yes","No")</x:f>
        <x:v>No</x:v>
      </x:c>
      <x:c r="J76" t="str">
        <x:f>IF(INDEX(tblLedger[Mapping Status],MATCH($A76,tblLedger[Ledger Record ID],0))="MAPPING_HOLD","Yes","No")</x:f>
        <x:v>No</x:v>
      </x:c>
      <x:c r="K76" t="str">
        <x:f>IF(AND(OR(E76="No",E76="Pending"),IFERROR(INDEX(tblServiceEvents[Financial Scope],MATCH(C76,tblServiceEvents[Event #],0)),"Included")="Included"),"Yes","No")</x:f>
        <x:v>No</x:v>
      </x:c>
      <x:c r="L76" t="str">
        <x:f>IF(AND(E76="Yes",OR(F76="No",F76="Pending")),"Yes","No")</x:f>
        <x:v>No</x:v>
      </x:c>
      <x:c r="M76" t="str">
        <x:f>IF(OR(ABS(N(G76))&gt;0,INDEX(tblLedger[Reconciliation Status],MATCH($A76,tblLedger[Ledger Record ID],0))="BREAKDOWN_MISMATCH",INDEX(tblLedger[Reconciliation Status],MATCH($A76,tblLedger[Ledger Record ID],0))="ACH_MISMATCH"),"Yes","No")</x:f>
        <x:v>No</x:v>
      </x:c>
      <x:c r="N76" t="str">
        <x:f>IF(D76="","Yes","No")</x:f>
        <x:v>No</x:v>
      </x:c>
      <x:c r="O76" t="str">
        <x:f>IF(OR(INDEX(tblLedger[City],MATCH($A76,tblLedger[Ledger Record ID],0))="",INDEX(tblLedger[Jurisdiction],MATCH($A76,tblLedger[Ledger Record ID],0))=""),"Yes","No")</x:f>
        <x:v>No</x:v>
      </x:c>
      <x:c r="P76" t="str">
        <x:f>IF(COUNTIF({"Yes","No","Partial","Pending","Mapping Hold"},E76)=0,"Yes","No")</x:f>
        <x:v>No</x:v>
      </x:c>
      <x:c r="Q76" t="str">
        <x:f>IF(COUNTIF({"Yes","No","Partial","Pending","Mapping Review"},F76)=0,"Yes","No")</x:f>
        <x:v>No</x:v>
      </x:c>
      <x:c r="R76" t="str">
        <x:f>IF(J76="Yes","Mapping Hold",IF(I76="Yes","Missing Event Link",IF(H76="Yes","Duplicate WO",IF(M76="Yes","Revenue Variance",IF(K76="Yes","Missing Breakdown",IF(L76="Yes","Pending ACH",IF(E76="Partial","Partial Breakdown",IF(N76="Yes","Missing Client",IF(O76="Yes","Missing Location",IF(P76="Yes","Unknown Breakdown Status",IF(Q76="Yes","Unknown ACH Status","OK")))))))))))</x:f>
        <x:v>OK</x:v>
      </x:c>
      <x:c r="S76" t="str">
        <x:f>IF(OR(J76="Yes",I76="Yes",H76="Yes"),"Critical",IF(OR(M76="Yes",E76="Partial",N76="Yes",O76="Yes",P76="Yes",Q76="Yes"),"Warning",IF(OR(K76="Yes",L76="Yes"),"Informational","OK")))</x:f>
        <x:v>OK</x:v>
      </x:c>
      <x:c r="T76" t="str">
        <x:f>IF(R76="Mapping Hold","Resolve mapping before update",IF(R76="Missing Event Link","Map to one authoritative event",IF(R76="Duplicate WO","Review duplicate identity",IF(R76="Revenue Variance","Reconcile or dispute amount",IF(R76="Missing Breakdown","Await breakdown",IF(R76="Pending ACH","Await ACH",IF(R76="Partial Breakdown","Confirm remaining breakdown",IF(R76="Missing Client","Add canonical client",IF(R76="Missing Location","Complete location fields",IF(R76="OK","No action","Review invalid status"))))))))))</x:f>
        <x:v>No action</x:v>
      </x:c>
      <x:c r="U76" t="str">
        <x:f>IF(R76="OK","No","Yes")</x:f>
        <x:v>No</x:v>
      </x:c>
      <x:c r="V76" s="24" t="n">
        <x:f>ABS(N(G76))</x:f>
        <x:v>0</x:v>
      </x:c>
    </x:row>
    <x:row r="77">
      <x:c r="A77" t="str">
        <x:v>LED-0047</x:v>
      </x:c>
      <x:c r="B77" t="n">
        <x:f>INDEX(tblLedger[Work Order #],MATCH($A77,tblLedger[Ledger Record ID],0))</x:f>
        <x:v>5898644</x:v>
      </x:c>
      <x:c r="C77" t="n">
        <x:f>INDEX(tblLedger[Event #],MATCH($A77,tblLedger[Ledger Record ID],0))</x:f>
        <x:v>47</x:v>
      </x:c>
      <x:c r="D77" t="str">
        <x:f>INDEX(tblLedger[Client],MATCH($A77,tblLedger[Ledger Record ID],0))</x:f>
        <x:v>Office of MD Senator Angela Alsobrooks</x:v>
      </x:c>
      <x:c r="E77" t="str">
        <x:f>INDEX(tblLedger[Breakdown Confirmed],MATCH($A77,tblLedger[Ledger Record ID],0))</x:f>
        <x:v>Yes</x:v>
      </x:c>
      <x:c r="F77" t="str">
        <x:f>INDEX(tblLedger[ACH Confirmed],MATCH($A77,tblLedger[Ledger Record ID],0))</x:f>
        <x:v>Yes</x:v>
      </x:c>
      <x:c r="G77" s="24" t="str">
        <x:f>INDEX(tblLedger[Variance],MATCH($A77,tblLedger[Ledger Record ID],0))</x:f>
      </x:c>
      <x:c r="H77" t="str">
        <x:f>IF(COUNTIF(tblLedger[Work Order #],B77)&gt;1,"Yes","No")</x:f>
        <x:v>No</x:v>
      </x:c>
      <x:c r="I77" t="str">
        <x:f>IF(C77="","Yes","No")</x:f>
        <x:v>No</x:v>
      </x:c>
      <x:c r="J77" t="str">
        <x:f>IF(INDEX(tblLedger[Mapping Status],MATCH($A77,tblLedger[Ledger Record ID],0))="MAPPING_HOLD","Yes","No")</x:f>
        <x:v>No</x:v>
      </x:c>
      <x:c r="K77" t="str">
        <x:f>IF(AND(OR(E77="No",E77="Pending"),IFERROR(INDEX(tblServiceEvents[Financial Scope],MATCH(C77,tblServiceEvents[Event #],0)),"Included")="Included"),"Yes","No")</x:f>
        <x:v>No</x:v>
      </x:c>
      <x:c r="L77" t="str">
        <x:f>IF(AND(E77="Yes",OR(F77="No",F77="Pending")),"Yes","No")</x:f>
        <x:v>No</x:v>
      </x:c>
      <x:c r="M77" t="str">
        <x:f>IF(OR(ABS(N(G77))&gt;0,INDEX(tblLedger[Reconciliation Status],MATCH($A77,tblLedger[Ledger Record ID],0))="BREAKDOWN_MISMATCH",INDEX(tblLedger[Reconciliation Status],MATCH($A77,tblLedger[Ledger Record ID],0))="ACH_MISMATCH"),"Yes","No")</x:f>
        <x:v>No</x:v>
      </x:c>
      <x:c r="N77" t="str">
        <x:f>IF(D77="","Yes","No")</x:f>
        <x:v>No</x:v>
      </x:c>
      <x:c r="O77" t="str">
        <x:f>IF(OR(INDEX(tblLedger[City],MATCH($A77,tblLedger[Ledger Record ID],0))="",INDEX(tblLedger[Jurisdiction],MATCH($A77,tblLedger[Ledger Record ID],0))=""),"Yes","No")</x:f>
        <x:v>No</x:v>
      </x:c>
      <x:c r="P77" t="str">
        <x:f>IF(COUNTIF({"Yes","No","Partial","Pending","Mapping Hold"},E77)=0,"Yes","No")</x:f>
        <x:v>No</x:v>
      </x:c>
      <x:c r="Q77" t="str">
        <x:f>IF(COUNTIF({"Yes","No","Partial","Pending","Mapping Review"},F77)=0,"Yes","No")</x:f>
        <x:v>No</x:v>
      </x:c>
      <x:c r="R77" t="str">
        <x:f>IF(J77="Yes","Mapping Hold",IF(I77="Yes","Missing Event Link",IF(H77="Yes","Duplicate WO",IF(M77="Yes","Revenue Variance",IF(K77="Yes","Missing Breakdown",IF(L77="Yes","Pending ACH",IF(E77="Partial","Partial Breakdown",IF(N77="Yes","Missing Client",IF(O77="Yes","Missing Location",IF(P77="Yes","Unknown Breakdown Status",IF(Q77="Yes","Unknown ACH Status","OK")))))))))))</x:f>
        <x:v>OK</x:v>
      </x:c>
      <x:c r="S77" t="str">
        <x:f>IF(OR(J77="Yes",I77="Yes",H77="Yes"),"Critical",IF(OR(M77="Yes",E77="Partial",N77="Yes",O77="Yes",P77="Yes",Q77="Yes"),"Warning",IF(OR(K77="Yes",L77="Yes"),"Informational","OK")))</x:f>
        <x:v>OK</x:v>
      </x:c>
      <x:c r="T77" t="str">
        <x:f>IF(R77="Mapping Hold","Resolve mapping before update",IF(R77="Missing Event Link","Map to one authoritative event",IF(R77="Duplicate WO","Review duplicate identity",IF(R77="Revenue Variance","Reconcile or dispute amount",IF(R77="Missing Breakdown","Await breakdown",IF(R77="Pending ACH","Await ACH",IF(R77="Partial Breakdown","Confirm remaining breakdown",IF(R77="Missing Client","Add canonical client",IF(R77="Missing Location","Complete location fields",IF(R77="OK","No action","Review invalid status"))))))))))</x:f>
        <x:v>No action</x:v>
      </x:c>
      <x:c r="U77" t="str">
        <x:f>IF(R77="OK","No","Yes")</x:f>
        <x:v>No</x:v>
      </x:c>
      <x:c r="V77" s="24" t="n">
        <x:f>ABS(N(G77))</x:f>
        <x:v>0</x:v>
      </x:c>
    </x:row>
    <x:row r="78">
      <x:c r="A78" t="str">
        <x:v>LED-0048</x:v>
      </x:c>
      <x:c r="B78" t="n">
        <x:f>INDEX(tblLedger[Work Order #],MATCH($A78,tblLedger[Ledger Record ID],0))</x:f>
        <x:v>5905576</x:v>
      </x:c>
      <x:c r="C78" t="n">
        <x:f>INDEX(tblLedger[Event #],MATCH($A78,tblLedger[Ledger Record ID],0))</x:f>
        <x:v>48</x:v>
      </x:c>
      <x:c r="D78" t="str">
        <x:f>INDEX(tblLedger[Client],MATCH($A78,tblLedger[Ledger Record ID],0))</x:f>
        <x:v>Hebrew Home of Greater Washington</x:v>
      </x:c>
      <x:c r="E78" t="str">
        <x:f>INDEX(tblLedger[Breakdown Confirmed],MATCH($A78,tblLedger[Ledger Record ID],0))</x:f>
        <x:v>Yes</x:v>
      </x:c>
      <x:c r="F78" t="str">
        <x:f>INDEX(tblLedger[ACH Confirmed],MATCH($A78,tblLedger[Ledger Record ID],0))</x:f>
        <x:v>Mapping Review</x:v>
      </x:c>
      <x:c r="G78" s="24" t="str">
        <x:f>INDEX(tblLedger[Variance],MATCH($A78,tblLedger[Ledger Record ID],0))</x:f>
      </x:c>
      <x:c r="H78" t="str">
        <x:f>IF(COUNTIF(tblLedger[Work Order #],B78)&gt;1,"Yes","No")</x:f>
        <x:v>No</x:v>
      </x:c>
      <x:c r="I78" t="str">
        <x:f>IF(C78="","Yes","No")</x:f>
        <x:v>No</x:v>
      </x:c>
      <x:c r="J78" t="str">
        <x:f>IF(INDEX(tblLedger[Mapping Status],MATCH($A78,tblLedger[Ledger Record ID],0))="MAPPING_HOLD","Yes","No")</x:f>
        <x:v>No</x:v>
      </x:c>
      <x:c r="K78" t="str">
        <x:f>IF(AND(OR(E78="No",E78="Pending"),IFERROR(INDEX(tblServiceEvents[Financial Scope],MATCH(C78,tblServiceEvents[Event #],0)),"Included")="Included"),"Yes","No")</x:f>
        <x:v>No</x:v>
      </x:c>
      <x:c r="L78" t="str">
        <x:f>IF(AND(E78="Yes",OR(F78="No",F78="Pending")),"Yes","No")</x:f>
        <x:v>No</x:v>
      </x:c>
      <x:c r="M78" t="str">
        <x:f>IF(OR(ABS(N(G78))&gt;0,INDEX(tblLedger[Reconciliation Status],MATCH($A78,tblLedger[Ledger Record ID],0))="BREAKDOWN_MISMATCH",INDEX(tblLedger[Reconciliation Status],MATCH($A78,tblLedger[Ledger Record ID],0))="ACH_MISMATCH"),"Yes","No")</x:f>
        <x:v>No</x:v>
      </x:c>
      <x:c r="N78" t="str">
        <x:f>IF(D78="","Yes","No")</x:f>
        <x:v>No</x:v>
      </x:c>
      <x:c r="O78" t="str">
        <x:f>IF(OR(INDEX(tblLedger[City],MATCH($A78,tblLedger[Ledger Record ID],0))="",INDEX(tblLedger[Jurisdiction],MATCH($A78,tblLedger[Ledger Record ID],0))=""),"Yes","No")</x:f>
        <x:v>No</x:v>
      </x:c>
      <x:c r="P78" t="str">
        <x:f>IF(COUNTIF({"Yes","No","Partial","Pending","Mapping Hold"},E78)=0,"Yes","No")</x:f>
        <x:v>No</x:v>
      </x:c>
      <x:c r="Q78" t="str">
        <x:f>IF(COUNTIF({"Yes","No","Partial","Pending","Mapping Review"},F78)=0,"Yes","No")</x:f>
        <x:v>No</x:v>
      </x:c>
      <x:c r="R78" t="str">
        <x:f>IF(J78="Yes","Mapping Hold",IF(I78="Yes","Missing Event Link",IF(H78="Yes","Duplicate WO",IF(M78="Yes","Revenue Variance",IF(K78="Yes","Missing Breakdown",IF(L78="Yes","Pending ACH",IF(E78="Partial","Partial Breakdown",IF(N78="Yes","Missing Client",IF(O78="Yes","Missing Location",IF(P78="Yes","Unknown Breakdown Status",IF(Q78="Yes","Unknown ACH Status","OK")))))))))))</x:f>
        <x:v>OK</x:v>
      </x:c>
      <x:c r="S78" t="str">
        <x:f>IF(OR(J78="Yes",I78="Yes",H78="Yes"),"Critical",IF(OR(M78="Yes",E78="Partial",N78="Yes",O78="Yes",P78="Yes",Q78="Yes"),"Warning",IF(OR(K78="Yes",L78="Yes"),"Informational","OK")))</x:f>
        <x:v>OK</x:v>
      </x:c>
      <x:c r="T78" t="str">
        <x:f>IF(R78="Mapping Hold","Resolve mapping before update",IF(R78="Missing Event Link","Map to one authoritative event",IF(R78="Duplicate WO","Review duplicate identity",IF(R78="Revenue Variance","Reconcile or dispute amount",IF(R78="Missing Breakdown","Await breakdown",IF(R78="Pending ACH","Await ACH",IF(R78="Partial Breakdown","Confirm remaining breakdown",IF(R78="Missing Client","Add canonical client",IF(R78="Missing Location","Complete location fields",IF(R78="OK","No action","Review invalid status"))))))))))</x:f>
        <x:v>No action</x:v>
      </x:c>
      <x:c r="U78" t="str">
        <x:f>IF(R78="OK","No","Yes")</x:f>
        <x:v>No</x:v>
      </x:c>
      <x:c r="V78" s="24" t="n">
        <x:f>ABS(N(G78))</x:f>
        <x:v>0</x:v>
      </x:c>
    </x:row>
    <x:row r="79">
      <x:c r="A79" t="str">
        <x:v>LED-0049</x:v>
      </x:c>
      <x:c r="B79" t="n">
        <x:f>INDEX(tblLedger[Work Order #],MATCH($A79,tblLedger[Ledger Record ID],0))</x:f>
        <x:v>5899546</x:v>
      </x:c>
      <x:c r="C79" t="n">
        <x:f>INDEX(tblLedger[Event #],MATCH($A79,tblLedger[Ledger Record ID],0))</x:f>
        <x:v>49</x:v>
      </x:c>
      <x:c r="D79" t="str">
        <x:f>INDEX(tblLedger[Client],MATCH($A79,tblLedger[Ledger Record ID],0))</x:f>
        <x:v>Weis Markets</x:v>
      </x:c>
      <x:c r="E79" t="str">
        <x:f>INDEX(tblLedger[Breakdown Confirmed],MATCH($A79,tblLedger[Ledger Record ID],0))</x:f>
        <x:v>Yes</x:v>
      </x:c>
      <x:c r="F79" t="str">
        <x:f>INDEX(tblLedger[ACH Confirmed],MATCH($A79,tblLedger[Ledger Record ID],0))</x:f>
        <x:v>Yes</x:v>
      </x:c>
      <x:c r="G79" s="24" t="str">
        <x:f>INDEX(tblLedger[Variance],MATCH($A79,tblLedger[Ledger Record ID],0))</x:f>
      </x:c>
      <x:c r="H79" t="str">
        <x:f>IF(COUNTIF(tblLedger[Work Order #],B79)&gt;1,"Yes","No")</x:f>
        <x:v>No</x:v>
      </x:c>
      <x:c r="I79" t="str">
        <x:f>IF(C79="","Yes","No")</x:f>
        <x:v>No</x:v>
      </x:c>
      <x:c r="J79" t="str">
        <x:f>IF(INDEX(tblLedger[Mapping Status],MATCH($A79,tblLedger[Ledger Record ID],0))="MAPPING_HOLD","Yes","No")</x:f>
        <x:v>No</x:v>
      </x:c>
      <x:c r="K79" t="str">
        <x:f>IF(AND(OR(E79="No",E79="Pending"),IFERROR(INDEX(tblServiceEvents[Financial Scope],MATCH(C79,tblServiceEvents[Event #],0)),"Included")="Included"),"Yes","No")</x:f>
        <x:v>No</x:v>
      </x:c>
      <x:c r="L79" t="str">
        <x:f>IF(AND(E79="Yes",OR(F79="No",F79="Pending")),"Yes","No")</x:f>
        <x:v>No</x:v>
      </x:c>
      <x:c r="M79" t="str">
        <x:f>IF(OR(ABS(N(G79))&gt;0,INDEX(tblLedger[Reconciliation Status],MATCH($A79,tblLedger[Ledger Record ID],0))="BREAKDOWN_MISMATCH",INDEX(tblLedger[Reconciliation Status],MATCH($A79,tblLedger[Ledger Record ID],0))="ACH_MISMATCH"),"Yes","No")</x:f>
        <x:v>No</x:v>
      </x:c>
      <x:c r="N79" t="str">
        <x:f>IF(D79="","Yes","No")</x:f>
        <x:v>No</x:v>
      </x:c>
      <x:c r="O79" t="str">
        <x:f>IF(OR(INDEX(tblLedger[City],MATCH($A79,tblLedger[Ledger Record ID],0))="",INDEX(tblLedger[Jurisdiction],MATCH($A79,tblLedger[Ledger Record ID],0))=""),"Yes","No")</x:f>
        <x:v>No</x:v>
      </x:c>
      <x:c r="P79" t="str">
        <x:f>IF(COUNTIF({"Yes","No","Partial","Pending","Mapping Hold"},E79)=0,"Yes","No")</x:f>
        <x:v>No</x:v>
      </x:c>
      <x:c r="Q79" t="str">
        <x:f>IF(COUNTIF({"Yes","No","Partial","Pending","Mapping Review"},F79)=0,"Yes","No")</x:f>
        <x:v>No</x:v>
      </x:c>
      <x:c r="R79" t="str">
        <x:f>IF(J79="Yes","Mapping Hold",IF(I79="Yes","Missing Event Link",IF(H79="Yes","Duplicate WO",IF(M79="Yes","Revenue Variance",IF(K79="Yes","Missing Breakdown",IF(L79="Yes","Pending ACH",IF(E79="Partial","Partial Breakdown",IF(N79="Yes","Missing Client",IF(O79="Yes","Missing Location",IF(P79="Yes","Unknown Breakdown Status",IF(Q79="Yes","Unknown ACH Status","OK")))))))))))</x:f>
        <x:v>OK</x:v>
      </x:c>
      <x:c r="S79" t="str">
        <x:f>IF(OR(J79="Yes",I79="Yes",H79="Yes"),"Critical",IF(OR(M79="Yes",E79="Partial",N79="Yes",O79="Yes",P79="Yes",Q79="Yes"),"Warning",IF(OR(K79="Yes",L79="Yes"),"Informational","OK")))</x:f>
        <x:v>OK</x:v>
      </x:c>
      <x:c r="T79" t="str">
        <x:f>IF(R79="Mapping Hold","Resolve mapping before update",IF(R79="Missing Event Link","Map to one authoritative event",IF(R79="Duplicate WO","Review duplicate identity",IF(R79="Revenue Variance","Reconcile or dispute amount",IF(R79="Missing Breakdown","Await breakdown",IF(R79="Pending ACH","Await ACH",IF(R79="Partial Breakdown","Confirm remaining breakdown",IF(R79="Missing Client","Add canonical client",IF(R79="Missing Location","Complete location fields",IF(R79="OK","No action","Review invalid status"))))))))))</x:f>
        <x:v>No action</x:v>
      </x:c>
      <x:c r="U79" t="str">
        <x:f>IF(R79="OK","No","Yes")</x:f>
        <x:v>No</x:v>
      </x:c>
      <x:c r="V79" s="24" t="n">
        <x:f>ABS(N(G79))</x:f>
        <x:v>0</x:v>
      </x:c>
    </x:row>
    <x:row r="80">
      <x:c r="A80" t="str">
        <x:v>LED-0050</x:v>
      </x:c>
      <x:c r="B80" t="n">
        <x:f>INDEX(tblLedger[Work Order #],MATCH($A80,tblLedger[Ledger Record ID],0))</x:f>
        <x:v>5903036</x:v>
      </x:c>
      <x:c r="C80" t="n">
        <x:f>INDEX(tblLedger[Event #],MATCH($A80,tblLedger[Ledger Record ID],0))</x:f>
        <x:v>50</x:v>
      </x:c>
      <x:c r="D80" t="str">
        <x:f>INDEX(tblLedger[Client],MATCH($A80,tblLedger[Ledger Record ID],0))</x:f>
        <x:v>Giant Food Stores</x:v>
      </x:c>
      <x:c r="E80" t="str">
        <x:f>INDEX(tblLedger[Breakdown Confirmed],MATCH($A80,tblLedger[Ledger Record ID],0))</x:f>
        <x:v>Yes</x:v>
      </x:c>
      <x:c r="F80" t="str">
        <x:f>INDEX(tblLedger[ACH Confirmed],MATCH($A80,tblLedger[Ledger Record ID],0))</x:f>
        <x:v>Yes</x:v>
      </x:c>
      <x:c r="G80" s="24" t="str">
        <x:f>INDEX(tblLedger[Variance],MATCH($A80,tblLedger[Ledger Record ID],0))</x:f>
      </x:c>
      <x:c r="H80" t="str">
        <x:f>IF(COUNTIF(tblLedger[Work Order #],B80)&gt;1,"Yes","No")</x:f>
        <x:v>No</x:v>
      </x:c>
      <x:c r="I80" t="str">
        <x:f>IF(C80="","Yes","No")</x:f>
        <x:v>No</x:v>
      </x:c>
      <x:c r="J80" t="str">
        <x:f>IF(INDEX(tblLedger[Mapping Status],MATCH($A80,tblLedger[Ledger Record ID],0))="MAPPING_HOLD","Yes","No")</x:f>
        <x:v>No</x:v>
      </x:c>
      <x:c r="K80" t="str">
        <x:f>IF(AND(OR(E80="No",E80="Pending"),IFERROR(INDEX(tblServiceEvents[Financial Scope],MATCH(C80,tblServiceEvents[Event #],0)),"Included")="Included"),"Yes","No")</x:f>
        <x:v>No</x:v>
      </x:c>
      <x:c r="L80" t="str">
        <x:f>IF(AND(E80="Yes",OR(F80="No",F80="Pending")),"Yes","No")</x:f>
        <x:v>No</x:v>
      </x:c>
      <x:c r="M80" t="str">
        <x:f>IF(OR(ABS(N(G80))&gt;0,INDEX(tblLedger[Reconciliation Status],MATCH($A80,tblLedger[Ledger Record ID],0))="BREAKDOWN_MISMATCH",INDEX(tblLedger[Reconciliation Status],MATCH($A80,tblLedger[Ledger Record ID],0))="ACH_MISMATCH"),"Yes","No")</x:f>
        <x:v>No</x:v>
      </x:c>
      <x:c r="N80" t="str">
        <x:f>IF(D80="","Yes","No")</x:f>
        <x:v>No</x:v>
      </x:c>
      <x:c r="O80" t="str">
        <x:f>IF(OR(INDEX(tblLedger[City],MATCH($A80,tblLedger[Ledger Record ID],0))="",INDEX(tblLedger[Jurisdiction],MATCH($A80,tblLedger[Ledger Record ID],0))=""),"Yes","No")</x:f>
        <x:v>No</x:v>
      </x:c>
      <x:c r="P80" t="str">
        <x:f>IF(COUNTIF({"Yes","No","Partial","Pending","Mapping Hold"},E80)=0,"Yes","No")</x:f>
        <x:v>No</x:v>
      </x:c>
      <x:c r="Q80" t="str">
        <x:f>IF(COUNTIF({"Yes","No","Partial","Pending","Mapping Review"},F80)=0,"Yes","No")</x:f>
        <x:v>No</x:v>
      </x:c>
      <x:c r="R80" t="str">
        <x:f>IF(J80="Yes","Mapping Hold",IF(I80="Yes","Missing Event Link",IF(H80="Yes","Duplicate WO",IF(M80="Yes","Revenue Variance",IF(K80="Yes","Missing Breakdown",IF(L80="Yes","Pending ACH",IF(E80="Partial","Partial Breakdown",IF(N80="Yes","Missing Client",IF(O80="Yes","Missing Location",IF(P80="Yes","Unknown Breakdown Status",IF(Q80="Yes","Unknown ACH Status","OK")))))))))))</x:f>
        <x:v>OK</x:v>
      </x:c>
      <x:c r="S80" t="str">
        <x:f>IF(OR(J80="Yes",I80="Yes",H80="Yes"),"Critical",IF(OR(M80="Yes",E80="Partial",N80="Yes",O80="Yes",P80="Yes",Q80="Yes"),"Warning",IF(OR(K80="Yes",L80="Yes"),"Informational","OK")))</x:f>
        <x:v>OK</x:v>
      </x:c>
      <x:c r="T80" t="str">
        <x:f>IF(R80="Mapping Hold","Resolve mapping before update",IF(R80="Missing Event Link","Map to one authoritative event",IF(R80="Duplicate WO","Review duplicate identity",IF(R80="Revenue Variance","Reconcile or dispute amount",IF(R80="Missing Breakdown","Await breakdown",IF(R80="Pending ACH","Await ACH",IF(R80="Partial Breakdown","Confirm remaining breakdown",IF(R80="Missing Client","Add canonical client",IF(R80="Missing Location","Complete location fields",IF(R80="OK","No action","Review invalid status"))))))))))</x:f>
        <x:v>No action</x:v>
      </x:c>
      <x:c r="U80" t="str">
        <x:f>IF(R80="OK","No","Yes")</x:f>
        <x:v>No</x:v>
      </x:c>
      <x:c r="V80" s="24" t="n">
        <x:f>ABS(N(G80))</x:f>
        <x:v>0</x:v>
      </x:c>
    </x:row>
    <x:row r="81">
      <x:c r="A81" t="str">
        <x:v>LED-0051</x:v>
      </x:c>
      <x:c r="B81" t="n">
        <x:f>INDEX(tblLedger[Work Order #],MATCH($A81,tblLedger[Ledger Record ID],0))</x:f>
        <x:v>5906380</x:v>
      </x:c>
      <x:c r="C81" t="n">
        <x:f>INDEX(tblLedger[Event #],MATCH($A81,tblLedger[Ledger Record ID],0))</x:f>
        <x:v>52</x:v>
      </x:c>
      <x:c r="D81" t="str">
        <x:f>INDEX(tblLedger[Client],MATCH($A81,tblLedger[Ledger Record ID],0))</x:f>
        <x:v>Food Lion</x:v>
      </x:c>
      <x:c r="E81" t="str">
        <x:f>INDEX(tblLedger[Breakdown Confirmed],MATCH($A81,tblLedger[Ledger Record ID],0))</x:f>
        <x:v>Yes</x:v>
      </x:c>
      <x:c r="F81" t="str">
        <x:f>INDEX(tblLedger[ACH Confirmed],MATCH($A81,tblLedger[Ledger Record ID],0))</x:f>
        <x:v>No</x:v>
      </x:c>
      <x:c r="G81" s="24" t="str">
        <x:f>INDEX(tblLedger[Variance],MATCH($A81,tblLedger[Ledger Record ID],0))</x:f>
      </x:c>
      <x:c r="H81" t="str">
        <x:f>IF(COUNTIF(tblLedger[Work Order #],B81)&gt;1,"Yes","No")</x:f>
        <x:v>No</x:v>
      </x:c>
      <x:c r="I81" t="str">
        <x:f>IF(C81="","Yes","No")</x:f>
        <x:v>No</x:v>
      </x:c>
      <x:c r="J81" t="str">
        <x:f>IF(INDEX(tblLedger[Mapping Status],MATCH($A81,tblLedger[Ledger Record ID],0))="MAPPING_HOLD","Yes","No")</x:f>
        <x:v>No</x:v>
      </x:c>
      <x:c r="K81" t="str">
        <x:f>IF(AND(OR(E81="No",E81="Pending"),IFERROR(INDEX(tblServiceEvents[Financial Scope],MATCH(C81,tblServiceEvents[Event #],0)),"Included")="Included"),"Yes","No")</x:f>
        <x:v>No</x:v>
      </x:c>
      <x:c r="L81" t="str">
        <x:f>IF(AND(E81="Yes",OR(F81="No",F81="Pending")),"Yes","No")</x:f>
        <x:v>Yes</x:v>
      </x:c>
      <x:c r="M81" t="str">
        <x:f>IF(OR(ABS(N(G81))&gt;0,INDEX(tblLedger[Reconciliation Status],MATCH($A81,tblLedger[Ledger Record ID],0))="BREAKDOWN_MISMATCH",INDEX(tblLedger[Reconciliation Status],MATCH($A81,tblLedger[Ledger Record ID],0))="ACH_MISMATCH"),"Yes","No")</x:f>
        <x:v>No</x:v>
      </x:c>
      <x:c r="N81" t="str">
        <x:f>IF(D81="","Yes","No")</x:f>
        <x:v>No</x:v>
      </x:c>
      <x:c r="O81" t="str">
        <x:f>IF(OR(INDEX(tblLedger[City],MATCH($A81,tblLedger[Ledger Record ID],0))="",INDEX(tblLedger[Jurisdiction],MATCH($A81,tblLedger[Ledger Record ID],0))=""),"Yes","No")</x:f>
        <x:v>No</x:v>
      </x:c>
      <x:c r="P81" t="str">
        <x:f>IF(COUNTIF({"Yes","No","Partial","Pending","Mapping Hold"},E81)=0,"Yes","No")</x:f>
        <x:v>No</x:v>
      </x:c>
      <x:c r="Q81" t="str">
        <x:f>IF(COUNTIF({"Yes","No","Partial","Pending","Mapping Review"},F81)=0,"Yes","No")</x:f>
        <x:v>No</x:v>
      </x:c>
      <x:c r="R81" t="str">
        <x:f>IF(J81="Yes","Mapping Hold",IF(I81="Yes","Missing Event Link",IF(H81="Yes","Duplicate WO",IF(M81="Yes","Revenue Variance",IF(K81="Yes","Missing Breakdown",IF(L81="Yes","Pending ACH",IF(E81="Partial","Partial Breakdown",IF(N81="Yes","Missing Client",IF(O81="Yes","Missing Location",IF(P81="Yes","Unknown Breakdown Status",IF(Q81="Yes","Unknown ACH Status","OK")))))))))))</x:f>
        <x:v>Pending ACH</x:v>
      </x:c>
      <x:c r="S81" t="str">
        <x:f>IF(OR(J81="Yes",I81="Yes",H81="Yes"),"Critical",IF(OR(M81="Yes",E81="Partial",N81="Yes",O81="Yes",P81="Yes",Q81="Yes"),"Warning",IF(OR(K81="Yes",L81="Yes"),"Informational","OK")))</x:f>
        <x:v>Informational</x:v>
      </x:c>
      <x:c r="T81" t="str">
        <x:f>IF(R81="Mapping Hold","Resolve mapping before update",IF(R81="Missing Event Link","Map to one authoritative event",IF(R81="Duplicate WO","Review duplicate identity",IF(R81="Revenue Variance","Reconcile or dispute amount",IF(R81="Missing Breakdown","Await breakdown",IF(R81="Pending ACH","Await ACH",IF(R81="Partial Breakdown","Confirm remaining breakdown",IF(R81="Missing Client","Add canonical client",IF(R81="Missing Location","Complete location fields",IF(R81="OK","No action","Review invalid status"))))))))))</x:f>
        <x:v>Await ACH</x:v>
      </x:c>
      <x:c r="U81" t="str">
        <x:f>IF(R81="OK","No","Yes")</x:f>
        <x:v>Yes</x:v>
      </x:c>
      <x:c r="V81" s="24" t="n">
        <x:f>ABS(N(G81))</x:f>
        <x:v>0</x:v>
      </x:c>
    </x:row>
    <x:row r="82">
      <x:c r="A82" t="str">
        <x:v>LED-0052</x:v>
      </x:c>
      <x:c r="B82" t="n">
        <x:f>INDEX(tblLedger[Work Order #],MATCH($A82,tblLedger[Ledger Record ID],0))</x:f>
        <x:v>5907571</x:v>
      </x:c>
      <x:c r="C82" t="n">
        <x:f>INDEX(tblLedger[Event #],MATCH($A82,tblLedger[Ledger Record ID],0))</x:f>
        <x:v>53</x:v>
      </x:c>
      <x:c r="D82" t="str">
        <x:f>INDEX(tblLedger[Client],MATCH($A82,tblLedger[Ledger Record ID],0))</x:f>
        <x:v>Hilton Garden Inn</x:v>
      </x:c>
      <x:c r="E82" t="str">
        <x:f>INDEX(tblLedger[Breakdown Confirmed],MATCH($A82,tblLedger[Ledger Record ID],0))</x:f>
        <x:v>Yes</x:v>
      </x:c>
      <x:c r="F82" t="str">
        <x:f>INDEX(tblLedger[ACH Confirmed],MATCH($A82,tblLedger[Ledger Record ID],0))</x:f>
        <x:v>Yes</x:v>
      </x:c>
      <x:c r="G82" s="24" t="str">
        <x:f>INDEX(tblLedger[Variance],MATCH($A82,tblLedger[Ledger Record ID],0))</x:f>
      </x:c>
      <x:c r="H82" t="str">
        <x:f>IF(COUNTIF(tblLedger[Work Order #],B82)&gt;1,"Yes","No")</x:f>
        <x:v>No</x:v>
      </x:c>
      <x:c r="I82" t="str">
        <x:f>IF(C82="","Yes","No")</x:f>
        <x:v>No</x:v>
      </x:c>
      <x:c r="J82" t="str">
        <x:f>IF(INDEX(tblLedger[Mapping Status],MATCH($A82,tblLedger[Ledger Record ID],0))="MAPPING_HOLD","Yes","No")</x:f>
        <x:v>No</x:v>
      </x:c>
      <x:c r="K82" t="str">
        <x:f>IF(AND(OR(E82="No",E82="Pending"),IFERROR(INDEX(tblServiceEvents[Financial Scope],MATCH(C82,tblServiceEvents[Event #],0)),"Included")="Included"),"Yes","No")</x:f>
        <x:v>No</x:v>
      </x:c>
      <x:c r="L82" t="str">
        <x:f>IF(AND(E82="Yes",OR(F82="No",F82="Pending")),"Yes","No")</x:f>
        <x:v>No</x:v>
      </x:c>
      <x:c r="M82" t="str">
        <x:f>IF(OR(ABS(N(G82))&gt;0,INDEX(tblLedger[Reconciliation Status],MATCH($A82,tblLedger[Ledger Record ID],0))="BREAKDOWN_MISMATCH",INDEX(tblLedger[Reconciliation Status],MATCH($A82,tblLedger[Ledger Record ID],0))="ACH_MISMATCH"),"Yes","No")</x:f>
        <x:v>No</x:v>
      </x:c>
      <x:c r="N82" t="str">
        <x:f>IF(D82="","Yes","No")</x:f>
        <x:v>No</x:v>
      </x:c>
      <x:c r="O82" t="str">
        <x:f>IF(OR(INDEX(tblLedger[City],MATCH($A82,tblLedger[Ledger Record ID],0))="",INDEX(tblLedger[Jurisdiction],MATCH($A82,tblLedger[Ledger Record ID],0))=""),"Yes","No")</x:f>
        <x:v>No</x:v>
      </x:c>
      <x:c r="P82" t="str">
        <x:f>IF(COUNTIF({"Yes","No","Partial","Pending","Mapping Hold"},E82)=0,"Yes","No")</x:f>
        <x:v>No</x:v>
      </x:c>
      <x:c r="Q82" t="str">
        <x:f>IF(COUNTIF({"Yes","No","Partial","Pending","Mapping Review"},F82)=0,"Yes","No")</x:f>
        <x:v>No</x:v>
      </x:c>
      <x:c r="R82" t="str">
        <x:f>IF(J82="Yes","Mapping Hold",IF(I82="Yes","Missing Event Link",IF(H82="Yes","Duplicate WO",IF(M82="Yes","Revenue Variance",IF(K82="Yes","Missing Breakdown",IF(L82="Yes","Pending ACH",IF(E82="Partial","Partial Breakdown",IF(N82="Yes","Missing Client",IF(O82="Yes","Missing Location",IF(P82="Yes","Unknown Breakdown Status",IF(Q82="Yes","Unknown ACH Status","OK")))))))))))</x:f>
        <x:v>OK</x:v>
      </x:c>
      <x:c r="S82" t="str">
        <x:f>IF(OR(J82="Yes",I82="Yes",H82="Yes"),"Critical",IF(OR(M82="Yes",E82="Partial",N82="Yes",O82="Yes",P82="Yes",Q82="Yes"),"Warning",IF(OR(K82="Yes",L82="Yes"),"Informational","OK")))</x:f>
        <x:v>OK</x:v>
      </x:c>
      <x:c r="T82" t="str">
        <x:f>IF(R82="Mapping Hold","Resolve mapping before update",IF(R82="Missing Event Link","Map to one authoritative event",IF(R82="Duplicate WO","Review duplicate identity",IF(R82="Revenue Variance","Reconcile or dispute amount",IF(R82="Missing Breakdown","Await breakdown",IF(R82="Pending ACH","Await ACH",IF(R82="Partial Breakdown","Confirm remaining breakdown",IF(R82="Missing Client","Add canonical client",IF(R82="Missing Location","Complete location fields",IF(R82="OK","No action","Review invalid status"))))))))))</x:f>
        <x:v>No action</x:v>
      </x:c>
      <x:c r="U82" t="str">
        <x:f>IF(R82="OK","No","Yes")</x:f>
        <x:v>No</x:v>
      </x:c>
      <x:c r="V82" s="24" t="n">
        <x:f>ABS(N(G82))</x:f>
        <x:v>0</x:v>
      </x:c>
    </x:row>
    <x:row r="83">
      <x:c r="A83" t="str">
        <x:v>LED-0053</x:v>
      </x:c>
      <x:c r="B83" t="n">
        <x:f>INDEX(tblLedger[Work Order #],MATCH($A83,tblLedger[Ledger Record ID],0))</x:f>
        <x:v>5910094</x:v>
      </x:c>
      <x:c r="C83" t="n">
        <x:f>INDEX(tblLedger[Event #],MATCH($A83,tblLedger[Ledger Record ID],0))</x:f>
        <x:v>54</x:v>
      </x:c>
      <x:c r="D83" t="str">
        <x:f>INDEX(tblLedger[Client],MATCH($A83,tblLedger[Ledger Record ID],0))</x:f>
        <x:v>7-Eleven</x:v>
      </x:c>
      <x:c r="E83" t="str">
        <x:f>INDEX(tblLedger[Breakdown Confirmed],MATCH($A83,tblLedger[Ledger Record ID],0))</x:f>
        <x:v>Yes</x:v>
      </x:c>
      <x:c r="F83" t="str">
        <x:f>INDEX(tblLedger[ACH Confirmed],MATCH($A83,tblLedger[Ledger Record ID],0))</x:f>
        <x:v>Yes</x:v>
      </x:c>
      <x:c r="G83" s="24" t="str">
        <x:f>INDEX(tblLedger[Variance],MATCH($A83,tblLedger[Ledger Record ID],0))</x:f>
      </x:c>
      <x:c r="H83" t="str">
        <x:f>IF(COUNTIF(tblLedger[Work Order #],B83)&gt;1,"Yes","No")</x:f>
        <x:v>No</x:v>
      </x:c>
      <x:c r="I83" t="str">
        <x:f>IF(C83="","Yes","No")</x:f>
        <x:v>No</x:v>
      </x:c>
      <x:c r="J83" t="str">
        <x:f>IF(INDEX(tblLedger[Mapping Status],MATCH($A83,tblLedger[Ledger Record ID],0))="MAPPING_HOLD","Yes","No")</x:f>
        <x:v>No</x:v>
      </x:c>
      <x:c r="K83" t="str">
        <x:f>IF(AND(OR(E83="No",E83="Pending"),IFERROR(INDEX(tblServiceEvents[Financial Scope],MATCH(C83,tblServiceEvents[Event #],0)),"Included")="Included"),"Yes","No")</x:f>
        <x:v>No</x:v>
      </x:c>
      <x:c r="L83" t="str">
        <x:f>IF(AND(E83="Yes",OR(F83="No",F83="Pending")),"Yes","No")</x:f>
        <x:v>No</x:v>
      </x:c>
      <x:c r="M83" t="str">
        <x:f>IF(OR(ABS(N(G83))&gt;0,INDEX(tblLedger[Reconciliation Status],MATCH($A83,tblLedger[Ledger Record ID],0))="BREAKDOWN_MISMATCH",INDEX(tblLedger[Reconciliation Status],MATCH($A83,tblLedger[Ledger Record ID],0))="ACH_MISMATCH"),"Yes","No")</x:f>
        <x:v>No</x:v>
      </x:c>
      <x:c r="N83" t="str">
        <x:f>IF(D83="","Yes","No")</x:f>
        <x:v>No</x:v>
      </x:c>
      <x:c r="O83" t="str">
        <x:f>IF(OR(INDEX(tblLedger[City],MATCH($A83,tblLedger[Ledger Record ID],0))="",INDEX(tblLedger[Jurisdiction],MATCH($A83,tblLedger[Ledger Record ID],0))=""),"Yes","No")</x:f>
        <x:v>No</x:v>
      </x:c>
      <x:c r="P83" t="str">
        <x:f>IF(COUNTIF({"Yes","No","Partial","Pending","Mapping Hold"},E83)=0,"Yes","No")</x:f>
        <x:v>No</x:v>
      </x:c>
      <x:c r="Q83" t="str">
        <x:f>IF(COUNTIF({"Yes","No","Partial","Pending","Mapping Review"},F83)=0,"Yes","No")</x:f>
        <x:v>No</x:v>
      </x:c>
      <x:c r="R83" t="str">
        <x:f>IF(J83="Yes","Mapping Hold",IF(I83="Yes","Missing Event Link",IF(H83="Yes","Duplicate WO",IF(M83="Yes","Revenue Variance",IF(K83="Yes","Missing Breakdown",IF(L83="Yes","Pending ACH",IF(E83="Partial","Partial Breakdown",IF(N83="Yes","Missing Client",IF(O83="Yes","Missing Location",IF(P83="Yes","Unknown Breakdown Status",IF(Q83="Yes","Unknown ACH Status","OK")))))))))))</x:f>
        <x:v>OK</x:v>
      </x:c>
      <x:c r="S83" t="str">
        <x:f>IF(OR(J83="Yes",I83="Yes",H83="Yes"),"Critical",IF(OR(M83="Yes",E83="Partial",N83="Yes",O83="Yes",P83="Yes",Q83="Yes"),"Warning",IF(OR(K83="Yes",L83="Yes"),"Informational","OK")))</x:f>
        <x:v>OK</x:v>
      </x:c>
      <x:c r="T83" t="str">
        <x:f>IF(R83="Mapping Hold","Resolve mapping before update",IF(R83="Missing Event Link","Map to one authoritative event",IF(R83="Duplicate WO","Review duplicate identity",IF(R83="Revenue Variance","Reconcile or dispute amount",IF(R83="Missing Breakdown","Await breakdown",IF(R83="Pending ACH","Await ACH",IF(R83="Partial Breakdown","Confirm remaining breakdown",IF(R83="Missing Client","Add canonical client",IF(R83="Missing Location","Complete location fields",IF(R83="OK","No action","Review invalid status"))))))))))</x:f>
        <x:v>No action</x:v>
      </x:c>
      <x:c r="U83" t="str">
        <x:f>IF(R83="OK","No","Yes")</x:f>
        <x:v>No</x:v>
      </x:c>
      <x:c r="V83" s="24" t="n">
        <x:f>ABS(N(G83))</x:f>
        <x:v>0</x:v>
      </x:c>
    </x:row>
    <x:row r="84">
      <x:c r="A84" t="str">
        <x:v>LED-0054</x:v>
      </x:c>
      <x:c r="B84" t="n">
        <x:f>INDEX(tblLedger[Work Order #],MATCH($A84,tblLedger[Ledger Record ID],0))</x:f>
        <x:v>5898645</x:v>
      </x:c>
      <x:c r="C84" t="n">
        <x:f>INDEX(tblLedger[Event #],MATCH($A84,tblLedger[Ledger Record ID],0))</x:f>
        <x:v>55</x:v>
      </x:c>
      <x:c r="D84" t="str">
        <x:f>INDEX(tblLedger[Client],MATCH($A84,tblLedger[Ledger Record ID],0))</x:f>
        <x:v>Office of MD Senator Angela Alsobrooks</x:v>
      </x:c>
      <x:c r="E84" t="str">
        <x:f>INDEX(tblLedger[Breakdown Confirmed],MATCH($A84,tblLedger[Ledger Record ID],0))</x:f>
        <x:v>Yes</x:v>
      </x:c>
      <x:c r="F84" t="str">
        <x:f>INDEX(tblLedger[ACH Confirmed],MATCH($A84,tblLedger[Ledger Record ID],0))</x:f>
        <x:v>No</x:v>
      </x:c>
      <x:c r="G84" s="24" t="str">
        <x:f>INDEX(tblLedger[Variance],MATCH($A84,tblLedger[Ledger Record ID],0))</x:f>
      </x:c>
      <x:c r="H84" t="str">
        <x:f>IF(COUNTIF(tblLedger[Work Order #],B84)&gt;1,"Yes","No")</x:f>
        <x:v>No</x:v>
      </x:c>
      <x:c r="I84" t="str">
        <x:f>IF(C84="","Yes","No")</x:f>
        <x:v>No</x:v>
      </x:c>
      <x:c r="J84" t="str">
        <x:f>IF(INDEX(tblLedger[Mapping Status],MATCH($A84,tblLedger[Ledger Record ID],0))="MAPPING_HOLD","Yes","No")</x:f>
        <x:v>No</x:v>
      </x:c>
      <x:c r="K84" t="str">
        <x:f>IF(AND(OR(E84="No",E84="Pending"),IFERROR(INDEX(tblServiceEvents[Financial Scope],MATCH(C84,tblServiceEvents[Event #],0)),"Included")="Included"),"Yes","No")</x:f>
        <x:v>No</x:v>
      </x:c>
      <x:c r="L84" t="str">
        <x:f>IF(AND(E84="Yes",OR(F84="No",F84="Pending")),"Yes","No")</x:f>
        <x:v>Yes</x:v>
      </x:c>
      <x:c r="M84" t="str">
        <x:f>IF(OR(ABS(N(G84))&gt;0,INDEX(tblLedger[Reconciliation Status],MATCH($A84,tblLedger[Ledger Record ID],0))="BREAKDOWN_MISMATCH",INDEX(tblLedger[Reconciliation Status],MATCH($A84,tblLedger[Ledger Record ID],0))="ACH_MISMATCH"),"Yes","No")</x:f>
        <x:v>No</x:v>
      </x:c>
      <x:c r="N84" t="str">
        <x:f>IF(D84="","Yes","No")</x:f>
        <x:v>No</x:v>
      </x:c>
      <x:c r="O84" t="str">
        <x:f>IF(OR(INDEX(tblLedger[City],MATCH($A84,tblLedger[Ledger Record ID],0))="",INDEX(tblLedger[Jurisdiction],MATCH($A84,tblLedger[Ledger Record ID],0))=""),"Yes","No")</x:f>
        <x:v>No</x:v>
      </x:c>
      <x:c r="P84" t="str">
        <x:f>IF(COUNTIF({"Yes","No","Partial","Pending","Mapping Hold"},E84)=0,"Yes","No")</x:f>
        <x:v>No</x:v>
      </x:c>
      <x:c r="Q84" t="str">
        <x:f>IF(COUNTIF({"Yes","No","Partial","Pending","Mapping Review"},F84)=0,"Yes","No")</x:f>
        <x:v>No</x:v>
      </x:c>
      <x:c r="R84" t="str">
        <x:f>IF(J84="Yes","Mapping Hold",IF(I84="Yes","Missing Event Link",IF(H84="Yes","Duplicate WO",IF(M84="Yes","Revenue Variance",IF(K84="Yes","Missing Breakdown",IF(L84="Yes","Pending ACH",IF(E84="Partial","Partial Breakdown",IF(N84="Yes","Missing Client",IF(O84="Yes","Missing Location",IF(P84="Yes","Unknown Breakdown Status",IF(Q84="Yes","Unknown ACH Status","OK")))))))))))</x:f>
        <x:v>Pending ACH</x:v>
      </x:c>
      <x:c r="S84" t="str">
        <x:f>IF(OR(J84="Yes",I84="Yes",H84="Yes"),"Critical",IF(OR(M84="Yes",E84="Partial",N84="Yes",O84="Yes",P84="Yes",Q84="Yes"),"Warning",IF(OR(K84="Yes",L84="Yes"),"Informational","OK")))</x:f>
        <x:v>Informational</x:v>
      </x:c>
      <x:c r="T84" t="str">
        <x:f>IF(R84="Mapping Hold","Resolve mapping before update",IF(R84="Missing Event Link","Map to one authoritative event",IF(R84="Duplicate WO","Review duplicate identity",IF(R84="Revenue Variance","Reconcile or dispute amount",IF(R84="Missing Breakdown","Await breakdown",IF(R84="Pending ACH","Await ACH",IF(R84="Partial Breakdown","Confirm remaining breakdown",IF(R84="Missing Client","Add canonical client",IF(R84="Missing Location","Complete location fields",IF(R84="OK","No action","Review invalid status"))))))))))</x:f>
        <x:v>Await ACH</x:v>
      </x:c>
      <x:c r="U84" t="str">
        <x:f>IF(R84="OK","No","Yes")</x:f>
        <x:v>Yes</x:v>
      </x:c>
      <x:c r="V84" s="24" t="n">
        <x:f>ABS(N(G84))</x:f>
        <x:v>0</x:v>
      </x:c>
    </x:row>
    <x:row r="85">
      <x:c r="A85" t="str">
        <x:v>LED-0055</x:v>
      </x:c>
      <x:c r="B85" t="n">
        <x:f>INDEX(tblLedger[Work Order #],MATCH($A85,tblLedger[Ledger Record ID],0))</x:f>
        <x:v>5900784</x:v>
      </x:c>
      <x:c r="C85" t="n">
        <x:f>INDEX(tblLedger[Event #],MATCH($A85,tblLedger[Ledger Record ID],0))</x:f>
        <x:v>56</x:v>
      </x:c>
      <x:c r="D85" t="str">
        <x:f>INDEX(tblLedger[Client],MATCH($A85,tblLedger[Ledger Record ID],0))</x:f>
        <x:v>Dunkin</x:v>
      </x:c>
      <x:c r="E85" t="str">
        <x:f>INDEX(tblLedger[Breakdown Confirmed],MATCH($A85,tblLedger[Ledger Record ID],0))</x:f>
        <x:v>Yes</x:v>
      </x:c>
      <x:c r="F85" t="str">
        <x:f>INDEX(tblLedger[ACH Confirmed],MATCH($A85,tblLedger[Ledger Record ID],0))</x:f>
        <x:v>Yes</x:v>
      </x:c>
      <x:c r="G85" s="24" t="str">
        <x:f>INDEX(tblLedger[Variance],MATCH($A85,tblLedger[Ledger Record ID],0))</x:f>
      </x:c>
      <x:c r="H85" t="str">
        <x:f>IF(COUNTIF(tblLedger[Work Order #],B85)&gt;1,"Yes","No")</x:f>
        <x:v>No</x:v>
      </x:c>
      <x:c r="I85" t="str">
        <x:f>IF(C85="","Yes","No")</x:f>
        <x:v>No</x:v>
      </x:c>
      <x:c r="J85" t="str">
        <x:f>IF(INDEX(tblLedger[Mapping Status],MATCH($A85,tblLedger[Ledger Record ID],0))="MAPPING_HOLD","Yes","No")</x:f>
        <x:v>No</x:v>
      </x:c>
      <x:c r="K85" t="str">
        <x:f>IF(AND(OR(E85="No",E85="Pending"),IFERROR(INDEX(tblServiceEvents[Financial Scope],MATCH(C85,tblServiceEvents[Event #],0)),"Included")="Included"),"Yes","No")</x:f>
        <x:v>No</x:v>
      </x:c>
      <x:c r="L85" t="str">
        <x:f>IF(AND(E85="Yes",OR(F85="No",F85="Pending")),"Yes","No")</x:f>
        <x:v>No</x:v>
      </x:c>
      <x:c r="M85" t="str">
        <x:f>IF(OR(ABS(N(G85))&gt;0,INDEX(tblLedger[Reconciliation Status],MATCH($A85,tblLedger[Ledger Record ID],0))="BREAKDOWN_MISMATCH",INDEX(tblLedger[Reconciliation Status],MATCH($A85,tblLedger[Ledger Record ID],0))="ACH_MISMATCH"),"Yes","No")</x:f>
        <x:v>No</x:v>
      </x:c>
      <x:c r="N85" t="str">
        <x:f>IF(D85="","Yes","No")</x:f>
        <x:v>No</x:v>
      </x:c>
      <x:c r="O85" t="str">
        <x:f>IF(OR(INDEX(tblLedger[City],MATCH($A85,tblLedger[Ledger Record ID],0))="",INDEX(tblLedger[Jurisdiction],MATCH($A85,tblLedger[Ledger Record ID],0))=""),"Yes","No")</x:f>
        <x:v>No</x:v>
      </x:c>
      <x:c r="P85" t="str">
        <x:f>IF(COUNTIF({"Yes","No","Partial","Pending","Mapping Hold"},E85)=0,"Yes","No")</x:f>
        <x:v>No</x:v>
      </x:c>
      <x:c r="Q85" t="str">
        <x:f>IF(COUNTIF({"Yes","No","Partial","Pending","Mapping Review"},F85)=0,"Yes","No")</x:f>
        <x:v>No</x:v>
      </x:c>
      <x:c r="R85" t="str">
        <x:f>IF(J85="Yes","Mapping Hold",IF(I85="Yes","Missing Event Link",IF(H85="Yes","Duplicate WO",IF(M85="Yes","Revenue Variance",IF(K85="Yes","Missing Breakdown",IF(L85="Yes","Pending ACH",IF(E85="Partial","Partial Breakdown",IF(N85="Yes","Missing Client",IF(O85="Yes","Missing Location",IF(P85="Yes","Unknown Breakdown Status",IF(Q85="Yes","Unknown ACH Status","OK")))))))))))</x:f>
        <x:v>OK</x:v>
      </x:c>
      <x:c r="S85" t="str">
        <x:f>IF(OR(J85="Yes",I85="Yes",H85="Yes"),"Critical",IF(OR(M85="Yes",E85="Partial",N85="Yes",O85="Yes",P85="Yes",Q85="Yes"),"Warning",IF(OR(K85="Yes",L85="Yes"),"Informational","OK")))</x:f>
        <x:v>OK</x:v>
      </x:c>
      <x:c r="T85" t="str">
        <x:f>IF(R85="Mapping Hold","Resolve mapping before update",IF(R85="Missing Event Link","Map to one authoritative event",IF(R85="Duplicate WO","Review duplicate identity",IF(R85="Revenue Variance","Reconcile or dispute amount",IF(R85="Missing Breakdown","Await breakdown",IF(R85="Pending ACH","Await ACH",IF(R85="Partial Breakdown","Confirm remaining breakdown",IF(R85="Missing Client","Add canonical client",IF(R85="Missing Location","Complete location fields",IF(R85="OK","No action","Review invalid status"))))))))))</x:f>
        <x:v>No action</x:v>
      </x:c>
      <x:c r="U85" t="str">
        <x:f>IF(R85="OK","No","Yes")</x:f>
        <x:v>No</x:v>
      </x:c>
      <x:c r="V85" s="24" t="n">
        <x:f>ABS(N(G85))</x:f>
        <x:v>0</x:v>
      </x:c>
    </x:row>
    <x:row r="86">
      <x:c r="A86" t="str">
        <x:v>LED-0056</x:v>
      </x:c>
      <x:c r="B86" t="n">
        <x:f>INDEX(tblLedger[Work Order #],MATCH($A86,tblLedger[Ledger Record ID],0))</x:f>
        <x:v>5911577</x:v>
      </x:c>
      <x:c r="C86" t="n">
        <x:f>INDEX(tblLedger[Event #],MATCH($A86,tblLedger[Ledger Record ID],0))</x:f>
        <x:v>57</x:v>
      </x:c>
      <x:c r="D86" t="str">
        <x:f>INDEX(tblLedger[Client],MATCH($A86,tblLedger[Ledger Record ID],0))</x:f>
        <x:v>Montpelier Liquors</x:v>
      </x:c>
      <x:c r="E86" t="str">
        <x:f>INDEX(tblLedger[Breakdown Confirmed],MATCH($A86,tblLedger[Ledger Record ID],0))</x:f>
        <x:v>Yes</x:v>
      </x:c>
      <x:c r="F86" t="str">
        <x:f>INDEX(tblLedger[ACH Confirmed],MATCH($A86,tblLedger[Ledger Record ID],0))</x:f>
        <x:v>Yes</x:v>
      </x:c>
      <x:c r="G86" s="24" t="str">
        <x:f>INDEX(tblLedger[Variance],MATCH($A86,tblLedger[Ledger Record ID],0))</x:f>
      </x:c>
      <x:c r="H86" t="str">
        <x:f>IF(COUNTIF(tblLedger[Work Order #],B86)&gt;1,"Yes","No")</x:f>
        <x:v>No</x:v>
      </x:c>
      <x:c r="I86" t="str">
        <x:f>IF(C86="","Yes","No")</x:f>
        <x:v>No</x:v>
      </x:c>
      <x:c r="J86" t="str">
        <x:f>IF(INDEX(tblLedger[Mapping Status],MATCH($A86,tblLedger[Ledger Record ID],0))="MAPPING_HOLD","Yes","No")</x:f>
        <x:v>No</x:v>
      </x:c>
      <x:c r="K86" t="str">
        <x:f>IF(AND(OR(E86="No",E86="Pending"),IFERROR(INDEX(tblServiceEvents[Financial Scope],MATCH(C86,tblServiceEvents[Event #],0)),"Included")="Included"),"Yes","No")</x:f>
        <x:v>No</x:v>
      </x:c>
      <x:c r="L86" t="str">
        <x:f>IF(AND(E86="Yes",OR(F86="No",F86="Pending")),"Yes","No")</x:f>
        <x:v>No</x:v>
      </x:c>
      <x:c r="M86" t="str">
        <x:f>IF(OR(ABS(N(G86))&gt;0,INDEX(tblLedger[Reconciliation Status],MATCH($A86,tblLedger[Ledger Record ID],0))="BREAKDOWN_MISMATCH",INDEX(tblLedger[Reconciliation Status],MATCH($A86,tblLedger[Ledger Record ID],0))="ACH_MISMATCH"),"Yes","No")</x:f>
        <x:v>No</x:v>
      </x:c>
      <x:c r="N86" t="str">
        <x:f>IF(D86="","Yes","No")</x:f>
        <x:v>No</x:v>
      </x:c>
      <x:c r="O86" t="str">
        <x:f>IF(OR(INDEX(tblLedger[City],MATCH($A86,tblLedger[Ledger Record ID],0))="",INDEX(tblLedger[Jurisdiction],MATCH($A86,tblLedger[Ledger Record ID],0))=""),"Yes","No")</x:f>
        <x:v>No</x:v>
      </x:c>
      <x:c r="P86" t="str">
        <x:f>IF(COUNTIF({"Yes","No","Partial","Pending","Mapping Hold"},E86)=0,"Yes","No")</x:f>
        <x:v>No</x:v>
      </x:c>
      <x:c r="Q86" t="str">
        <x:f>IF(COUNTIF({"Yes","No","Partial","Pending","Mapping Review"},F86)=0,"Yes","No")</x:f>
        <x:v>No</x:v>
      </x:c>
      <x:c r="R86" t="str">
        <x:f>IF(J86="Yes","Mapping Hold",IF(I86="Yes","Missing Event Link",IF(H86="Yes","Duplicate WO",IF(M86="Yes","Revenue Variance",IF(K86="Yes","Missing Breakdown",IF(L86="Yes","Pending ACH",IF(E86="Partial","Partial Breakdown",IF(N86="Yes","Missing Client",IF(O86="Yes","Missing Location",IF(P86="Yes","Unknown Breakdown Status",IF(Q86="Yes","Unknown ACH Status","OK")))))))))))</x:f>
        <x:v>OK</x:v>
      </x:c>
      <x:c r="S86" t="str">
        <x:f>IF(OR(J86="Yes",I86="Yes",H86="Yes"),"Critical",IF(OR(M86="Yes",E86="Partial",N86="Yes",O86="Yes",P86="Yes",Q86="Yes"),"Warning",IF(OR(K86="Yes",L86="Yes"),"Informational","OK")))</x:f>
        <x:v>OK</x:v>
      </x:c>
      <x:c r="T86" t="str">
        <x:f>IF(R86="Mapping Hold","Resolve mapping before update",IF(R86="Missing Event Link","Map to one authoritative event",IF(R86="Duplicate WO","Review duplicate identity",IF(R86="Revenue Variance","Reconcile or dispute amount",IF(R86="Missing Breakdown","Await breakdown",IF(R86="Pending ACH","Await ACH",IF(R86="Partial Breakdown","Confirm remaining breakdown",IF(R86="Missing Client","Add canonical client",IF(R86="Missing Location","Complete location fields",IF(R86="OK","No action","Review invalid status"))))))))))</x:f>
        <x:v>No action</x:v>
      </x:c>
      <x:c r="U86" t="str">
        <x:f>IF(R86="OK","No","Yes")</x:f>
        <x:v>No</x:v>
      </x:c>
      <x:c r="V86" s="24" t="n">
        <x:f>ABS(N(G86))</x:f>
        <x:v>0</x:v>
      </x:c>
    </x:row>
    <x:row r="87">
      <x:c r="A87" t="str">
        <x:v>LED-0057</x:v>
      </x:c>
      <x:c r="B87" t="n">
        <x:f>INDEX(tblLedger[Work Order #],MATCH($A87,tblLedger[Ledger Record ID],0))</x:f>
        <x:v>5900780</x:v>
      </x:c>
      <x:c r="C87" t="n">
        <x:f>INDEX(tblLedger[Event #],MATCH($A87,tblLedger[Ledger Record ID],0))</x:f>
        <x:v>58</x:v>
      </x:c>
      <x:c r="D87" t="str">
        <x:f>INDEX(tblLedger[Client],MATCH($A87,tblLedger[Ledger Record ID],0))</x:f>
        <x:v>Dunkin</x:v>
      </x:c>
      <x:c r="E87" t="str">
        <x:f>INDEX(tblLedger[Breakdown Confirmed],MATCH($A87,tblLedger[Ledger Record ID],0))</x:f>
        <x:v>Yes</x:v>
      </x:c>
      <x:c r="F87" t="str">
        <x:f>INDEX(tblLedger[ACH Confirmed],MATCH($A87,tblLedger[Ledger Record ID],0))</x:f>
        <x:v>Yes</x:v>
      </x:c>
      <x:c r="G87" s="24" t="str">
        <x:f>INDEX(tblLedger[Variance],MATCH($A87,tblLedger[Ledger Record ID],0))</x:f>
      </x:c>
      <x:c r="H87" t="str">
        <x:f>IF(COUNTIF(tblLedger[Work Order #],B87)&gt;1,"Yes","No")</x:f>
        <x:v>No</x:v>
      </x:c>
      <x:c r="I87" t="str">
        <x:f>IF(C87="","Yes","No")</x:f>
        <x:v>No</x:v>
      </x:c>
      <x:c r="J87" t="str">
        <x:f>IF(INDEX(tblLedger[Mapping Status],MATCH($A87,tblLedger[Ledger Record ID],0))="MAPPING_HOLD","Yes","No")</x:f>
        <x:v>No</x:v>
      </x:c>
      <x:c r="K87" t="str">
        <x:f>IF(AND(OR(E87="No",E87="Pending"),IFERROR(INDEX(tblServiceEvents[Financial Scope],MATCH(C87,tblServiceEvents[Event #],0)),"Included")="Included"),"Yes","No")</x:f>
        <x:v>No</x:v>
      </x:c>
      <x:c r="L87" t="str">
        <x:f>IF(AND(E87="Yes",OR(F87="No",F87="Pending")),"Yes","No")</x:f>
        <x:v>No</x:v>
      </x:c>
      <x:c r="M87" t="str">
        <x:f>IF(OR(ABS(N(G87))&gt;0,INDEX(tblLedger[Reconciliation Status],MATCH($A87,tblLedger[Ledger Record ID],0))="BREAKDOWN_MISMATCH",INDEX(tblLedger[Reconciliation Status],MATCH($A87,tblLedger[Ledger Record ID],0))="ACH_MISMATCH"),"Yes","No")</x:f>
        <x:v>No</x:v>
      </x:c>
      <x:c r="N87" t="str">
        <x:f>IF(D87="","Yes","No")</x:f>
        <x:v>No</x:v>
      </x:c>
      <x:c r="O87" t="str">
        <x:f>IF(OR(INDEX(tblLedger[City],MATCH($A87,tblLedger[Ledger Record ID],0))="",INDEX(tblLedger[Jurisdiction],MATCH($A87,tblLedger[Ledger Record ID],0))=""),"Yes","No")</x:f>
        <x:v>No</x:v>
      </x:c>
      <x:c r="P87" t="str">
        <x:f>IF(COUNTIF({"Yes","No","Partial","Pending","Mapping Hold"},E87)=0,"Yes","No")</x:f>
        <x:v>No</x:v>
      </x:c>
      <x:c r="Q87" t="str">
        <x:f>IF(COUNTIF({"Yes","No","Partial","Pending","Mapping Review"},F87)=0,"Yes","No")</x:f>
        <x:v>No</x:v>
      </x:c>
      <x:c r="R87" t="str">
        <x:f>IF(J87="Yes","Mapping Hold",IF(I87="Yes","Missing Event Link",IF(H87="Yes","Duplicate WO",IF(M87="Yes","Revenue Variance",IF(K87="Yes","Missing Breakdown",IF(L87="Yes","Pending ACH",IF(E87="Partial","Partial Breakdown",IF(N87="Yes","Missing Client",IF(O87="Yes","Missing Location",IF(P87="Yes","Unknown Breakdown Status",IF(Q87="Yes","Unknown ACH Status","OK")))))))))))</x:f>
        <x:v>OK</x:v>
      </x:c>
      <x:c r="S87" t="str">
        <x:f>IF(OR(J87="Yes",I87="Yes",H87="Yes"),"Critical",IF(OR(M87="Yes",E87="Partial",N87="Yes",O87="Yes",P87="Yes",Q87="Yes"),"Warning",IF(OR(K87="Yes",L87="Yes"),"Informational","OK")))</x:f>
        <x:v>OK</x:v>
      </x:c>
      <x:c r="T87" t="str">
        <x:f>IF(R87="Mapping Hold","Resolve mapping before update",IF(R87="Missing Event Link","Map to one authoritative event",IF(R87="Duplicate WO","Review duplicate identity",IF(R87="Revenue Variance","Reconcile or dispute amount",IF(R87="Missing Breakdown","Await breakdown",IF(R87="Pending ACH","Await ACH",IF(R87="Partial Breakdown","Confirm remaining breakdown",IF(R87="Missing Client","Add canonical client",IF(R87="Missing Location","Complete location fields",IF(R87="OK","No action","Review invalid status"))))))))))</x:f>
        <x:v>No action</x:v>
      </x:c>
      <x:c r="U87" t="str">
        <x:f>IF(R87="OK","No","Yes")</x:f>
        <x:v>No</x:v>
      </x:c>
      <x:c r="V87" s="24" t="n">
        <x:f>ABS(N(G87))</x:f>
        <x:v>0</x:v>
      </x:c>
    </x:row>
    <x:row r="88">
      <x:c r="A88" t="str">
        <x:v>LED-0058</x:v>
      </x:c>
      <x:c r="B88" t="n">
        <x:f>INDEX(tblLedger[Work Order #],MATCH($A88,tblLedger[Ledger Record ID],0))</x:f>
        <x:v>5900830</x:v>
      </x:c>
      <x:c r="C88" t="n">
        <x:f>INDEX(tblLedger[Event #],MATCH($A88,tblLedger[Ledger Record ID],0))</x:f>
        <x:v>59</x:v>
      </x:c>
      <x:c r="D88" t="str">
        <x:f>INDEX(tblLedger[Client],MATCH($A88,tblLedger[Ledger Record ID],0))</x:f>
        <x:v>Dunkin</x:v>
      </x:c>
      <x:c r="E88" t="str">
        <x:f>INDEX(tblLedger[Breakdown Confirmed],MATCH($A88,tblLedger[Ledger Record ID],0))</x:f>
        <x:v>Yes</x:v>
      </x:c>
      <x:c r="F88" t="str">
        <x:f>INDEX(tblLedger[ACH Confirmed],MATCH($A88,tblLedger[Ledger Record ID],0))</x:f>
        <x:v>No</x:v>
      </x:c>
      <x:c r="G88" s="24" t="str">
        <x:f>INDEX(tblLedger[Variance],MATCH($A88,tblLedger[Ledger Record ID],0))</x:f>
      </x:c>
      <x:c r="H88" t="str">
        <x:f>IF(COUNTIF(tblLedger[Work Order #],B88)&gt;1,"Yes","No")</x:f>
        <x:v>No</x:v>
      </x:c>
      <x:c r="I88" t="str">
        <x:f>IF(C88="","Yes","No")</x:f>
        <x:v>No</x:v>
      </x:c>
      <x:c r="J88" t="str">
        <x:f>IF(INDEX(tblLedger[Mapping Status],MATCH($A88,tblLedger[Ledger Record ID],0))="MAPPING_HOLD","Yes","No")</x:f>
        <x:v>No</x:v>
      </x:c>
      <x:c r="K88" t="str">
        <x:f>IF(AND(OR(E88="No",E88="Pending"),IFERROR(INDEX(tblServiceEvents[Financial Scope],MATCH(C88,tblServiceEvents[Event #],0)),"Included")="Included"),"Yes","No")</x:f>
        <x:v>No</x:v>
      </x:c>
      <x:c r="L88" t="str">
        <x:f>IF(AND(E88="Yes",OR(F88="No",F88="Pending")),"Yes","No")</x:f>
        <x:v>Yes</x:v>
      </x:c>
      <x:c r="M88" t="str">
        <x:f>IF(OR(ABS(N(G88))&gt;0,INDEX(tblLedger[Reconciliation Status],MATCH($A88,tblLedger[Ledger Record ID],0))="BREAKDOWN_MISMATCH",INDEX(tblLedger[Reconciliation Status],MATCH($A88,tblLedger[Ledger Record ID],0))="ACH_MISMATCH"),"Yes","No")</x:f>
        <x:v>No</x:v>
      </x:c>
      <x:c r="N88" t="str">
        <x:f>IF(D88="","Yes","No")</x:f>
        <x:v>No</x:v>
      </x:c>
      <x:c r="O88" t="str">
        <x:f>IF(OR(INDEX(tblLedger[City],MATCH($A88,tblLedger[Ledger Record ID],0))="",INDEX(tblLedger[Jurisdiction],MATCH($A88,tblLedger[Ledger Record ID],0))=""),"Yes","No")</x:f>
        <x:v>No</x:v>
      </x:c>
      <x:c r="P88" t="str">
        <x:f>IF(COUNTIF({"Yes","No","Partial","Pending","Mapping Hold"},E88)=0,"Yes","No")</x:f>
        <x:v>No</x:v>
      </x:c>
      <x:c r="Q88" t="str">
        <x:f>IF(COUNTIF({"Yes","No","Partial","Pending","Mapping Review"},F88)=0,"Yes","No")</x:f>
        <x:v>No</x:v>
      </x:c>
      <x:c r="R88" t="str">
        <x:f>IF(J88="Yes","Mapping Hold",IF(I88="Yes","Missing Event Link",IF(H88="Yes","Duplicate WO",IF(M88="Yes","Revenue Variance",IF(K88="Yes","Missing Breakdown",IF(L88="Yes","Pending ACH",IF(E88="Partial","Partial Breakdown",IF(N88="Yes","Missing Client",IF(O88="Yes","Missing Location",IF(P88="Yes","Unknown Breakdown Status",IF(Q88="Yes","Unknown ACH Status","OK")))))))))))</x:f>
        <x:v>Pending ACH</x:v>
      </x:c>
      <x:c r="S88" t="str">
        <x:f>IF(OR(J88="Yes",I88="Yes",H88="Yes"),"Critical",IF(OR(M88="Yes",E88="Partial",N88="Yes",O88="Yes",P88="Yes",Q88="Yes"),"Warning",IF(OR(K88="Yes",L88="Yes"),"Informational","OK")))</x:f>
        <x:v>Informational</x:v>
      </x:c>
      <x:c r="T88" t="str">
        <x:f>IF(R88="Mapping Hold","Resolve mapping before update",IF(R88="Missing Event Link","Map to one authoritative event",IF(R88="Duplicate WO","Review duplicate identity",IF(R88="Revenue Variance","Reconcile or dispute amount",IF(R88="Missing Breakdown","Await breakdown",IF(R88="Pending ACH","Await ACH",IF(R88="Partial Breakdown","Confirm remaining breakdown",IF(R88="Missing Client","Add canonical client",IF(R88="Missing Location","Complete location fields",IF(R88="OK","No action","Review invalid status"))))))))))</x:f>
        <x:v>Await ACH</x:v>
      </x:c>
      <x:c r="U88" t="str">
        <x:f>IF(R88="OK","No","Yes")</x:f>
        <x:v>Yes</x:v>
      </x:c>
      <x:c r="V88" s="24" t="n">
        <x:f>ABS(N(G88))</x:f>
        <x:v>0</x:v>
      </x:c>
    </x:row>
    <x:row r="89">
      <x:c r="A89" t="str">
        <x:v>LED-0059</x:v>
      </x:c>
      <x:c r="B89" t="n">
        <x:f>INDEX(tblLedger[Work Order #],MATCH($A89,tblLedger[Ledger Record ID],0))</x:f>
        <x:v>5912364</x:v>
      </x:c>
      <x:c r="C89" t="n">
        <x:f>INDEX(tblLedger[Event #],MATCH($A89,tblLedger[Ledger Record ID],0))</x:f>
        <x:v>60</x:v>
      </x:c>
      <x:c r="D89" t="str">
        <x:f>INDEX(tblLedger[Client],MATCH($A89,tblLedger[Ledger Record ID],0))</x:f>
        <x:v>Carvana</x:v>
      </x:c>
      <x:c r="E89" t="str">
        <x:f>INDEX(tblLedger[Breakdown Confirmed],MATCH($A89,tblLedger[Ledger Record ID],0))</x:f>
        <x:v>Pending</x:v>
      </x:c>
      <x:c r="F89" t="str">
        <x:f>INDEX(tblLedger[ACH Confirmed],MATCH($A89,tblLedger[Ledger Record ID],0))</x:f>
        <x:v>No</x:v>
      </x:c>
      <x:c r="G89" s="24" t="str">
        <x:f>INDEX(tblLedger[Variance],MATCH($A89,tblLedger[Ledger Record ID],0))</x:f>
      </x:c>
      <x:c r="H89" t="str">
        <x:f>IF(COUNTIF(tblLedger[Work Order #],B89)&gt;1,"Yes","No")</x:f>
        <x:v>No</x:v>
      </x:c>
      <x:c r="I89" t="str">
        <x:f>IF(C89="","Yes","No")</x:f>
        <x:v>No</x:v>
      </x:c>
      <x:c r="J89" t="str">
        <x:f>IF(INDEX(tblLedger[Mapping Status],MATCH($A89,tblLedger[Ledger Record ID],0))="MAPPING_HOLD","Yes","No")</x:f>
        <x:v>No</x:v>
      </x:c>
      <x:c r="K89" t="str">
        <x:f>IF(AND(OR(E89="No",E89="Pending"),IFERROR(INDEX(tblServiceEvents[Financial Scope],MATCH(C89,tblServiceEvents[Event #],0)),"Included")="Included"),"Yes","No")</x:f>
        <x:v>Yes</x:v>
      </x:c>
      <x:c r="L89" t="str">
        <x:f>IF(AND(E89="Yes",OR(F89="No",F89="Pending")),"Yes","No")</x:f>
        <x:v>No</x:v>
      </x:c>
      <x:c r="M89" t="str">
        <x:f>IF(OR(ABS(N(G89))&gt;0,INDEX(tblLedger[Reconciliation Status],MATCH($A89,tblLedger[Ledger Record ID],0))="BREAKDOWN_MISMATCH",INDEX(tblLedger[Reconciliation Status],MATCH($A89,tblLedger[Ledger Record ID],0))="ACH_MISMATCH"),"Yes","No")</x:f>
        <x:v>No</x:v>
      </x:c>
      <x:c r="N89" t="str">
        <x:f>IF(D89="","Yes","No")</x:f>
        <x:v>No</x:v>
      </x:c>
      <x:c r="O89" t="str">
        <x:f>IF(OR(INDEX(tblLedger[City],MATCH($A89,tblLedger[Ledger Record ID],0))="",INDEX(tblLedger[Jurisdiction],MATCH($A89,tblLedger[Ledger Record ID],0))=""),"Yes","No")</x:f>
        <x:v>No</x:v>
      </x:c>
      <x:c r="P89" t="str">
        <x:f>IF(COUNTIF({"Yes","No","Partial","Pending","Mapping Hold"},E89)=0,"Yes","No")</x:f>
        <x:v>No</x:v>
      </x:c>
      <x:c r="Q89" t="str">
        <x:f>IF(COUNTIF({"Yes","No","Partial","Pending","Mapping Review"},F89)=0,"Yes","No")</x:f>
        <x:v>No</x:v>
      </x:c>
      <x:c r="R89" t="str">
        <x:f>IF(J89="Yes","Mapping Hold",IF(I89="Yes","Missing Event Link",IF(H89="Yes","Duplicate WO",IF(M89="Yes","Revenue Variance",IF(K89="Yes","Missing Breakdown",IF(L89="Yes","Pending ACH",IF(E89="Partial","Partial Breakdown",IF(N89="Yes","Missing Client",IF(O89="Yes","Missing Location",IF(P89="Yes","Unknown Breakdown Status",IF(Q89="Yes","Unknown ACH Status","OK")))))))))))</x:f>
        <x:v>Missing Breakdown</x:v>
      </x:c>
      <x:c r="S89" t="str">
        <x:f>IF(OR(J89="Yes",I89="Yes",H89="Yes"),"Critical",IF(OR(M89="Yes",E89="Partial",N89="Yes",O89="Yes",P89="Yes",Q89="Yes"),"Warning",IF(OR(K89="Yes",L89="Yes"),"Informational","OK")))</x:f>
        <x:v>Informational</x:v>
      </x:c>
      <x:c r="T89" t="str">
        <x:f>IF(R89="Mapping Hold","Resolve mapping before update",IF(R89="Missing Event Link","Map to one authoritative event",IF(R89="Duplicate WO","Review duplicate identity",IF(R89="Revenue Variance","Reconcile or dispute amount",IF(R89="Missing Breakdown","Await breakdown",IF(R89="Pending ACH","Await ACH",IF(R89="Partial Breakdown","Confirm remaining breakdown",IF(R89="Missing Client","Add canonical client",IF(R89="Missing Location","Complete location fields",IF(R89="OK","No action","Review invalid status"))))))))))</x:f>
        <x:v>Await breakdown</x:v>
      </x:c>
      <x:c r="U89" t="str">
        <x:f>IF(R89="OK","No","Yes")</x:f>
        <x:v>Yes</x:v>
      </x:c>
      <x:c r="V89" s="24" t="n">
        <x:f>ABS(N(G89))</x:f>
        <x:v>0</x:v>
      </x:c>
    </x:row>
    <x:row r="90">
      <x:c r="A90" t="str">
        <x:v>LED-0060</x:v>
      </x:c>
      <x:c r="B90" t="n">
        <x:f>INDEX(tblLedger[Work Order #],MATCH($A90,tblLedger[Ledger Record ID],0))</x:f>
        <x:v>5914049</x:v>
      </x:c>
      <x:c r="C90" t="n">
        <x:f>INDEX(tblLedger[Event #],MATCH($A90,tblLedger[Ledger Record ID],0))</x:f>
        <x:v>60</x:v>
      </x:c>
      <x:c r="D90" t="str">
        <x:f>INDEX(tblLedger[Client],MATCH($A90,tblLedger[Ledger Record ID],0))</x:f>
        <x:v>Carvana</x:v>
      </x:c>
      <x:c r="E90" t="str">
        <x:f>INDEX(tblLedger[Breakdown Confirmed],MATCH($A90,tblLedger[Ledger Record ID],0))</x:f>
        <x:v>Partial</x:v>
      </x:c>
      <x:c r="F90" t="str">
        <x:f>INDEX(tblLedger[ACH Confirmed],MATCH($A90,tblLedger[Ledger Record ID],0))</x:f>
        <x:v>No</x:v>
      </x:c>
      <x:c r="G90" s="24" t="str">
        <x:f>INDEX(tblLedger[Variance],MATCH($A90,tblLedger[Ledger Record ID],0))</x:f>
      </x:c>
      <x:c r="H90" t="str">
        <x:f>IF(COUNTIF(tblLedger[Work Order #],B90)&gt;1,"Yes","No")</x:f>
        <x:v>No</x:v>
      </x:c>
      <x:c r="I90" t="str">
        <x:f>IF(C90="","Yes","No")</x:f>
        <x:v>No</x:v>
      </x:c>
      <x:c r="J90" t="str">
        <x:f>IF(INDEX(tblLedger[Mapping Status],MATCH($A90,tblLedger[Ledger Record ID],0))="MAPPING_HOLD","Yes","No")</x:f>
        <x:v>No</x:v>
      </x:c>
      <x:c r="K90" t="str">
        <x:f>IF(AND(OR(E90="No",E90="Pending"),IFERROR(INDEX(tblServiceEvents[Financial Scope],MATCH(C90,tblServiceEvents[Event #],0)),"Included")="Included"),"Yes","No")</x:f>
        <x:v>No</x:v>
      </x:c>
      <x:c r="L90" t="str">
        <x:f>IF(AND(E90="Yes",OR(F90="No",F90="Pending")),"Yes","No")</x:f>
        <x:v>No</x:v>
      </x:c>
      <x:c r="M90" t="str">
        <x:f>IF(OR(ABS(N(G90))&gt;0,INDEX(tblLedger[Reconciliation Status],MATCH($A90,tblLedger[Ledger Record ID],0))="BREAKDOWN_MISMATCH",INDEX(tblLedger[Reconciliation Status],MATCH($A90,tblLedger[Ledger Record ID],0))="ACH_MISMATCH"),"Yes","No")</x:f>
        <x:v>No</x:v>
      </x:c>
      <x:c r="N90" t="str">
        <x:f>IF(D90="","Yes","No")</x:f>
        <x:v>No</x:v>
      </x:c>
      <x:c r="O90" t="str">
        <x:f>IF(OR(INDEX(tblLedger[City],MATCH($A90,tblLedger[Ledger Record ID],0))="",INDEX(tblLedger[Jurisdiction],MATCH($A90,tblLedger[Ledger Record ID],0))=""),"Yes","No")</x:f>
        <x:v>No</x:v>
      </x:c>
      <x:c r="P90" t="str">
        <x:f>IF(COUNTIF({"Yes","No","Partial","Pending","Mapping Hold"},E90)=0,"Yes","No")</x:f>
        <x:v>No</x:v>
      </x:c>
      <x:c r="Q90" t="str">
        <x:f>IF(COUNTIF({"Yes","No","Partial","Pending","Mapping Review"},F90)=0,"Yes","No")</x:f>
        <x:v>No</x:v>
      </x:c>
      <x:c r="R90" t="str">
        <x:f>IF(J90="Yes","Mapping Hold",IF(I90="Yes","Missing Event Link",IF(H90="Yes","Duplicate WO",IF(M90="Yes","Revenue Variance",IF(K90="Yes","Missing Breakdown",IF(L90="Yes","Pending ACH",IF(E90="Partial","Partial Breakdown",IF(N90="Yes","Missing Client",IF(O90="Yes","Missing Location",IF(P90="Yes","Unknown Breakdown Status",IF(Q90="Yes","Unknown ACH Status","OK")))))))))))</x:f>
        <x:v>Partial Breakdown</x:v>
      </x:c>
      <x:c r="S90" t="str">
        <x:f>IF(OR(J90="Yes",I90="Yes",H90="Yes"),"Critical",IF(OR(M90="Yes",E90="Partial",N90="Yes",O90="Yes",P90="Yes",Q90="Yes"),"Warning",IF(OR(K90="Yes",L90="Yes"),"Informational","OK")))</x:f>
        <x:v>Warning</x:v>
      </x:c>
      <x:c r="T90" t="str">
        <x:f>IF(R90="Mapping Hold","Resolve mapping before update",IF(R90="Missing Event Link","Map to one authoritative event",IF(R90="Duplicate WO","Review duplicate identity",IF(R90="Revenue Variance","Reconcile or dispute amount",IF(R90="Missing Breakdown","Await breakdown",IF(R90="Pending ACH","Await ACH",IF(R90="Partial Breakdown","Confirm remaining breakdown",IF(R90="Missing Client","Add canonical client",IF(R90="Missing Location","Complete location fields",IF(R90="OK","No action","Review invalid status"))))))))))</x:f>
        <x:v>Confirm remaining breakdown</x:v>
      </x:c>
      <x:c r="U90" t="str">
        <x:f>IF(R90="OK","No","Yes")</x:f>
        <x:v>Yes</x:v>
      </x:c>
      <x:c r="V90" s="24" t="n">
        <x:f>ABS(N(G90))</x:f>
        <x:v>0</x:v>
      </x:c>
    </x:row>
    <x:row r="91">
      <x:c r="A91" t="str">
        <x:v>LED-0061</x:v>
      </x:c>
      <x:c r="B91" t="n">
        <x:f>INDEX(tblLedger[Work Order #],MATCH($A91,tblLedger[Ledger Record ID],0))</x:f>
        <x:v>5909344</x:v>
      </x:c>
      <x:c r="C91" t="n">
        <x:f>INDEX(tblLedger[Event #],MATCH($A91,tblLedger[Ledger Record ID],0))</x:f>
        <x:v>61</x:v>
      </x:c>
      <x:c r="D91" t="str">
        <x:f>INDEX(tblLedger[Client],MATCH($A91,tblLedger[Ledger Record ID],0))</x:f>
        <x:v>TJ Maxx</x:v>
      </x:c>
      <x:c r="E91" t="str">
        <x:f>INDEX(tblLedger[Breakdown Confirmed],MATCH($A91,tblLedger[Ledger Record ID],0))</x:f>
        <x:v>Yes</x:v>
      </x:c>
      <x:c r="F91" t="str">
        <x:f>INDEX(tblLedger[ACH Confirmed],MATCH($A91,tblLedger[Ledger Record ID],0))</x:f>
        <x:v>Yes</x:v>
      </x:c>
      <x:c r="G91" s="24" t="str">
        <x:f>INDEX(tblLedger[Variance],MATCH($A91,tblLedger[Ledger Record ID],0))</x:f>
      </x:c>
      <x:c r="H91" t="str">
        <x:f>IF(COUNTIF(tblLedger[Work Order #],B91)&gt;1,"Yes","No")</x:f>
        <x:v>No</x:v>
      </x:c>
      <x:c r="I91" t="str">
        <x:f>IF(C91="","Yes","No")</x:f>
        <x:v>No</x:v>
      </x:c>
      <x:c r="J91" t="str">
        <x:f>IF(INDEX(tblLedger[Mapping Status],MATCH($A91,tblLedger[Ledger Record ID],0))="MAPPING_HOLD","Yes","No")</x:f>
        <x:v>No</x:v>
      </x:c>
      <x:c r="K91" t="str">
        <x:f>IF(AND(OR(E91="No",E91="Pending"),IFERROR(INDEX(tblServiceEvents[Financial Scope],MATCH(C91,tblServiceEvents[Event #],0)),"Included")="Included"),"Yes","No")</x:f>
        <x:v>No</x:v>
      </x:c>
      <x:c r="L91" t="str">
        <x:f>IF(AND(E91="Yes",OR(F91="No",F91="Pending")),"Yes","No")</x:f>
        <x:v>No</x:v>
      </x:c>
      <x:c r="M91" t="str">
        <x:f>IF(OR(ABS(N(G91))&gt;0,INDEX(tblLedger[Reconciliation Status],MATCH($A91,tblLedger[Ledger Record ID],0))="BREAKDOWN_MISMATCH",INDEX(tblLedger[Reconciliation Status],MATCH($A91,tblLedger[Ledger Record ID],0))="ACH_MISMATCH"),"Yes","No")</x:f>
        <x:v>No</x:v>
      </x:c>
      <x:c r="N91" t="str">
        <x:f>IF(D91="","Yes","No")</x:f>
        <x:v>No</x:v>
      </x:c>
      <x:c r="O91" t="str">
        <x:f>IF(OR(INDEX(tblLedger[City],MATCH($A91,tblLedger[Ledger Record ID],0))="",INDEX(tblLedger[Jurisdiction],MATCH($A91,tblLedger[Ledger Record ID],0))=""),"Yes","No")</x:f>
        <x:v>No</x:v>
      </x:c>
      <x:c r="P91" t="str">
        <x:f>IF(COUNTIF({"Yes","No","Partial","Pending","Mapping Hold"},E91)=0,"Yes","No")</x:f>
        <x:v>No</x:v>
      </x:c>
      <x:c r="Q91" t="str">
        <x:f>IF(COUNTIF({"Yes","No","Partial","Pending","Mapping Review"},F91)=0,"Yes","No")</x:f>
        <x:v>No</x:v>
      </x:c>
      <x:c r="R91" t="str">
        <x:f>IF(J91="Yes","Mapping Hold",IF(I91="Yes","Missing Event Link",IF(H91="Yes","Duplicate WO",IF(M91="Yes","Revenue Variance",IF(K91="Yes","Missing Breakdown",IF(L91="Yes","Pending ACH",IF(E91="Partial","Partial Breakdown",IF(N91="Yes","Missing Client",IF(O91="Yes","Missing Location",IF(P91="Yes","Unknown Breakdown Status",IF(Q91="Yes","Unknown ACH Status","OK")))))))))))</x:f>
        <x:v>OK</x:v>
      </x:c>
      <x:c r="S91" t="str">
        <x:f>IF(OR(J91="Yes",I91="Yes",H91="Yes"),"Critical",IF(OR(M91="Yes",E91="Partial",N91="Yes",O91="Yes",P91="Yes",Q91="Yes"),"Warning",IF(OR(K91="Yes",L91="Yes"),"Informational","OK")))</x:f>
        <x:v>OK</x:v>
      </x:c>
      <x:c r="T91" t="str">
        <x:f>IF(R91="Mapping Hold","Resolve mapping before update",IF(R91="Missing Event Link","Map to one authoritative event",IF(R91="Duplicate WO","Review duplicate identity",IF(R91="Revenue Variance","Reconcile or dispute amount",IF(R91="Missing Breakdown","Await breakdown",IF(R91="Pending ACH","Await ACH",IF(R91="Partial Breakdown","Confirm remaining breakdown",IF(R91="Missing Client","Add canonical client",IF(R91="Missing Location","Complete location fields",IF(R91="OK","No action","Review invalid status"))))))))))</x:f>
        <x:v>No action</x:v>
      </x:c>
      <x:c r="U91" t="str">
        <x:f>IF(R91="OK","No","Yes")</x:f>
        <x:v>No</x:v>
      </x:c>
      <x:c r="V91" s="24" t="n">
        <x:f>ABS(N(G91))</x:f>
        <x:v>0</x:v>
      </x:c>
    </x:row>
    <x:row r="92">
      <x:c r="A92" t="str">
        <x:v>LED-0062</x:v>
      </x:c>
      <x:c r="B92" t="n">
        <x:f>INDEX(tblLedger[Work Order #],MATCH($A92,tblLedger[Ledger Record ID],0))</x:f>
        <x:v>5913868</x:v>
      </x:c>
      <x:c r="C92" t="n">
        <x:f>INDEX(tblLedger[Event #],MATCH($A92,tblLedger[Ledger Record ID],0))</x:f>
        <x:v>62</x:v>
      </x:c>
      <x:c r="D92" t="str">
        <x:f>INDEX(tblLedger[Client],MATCH($A92,tblLedger[Ledger Record ID],0))</x:f>
        <x:v>TJ Maxx</x:v>
      </x:c>
      <x:c r="E92" t="str">
        <x:f>INDEX(tblLedger[Breakdown Confirmed],MATCH($A92,tblLedger[Ledger Record ID],0))</x:f>
        <x:v>Yes</x:v>
      </x:c>
      <x:c r="F92" t="str">
        <x:f>INDEX(tblLedger[ACH Confirmed],MATCH($A92,tblLedger[Ledger Record ID],0))</x:f>
        <x:v>Yes</x:v>
      </x:c>
      <x:c r="G92" s="24" t="n">
        <x:f>INDEX(tblLedger[Variance],MATCH($A92,tblLedger[Ledger Record ID],0))</x:f>
        <x:v>-49.17</x:v>
      </x:c>
      <x:c r="H92" t="str">
        <x:f>IF(COUNTIF(tblLedger[Work Order #],B92)&gt;1,"Yes","No")</x:f>
        <x:v>No</x:v>
      </x:c>
      <x:c r="I92" t="str">
        <x:f>IF(C92="","Yes","No")</x:f>
        <x:v>No</x:v>
      </x:c>
      <x:c r="J92" t="str">
        <x:f>IF(INDEX(tblLedger[Mapping Status],MATCH($A92,tblLedger[Ledger Record ID],0))="MAPPING_HOLD","Yes","No")</x:f>
        <x:v>No</x:v>
      </x:c>
      <x:c r="K92" t="str">
        <x:f>IF(AND(OR(E92="No",E92="Pending"),IFERROR(INDEX(tblServiceEvents[Financial Scope],MATCH(C92,tblServiceEvents[Event #],0)),"Included")="Included"),"Yes","No")</x:f>
        <x:v>No</x:v>
      </x:c>
      <x:c r="L92" t="str">
        <x:f>IF(AND(E92="Yes",OR(F92="No",F92="Pending")),"Yes","No")</x:f>
        <x:v>No</x:v>
      </x:c>
      <x:c r="M92" t="str">
        <x:f>IF(OR(ABS(N(G92))&gt;0,INDEX(tblLedger[Reconciliation Status],MATCH($A92,tblLedger[Ledger Record ID],0))="BREAKDOWN_MISMATCH",INDEX(tblLedger[Reconciliation Status],MATCH($A92,tblLedger[Ledger Record ID],0))="ACH_MISMATCH"),"Yes","No")</x:f>
        <x:v>Yes</x:v>
      </x:c>
      <x:c r="N92" t="str">
        <x:f>IF(D92="","Yes","No")</x:f>
        <x:v>No</x:v>
      </x:c>
      <x:c r="O92" t="str">
        <x:f>IF(OR(INDEX(tblLedger[City],MATCH($A92,tblLedger[Ledger Record ID],0))="",INDEX(tblLedger[Jurisdiction],MATCH($A92,tblLedger[Ledger Record ID],0))=""),"Yes","No")</x:f>
        <x:v>No</x:v>
      </x:c>
      <x:c r="P92" t="str">
        <x:f>IF(COUNTIF({"Yes","No","Partial","Pending","Mapping Hold"},E92)=0,"Yes","No")</x:f>
        <x:v>No</x:v>
      </x:c>
      <x:c r="Q92" t="str">
        <x:f>IF(COUNTIF({"Yes","No","Partial","Pending","Mapping Review"},F92)=0,"Yes","No")</x:f>
        <x:v>No</x:v>
      </x:c>
      <x:c r="R92" t="str">
        <x:f>IF(J92="Yes","Mapping Hold",IF(I92="Yes","Missing Event Link",IF(H92="Yes","Duplicate WO",IF(M92="Yes","Revenue Variance",IF(K92="Yes","Missing Breakdown",IF(L92="Yes","Pending ACH",IF(E92="Partial","Partial Breakdown",IF(N92="Yes","Missing Client",IF(O92="Yes","Missing Location",IF(P92="Yes","Unknown Breakdown Status",IF(Q92="Yes","Unknown ACH Status","OK")))))))))))</x:f>
        <x:v>Revenue Variance</x:v>
      </x:c>
      <x:c r="S92" t="str">
        <x:f>IF(OR(J92="Yes",I92="Yes",H92="Yes"),"Critical",IF(OR(M92="Yes",E92="Partial",N92="Yes",O92="Yes",P92="Yes",Q92="Yes"),"Warning",IF(OR(K92="Yes",L92="Yes"),"Informational","OK")))</x:f>
        <x:v>Warning</x:v>
      </x:c>
      <x:c r="T92" t="str">
        <x:f>IF(R92="Mapping Hold","Resolve mapping before update",IF(R92="Missing Event Link","Map to one authoritative event",IF(R92="Duplicate WO","Review duplicate identity",IF(R92="Revenue Variance","Reconcile or dispute amount",IF(R92="Missing Breakdown","Await breakdown",IF(R92="Pending ACH","Await ACH",IF(R92="Partial Breakdown","Confirm remaining breakdown",IF(R92="Missing Client","Add canonical client",IF(R92="Missing Location","Complete location fields",IF(R92="OK","No action","Review invalid status"))))))))))</x:f>
        <x:v>Reconcile or dispute amount</x:v>
      </x:c>
      <x:c r="U92" t="str">
        <x:f>IF(R92="OK","No","Yes")</x:f>
        <x:v>Yes</x:v>
      </x:c>
      <x:c r="V92" s="24" t="n">
        <x:f>ABS(N(G92))</x:f>
        <x:v>49.17</x:v>
      </x:c>
    </x:row>
    <x:row r="93">
      <x:c r="A93" t="str">
        <x:v>LED-0063</x:v>
      </x:c>
      <x:c r="B93" t="n">
        <x:f>INDEX(tblLedger[Work Order #],MATCH($A93,tblLedger[Ledger Record ID],0))</x:f>
        <x:v>5905579</x:v>
      </x:c>
      <x:c r="C93" t="str">
        <x:f>INDEX(tblLedger[Event #],MATCH($A93,tblLedger[Ledger Record ID],0))</x:f>
      </x:c>
      <x:c r="D93" t="str">
        <x:f>INDEX(tblLedger[Client],MATCH($A93,tblLedger[Ledger Record ID],0))</x:f>
        <x:v>Hebrew Home of Greater Washington</x:v>
      </x:c>
      <x:c r="E93" t="str">
        <x:f>INDEX(tblLedger[Breakdown Confirmed],MATCH($A93,tblLedger[Ledger Record ID],0))</x:f>
        <x:v>Mapping Hold</x:v>
      </x:c>
      <x:c r="F93" t="str">
        <x:f>INDEX(tblLedger[ACH Confirmed],MATCH($A93,tblLedger[Ledger Record ID],0))</x:f>
        <x:v>Partial</x:v>
      </x:c>
      <x:c r="G93" s="24" t="str">
        <x:f>INDEX(tblLedger[Variance],MATCH($A93,tblLedger[Ledger Record ID],0))</x:f>
      </x:c>
      <x:c r="H93" t="str">
        <x:f>IF(COUNTIF(tblLedger[Work Order #],B93)&gt;1,"Yes","No")</x:f>
        <x:v>No</x:v>
      </x:c>
      <x:c r="I93" t="str">
        <x:f>IF(C93="","Yes","No")</x:f>
        <x:v>Yes</x:v>
      </x:c>
      <x:c r="J93" t="str">
        <x:f>IF(INDEX(tblLedger[Mapping Status],MATCH($A93,tblLedger[Ledger Record ID],0))="MAPPING_HOLD","Yes","No")</x:f>
        <x:v>Yes</x:v>
      </x:c>
      <x:c r="K93" t="str">
        <x:f>IF(AND(OR(E93="No",E93="Pending"),IFERROR(INDEX(tblServiceEvents[Financial Scope],MATCH(C93,tblServiceEvents[Event #],0)),"Included")="Included"),"Yes","No")</x:f>
        <x:v>No</x:v>
      </x:c>
      <x:c r="L93" t="str">
        <x:f>IF(AND(E93="Yes",OR(F93="No",F93="Pending")),"Yes","No")</x:f>
        <x:v>No</x:v>
      </x:c>
      <x:c r="M93" t="str">
        <x:f>IF(OR(ABS(N(G93))&gt;0,INDEX(tblLedger[Reconciliation Status],MATCH($A93,tblLedger[Ledger Record ID],0))="BREAKDOWN_MISMATCH",INDEX(tblLedger[Reconciliation Status],MATCH($A93,tblLedger[Ledger Record ID],0))="ACH_MISMATCH"),"Yes","No")</x:f>
        <x:v>No</x:v>
      </x:c>
      <x:c r="N93" t="str">
        <x:f>IF(D93="","Yes","No")</x:f>
        <x:v>No</x:v>
      </x:c>
      <x:c r="O93" t="str">
        <x:f>IF(OR(INDEX(tblLedger[City],MATCH($A93,tblLedger[Ledger Record ID],0))="",INDEX(tblLedger[Jurisdiction],MATCH($A93,tblLedger[Ledger Record ID],0))=""),"Yes","No")</x:f>
        <x:v>No</x:v>
      </x:c>
      <x:c r="P93" t="str">
        <x:f>IF(COUNTIF({"Yes","No","Partial","Pending","Mapping Hold"},E93)=0,"Yes","No")</x:f>
        <x:v>No</x:v>
      </x:c>
      <x:c r="Q93" t="str">
        <x:f>IF(COUNTIF({"Yes","No","Partial","Pending","Mapping Review"},F93)=0,"Yes","No")</x:f>
        <x:v>No</x:v>
      </x:c>
      <x:c r="R93" t="str">
        <x:f>IF(J93="Yes","Mapping Hold",IF(I93="Yes","Missing Event Link",IF(H93="Yes","Duplicate WO",IF(M93="Yes","Revenue Variance",IF(K93="Yes","Missing Breakdown",IF(L93="Yes","Pending ACH",IF(E93="Partial","Partial Breakdown",IF(N93="Yes","Missing Client",IF(O93="Yes","Missing Location",IF(P93="Yes","Unknown Breakdown Status",IF(Q93="Yes","Unknown ACH Status","OK")))))))))))</x:f>
        <x:v>Mapping Hold</x:v>
      </x:c>
      <x:c r="S93" t="str">
        <x:f>IF(OR(J93="Yes",I93="Yes",H93="Yes"),"Critical",IF(OR(M93="Yes",E93="Partial",N93="Yes",O93="Yes",P93="Yes",Q93="Yes"),"Warning",IF(OR(K93="Yes",L93="Yes"),"Informational","OK")))</x:f>
        <x:v>Critical</x:v>
      </x:c>
      <x:c r="T93" t="str">
        <x:f>IF(R93="Mapping Hold","Resolve mapping before update",IF(R93="Missing Event Link","Map to one authoritative event",IF(R93="Duplicate WO","Review duplicate identity",IF(R93="Revenue Variance","Reconcile or dispute amount",IF(R93="Missing Breakdown","Await breakdown",IF(R93="Pending ACH","Await ACH",IF(R93="Partial Breakdown","Confirm remaining breakdown",IF(R93="Missing Client","Add canonical client",IF(R93="Missing Location","Complete location fields",IF(R93="OK","No action","Review invalid status"))))))))))</x:f>
        <x:v>Resolve mapping before update</x:v>
      </x:c>
      <x:c r="U93" t="str">
        <x:f>IF(R93="OK","No","Yes")</x:f>
        <x:v>Yes</x:v>
      </x:c>
      <x:c r="V93" s="24" t="n">
        <x:f>ABS(N(G93))</x:f>
        <x:v>0</x:v>
      </x:c>
    </x:row>
    <x:row r="94">
      <x:c r="A94" t="str">
        <x:v>LED-0064</x:v>
      </x:c>
      <x:c r="B94" t="n">
        <x:f>INDEX(tblLedger[Work Order #],MATCH($A94,tblLedger[Ledger Record ID],0))</x:f>
        <x:v>5909368</x:v>
      </x:c>
      <x:c r="C94" t="n">
        <x:f>INDEX(tblLedger[Event #],MATCH($A94,tblLedger[Ledger Record ID],0))</x:f>
        <x:v>63</x:v>
      </x:c>
      <x:c r="D94" t="str">
        <x:f>INDEX(tblLedger[Client],MATCH($A94,tblLedger[Ledger Record ID],0))</x:f>
        <x:v>Marshalls</x:v>
      </x:c>
      <x:c r="E94" t="str">
        <x:f>INDEX(tblLedger[Breakdown Confirmed],MATCH($A94,tblLedger[Ledger Record ID],0))</x:f>
        <x:v>Pending</x:v>
      </x:c>
      <x:c r="F94" t="str">
        <x:f>INDEX(tblLedger[ACH Confirmed],MATCH($A94,tblLedger[Ledger Record ID],0))</x:f>
        <x:v>No</x:v>
      </x:c>
      <x:c r="G94" t="str">
        <x:f>INDEX(tblLedger[Variance],MATCH($A94,tblLedger[Ledger Record ID],0))</x:f>
      </x:c>
      <x:c r="H94" t="str">
        <x:f>IF(COUNTIF(tblLedger[Work Order #],B94)&gt;1,"Yes","No")</x:f>
        <x:v>No</x:v>
      </x:c>
      <x:c r="I94" t="str">
        <x:f>IF(C94="","Yes","No")</x:f>
        <x:v>No</x:v>
      </x:c>
      <x:c r="J94" t="str">
        <x:f>IF(INDEX(tblLedger[Mapping Status],MATCH($A94,tblLedger[Ledger Record ID],0))="MAPPING_HOLD","Yes","No")</x:f>
        <x:v>No</x:v>
      </x:c>
      <x:c r="K94" t="str">
        <x:f>IF(AND(OR(E94="No",E94="Pending"),IFERROR(INDEX(tblServiceEvents[Financial Scope],MATCH(C94,tblServiceEvents[Event #],0)),"Included")="Included"),"Yes","No")</x:f>
        <x:v>Yes</x:v>
      </x:c>
      <x:c r="L94" t="str">
        <x:f>IF(AND(E94="Yes",OR(F94="No",F94="Pending")),"Yes","No")</x:f>
        <x:v>No</x:v>
      </x:c>
      <x:c r="M94" t="str">
        <x:f>IF(OR(ABS(N(G94))&gt;0,INDEX(tblLedger[Reconciliation Status],MATCH($A94,tblLedger[Ledger Record ID],0))="BREAKDOWN_MISMATCH",INDEX(tblLedger[Reconciliation Status],MATCH($A94,tblLedger[Ledger Record ID],0))="ACH_MISMATCH"),"Yes","No")</x:f>
        <x:v>No</x:v>
      </x:c>
      <x:c r="N94" t="str">
        <x:f>IF(D94="","Yes","No")</x:f>
        <x:v>No</x:v>
      </x:c>
      <x:c r="O94" t="str">
        <x:f>IF(OR(INDEX(tblLedger[City],MATCH($A94,tblLedger[Ledger Record ID],0))="",INDEX(tblLedger[Jurisdiction],MATCH($A94,tblLedger[Ledger Record ID],0))=""),"Yes","No")</x:f>
        <x:v>No</x:v>
      </x:c>
      <x:c r="P94" t="str">
        <x:f>IF(COUNTIF({"Yes","No","Partial","Pending","Mapping Hold"},E94)=0,"Yes","No")</x:f>
        <x:v>No</x:v>
      </x:c>
      <x:c r="Q94" t="str">
        <x:f>IF(COUNTIF({"Yes","No","Partial","Pending","Mapping Review"},F94)=0,"Yes","No")</x:f>
        <x:v>No</x:v>
      </x:c>
      <x:c r="R94" t="str">
        <x:f>IF(J94="Yes","Mapping Hold",IF(I94="Yes","Missing Event Link",IF(H94="Yes","Duplicate WO",IF(M94="Yes","Revenue Variance",IF(K94="Yes","Missing Breakdown",IF(L94="Yes","Pending ACH",IF(E94="Partial","Partial Breakdown",IF(N94="Yes","Missing Client",IF(O94="Yes","Missing Location",IF(P94="Yes","Unknown Breakdown Status",IF(Q94="Yes","Unknown ACH Status","OK")))))))))))</x:f>
        <x:v>Missing Breakdown</x:v>
      </x:c>
      <x:c r="S94" t="str">
        <x:f>IF(OR(J94="Yes",I94="Yes",H94="Yes"),"Critical",IF(OR(M94="Yes",E94="Partial",N94="Yes",O94="Yes",P94="Yes",Q94="Yes"),"Warning",IF(OR(K94="Yes",L94="Yes"),"Informational","OK")))</x:f>
        <x:v>Informational</x:v>
      </x:c>
      <x:c r="T94" t="str">
        <x:f>IF(R94="Mapping Hold","Resolve mapping before update",IF(R94="Missing Event Link","Map to one authoritative event",IF(R94="Duplicate WO","Review duplicate identity",IF(R94="Revenue Variance","Reconcile or dispute amount",IF(R94="Missing Breakdown","Await breakdown",IF(R94="Pending ACH","Await ACH",IF(R94="Partial Breakdown","Confirm remaining breakdown",IF(R94="Missing Client","Add canonical client",IF(R94="Missing Location","Complete location fields",IF(R94="OK","No action","Review invalid status"))))))))))</x:f>
        <x:v>Await breakdown</x:v>
      </x:c>
      <x:c r="U94" t="str">
        <x:f>IF(R94="OK","No","Yes")</x:f>
        <x:v>Yes</x:v>
      </x:c>
      <x:c r="V94" t="n">
        <x:f>ABS(N(G94))</x:f>
        <x:v>0</x:v>
      </x:c>
    </x:row>
    <x:row r="95">
      <x:c r="A95" t="str">
        <x:v>LED-0065</x:v>
      </x:c>
      <x:c r="B95" t="n">
        <x:f>INDEX(tblLedger[Work Order #],MATCH($A95,tblLedger[Ledger Record ID],0))</x:f>
        <x:v>5916961</x:v>
      </x:c>
      <x:c r="C95" t="n">
        <x:f>INDEX(tblLedger[Event #],MATCH($A95,tblLedger[Ledger Record ID],0))</x:f>
        <x:v>64</x:v>
      </x:c>
      <x:c r="D95" t="str">
        <x:f>INDEX(tblLedger[Client],MATCH($A95,tblLedger[Ledger Record ID],0))</x:f>
        <x:v>Marshalls</x:v>
      </x:c>
      <x:c r="E95" t="str">
        <x:f>INDEX(tblLedger[Breakdown Confirmed],MATCH($A95,tblLedger[Ledger Record ID],0))</x:f>
        <x:v>Pending</x:v>
      </x:c>
      <x:c r="F95" t="str">
        <x:f>INDEX(tblLedger[ACH Confirmed],MATCH($A95,tblLedger[Ledger Record ID],0))</x:f>
        <x:v>No</x:v>
      </x:c>
      <x:c r="G95" t="str">
        <x:f>INDEX(tblLedger[Variance],MATCH($A95,tblLedger[Ledger Record ID],0))</x:f>
      </x:c>
      <x:c r="H95" t="str">
        <x:f>IF(COUNTIF(tblLedger[Work Order #],B95)&gt;1,"Yes","No")</x:f>
        <x:v>No</x:v>
      </x:c>
      <x:c r="I95" t="str">
        <x:f>IF(C95="","Yes","No")</x:f>
        <x:v>No</x:v>
      </x:c>
      <x:c r="J95" t="str">
        <x:f>IF(INDEX(tblLedger[Mapping Status],MATCH($A95,tblLedger[Ledger Record ID],0))="MAPPING_HOLD","Yes","No")</x:f>
        <x:v>No</x:v>
      </x:c>
      <x:c r="K95" t="str">
        <x:f>IF(AND(OR(E95="No",E95="Pending"),IFERROR(INDEX(tblServiceEvents[Financial Scope],MATCH(C95,tblServiceEvents[Event #],0)),"Included")="Included"),"Yes","No")</x:f>
        <x:v>Yes</x:v>
      </x:c>
      <x:c r="L95" t="str">
        <x:f>IF(AND(E95="Yes",OR(F95="No",F95="Pending")),"Yes","No")</x:f>
        <x:v>No</x:v>
      </x:c>
      <x:c r="M95" t="str">
        <x:f>IF(OR(ABS(N(G95))&gt;0,INDEX(tblLedger[Reconciliation Status],MATCH($A95,tblLedger[Ledger Record ID],0))="BREAKDOWN_MISMATCH",INDEX(tblLedger[Reconciliation Status],MATCH($A95,tblLedger[Ledger Record ID],0))="ACH_MISMATCH"),"Yes","No")</x:f>
        <x:v>No</x:v>
      </x:c>
      <x:c r="N95" t="str">
        <x:f>IF(D95="","Yes","No")</x:f>
        <x:v>No</x:v>
      </x:c>
      <x:c r="O95" t="str">
        <x:f>IF(OR(INDEX(tblLedger[City],MATCH($A95,tblLedger[Ledger Record ID],0))="",INDEX(tblLedger[Jurisdiction],MATCH($A95,tblLedger[Ledger Record ID],0))=""),"Yes","No")</x:f>
        <x:v>No</x:v>
      </x:c>
      <x:c r="P95" t="str">
        <x:f>IF(COUNTIF({"Yes","No","Partial","Pending","Mapping Hold"},E95)=0,"Yes","No")</x:f>
        <x:v>No</x:v>
      </x:c>
      <x:c r="Q95" t="str">
        <x:f>IF(COUNTIF({"Yes","No","Partial","Pending","Mapping Review"},F95)=0,"Yes","No")</x:f>
        <x:v>No</x:v>
      </x:c>
      <x:c r="R95" t="str">
        <x:f>IF(J95="Yes","Mapping Hold",IF(I95="Yes","Missing Event Link",IF(H95="Yes","Duplicate WO",IF(M95="Yes","Revenue Variance",IF(K95="Yes","Missing Breakdown",IF(L95="Yes","Pending ACH",IF(E95="Partial","Partial Breakdown",IF(N95="Yes","Missing Client",IF(O95="Yes","Missing Location",IF(P95="Yes","Unknown Breakdown Status",IF(Q95="Yes","Unknown ACH Status","OK")))))))))))</x:f>
        <x:v>Missing Breakdown</x:v>
      </x:c>
      <x:c r="S95" t="str">
        <x:f>IF(OR(J95="Yes",I95="Yes",H95="Yes"),"Critical",IF(OR(M95="Yes",E95="Partial",N95="Yes",O95="Yes",P95="Yes",Q95="Yes"),"Warning",IF(OR(K95="Yes",L95="Yes"),"Informational","OK")))</x:f>
        <x:v>Informational</x:v>
      </x:c>
      <x:c r="T95" t="str">
        <x:f>IF(R95="Mapping Hold","Resolve mapping before update",IF(R95="Missing Event Link","Map to one authoritative event",IF(R95="Duplicate WO","Review duplicate identity",IF(R95="Revenue Variance","Reconcile or dispute amount",IF(R95="Missing Breakdown","Await breakdown",IF(R95="Pending ACH","Await ACH",IF(R95="Partial Breakdown","Confirm remaining breakdown",IF(R95="Missing Client","Add canonical client",IF(R95="Missing Location","Complete location fields",IF(R95="OK","No action","Review invalid status"))))))))))</x:f>
        <x:v>Await breakdown</x:v>
      </x:c>
      <x:c r="U95" t="str">
        <x:f>IF(R95="OK","No","Yes")</x:f>
        <x:v>Yes</x:v>
      </x:c>
      <x:c r="V95" t="n">
        <x:f>ABS(N(G95))</x:f>
        <x:v>0</x:v>
      </x:c>
    </x:row>
    <x:row r="96">
      <x:c r="A96" s="287" t="str">
        <x:v>LED-0066</x:v>
      </x:c>
      <x:c r="B96" s="287" t="n">
        <x:f>INDEX(tblLedger[Work Order #],MATCH($A96,tblLedger[Ledger Record ID],0))</x:f>
        <x:v>5917407</x:v>
      </x:c>
      <x:c r="C96" s="287" t="n">
        <x:f>INDEX(tblLedger[Event #],MATCH($A96,tblLedger[Ledger Record ID],0))</x:f>
        <x:v>65</x:v>
      </x:c>
      <x:c r="D96" s="287" t="str">
        <x:f>INDEX(tblLedger[Client],MATCH($A96,tblLedger[Ledger Record ID],0))</x:f>
        <x:v>HomeGoods</x:v>
      </x:c>
      <x:c r="E96" s="287" t="str">
        <x:f>INDEX(tblLedger[Breakdown Confirmed],MATCH($A96,tblLedger[Ledger Record ID],0))</x:f>
        <x:v>Yes</x:v>
      </x:c>
      <x:c r="F96" s="287" t="str">
        <x:f>INDEX(tblLedger[ACH Confirmed],MATCH($A96,tblLedger[Ledger Record ID],0))</x:f>
        <x:v>No</x:v>
      </x:c>
      <x:c r="G96" s="287" t="n">
        <x:f>INDEX(tblLedger[Variance],MATCH($A96,tblLedger[Ledger Record ID],0))</x:f>
        <x:v>0</x:v>
      </x:c>
      <x:c r="H96" s="287" t="str">
        <x:f>IF(COUNTIF(tblLedger[Work Order #],B96)&gt;1,"Yes","No")</x:f>
        <x:v>No</x:v>
      </x:c>
      <x:c r="I96" s="287" t="str">
        <x:f>IF(C96="","Yes","No")</x:f>
        <x:v>No</x:v>
      </x:c>
      <x:c r="J96" s="287" t="str">
        <x:f>IF(INDEX(tblLedger[Mapping Status],MATCH($A96,tblLedger[Ledger Record ID],0))="MAPPING_HOLD","Yes","No")</x:f>
        <x:v>No</x:v>
      </x:c>
      <x:c r="K96" s="287" t="str">
        <x:f>IF(AND(OR(E96="No",E96="Pending"),IFERROR(INDEX(tblServiceEvents[Financial Scope],MATCH(C96,tblServiceEvents[Event #],0)),"Included")="Included"),"Yes","No")</x:f>
        <x:v>No</x:v>
      </x:c>
      <x:c r="L96" s="287" t="str">
        <x:f>IF(AND(E96="Yes",OR(F96="No",F96="Pending")),"Yes","No")</x:f>
        <x:v>Yes</x:v>
      </x:c>
      <x:c r="M96" s="287" t="str">
        <x:f>IF(OR(ABS(N(G96))&gt;0,INDEX(tblLedger[Reconciliation Status],MATCH($A96,tblLedger[Ledger Record ID],0))="BREAKDOWN_MISMATCH",INDEX(tblLedger[Reconciliation Status],MATCH($A96,tblLedger[Ledger Record ID],0))="ACH_MISMATCH"),"Yes","No")</x:f>
        <x:v>No</x:v>
      </x:c>
      <x:c r="N96" s="287" t="str">
        <x:f>IF(D96="","Yes","No")</x:f>
        <x:v>No</x:v>
      </x:c>
      <x:c r="O96" s="287" t="str">
        <x:f>IF(OR(INDEX(tblLedger[City],MATCH($A96,tblLedger[Ledger Record ID],0))="",INDEX(tblLedger[Jurisdiction],MATCH($A96,tblLedger[Ledger Record ID],0))=""),"Yes","No")</x:f>
        <x:v>No</x:v>
      </x:c>
      <x:c r="P96" s="287" t="str">
        <x:f>IF(COUNTIF({"Yes","No","Partial","Pending","Mapping Hold"},E96)=0,"Yes","No")</x:f>
        <x:v>No</x:v>
      </x:c>
      <x:c r="Q96" s="287" t="str">
        <x:f>IF(COUNTIF({"Yes","No","Partial","Pending","Mapping Review"},F96)=0,"Yes","No")</x:f>
        <x:v>No</x:v>
      </x:c>
      <x:c r="R96" s="287" t="str">
        <x:f>IF(J96="Yes","Mapping Hold",IF(I96="Yes","Missing Event Link",IF(H96="Yes","Duplicate WO",IF(M96="Yes","Revenue Variance",IF(K96="Yes","Missing Breakdown",IF(L96="Yes","Pending ACH",IF(E96="Partial","Partial Breakdown",IF(N96="Yes","Missing Client",IF(O96="Yes","Missing Location",IF(P96="Yes","Unknown Breakdown Status",IF(Q96="Yes","Unknown ACH Status","OK")))))))))))</x:f>
        <x:v>Pending ACH</x:v>
      </x:c>
      <x:c r="S96" t="str">
        <x:f>IF(OR(J96="Yes",I96="Yes",H96="Yes"),"Critical",IF(OR(M96="Yes",E96="Partial",N96="Yes",O96="Yes",P96="Yes",Q96="Yes"),"Warning",IF(OR(K96="Yes",L96="Yes"),"Informational","OK")))</x:f>
        <x:v>Informational</x:v>
      </x:c>
      <x:c r="T96" t="str">
        <x:f>IF(R96="Mapping Hold","Resolve mapping before update",IF(R96="Missing Event Link","Map to one authoritative event",IF(R96="Duplicate WO","Review duplicate identity",IF(R96="Revenue Variance","Reconcile or dispute amount",IF(R96="Missing Breakdown","Await breakdown",IF(R96="Pending ACH","Await ACH",IF(R96="Partial Breakdown","Confirm remaining breakdown",IF(R96="Missing Client","Add canonical client",IF(R96="Missing Location","Complete location fields",IF(R96="OK","No action","Review invalid status"))))))))))</x:f>
        <x:v>Await ACH</x:v>
      </x:c>
      <x:c r="U96" t="str">
        <x:f>IF(R96="OK","No","Yes")</x:f>
        <x:v>Yes</x:v>
      </x:c>
      <x:c r="V96" t="n">
        <x:f>ABS(N(G96))</x:f>
        <x:v>0</x:v>
      </x:c>
    </x:row>
    <x:row r="97">
      <x:c r="A97" s="294" t="str">
        <x:v>LED-0067</x:v>
      </x:c>
      <x:c r="B97" s="294" t="n">
        <x:f>INDEX(tblLedger[Work Order #],MATCH($A97,tblLedger[Ledger Record ID],0))</x:f>
        <x:v>5909385</x:v>
      </x:c>
      <x:c r="C97" s="294" t="n">
        <x:f>INDEX(tblLedger[Event #],MATCH($A97,tblLedger[Ledger Record ID],0))</x:f>
        <x:v>66</x:v>
      </x:c>
      <x:c r="D97" s="294" t="str">
        <x:f>INDEX(tblLedger[Client],MATCH($A97,tblLedger[Ledger Record ID],0))</x:f>
        <x:v>TJ Maxx</x:v>
      </x:c>
      <x:c r="E97" s="294" t="str">
        <x:f>INDEX(tblLedger[Breakdown Confirmed],MATCH($A97,tblLedger[Ledger Record ID],0))</x:f>
        <x:v>Pending</x:v>
      </x:c>
      <x:c r="F97" s="294" t="str">
        <x:f>INDEX(tblLedger[ACH Confirmed],MATCH($A97,tblLedger[Ledger Record ID],0))</x:f>
        <x:v>No</x:v>
      </x:c>
      <x:c r="G97" s="294" t="str">
        <x:f>INDEX(tblLedger[Variance],MATCH($A97,tblLedger[Ledger Record ID],0))</x:f>
      </x:c>
      <x:c r="H97" s="294" t="str">
        <x:f>IF(COUNTIF(tblLedger[Work Order #],B97)&gt;1,"Yes","No")</x:f>
        <x:v>No</x:v>
      </x:c>
      <x:c r="I97" s="294" t="str">
        <x:f>IF(C97="","Yes","No")</x:f>
        <x:v>No</x:v>
      </x:c>
      <x:c r="J97" s="294" t="str">
        <x:f>IF(INDEX(tblLedger[Mapping Status],MATCH($A97,tblLedger[Ledger Record ID],0))="MAPPING_HOLD","Yes","No")</x:f>
        <x:v>No</x:v>
      </x:c>
      <x:c r="K97" s="294" t="str">
        <x:f>IF(AND(OR(E97="No",E97="Pending"),IFERROR(INDEX(tblServiceEvents[Financial Scope],MATCH(C97,tblServiceEvents[Event #],0)),"Included")="Included"),"Yes","No")</x:f>
        <x:v>Yes</x:v>
      </x:c>
      <x:c r="L97" s="294" t="str">
        <x:f>IF(AND(E97="Yes",OR(F97="No",F97="Pending")),"Yes","No")</x:f>
        <x:v>No</x:v>
      </x:c>
      <x:c r="M97" s="294" t="str">
        <x:f>IF(OR(ABS(N(G97))&gt;0,INDEX(tblLedger[Reconciliation Status],MATCH($A97,tblLedger[Ledger Record ID],0))="BREAKDOWN_MISMATCH",INDEX(tblLedger[Reconciliation Status],MATCH($A97,tblLedger[Ledger Record ID],0))="ACH_MISMATCH"),"Yes","No")</x:f>
        <x:v>No</x:v>
      </x:c>
      <x:c r="N97" s="294" t="str">
        <x:f>IF(D97="","Yes","No")</x:f>
        <x:v>No</x:v>
      </x:c>
      <x:c r="O97" s="294" t="str">
        <x:f>IF(OR(INDEX(tblLedger[City],MATCH($A97,tblLedger[Ledger Record ID],0))="",INDEX(tblLedger[Jurisdiction],MATCH($A97,tblLedger[Ledger Record ID],0))=""),"Yes","No")</x:f>
        <x:v>No</x:v>
      </x:c>
      <x:c r="P97" s="294" t="str">
        <x:f>IF(COUNTIF({"Yes","No","Partial","Pending","Mapping Hold"},E97)=0,"Yes","No")</x:f>
        <x:v>No</x:v>
      </x:c>
      <x:c r="Q97" s="294" t="str">
        <x:f>IF(COUNTIF({"Yes","No","Partial","Pending","Mapping Review"},F97)=0,"Yes","No")</x:f>
        <x:v>No</x:v>
      </x:c>
      <x:c r="R97" s="294" t="str">
        <x:f>IF(J97="Yes","Mapping Hold",IF(I97="Yes","Missing Event Link",IF(H97="Yes","Duplicate WO",IF(M97="Yes","Revenue Variance",IF(K97="Yes","Missing Breakdown",IF(L97="Yes","Pending ACH",IF(E97="Partial","Partial Breakdown",IF(N97="Yes","Missing Client",IF(O97="Yes","Missing Location",IF(P97="Yes","Unknown Breakdown Status",IF(Q97="Yes","Unknown ACH Status","OK")))))))))))</x:f>
        <x:v>Missing Breakdown</x:v>
      </x:c>
      <x:c r="S97" t="str">
        <x:f>IF(OR(J97="Yes",I97="Yes",H97="Yes"),"Critical",IF(OR(M97="Yes",E97="Partial",N97="Yes",O97="Yes",P97="Yes",Q97="Yes"),"Warning",IF(OR(K97="Yes",L97="Yes"),"Informational","OK")))</x:f>
        <x:v>Informational</x:v>
      </x:c>
      <x:c r="T97" t="str">
        <x:f>IF(R97="Mapping Hold","Resolve mapping before update",IF(R97="Missing Event Link","Map to one authoritative event",IF(R97="Duplicate WO","Review duplicate identity",IF(R97="Revenue Variance","Reconcile or dispute amount",IF(R97="Missing Breakdown","Await breakdown",IF(R97="Pending ACH","Await ACH",IF(R97="Partial Breakdown","Confirm remaining breakdown",IF(R97="Missing Client","Add canonical client",IF(R97="Missing Location","Complete location fields",IF(R97="OK","No action","Review invalid status"))))))))))</x:f>
        <x:v>Await breakdown</x:v>
      </x:c>
      <x:c r="U97" t="str">
        <x:f>IF(R97="OK","No","Yes")</x:f>
        <x:v>Yes</x:v>
      </x:c>
      <x:c r="V97" t="n">
        <x:f>ABS(N(G97))</x:f>
        <x:v>0</x:v>
      </x:c>
    </x:row>
    <x:row r="98">
      <x:c r="A98" t="str">
        <x:v>LED-0068</x:v>
      </x:c>
      <x:c r="B98" t="n">
        <x:f>INDEX(tblLedger[Work Order #],MATCH($A98,tblLedger[Ledger Record ID],0))</x:f>
        <x:v>5914898</x:v>
      </x:c>
      <x:c r="C98" s="35" t="n">
        <x:f>INDEX(tblLedger[Event #],MATCH($A98,tblLedger[Ledger Record ID],0))</x:f>
        <x:v>67</x:v>
      </x:c>
      <x:c r="D98" t="str">
        <x:f>INDEX(tblLedger[Client],MATCH($A98,tblLedger[Ledger Record ID],0))</x:f>
        <x:v>Dunkin</x:v>
      </x:c>
      <x:c r="E98" t="str">
        <x:f>INDEX(tblLedger[Breakdown Confirmed],MATCH($A98,tblLedger[Ledger Record ID],0))</x:f>
        <x:v>Yes</x:v>
      </x:c>
      <x:c r="F98" t="str">
        <x:f>INDEX(tblLedger[ACH Confirmed],MATCH($A98,tblLedger[Ledger Record ID],0))</x:f>
        <x:v>No</x:v>
      </x:c>
      <x:c r="G98" t="str">
        <x:f>INDEX(tblLedger[Variance],MATCH($A98,tblLedger[Ledger Record ID],0))</x:f>
      </x:c>
      <x:c r="H98" t="str">
        <x:f>IF(COUNTIF(tblLedger[Work Order #],B98)&gt;1,"Yes","No")</x:f>
        <x:v>No</x:v>
      </x:c>
      <x:c r="I98" t="str">
        <x:f>IF(C98="","Yes","No")</x:f>
        <x:v>No</x:v>
      </x:c>
      <x:c r="J98" t="str">
        <x:f>IF(INDEX(tblLedger[Mapping Status],MATCH($A98,tblLedger[Ledger Record ID],0))="MAPPING_HOLD","Yes","No")</x:f>
        <x:v>No</x:v>
      </x:c>
      <x:c r="K98" t="str">
        <x:f>IF(AND(OR(E98="No",E98="Pending"),IFERROR(INDEX(tblServiceEvents[Financial Scope],MATCH(C98,tblServiceEvents[Event #],0)),"Included")="Included"),"Yes","No")</x:f>
        <x:v>No</x:v>
      </x:c>
      <x:c r="L98" t="str">
        <x:f>IF(AND(E98="Yes",OR(F98="No",F98="Pending")),"Yes","No")</x:f>
        <x:v>Yes</x:v>
      </x:c>
      <x:c r="M98" t="str">
        <x:f>IF(OR(ABS(N(G98))&gt;0,INDEX(tblLedger[Reconciliation Status],MATCH($A98,tblLedger[Ledger Record ID],0))="BREAKDOWN_MISMATCH",INDEX(tblLedger[Reconciliation Status],MATCH($A98,tblLedger[Ledger Record ID],0))="ACH_MISMATCH"),"Yes","No")</x:f>
        <x:v>No</x:v>
      </x:c>
      <x:c r="N98" t="str">
        <x:f>IF(D98="","Yes","No")</x:f>
        <x:v>No</x:v>
      </x:c>
      <x:c r="O98" t="str">
        <x:f>IF(OR(INDEX(tblLedger[City],MATCH($A98,tblLedger[Ledger Record ID],0))="",INDEX(tblLedger[Jurisdiction],MATCH($A98,tblLedger[Ledger Record ID],0))=""),"Yes","No")</x:f>
        <x:v>No</x:v>
      </x:c>
      <x:c r="P98" t="str">
        <x:f>IF(COUNTIF({"Yes","No","Partial","Pending","Mapping Hold"},E98)=0,"Yes","No")</x:f>
        <x:v>No</x:v>
      </x:c>
      <x:c r="Q98" t="str">
        <x:f>IF(COUNTIF({"Yes","No","Partial","Pending","Mapping Review"},F98)=0,"Yes","No")</x:f>
        <x:v>No</x:v>
      </x:c>
      <x:c r="R98" t="str">
        <x:f>IF(J98="Yes","Mapping Hold",IF(I98="Yes","Missing Event Link",IF(H98="Yes","Duplicate WO",IF(M98="Yes","Revenue Variance",IF(K98="Yes","Missing Breakdown",IF(L98="Yes","Pending ACH",IF(E98="Partial","Partial Breakdown",IF(N98="Yes","Missing Client",IF(O98="Yes","Missing Location",IF(P98="Yes","Unknown Breakdown Status",IF(Q98="Yes","Unknown ACH Status","OK")))))))))))</x:f>
        <x:v>Pending ACH</x:v>
      </x:c>
      <x:c r="S98" t="str">
        <x:f>IF(OR(J98="Yes",I98="Yes",H98="Yes"),"Critical",IF(OR(M98="Yes",E98="Partial",N98="Yes",O98="Yes",P98="Yes",Q98="Yes"),"Warning",IF(OR(K98="Yes",L98="Yes"),"Informational","OK")))</x:f>
        <x:v>Informational</x:v>
      </x:c>
      <x:c r="T98" t="str">
        <x:f>IF(R98="Mapping Hold","Resolve mapping before update",IF(R98="Missing Event Link","Map to one authoritative event",IF(R98="Duplicate WO","Review duplicate identity",IF(R98="Revenue Variance","Reconcile or dispute amount",IF(R98="Missing Breakdown","Await breakdown",IF(R98="Pending ACH","Await ACH",IF(R98="Partial Breakdown","Confirm remaining breakdown",IF(R98="Missing Client","Add canonical client",IF(R98="Missing Location","Complete location fields",IF(R98="OK","No action","Review invalid status"))))))))))</x:f>
        <x:v>Await ACH</x:v>
      </x:c>
      <x:c r="U98" t="str">
        <x:f>IF(R98="OK","No","Yes")</x:f>
        <x:v>Yes</x:v>
      </x:c>
      <x:c r="V98" t="n">
        <x:f>ABS(N(G98))</x:f>
        <x:v>0</x:v>
      </x:c>
    </x:row>
    <x:row r="99">
      <x:c r="A99" t="str">
        <x:v>Event #</x:v>
      </x:c>
      <x:c r="B99" t="str">
        <x:v>Client</x:v>
      </x:c>
      <x:c r="C99" s="35" t="str">
        <x:v>Service Date</x:v>
      </x:c>
      <x:c r="D99" t="str">
        <x:v>Weekday</x:v>
      </x:c>
      <x:c r="E99" t="str">
        <x:v>MY_MONTH</x:v>
      </x:c>
      <x:c r="F99" t="str">
        <x:v>Status</x:v>
      </x:c>
      <x:c r="G99" t="str">
        <x:v>City</x:v>
      </x:c>
      <x:c r="H99" t="str">
        <x:v>Jurisdiction</x:v>
      </x:c>
      <x:c r="I99" t="str">
        <x:v>Linked WO Count</x:v>
      </x:c>
      <x:c r="J99" t="str">
        <x:v>Duplicate Event #</x:v>
      </x:c>
      <x:c r="K99" t="str">
        <x:v>Missing Date</x:v>
      </x:c>
      <x:c r="L99" t="str">
        <x:v>Missing Client</x:v>
      </x:c>
      <x:c r="M99" t="str">
        <x:v>Missing Location</x:v>
      </x:c>
      <x:c r="N99" t="str">
        <x:v>Unknown Weekday</x:v>
      </x:c>
      <x:c r="O99" t="str">
        <x:v>Unknown MY_MONTH</x:v>
      </x:c>
      <x:c r="P99" t="str">
        <x:v>Primary Issue</x:v>
      </x:c>
      <x:c r="Q99" t="str">
        <x:v>Severity</x:v>
      </x:c>
      <x:c r="R99" t="str">
        <x:v>Open?</x:v>
      </x:c>
    </x:row>
    <x:row r="100">
      <x:c r="A100" t="n">
        <x:v>1</x:v>
      </x:c>
      <x:c r="B100" t="str">
        <x:f>INDEX(tblServiceEvents[Client],MATCH($A100,tblServiceEvents[Event #],0))</x:f>
        <x:v>Macy's</x:v>
      </x:c>
      <x:c r="C100" s="35" t="n">
        <x:f>INDEX(tblServiceEvents[Service Date],MATCH($A100,tblServiceEvents[Event #],0))</x:f>
        <x:v>46132</x:v>
      </x:c>
      <x:c r="D100" t="str">
        <x:f>INDEX(tblServiceEvents[Weekday],MATCH($A100,tblServiceEvents[Event #],0))</x:f>
        <x:v>Monday</x:v>
      </x:c>
      <x:c r="E100" t="str">
        <x:f>INDEX(tblServiceEvents[MY_MONTH],MATCH($A100,tblServiceEvents[Event #],0))</x:f>
        <x:v>MY_MONTH 1</x:v>
      </x:c>
      <x:c r="F100" t="str">
        <x:f>INDEX(tblServiceEvents[Status],MATCH($A100,tblServiceEvents[Event #],0))</x:f>
        <x:v>Completed</x:v>
      </x:c>
      <x:c r="G100" t="str">
        <x:f>INDEX(tblServiceEvents[City],MATCH($A100,tblServiceEvents[Event #],0))</x:f>
        <x:v>Fairfax</x:v>
      </x:c>
      <x:c r="H100" t="str">
        <x:f>INDEX(tblServiceEvents[Jurisdiction],MATCH($A100,tblServiceEvents[Event #],0))</x:f>
        <x:v>VA</x:v>
      </x:c>
      <x:c r="I100" t="n">
        <x:f>COUNTIF(tblLedger[Event #],A100)</x:f>
        <x:v>1</x:v>
      </x:c>
      <x:c r="J100" t="str">
        <x:f>IF(COUNTIF(tblServiceEvents[Event #],A100)&gt;1,"Yes","No")</x:f>
        <x:v>No</x:v>
      </x:c>
      <x:c r="K100" t="str">
        <x:f>IF(C100="","Yes","No")</x:f>
        <x:v>No</x:v>
      </x:c>
      <x:c r="L100" t="str">
        <x:f>IF(B100="","Yes","No")</x:f>
        <x:v>No</x:v>
      </x:c>
      <x:c r="M100" t="str">
        <x:f>IF(OR(G100="",H100=""),"Yes","No")</x:f>
        <x:v>No</x:v>
      </x:c>
      <x:c r="N100" t="str">
        <x:f>IF(COUNTIF({"Monday","Tuesday","Wednesday","Thursday","Friday"},D100)=0,"Yes","No")</x:f>
        <x:v>No</x:v>
      </x:c>
      <x:c r="O100" t="str">
        <x:f>IF(COUNTIF({"MY_MONTH 1","MY_MONTH 2","MY_MONTH 3"},E100)=0,"Yes","No")</x:f>
        <x:v>No</x:v>
      </x:c>
      <x:c r="P100" t="str">
        <x:f>IF(J100="Yes","Duplicate Event #",IF(K100="Yes","Missing Date",IF(L100="Yes","Missing Client",IF(M100="Yes","Missing Location",IF(N100="Yes","Unknown Weekday",IF(O100="Yes","Unknown MY_MONTH",IF(I100=0,"No Linked WO","OK")))))))</x:f>
        <x:v>OK</x:v>
      </x:c>
      <x:c r="Q100" t="str">
        <x:f>IF(J100="Yes","Critical",IF(OR(K100="Yes",L100="Yes",M100="Yes",N100="Yes",O100="Yes"),"Warning",IF(I100=0,"Informational","OK")))</x:f>
        <x:v>OK</x:v>
      </x:c>
      <x:c r="R100" t="str">
        <x:f>IF(P100="OK","No","Yes")</x:f>
        <x:v>No</x:v>
      </x:c>
    </x:row>
    <x:row r="101">
      <x:c r="A101" t="n">
        <x:v>2</x:v>
      </x:c>
      <x:c r="B101" t="str">
        <x:f>INDEX(tblServiceEvents[Client],MATCH($A101,tblServiceEvents[Event #],0))</x:f>
        <x:v>Bloomingdale's</x:v>
      </x:c>
      <x:c r="C101" s="35" t="n">
        <x:f>INDEX(tblServiceEvents[Service Date],MATCH($A101,tblServiceEvents[Event #],0))</x:f>
        <x:v>46133</x:v>
      </x:c>
      <x:c r="D101" t="str">
        <x:f>INDEX(tblServiceEvents[Weekday],MATCH($A101,tblServiceEvents[Event #],0))</x:f>
        <x:v>Tuesday</x:v>
      </x:c>
      <x:c r="E101" t="str">
        <x:f>INDEX(tblServiceEvents[MY_MONTH],MATCH($A101,tblServiceEvents[Event #],0))</x:f>
        <x:v>MY_MONTH 1</x:v>
      </x:c>
      <x:c r="F101" t="str">
        <x:f>INDEX(tblServiceEvents[Status],MATCH($A101,tblServiceEvents[Event #],0))</x:f>
        <x:v>Completed</x:v>
      </x:c>
      <x:c r="G101" t="str">
        <x:f>INDEX(tblServiceEvents[City],MATCH($A101,tblServiceEvents[Event #],0))</x:f>
        <x:v>Tysons</x:v>
      </x:c>
      <x:c r="H101" t="str">
        <x:f>INDEX(tblServiceEvents[Jurisdiction],MATCH($A101,tblServiceEvents[Event #],0))</x:f>
        <x:v>VA</x:v>
      </x:c>
      <x:c r="I101" t="n">
        <x:f>COUNTIF(tblLedger[Event #],A101)</x:f>
        <x:v>1</x:v>
      </x:c>
      <x:c r="J101" t="str">
        <x:f>IF(COUNTIF(tblServiceEvents[Event #],A101)&gt;1,"Yes","No")</x:f>
        <x:v>No</x:v>
      </x:c>
      <x:c r="K101" t="str">
        <x:f>IF(C101="","Yes","No")</x:f>
        <x:v>No</x:v>
      </x:c>
      <x:c r="L101" t="str">
        <x:f>IF(B101="","Yes","No")</x:f>
        <x:v>No</x:v>
      </x:c>
      <x:c r="M101" t="str">
        <x:f>IF(OR(G101="",H101=""),"Yes","No")</x:f>
        <x:v>No</x:v>
      </x:c>
      <x:c r="N101" t="str">
        <x:f>IF(COUNTIF({"Monday","Tuesday","Wednesday","Thursday","Friday"},D101)=0,"Yes","No")</x:f>
        <x:v>No</x:v>
      </x:c>
      <x:c r="O101" t="str">
        <x:f>IF(COUNTIF({"MY_MONTH 1","MY_MONTH 2","MY_MONTH 3"},E101)=0,"Yes","No")</x:f>
        <x:v>No</x:v>
      </x:c>
      <x:c r="P101" t="str">
        <x:f>IF(J101="Yes","Duplicate Event #",IF(K101="Yes","Missing Date",IF(L101="Yes","Missing Client",IF(M101="Yes","Missing Location",IF(N101="Yes","Unknown Weekday",IF(O101="Yes","Unknown MY_MONTH",IF(I101=0,"No Linked WO","OK")))))))</x:f>
        <x:v>OK</x:v>
      </x:c>
      <x:c r="Q101" t="str">
        <x:f>IF(J101="Yes","Critical",IF(OR(K101="Yes",L101="Yes",M101="Yes",N101="Yes",O101="Yes"),"Warning",IF(I101=0,"Informational","OK")))</x:f>
        <x:v>OK</x:v>
      </x:c>
      <x:c r="R101" t="str">
        <x:f>IF(P101="OK","No","Yes")</x:f>
        <x:v>No</x:v>
      </x:c>
    </x:row>
    <x:row r="102">
      <x:c r="A102" t="n">
        <x:v>3</x:v>
      </x:c>
      <x:c r="B102" t="str">
        <x:f>INDEX(tblServiceEvents[Client],MATCH($A102,tblServiceEvents[Event #],0))</x:f>
        <x:v>Bloomingdale's</x:v>
      </x:c>
      <x:c r="C102" s="35" t="n">
        <x:f>INDEX(tblServiceEvents[Service Date],MATCH($A102,tblServiceEvents[Event #],0))</x:f>
        <x:v>46134</x:v>
      </x:c>
      <x:c r="D102" t="str">
        <x:f>INDEX(tblServiceEvents[Weekday],MATCH($A102,tblServiceEvents[Event #],0))</x:f>
        <x:v>Wednesday</x:v>
      </x:c>
      <x:c r="E102" t="str">
        <x:f>INDEX(tblServiceEvents[MY_MONTH],MATCH($A102,tblServiceEvents[Event #],0))</x:f>
        <x:v>MY_MONTH 1</x:v>
      </x:c>
      <x:c r="F102" t="str">
        <x:f>INDEX(tblServiceEvents[Status],MATCH($A102,tblServiceEvents[Event #],0))</x:f>
        <x:v>Completed</x:v>
      </x:c>
      <x:c r="G102" t="str">
        <x:f>INDEX(tblServiceEvents[City],MATCH($A102,tblServiceEvents[Event #],0))</x:f>
        <x:v>Tysons</x:v>
      </x:c>
      <x:c r="H102" t="str">
        <x:f>INDEX(tblServiceEvents[Jurisdiction],MATCH($A102,tblServiceEvents[Event #],0))</x:f>
        <x:v>VA</x:v>
      </x:c>
      <x:c r="I102" t="n">
        <x:f>COUNTIF(tblLedger[Event #],A102)</x:f>
        <x:v>1</x:v>
      </x:c>
      <x:c r="J102" t="str">
        <x:f>IF(COUNTIF(tblServiceEvents[Event #],A102)&gt;1,"Yes","No")</x:f>
        <x:v>No</x:v>
      </x:c>
      <x:c r="K102" t="str">
        <x:f>IF(C102="","Yes","No")</x:f>
        <x:v>No</x:v>
      </x:c>
      <x:c r="L102" t="str">
        <x:f>IF(B102="","Yes","No")</x:f>
        <x:v>No</x:v>
      </x:c>
      <x:c r="M102" t="str">
        <x:f>IF(OR(G102="",H102=""),"Yes","No")</x:f>
        <x:v>No</x:v>
      </x:c>
      <x:c r="N102" t="str">
        <x:f>IF(COUNTIF({"Monday","Tuesday","Wednesday","Thursday","Friday"},D102)=0,"Yes","No")</x:f>
        <x:v>No</x:v>
      </x:c>
      <x:c r="O102" t="str">
        <x:f>IF(COUNTIF({"MY_MONTH 1","MY_MONTH 2","MY_MONTH 3"},E102)=0,"Yes","No")</x:f>
        <x:v>No</x:v>
      </x:c>
      <x:c r="P102" t="str">
        <x:f>IF(J102="Yes","Duplicate Event #",IF(K102="Yes","Missing Date",IF(L102="Yes","Missing Client",IF(M102="Yes","Missing Location",IF(N102="Yes","Unknown Weekday",IF(O102="Yes","Unknown MY_MONTH",IF(I102=0,"No Linked WO","OK")))))))</x:f>
        <x:v>OK</x:v>
      </x:c>
      <x:c r="Q102" t="str">
        <x:f>IF(J102="Yes","Critical",IF(OR(K102="Yes",L102="Yes",M102="Yes",N102="Yes",O102="Yes"),"Warning",IF(I102=0,"Informational","OK")))</x:f>
        <x:v>OK</x:v>
      </x:c>
      <x:c r="R102" t="str">
        <x:f>IF(P102="OK","No","Yes")</x:f>
        <x:v>No</x:v>
      </x:c>
    </x:row>
    <x:row r="103">
      <x:c r="A103" t="n">
        <x:v>4</x:v>
      </x:c>
      <x:c r="B103" t="str">
        <x:f>INDEX(tblServiceEvents[Client],MATCH($A103,tblServiceEvents[Event #],0))</x:f>
        <x:v>Macy's</x:v>
      </x:c>
      <x:c r="C103" s="35" t="n">
        <x:f>INDEX(tblServiceEvents[Service Date],MATCH($A103,tblServiceEvents[Event #],0))</x:f>
        <x:v>46135</x:v>
      </x:c>
      <x:c r="D103" t="str">
        <x:f>INDEX(tblServiceEvents[Weekday],MATCH($A103,tblServiceEvents[Event #],0))</x:f>
        <x:v>Thursday</x:v>
      </x:c>
      <x:c r="E103" t="str">
        <x:f>INDEX(tblServiceEvents[MY_MONTH],MATCH($A103,tblServiceEvents[Event #],0))</x:f>
        <x:v>MY_MONTH 1</x:v>
      </x:c>
      <x:c r="F103" t="str">
        <x:f>INDEX(tblServiceEvents[Status],MATCH($A103,tblServiceEvents[Event #],0))</x:f>
        <x:v>Completed</x:v>
      </x:c>
      <x:c r="G103" t="str">
        <x:f>INDEX(tblServiceEvents[City],MATCH($A103,tblServiceEvents[Event #],0))</x:f>
        <x:v>Frederick</x:v>
      </x:c>
      <x:c r="H103" t="str">
        <x:f>INDEX(tblServiceEvents[Jurisdiction],MATCH($A103,tblServiceEvents[Event #],0))</x:f>
        <x:v>MD</x:v>
      </x:c>
      <x:c r="I103" t="n">
        <x:f>COUNTIF(tblLedger[Event #],A103)</x:f>
        <x:v>1</x:v>
      </x:c>
      <x:c r="J103" t="str">
        <x:f>IF(COUNTIF(tblServiceEvents[Event #],A103)&gt;1,"Yes","No")</x:f>
        <x:v>No</x:v>
      </x:c>
      <x:c r="K103" t="str">
        <x:f>IF(C103="","Yes","No")</x:f>
        <x:v>No</x:v>
      </x:c>
      <x:c r="L103" t="str">
        <x:f>IF(B103="","Yes","No")</x:f>
        <x:v>No</x:v>
      </x:c>
      <x:c r="M103" t="str">
        <x:f>IF(OR(G103="",H103=""),"Yes","No")</x:f>
        <x:v>No</x:v>
      </x:c>
      <x:c r="N103" t="str">
        <x:f>IF(COUNTIF({"Monday","Tuesday","Wednesday","Thursday","Friday"},D103)=0,"Yes","No")</x:f>
        <x:v>No</x:v>
      </x:c>
      <x:c r="O103" t="str">
        <x:f>IF(COUNTIF({"MY_MONTH 1","MY_MONTH 2","MY_MONTH 3"},E103)=0,"Yes","No")</x:f>
        <x:v>No</x:v>
      </x:c>
      <x:c r="P103" t="str">
        <x:f>IF(J103="Yes","Duplicate Event #",IF(K103="Yes","Missing Date",IF(L103="Yes","Missing Client",IF(M103="Yes","Missing Location",IF(N103="Yes","Unknown Weekday",IF(O103="Yes","Unknown MY_MONTH",IF(I103=0,"No Linked WO","OK")))))))</x:f>
        <x:v>OK</x:v>
      </x:c>
      <x:c r="Q103" t="str">
        <x:f>IF(J103="Yes","Critical",IF(OR(K103="Yes",L103="Yes",M103="Yes",N103="Yes",O103="Yes"),"Warning",IF(I103=0,"Informational","OK")))</x:f>
        <x:v>OK</x:v>
      </x:c>
      <x:c r="R103" t="str">
        <x:f>IF(P103="OK","No","Yes")</x:f>
        <x:v>No</x:v>
      </x:c>
    </x:row>
    <x:row r="104">
      <x:c r="A104" t="n">
        <x:v>5</x:v>
      </x:c>
      <x:c r="B104" t="str">
        <x:f>INDEX(tblServiceEvents[Client],MATCH($A104,tblServiceEvents[Event #],0))</x:f>
        <x:v>Hampton Inn &amp; Suites</x:v>
      </x:c>
      <x:c r="C104" s="35" t="n">
        <x:f>INDEX(tblServiceEvents[Service Date],MATCH($A104,tblServiceEvents[Event #],0))</x:f>
        <x:v>46136</x:v>
      </x:c>
      <x:c r="D104" t="str">
        <x:f>INDEX(tblServiceEvents[Weekday],MATCH($A104,tblServiceEvents[Event #],0))</x:f>
        <x:v>Friday</x:v>
      </x:c>
      <x:c r="E104" t="str">
        <x:f>INDEX(tblServiceEvents[MY_MONTH],MATCH($A104,tblServiceEvents[Event #],0))</x:f>
        <x:v>MY_MONTH 1</x:v>
      </x:c>
      <x:c r="F104" t="str">
        <x:f>INDEX(tblServiceEvents[Status],MATCH($A104,tblServiceEvents[Event #],0))</x:f>
        <x:v>Completed</x:v>
      </x:c>
      <x:c r="G104" t="str">
        <x:f>INDEX(tblServiceEvents[City],MATCH($A104,tblServiceEvents[Event #],0))</x:f>
        <x:v>Washington</x:v>
      </x:c>
      <x:c r="H104" t="str">
        <x:f>INDEX(tblServiceEvents[Jurisdiction],MATCH($A104,tblServiceEvents[Event #],0))</x:f>
        <x:v>DC</x:v>
      </x:c>
      <x:c r="I104" t="n">
        <x:f>COUNTIF(tblLedger[Event #],A104)</x:f>
        <x:v>1</x:v>
      </x:c>
      <x:c r="J104" t="str">
        <x:f>IF(COUNTIF(tblServiceEvents[Event #],A104)&gt;1,"Yes","No")</x:f>
        <x:v>No</x:v>
      </x:c>
      <x:c r="K104" t="str">
        <x:f>IF(C104="","Yes","No")</x:f>
        <x:v>No</x:v>
      </x:c>
      <x:c r="L104" t="str">
        <x:f>IF(B104="","Yes","No")</x:f>
        <x:v>No</x:v>
      </x:c>
      <x:c r="M104" t="str">
        <x:f>IF(OR(G104="",H104=""),"Yes","No")</x:f>
        <x:v>No</x:v>
      </x:c>
      <x:c r="N104" t="str">
        <x:f>IF(COUNTIF({"Monday","Tuesday","Wednesday","Thursday","Friday"},D104)=0,"Yes","No")</x:f>
        <x:v>No</x:v>
      </x:c>
      <x:c r="O104" t="str">
        <x:f>IF(COUNTIF({"MY_MONTH 1","MY_MONTH 2","MY_MONTH 3"},E104)=0,"Yes","No")</x:f>
        <x:v>No</x:v>
      </x:c>
      <x:c r="P104" t="str">
        <x:f>IF(J104="Yes","Duplicate Event #",IF(K104="Yes","Missing Date",IF(L104="Yes","Missing Client",IF(M104="Yes","Missing Location",IF(N104="Yes","Unknown Weekday",IF(O104="Yes","Unknown MY_MONTH",IF(I104=0,"No Linked WO","OK")))))))</x:f>
        <x:v>OK</x:v>
      </x:c>
      <x:c r="Q104" t="str">
        <x:f>IF(J104="Yes","Critical",IF(OR(K104="Yes",L104="Yes",M104="Yes",N104="Yes",O104="Yes"),"Warning",IF(I104=0,"Informational","OK")))</x:f>
        <x:v>OK</x:v>
      </x:c>
      <x:c r="R104" t="str">
        <x:f>IF(P104="OK","No","Yes")</x:f>
        <x:v>No</x:v>
      </x:c>
    </x:row>
    <x:row r="105">
      <x:c r="A105" t="n">
        <x:v>6</x:v>
      </x:c>
      <x:c r="B105" t="str">
        <x:f>INDEX(tblServiceEvents[Client],MATCH($A105,tblServiceEvents[Event #],0))</x:f>
        <x:v>Macy's</x:v>
      </x:c>
      <x:c r="C105" s="35" t="n">
        <x:f>INDEX(tblServiceEvents[Service Date],MATCH($A105,tblServiceEvents[Event #],0))</x:f>
        <x:v>46139</x:v>
      </x:c>
      <x:c r="D105" t="str">
        <x:f>INDEX(tblServiceEvents[Weekday],MATCH($A105,tblServiceEvents[Event #],0))</x:f>
        <x:v>Monday</x:v>
      </x:c>
      <x:c r="E105" t="str">
        <x:f>INDEX(tblServiceEvents[MY_MONTH],MATCH($A105,tblServiceEvents[Event #],0))</x:f>
        <x:v>MY_MONTH 1</x:v>
      </x:c>
      <x:c r="F105" t="str">
        <x:f>INDEX(tblServiceEvents[Status],MATCH($A105,tblServiceEvents[Event #],0))</x:f>
        <x:v>Completed</x:v>
      </x:c>
      <x:c r="G105" t="str">
        <x:f>INDEX(tblServiceEvents[City],MATCH($A105,tblServiceEvents[Event #],0))</x:f>
        <x:v>Frederick</x:v>
      </x:c>
      <x:c r="H105" t="str">
        <x:f>INDEX(tblServiceEvents[Jurisdiction],MATCH($A105,tblServiceEvents[Event #],0))</x:f>
        <x:v>MD</x:v>
      </x:c>
      <x:c r="I105" t="n">
        <x:f>COUNTIF(tblLedger[Event #],A105)</x:f>
        <x:v>1</x:v>
      </x:c>
      <x:c r="J105" t="str">
        <x:f>IF(COUNTIF(tblServiceEvents[Event #],A105)&gt;1,"Yes","No")</x:f>
        <x:v>No</x:v>
      </x:c>
      <x:c r="K105" t="str">
        <x:f>IF(C105="","Yes","No")</x:f>
        <x:v>No</x:v>
      </x:c>
      <x:c r="L105" t="str">
        <x:f>IF(B105="","Yes","No")</x:f>
        <x:v>No</x:v>
      </x:c>
      <x:c r="M105" t="str">
        <x:f>IF(OR(G105="",H105=""),"Yes","No")</x:f>
        <x:v>No</x:v>
      </x:c>
      <x:c r="N105" t="str">
        <x:f>IF(COUNTIF({"Monday","Tuesday","Wednesday","Thursday","Friday"},D105)=0,"Yes","No")</x:f>
        <x:v>No</x:v>
      </x:c>
      <x:c r="O105" t="str">
        <x:f>IF(COUNTIF({"MY_MONTH 1","MY_MONTH 2","MY_MONTH 3"},E105)=0,"Yes","No")</x:f>
        <x:v>No</x:v>
      </x:c>
      <x:c r="P105" t="str">
        <x:f>IF(J105="Yes","Duplicate Event #",IF(K105="Yes","Missing Date",IF(L105="Yes","Missing Client",IF(M105="Yes","Missing Location",IF(N105="Yes","Unknown Weekday",IF(O105="Yes","Unknown MY_MONTH",IF(I105=0,"No Linked WO","OK")))))))</x:f>
        <x:v>OK</x:v>
      </x:c>
      <x:c r="Q105" t="str">
        <x:f>IF(J105="Yes","Critical",IF(OR(K105="Yes",L105="Yes",M105="Yes",N105="Yes",O105="Yes"),"Warning",IF(I105=0,"Informational","OK")))</x:f>
        <x:v>OK</x:v>
      </x:c>
      <x:c r="R105" t="str">
        <x:f>IF(P105="OK","No","Yes")</x:f>
        <x:v>No</x:v>
      </x:c>
    </x:row>
    <x:row r="106">
      <x:c r="A106" t="n">
        <x:v>7</x:v>
      </x:c>
      <x:c r="B106" t="str">
        <x:f>INDEX(tblServiceEvents[Client],MATCH($A106,tblServiceEvents[Event #],0))</x:f>
        <x:v>Davis Polk &amp; Wardwell</x:v>
      </x:c>
      <x:c r="C106" s="35" t="n">
        <x:f>INDEX(tblServiceEvents[Service Date],MATCH($A106,tblServiceEvents[Event #],0))</x:f>
        <x:v>46141</x:v>
      </x:c>
      <x:c r="D106" t="str">
        <x:f>INDEX(tblServiceEvents[Weekday],MATCH($A106,tblServiceEvents[Event #],0))</x:f>
        <x:v>Wednesday</x:v>
      </x:c>
      <x:c r="E106" t="str">
        <x:f>INDEX(tblServiceEvents[MY_MONTH],MATCH($A106,tblServiceEvents[Event #],0))</x:f>
        <x:v>MY_MONTH 1</x:v>
      </x:c>
      <x:c r="F106" t="str">
        <x:f>INDEX(tblServiceEvents[Status],MATCH($A106,tblServiceEvents[Event #],0))</x:f>
        <x:v>Completed</x:v>
      </x:c>
      <x:c r="G106" t="str">
        <x:f>INDEX(tblServiceEvents[City],MATCH($A106,tblServiceEvents[Event #],0))</x:f>
        <x:v>Washington</x:v>
      </x:c>
      <x:c r="H106" t="str">
        <x:f>INDEX(tblServiceEvents[Jurisdiction],MATCH($A106,tblServiceEvents[Event #],0))</x:f>
        <x:v>DC</x:v>
      </x:c>
      <x:c r="I106" t="n">
        <x:f>COUNTIF(tblLedger[Event #],A106)</x:f>
        <x:v>1</x:v>
      </x:c>
      <x:c r="J106" t="str">
        <x:f>IF(COUNTIF(tblServiceEvents[Event #],A106)&gt;1,"Yes","No")</x:f>
        <x:v>No</x:v>
      </x:c>
      <x:c r="K106" t="str">
        <x:f>IF(C106="","Yes","No")</x:f>
        <x:v>No</x:v>
      </x:c>
      <x:c r="L106" t="str">
        <x:f>IF(B106="","Yes","No")</x:f>
        <x:v>No</x:v>
      </x:c>
      <x:c r="M106" t="str">
        <x:f>IF(OR(G106="",H106=""),"Yes","No")</x:f>
        <x:v>No</x:v>
      </x:c>
      <x:c r="N106" t="str">
        <x:f>IF(COUNTIF({"Monday","Tuesday","Wednesday","Thursday","Friday"},D106)=0,"Yes","No")</x:f>
        <x:v>No</x:v>
      </x:c>
      <x:c r="O106" t="str">
        <x:f>IF(COUNTIF({"MY_MONTH 1","MY_MONTH 2","MY_MONTH 3"},E106)=0,"Yes","No")</x:f>
        <x:v>No</x:v>
      </x:c>
      <x:c r="P106" t="str">
        <x:f>IF(J106="Yes","Duplicate Event #",IF(K106="Yes","Missing Date",IF(L106="Yes","Missing Client",IF(M106="Yes","Missing Location",IF(N106="Yes","Unknown Weekday",IF(O106="Yes","Unknown MY_MONTH",IF(I106=0,"No Linked WO","OK")))))))</x:f>
        <x:v>OK</x:v>
      </x:c>
      <x:c r="Q106" t="str">
        <x:f>IF(J106="Yes","Critical",IF(OR(K106="Yes",L106="Yes",M106="Yes",N106="Yes",O106="Yes"),"Warning",IF(I106=0,"Informational","OK")))</x:f>
        <x:v>OK</x:v>
      </x:c>
      <x:c r="R106" t="str">
        <x:f>IF(P106="OK","No","Yes")</x:f>
        <x:v>No</x:v>
      </x:c>
    </x:row>
    <x:row r="107">
      <x:c r="A107" t="n">
        <x:v>8</x:v>
      </x:c>
      <x:c r="B107" t="str">
        <x:f>INDEX(tblServiceEvents[Client],MATCH($A107,tblServiceEvents[Event #],0))</x:f>
        <x:v>Hebrew Home of Greater Washington</x:v>
      </x:c>
      <x:c r="C107" s="35" t="n">
        <x:f>INDEX(tblServiceEvents[Service Date],MATCH($A107,tblServiceEvents[Event #],0))</x:f>
        <x:v>46141</x:v>
      </x:c>
      <x:c r="D107" t="str">
        <x:f>INDEX(tblServiceEvents[Weekday],MATCH($A107,tblServiceEvents[Event #],0))</x:f>
        <x:v>Wednesday</x:v>
      </x:c>
      <x:c r="E107" t="str">
        <x:f>INDEX(tblServiceEvents[MY_MONTH],MATCH($A107,tblServiceEvents[Event #],0))</x:f>
        <x:v>MY_MONTH 1</x:v>
      </x:c>
      <x:c r="F107" t="str">
        <x:f>INDEX(tblServiceEvents[Status],MATCH($A107,tblServiceEvents[Event #],0))</x:f>
        <x:v>Completed</x:v>
      </x:c>
      <x:c r="G107" t="str">
        <x:f>INDEX(tblServiceEvents[City],MATCH($A107,tblServiceEvents[Event #],0))</x:f>
        <x:v>North Bethesda</x:v>
      </x:c>
      <x:c r="H107" t="str">
        <x:f>INDEX(tblServiceEvents[Jurisdiction],MATCH($A107,tblServiceEvents[Event #],0))</x:f>
        <x:v>MD</x:v>
      </x:c>
      <x:c r="I107" t="n">
        <x:f>COUNTIF(tblLedger[Event #],A107)</x:f>
        <x:v>1</x:v>
      </x:c>
      <x:c r="J107" t="str">
        <x:f>IF(COUNTIF(tblServiceEvents[Event #],A107)&gt;1,"Yes","No")</x:f>
        <x:v>No</x:v>
      </x:c>
      <x:c r="K107" t="str">
        <x:f>IF(C107="","Yes","No")</x:f>
        <x:v>No</x:v>
      </x:c>
      <x:c r="L107" t="str">
        <x:f>IF(B107="","Yes","No")</x:f>
        <x:v>No</x:v>
      </x:c>
      <x:c r="M107" t="str">
        <x:f>IF(OR(G107="",H107=""),"Yes","No")</x:f>
        <x:v>No</x:v>
      </x:c>
      <x:c r="N107" t="str">
        <x:f>IF(COUNTIF({"Monday","Tuesday","Wednesday","Thursday","Friday"},D107)=0,"Yes","No")</x:f>
        <x:v>No</x:v>
      </x:c>
      <x:c r="O107" t="str">
        <x:f>IF(COUNTIF({"MY_MONTH 1","MY_MONTH 2","MY_MONTH 3"},E107)=0,"Yes","No")</x:f>
        <x:v>No</x:v>
      </x:c>
      <x:c r="P107" t="str">
        <x:f>IF(J107="Yes","Duplicate Event #",IF(K107="Yes","Missing Date",IF(L107="Yes","Missing Client",IF(M107="Yes","Missing Location",IF(N107="Yes","Unknown Weekday",IF(O107="Yes","Unknown MY_MONTH",IF(I107=0,"No Linked WO","OK")))))))</x:f>
        <x:v>OK</x:v>
      </x:c>
      <x:c r="Q107" t="str">
        <x:f>IF(J107="Yes","Critical",IF(OR(K107="Yes",L107="Yes",M107="Yes",N107="Yes",O107="Yes"),"Warning",IF(I107=0,"Informational","OK")))</x:f>
        <x:v>OK</x:v>
      </x:c>
      <x:c r="R107" t="str">
        <x:f>IF(P107="OK","No","Yes")</x:f>
        <x:v>No</x:v>
      </x:c>
    </x:row>
    <x:row r="108">
      <x:c r="A108" t="n">
        <x:v>9</x:v>
      </x:c>
      <x:c r="B108" t="str">
        <x:f>INDEX(tblServiceEvents[Client],MATCH($A108,tblServiceEvents[Event #],0))</x:f>
        <x:v>7-Eleven</x:v>
      </x:c>
      <x:c r="C108" s="35" t="n">
        <x:f>INDEX(tblServiceEvents[Service Date],MATCH($A108,tblServiceEvents[Event #],0))</x:f>
        <x:v>46142</x:v>
      </x:c>
      <x:c r="D108" t="str">
        <x:f>INDEX(tblServiceEvents[Weekday],MATCH($A108,tblServiceEvents[Event #],0))</x:f>
        <x:v>Thursday</x:v>
      </x:c>
      <x:c r="E108" t="str">
        <x:f>INDEX(tblServiceEvents[MY_MONTH],MATCH($A108,tblServiceEvents[Event #],0))</x:f>
        <x:v>MY_MONTH 1</x:v>
      </x:c>
      <x:c r="F108" t="str">
        <x:f>INDEX(tblServiceEvents[Status],MATCH($A108,tblServiceEvents[Event #],0))</x:f>
        <x:v>Completed</x:v>
      </x:c>
      <x:c r="G108" t="str">
        <x:f>INDEX(tblServiceEvents[City],MATCH($A108,tblServiceEvents[Event #],0))</x:f>
        <x:v>Baltimore</x:v>
      </x:c>
      <x:c r="H108" t="str">
        <x:f>INDEX(tblServiceEvents[Jurisdiction],MATCH($A108,tblServiceEvents[Event #],0))</x:f>
        <x:v>MD</x:v>
      </x:c>
      <x:c r="I108" t="n">
        <x:f>COUNTIF(tblLedger[Event #],A108)</x:f>
        <x:v>1</x:v>
      </x:c>
      <x:c r="J108" t="str">
        <x:f>IF(COUNTIF(tblServiceEvents[Event #],A108)&gt;1,"Yes","No")</x:f>
        <x:v>No</x:v>
      </x:c>
      <x:c r="K108" t="str">
        <x:f>IF(C108="","Yes","No")</x:f>
        <x:v>No</x:v>
      </x:c>
      <x:c r="L108" t="str">
        <x:f>IF(B108="","Yes","No")</x:f>
        <x:v>No</x:v>
      </x:c>
      <x:c r="M108" t="str">
        <x:f>IF(OR(G108="",H108=""),"Yes","No")</x:f>
        <x:v>No</x:v>
      </x:c>
      <x:c r="N108" t="str">
        <x:f>IF(COUNTIF({"Monday","Tuesday","Wednesday","Thursday","Friday"},D108)=0,"Yes","No")</x:f>
        <x:v>No</x:v>
      </x:c>
      <x:c r="O108" t="str">
        <x:f>IF(COUNTIF({"MY_MONTH 1","MY_MONTH 2","MY_MONTH 3"},E108)=0,"Yes","No")</x:f>
        <x:v>No</x:v>
      </x:c>
      <x:c r="P108" t="str">
        <x:f>IF(J108="Yes","Duplicate Event #",IF(K108="Yes","Missing Date",IF(L108="Yes","Missing Client",IF(M108="Yes","Missing Location",IF(N108="Yes","Unknown Weekday",IF(O108="Yes","Unknown MY_MONTH",IF(I108=0,"No Linked WO","OK")))))))</x:f>
        <x:v>OK</x:v>
      </x:c>
      <x:c r="Q108" t="str">
        <x:f>IF(J108="Yes","Critical",IF(OR(K108="Yes",L108="Yes",M108="Yes",N108="Yes",O108="Yes"),"Warning",IF(I108=0,"Informational","OK")))</x:f>
        <x:v>OK</x:v>
      </x:c>
      <x:c r="R108" t="str">
        <x:f>IF(P108="OK","No","Yes")</x:f>
        <x:v>No</x:v>
      </x:c>
    </x:row>
    <x:row r="109">
      <x:c r="A109" t="n">
        <x:v>10</x:v>
      </x:c>
      <x:c r="B109" t="str">
        <x:f>INDEX(tblServiceEvents[Client],MATCH($A109,tblServiceEvents[Event #],0))</x:f>
        <x:v>Giant Food Stores</x:v>
      </x:c>
      <x:c r="C109" s="35" t="n">
        <x:f>INDEX(tblServiceEvents[Service Date],MATCH($A109,tblServiceEvents[Event #],0))</x:f>
        <x:v>46147</x:v>
      </x:c>
      <x:c r="D109" t="str">
        <x:f>INDEX(tblServiceEvents[Weekday],MATCH($A109,tblServiceEvents[Event #],0))</x:f>
        <x:v>Tuesday</x:v>
      </x:c>
      <x:c r="E109" t="str">
        <x:f>INDEX(tblServiceEvents[MY_MONTH],MATCH($A109,tblServiceEvents[Event #],0))</x:f>
        <x:v>MY_MONTH 1</x:v>
      </x:c>
      <x:c r="F109" t="str">
        <x:f>INDEX(tblServiceEvents[Status],MATCH($A109,tblServiceEvents[Event #],0))</x:f>
        <x:v>Completed</x:v>
      </x:c>
      <x:c r="G109" t="str">
        <x:f>INDEX(tblServiceEvents[City],MATCH($A109,tblServiceEvents[Event #],0))</x:f>
        <x:v>Hanover</x:v>
      </x:c>
      <x:c r="H109" t="str">
        <x:f>INDEX(tblServiceEvents[Jurisdiction],MATCH($A109,tblServiceEvents[Event #],0))</x:f>
        <x:v>PA</x:v>
      </x:c>
      <x:c r="I109" t="n">
        <x:f>COUNTIF(tblLedger[Event #],A109)</x:f>
        <x:v>1</x:v>
      </x:c>
      <x:c r="J109" t="str">
        <x:f>IF(COUNTIF(tblServiceEvents[Event #],A109)&gt;1,"Yes","No")</x:f>
        <x:v>No</x:v>
      </x:c>
      <x:c r="K109" t="str">
        <x:f>IF(C109="","Yes","No")</x:f>
        <x:v>No</x:v>
      </x:c>
      <x:c r="L109" t="str">
        <x:f>IF(B109="","Yes","No")</x:f>
        <x:v>No</x:v>
      </x:c>
      <x:c r="M109" t="str">
        <x:f>IF(OR(G109="",H109=""),"Yes","No")</x:f>
        <x:v>No</x:v>
      </x:c>
      <x:c r="N109" t="str">
        <x:f>IF(COUNTIF({"Monday","Tuesday","Wednesday","Thursday","Friday"},D109)=0,"Yes","No")</x:f>
        <x:v>No</x:v>
      </x:c>
      <x:c r="O109" t="str">
        <x:f>IF(COUNTIF({"MY_MONTH 1","MY_MONTH 2","MY_MONTH 3"},E109)=0,"Yes","No")</x:f>
        <x:v>No</x:v>
      </x:c>
      <x:c r="P109" t="str">
        <x:f>IF(J109="Yes","Duplicate Event #",IF(K109="Yes","Missing Date",IF(L109="Yes","Missing Client",IF(M109="Yes","Missing Location",IF(N109="Yes","Unknown Weekday",IF(O109="Yes","Unknown MY_MONTH",IF(I109=0,"No Linked WO","OK")))))))</x:f>
        <x:v>OK</x:v>
      </x:c>
      <x:c r="Q109" t="str">
        <x:f>IF(J109="Yes","Critical",IF(OR(K109="Yes",L109="Yes",M109="Yes",N109="Yes",O109="Yes"),"Warning",IF(I109=0,"Informational","OK")))</x:f>
        <x:v>OK</x:v>
      </x:c>
      <x:c r="R109" t="str">
        <x:f>IF(P109="OK","No","Yes")</x:f>
        <x:v>No</x:v>
      </x:c>
    </x:row>
    <x:row r="110">
      <x:c r="A110" t="n">
        <x:v>11</x:v>
      </x:c>
      <x:c r="B110" t="str">
        <x:f>INDEX(tblServiceEvents[Client],MATCH($A110,tblServiceEvents[Event #],0))</x:f>
        <x:v>Food Lion</x:v>
      </x:c>
      <x:c r="C110" s="35" t="n">
        <x:f>INDEX(tblServiceEvents[Service Date],MATCH($A110,tblServiceEvents[Event #],0))</x:f>
        <x:v>46153</x:v>
      </x:c>
      <x:c r="D110" t="str">
        <x:f>INDEX(tblServiceEvents[Weekday],MATCH($A110,tblServiceEvents[Event #],0))</x:f>
        <x:v>Monday</x:v>
      </x:c>
      <x:c r="E110" t="str">
        <x:f>INDEX(tblServiceEvents[MY_MONTH],MATCH($A110,tblServiceEvents[Event #],0))</x:f>
        <x:v>MY_MONTH 1</x:v>
      </x:c>
      <x:c r="F110" t="str">
        <x:f>INDEX(tblServiceEvents[Status],MATCH($A110,tblServiceEvents[Event #],0))</x:f>
        <x:v>Completed</x:v>
      </x:c>
      <x:c r="G110" t="str">
        <x:f>INDEX(tblServiceEvents[City],MATCH($A110,tblServiceEvents[Event #],0))</x:f>
        <x:v>Leesburg</x:v>
      </x:c>
      <x:c r="H110" t="str">
        <x:f>INDEX(tblServiceEvents[Jurisdiction],MATCH($A110,tblServiceEvents[Event #],0))</x:f>
        <x:v>VA</x:v>
      </x:c>
      <x:c r="I110" t="n">
        <x:f>COUNTIF(tblLedger[Event #],A110)</x:f>
        <x:v>1</x:v>
      </x:c>
      <x:c r="J110" t="str">
        <x:f>IF(COUNTIF(tblServiceEvents[Event #],A110)&gt;1,"Yes","No")</x:f>
        <x:v>No</x:v>
      </x:c>
      <x:c r="K110" t="str">
        <x:f>IF(C110="","Yes","No")</x:f>
        <x:v>No</x:v>
      </x:c>
      <x:c r="L110" t="str">
        <x:f>IF(B110="","Yes","No")</x:f>
        <x:v>No</x:v>
      </x:c>
      <x:c r="M110" t="str">
        <x:f>IF(OR(G110="",H110=""),"Yes","No")</x:f>
        <x:v>No</x:v>
      </x:c>
      <x:c r="N110" t="str">
        <x:f>IF(COUNTIF({"Monday","Tuesday","Wednesday","Thursday","Friday"},D110)=0,"Yes","No")</x:f>
        <x:v>No</x:v>
      </x:c>
      <x:c r="O110" t="str">
        <x:f>IF(COUNTIF({"MY_MONTH 1","MY_MONTH 2","MY_MONTH 3"},E110)=0,"Yes","No")</x:f>
        <x:v>No</x:v>
      </x:c>
      <x:c r="P110" t="str">
        <x:f>IF(J110="Yes","Duplicate Event #",IF(K110="Yes","Missing Date",IF(L110="Yes","Missing Client",IF(M110="Yes","Missing Location",IF(N110="Yes","Unknown Weekday",IF(O110="Yes","Unknown MY_MONTH",IF(I110=0,"No Linked WO","OK")))))))</x:f>
        <x:v>OK</x:v>
      </x:c>
      <x:c r="Q110" t="str">
        <x:f>IF(J110="Yes","Critical",IF(OR(K110="Yes",L110="Yes",M110="Yes",N110="Yes",O110="Yes"),"Warning",IF(I110=0,"Informational","OK")))</x:f>
        <x:v>OK</x:v>
      </x:c>
      <x:c r="R110" t="str">
        <x:f>IF(P110="OK","No","Yes")</x:f>
        <x:v>No</x:v>
      </x:c>
    </x:row>
    <x:row r="111">
      <x:c r="A111" t="n">
        <x:v>12</x:v>
      </x:c>
      <x:c r="B111" t="str">
        <x:f>INDEX(tblServiceEvents[Client],MATCH($A111,tblServiceEvents[Event #],0))</x:f>
        <x:v>Weis Markets</x:v>
      </x:c>
      <x:c r="C111" s="35" t="n">
        <x:f>INDEX(tblServiceEvents[Service Date],MATCH($A111,tblServiceEvents[Event #],0))</x:f>
        <x:v>46154</x:v>
      </x:c>
      <x:c r="D111" t="str">
        <x:f>INDEX(tblServiceEvents[Weekday],MATCH($A111,tblServiceEvents[Event #],0))</x:f>
        <x:v>Tuesday</x:v>
      </x:c>
      <x:c r="E111" t="str">
        <x:f>INDEX(tblServiceEvents[MY_MONTH],MATCH($A111,tblServiceEvents[Event #],0))</x:f>
        <x:v>MY_MONTH 1</x:v>
      </x:c>
      <x:c r="F111" t="str">
        <x:f>INDEX(tblServiceEvents[Status],MATCH($A111,tblServiceEvents[Event #],0))</x:f>
        <x:v>Completed</x:v>
      </x:c>
      <x:c r="G111" t="str">
        <x:f>INDEX(tblServiceEvents[City],MATCH($A111,tblServiceEvents[Event #],0))</x:f>
        <x:v>Chambersburg</x:v>
      </x:c>
      <x:c r="H111" t="str">
        <x:f>INDEX(tblServiceEvents[Jurisdiction],MATCH($A111,tblServiceEvents[Event #],0))</x:f>
        <x:v>PA</x:v>
      </x:c>
      <x:c r="I111" t="n">
        <x:f>COUNTIF(tblLedger[Event #],A111)</x:f>
        <x:v>1</x:v>
      </x:c>
      <x:c r="J111" t="str">
        <x:f>IF(COUNTIF(tblServiceEvents[Event #],A111)&gt;1,"Yes","No")</x:f>
        <x:v>No</x:v>
      </x:c>
      <x:c r="K111" t="str">
        <x:f>IF(C111="","Yes","No")</x:f>
        <x:v>No</x:v>
      </x:c>
      <x:c r="L111" t="str">
        <x:f>IF(B111="","Yes","No")</x:f>
        <x:v>No</x:v>
      </x:c>
      <x:c r="M111" t="str">
        <x:f>IF(OR(G111="",H111=""),"Yes","No")</x:f>
        <x:v>No</x:v>
      </x:c>
      <x:c r="N111" t="str">
        <x:f>IF(COUNTIF({"Monday","Tuesday","Wednesday","Thursday","Friday"},D111)=0,"Yes","No")</x:f>
        <x:v>No</x:v>
      </x:c>
      <x:c r="O111" t="str">
        <x:f>IF(COUNTIF({"MY_MONTH 1","MY_MONTH 2","MY_MONTH 3"},E111)=0,"Yes","No")</x:f>
        <x:v>No</x:v>
      </x:c>
      <x:c r="P111" t="str">
        <x:f>IF(J111="Yes","Duplicate Event #",IF(K111="Yes","Missing Date",IF(L111="Yes","Missing Client",IF(M111="Yes","Missing Location",IF(N111="Yes","Unknown Weekday",IF(O111="Yes","Unknown MY_MONTH",IF(I111=0,"No Linked WO","OK")))))))</x:f>
        <x:v>OK</x:v>
      </x:c>
      <x:c r="Q111" t="str">
        <x:f>IF(J111="Yes","Critical",IF(OR(K111="Yes",L111="Yes",M111="Yes",N111="Yes",O111="Yes"),"Warning",IF(I111=0,"Informational","OK")))</x:f>
        <x:v>OK</x:v>
      </x:c>
      <x:c r="R111" t="str">
        <x:f>IF(P111="OK","No","Yes")</x:f>
        <x:v>No</x:v>
      </x:c>
    </x:row>
    <x:row r="112">
      <x:c r="A112" t="n">
        <x:v>13</x:v>
      </x:c>
      <x:c r="B112" t="str">
        <x:f>INDEX(tblServiceEvents[Client],MATCH($A112,tblServiceEvents[Event #],0))</x:f>
        <x:v>Office of MD Senator Chris Van Hollen</x:v>
      </x:c>
      <x:c r="C112" s="35" t="n">
        <x:f>INDEX(tblServiceEvents[Service Date],MATCH($A112,tblServiceEvents[Event #],0))</x:f>
        <x:v>46155</x:v>
      </x:c>
      <x:c r="D112" t="str">
        <x:f>INDEX(tblServiceEvents[Weekday],MATCH($A112,tblServiceEvents[Event #],0))</x:f>
        <x:v>Wednesday</x:v>
      </x:c>
      <x:c r="E112" t="str">
        <x:f>INDEX(tblServiceEvents[MY_MONTH],MATCH($A112,tblServiceEvents[Event #],0))</x:f>
        <x:v>MY_MONTH 1</x:v>
      </x:c>
      <x:c r="F112" t="str">
        <x:f>INDEX(tblServiceEvents[Status],MATCH($A112,tblServiceEvents[Event #],0))</x:f>
        <x:v>Completed</x:v>
      </x:c>
      <x:c r="G112" t="str">
        <x:f>INDEX(tblServiceEvents[City],MATCH($A112,tblServiceEvents[Event #],0))</x:f>
        <x:v>Rockville</x:v>
      </x:c>
      <x:c r="H112" t="str">
        <x:f>INDEX(tblServiceEvents[Jurisdiction],MATCH($A112,tblServiceEvents[Event #],0))</x:f>
        <x:v>MD</x:v>
      </x:c>
      <x:c r="I112" t="n">
        <x:f>COUNTIF(tblLedger[Event #],A112)</x:f>
        <x:v>1</x:v>
      </x:c>
      <x:c r="J112" t="str">
        <x:f>IF(COUNTIF(tblServiceEvents[Event #],A112)&gt;1,"Yes","No")</x:f>
        <x:v>No</x:v>
      </x:c>
      <x:c r="K112" t="str">
        <x:f>IF(C112="","Yes","No")</x:f>
        <x:v>No</x:v>
      </x:c>
      <x:c r="L112" t="str">
        <x:f>IF(B112="","Yes","No")</x:f>
        <x:v>No</x:v>
      </x:c>
      <x:c r="M112" t="str">
        <x:f>IF(OR(G112="",H112=""),"Yes","No")</x:f>
        <x:v>No</x:v>
      </x:c>
      <x:c r="N112" t="str">
        <x:f>IF(COUNTIF({"Monday","Tuesday","Wednesday","Thursday","Friday"},D112)=0,"Yes","No")</x:f>
        <x:v>No</x:v>
      </x:c>
      <x:c r="O112" t="str">
        <x:f>IF(COUNTIF({"MY_MONTH 1","MY_MONTH 2","MY_MONTH 3"},E112)=0,"Yes","No")</x:f>
        <x:v>No</x:v>
      </x:c>
      <x:c r="P112" t="str">
        <x:f>IF(J112="Yes","Duplicate Event #",IF(K112="Yes","Missing Date",IF(L112="Yes","Missing Client",IF(M112="Yes","Missing Location",IF(N112="Yes","Unknown Weekday",IF(O112="Yes","Unknown MY_MONTH",IF(I112=0,"No Linked WO","OK")))))))</x:f>
        <x:v>OK</x:v>
      </x:c>
      <x:c r="Q112" t="str">
        <x:f>IF(J112="Yes","Critical",IF(OR(K112="Yes",L112="Yes",M112="Yes",N112="Yes",O112="Yes"),"Warning",IF(I112=0,"Informational","OK")))</x:f>
        <x:v>OK</x:v>
      </x:c>
      <x:c r="R112" t="str">
        <x:f>IF(P112="OK","No","Yes")</x:f>
        <x:v>No</x:v>
      </x:c>
    </x:row>
    <x:row r="113">
      <x:c r="A113" t="n">
        <x:v>14</x:v>
      </x:c>
      <x:c r="B113" t="str">
        <x:f>INDEX(tblServiceEvents[Client],MATCH($A113,tblServiceEvents[Event #],0))</x:f>
        <x:v>Residential – Annapolis Neck, MD</x:v>
      </x:c>
      <x:c r="C113" s="35" t="n">
        <x:f>INDEX(tblServiceEvents[Service Date],MATCH($A113,tblServiceEvents[Event #],0))</x:f>
        <x:v>46155</x:v>
      </x:c>
      <x:c r="D113" t="str">
        <x:f>INDEX(tblServiceEvents[Weekday],MATCH($A113,tblServiceEvents[Event #],0))</x:f>
        <x:v>Wednesday</x:v>
      </x:c>
      <x:c r="E113" t="str">
        <x:f>INDEX(tblServiceEvents[MY_MONTH],MATCH($A113,tblServiceEvents[Event #],0))</x:f>
        <x:v>MY_MONTH 1</x:v>
      </x:c>
      <x:c r="F113" t="str">
        <x:f>INDEX(tblServiceEvents[Status],MATCH($A113,tblServiceEvents[Event #],0))</x:f>
        <x:v>Completed</x:v>
      </x:c>
      <x:c r="G113" t="str">
        <x:f>INDEX(tblServiceEvents[City],MATCH($A113,tblServiceEvents[Event #],0))</x:f>
        <x:v>Annapolis Neck</x:v>
      </x:c>
      <x:c r="H113" t="str">
        <x:f>INDEX(tblServiceEvents[Jurisdiction],MATCH($A113,tblServiceEvents[Event #],0))</x:f>
        <x:v>MD</x:v>
      </x:c>
      <x:c r="I113" t="n">
        <x:f>COUNTIF(tblLedger[Event #],A113)</x:f>
        <x:v>1</x:v>
      </x:c>
      <x:c r="J113" t="str">
        <x:f>IF(COUNTIF(tblServiceEvents[Event #],A113)&gt;1,"Yes","No")</x:f>
        <x:v>No</x:v>
      </x:c>
      <x:c r="K113" t="str">
        <x:f>IF(C113="","Yes","No")</x:f>
        <x:v>No</x:v>
      </x:c>
      <x:c r="L113" t="str">
        <x:f>IF(B113="","Yes","No")</x:f>
        <x:v>No</x:v>
      </x:c>
      <x:c r="M113" t="str">
        <x:f>IF(OR(G113="",H113=""),"Yes","No")</x:f>
        <x:v>No</x:v>
      </x:c>
      <x:c r="N113" t="str">
        <x:f>IF(COUNTIF({"Monday","Tuesday","Wednesday","Thursday","Friday"},D113)=0,"Yes","No")</x:f>
        <x:v>No</x:v>
      </x:c>
      <x:c r="O113" t="str">
        <x:f>IF(COUNTIF({"MY_MONTH 1","MY_MONTH 2","MY_MONTH 3"},E113)=0,"Yes","No")</x:f>
        <x:v>No</x:v>
      </x:c>
      <x:c r="P113" t="str">
        <x:f>IF(J113="Yes","Duplicate Event #",IF(K113="Yes","Missing Date",IF(L113="Yes","Missing Client",IF(M113="Yes","Missing Location",IF(N113="Yes","Unknown Weekday",IF(O113="Yes","Unknown MY_MONTH",IF(I113=0,"No Linked WO","OK")))))))</x:f>
        <x:v>OK</x:v>
      </x:c>
      <x:c r="Q113" t="str">
        <x:f>IF(J113="Yes","Critical",IF(OR(K113="Yes",L113="Yes",M113="Yes",N113="Yes",O113="Yes"),"Warning",IF(I113=0,"Informational","OK")))</x:f>
        <x:v>OK</x:v>
      </x:c>
      <x:c r="R113" t="str">
        <x:f>IF(P113="OK","No","Yes")</x:f>
        <x:v>No</x:v>
      </x:c>
    </x:row>
    <x:row r="114">
      <x:c r="A114" t="n">
        <x:v>15</x:v>
      </x:c>
      <x:c r="B114" t="str">
        <x:f>INDEX(tblServiceEvents[Client],MATCH($A114,tblServiceEvents[Event #],0))</x:f>
        <x:v>Verizon</x:v>
      </x:c>
      <x:c r="C114" s="35" t="n">
        <x:f>INDEX(tblServiceEvents[Service Date],MATCH($A114,tblServiceEvents[Event #],0))</x:f>
        <x:v>46156</x:v>
      </x:c>
      <x:c r="D114" t="str">
        <x:f>INDEX(tblServiceEvents[Weekday],MATCH($A114,tblServiceEvents[Event #],0))</x:f>
        <x:v>Thursday</x:v>
      </x:c>
      <x:c r="E114" t="str">
        <x:f>INDEX(tblServiceEvents[MY_MONTH],MATCH($A114,tblServiceEvents[Event #],0))</x:f>
        <x:v>MY_MONTH 1</x:v>
      </x:c>
      <x:c r="F114" t="str">
        <x:f>INDEX(tblServiceEvents[Status],MATCH($A114,tblServiceEvents[Event #],0))</x:f>
        <x:v>Completed</x:v>
      </x:c>
      <x:c r="G114" t="str">
        <x:f>INDEX(tblServiceEvents[City],MATCH($A114,tblServiceEvents[Event #],0))</x:f>
        <x:v>College Park</x:v>
      </x:c>
      <x:c r="H114" t="str">
        <x:f>INDEX(tblServiceEvents[Jurisdiction],MATCH($A114,tblServiceEvents[Event #],0))</x:f>
        <x:v>MD</x:v>
      </x:c>
      <x:c r="I114" t="n">
        <x:f>COUNTIF(tblLedger[Event #],A114)</x:f>
        <x:v>1</x:v>
      </x:c>
      <x:c r="J114" t="str">
        <x:f>IF(COUNTIF(tblServiceEvents[Event #],A114)&gt;1,"Yes","No")</x:f>
        <x:v>No</x:v>
      </x:c>
      <x:c r="K114" t="str">
        <x:f>IF(C114="","Yes","No")</x:f>
        <x:v>No</x:v>
      </x:c>
      <x:c r="L114" t="str">
        <x:f>IF(B114="","Yes","No")</x:f>
        <x:v>No</x:v>
      </x:c>
      <x:c r="M114" t="str">
        <x:f>IF(OR(G114="",H114=""),"Yes","No")</x:f>
        <x:v>No</x:v>
      </x:c>
      <x:c r="N114" t="str">
        <x:f>IF(COUNTIF({"Monday","Tuesday","Wednesday","Thursday","Friday"},D114)=0,"Yes","No")</x:f>
        <x:v>No</x:v>
      </x:c>
      <x:c r="O114" t="str">
        <x:f>IF(COUNTIF({"MY_MONTH 1","MY_MONTH 2","MY_MONTH 3"},E114)=0,"Yes","No")</x:f>
        <x:v>No</x:v>
      </x:c>
      <x:c r="P114" t="str">
        <x:f>IF(J114="Yes","Duplicate Event #",IF(K114="Yes","Missing Date",IF(L114="Yes","Missing Client",IF(M114="Yes","Missing Location",IF(N114="Yes","Unknown Weekday",IF(O114="Yes","Unknown MY_MONTH",IF(I114=0,"No Linked WO","OK")))))))</x:f>
        <x:v>OK</x:v>
      </x:c>
      <x:c r="Q114" t="str">
        <x:f>IF(J114="Yes","Critical",IF(OR(K114="Yes",L114="Yes",M114="Yes",N114="Yes",O114="Yes"),"Warning",IF(I114=0,"Informational","OK")))</x:f>
        <x:v>OK</x:v>
      </x:c>
      <x:c r="R114" t="str">
        <x:f>IF(P114="OK","No","Yes")</x:f>
        <x:v>No</x:v>
      </x:c>
    </x:row>
    <x:row r="115">
      <x:c r="A115" t="n">
        <x:v>16</x:v>
      </x:c>
      <x:c r="B115" t="str">
        <x:f>INDEX(tblServiceEvents[Client],MATCH($A115,tblServiceEvents[Event #],0))</x:f>
        <x:v>Atrium Village</x:v>
      </x:c>
      <x:c r="C115" s="35" t="n">
        <x:f>INDEX(tblServiceEvents[Service Date],MATCH($A115,tblServiceEvents[Event #],0))</x:f>
        <x:v>46157</x:v>
      </x:c>
      <x:c r="D115" t="str">
        <x:f>INDEX(tblServiceEvents[Weekday],MATCH($A115,tblServiceEvents[Event #],0))</x:f>
        <x:v>Friday</x:v>
      </x:c>
      <x:c r="E115" t="str">
        <x:f>INDEX(tblServiceEvents[MY_MONTH],MATCH($A115,tblServiceEvents[Event #],0))</x:f>
        <x:v>MY_MONTH 1</x:v>
      </x:c>
      <x:c r="F115" t="str">
        <x:f>INDEX(tblServiceEvents[Status],MATCH($A115,tblServiceEvents[Event #],0))</x:f>
        <x:v>Completed</x:v>
      </x:c>
      <x:c r="G115" t="str">
        <x:f>INDEX(tblServiceEvents[City],MATCH($A115,tblServiceEvents[Event #],0))</x:f>
        <x:v>Owings Mills</x:v>
      </x:c>
      <x:c r="H115" t="str">
        <x:f>INDEX(tblServiceEvents[Jurisdiction],MATCH($A115,tblServiceEvents[Event #],0))</x:f>
        <x:v>MD</x:v>
      </x:c>
      <x:c r="I115" t="n">
        <x:f>COUNTIF(tblLedger[Event #],A115)</x:f>
        <x:v>1</x:v>
      </x:c>
      <x:c r="J115" t="str">
        <x:f>IF(COUNTIF(tblServiceEvents[Event #],A115)&gt;1,"Yes","No")</x:f>
        <x:v>No</x:v>
      </x:c>
      <x:c r="K115" t="str">
        <x:f>IF(C115="","Yes","No")</x:f>
        <x:v>No</x:v>
      </x:c>
      <x:c r="L115" t="str">
        <x:f>IF(B115="","Yes","No")</x:f>
        <x:v>No</x:v>
      </x:c>
      <x:c r="M115" t="str">
        <x:f>IF(OR(G115="",H115=""),"Yes","No")</x:f>
        <x:v>No</x:v>
      </x:c>
      <x:c r="N115" t="str">
        <x:f>IF(COUNTIF({"Monday","Tuesday","Wednesday","Thursday","Friday"},D115)=0,"Yes","No")</x:f>
        <x:v>No</x:v>
      </x:c>
      <x:c r="O115" t="str">
        <x:f>IF(COUNTIF({"MY_MONTH 1","MY_MONTH 2","MY_MONTH 3"},E115)=0,"Yes","No")</x:f>
        <x:v>No</x:v>
      </x:c>
      <x:c r="P115" t="str">
        <x:f>IF(J115="Yes","Duplicate Event #",IF(K115="Yes","Missing Date",IF(L115="Yes","Missing Client",IF(M115="Yes","Missing Location",IF(N115="Yes","Unknown Weekday",IF(O115="Yes","Unknown MY_MONTH",IF(I115=0,"No Linked WO","OK")))))))</x:f>
        <x:v>OK</x:v>
      </x:c>
      <x:c r="Q115" t="str">
        <x:f>IF(J115="Yes","Critical",IF(OR(K115="Yes",L115="Yes",M115="Yes",N115="Yes",O115="Yes"),"Warning",IF(I115=0,"Informational","OK")))</x:f>
        <x:v>OK</x:v>
      </x:c>
      <x:c r="R115" t="str">
        <x:f>IF(P115="OK","No","Yes")</x:f>
        <x:v>No</x:v>
      </x:c>
    </x:row>
    <x:row r="116">
      <x:c r="A116" t="n">
        <x:v>17</x:v>
      </x:c>
      <x:c r="B116" t="str">
        <x:f>INDEX(tblServiceEvents[Client],MATCH($A116,tblServiceEvents[Event #],0))</x:f>
        <x:v>Maryland Baptist Age Home</x:v>
      </x:c>
      <x:c r="C116" s="35" t="n">
        <x:f>INDEX(tblServiceEvents[Service Date],MATCH($A116,tblServiceEvents[Event #],0))</x:f>
        <x:v>46161</x:v>
      </x:c>
      <x:c r="D116" t="str">
        <x:f>INDEX(tblServiceEvents[Weekday],MATCH($A116,tblServiceEvents[Event #],0))</x:f>
        <x:v>Tuesday</x:v>
      </x:c>
      <x:c r="E116" t="str">
        <x:f>INDEX(tblServiceEvents[MY_MONTH],MATCH($A116,tblServiceEvents[Event #],0))</x:f>
        <x:v>MY_MONTH 1</x:v>
      </x:c>
      <x:c r="F116" t="str">
        <x:f>INDEX(tblServiceEvents[Status],MATCH($A116,tblServiceEvents[Event #],0))</x:f>
        <x:v>Completed</x:v>
      </x:c>
      <x:c r="G116" t="str">
        <x:f>INDEX(tblServiceEvents[City],MATCH($A116,tblServiceEvents[Event #],0))</x:f>
        <x:v>Baltimore</x:v>
      </x:c>
      <x:c r="H116" t="str">
        <x:f>INDEX(tblServiceEvents[Jurisdiction],MATCH($A116,tblServiceEvents[Event #],0))</x:f>
        <x:v>MD</x:v>
      </x:c>
      <x:c r="I116" t="n">
        <x:f>COUNTIF(tblLedger[Event #],A116)</x:f>
        <x:v>1</x:v>
      </x:c>
      <x:c r="J116" t="str">
        <x:f>IF(COUNTIF(tblServiceEvents[Event #],A116)&gt;1,"Yes","No")</x:f>
        <x:v>No</x:v>
      </x:c>
      <x:c r="K116" t="str">
        <x:f>IF(C116="","Yes","No")</x:f>
        <x:v>No</x:v>
      </x:c>
      <x:c r="L116" t="str">
        <x:f>IF(B116="","Yes","No")</x:f>
        <x:v>No</x:v>
      </x:c>
      <x:c r="M116" t="str">
        <x:f>IF(OR(G116="",H116=""),"Yes","No")</x:f>
        <x:v>No</x:v>
      </x:c>
      <x:c r="N116" t="str">
        <x:f>IF(COUNTIF({"Monday","Tuesday","Wednesday","Thursday","Friday"},D116)=0,"Yes","No")</x:f>
        <x:v>No</x:v>
      </x:c>
      <x:c r="O116" t="str">
        <x:f>IF(COUNTIF({"MY_MONTH 1","MY_MONTH 2","MY_MONTH 3"},E116)=0,"Yes","No")</x:f>
        <x:v>No</x:v>
      </x:c>
      <x:c r="P116" t="str">
        <x:f>IF(J116="Yes","Duplicate Event #",IF(K116="Yes","Missing Date",IF(L116="Yes","Missing Client",IF(M116="Yes","Missing Location",IF(N116="Yes","Unknown Weekday",IF(O116="Yes","Unknown MY_MONTH",IF(I116=0,"No Linked WO","OK")))))))</x:f>
        <x:v>OK</x:v>
      </x:c>
      <x:c r="Q116" t="str">
        <x:f>IF(J116="Yes","Critical",IF(OR(K116="Yes",L116="Yes",M116="Yes",N116="Yes",O116="Yes"),"Warning",IF(I116=0,"Informational","OK")))</x:f>
        <x:v>OK</x:v>
      </x:c>
      <x:c r="R116" t="str">
        <x:f>IF(P116="OK","No","Yes")</x:f>
        <x:v>No</x:v>
      </x:c>
    </x:row>
    <x:row r="117">
      <x:c r="A117" t="n">
        <x:v>18</x:v>
      </x:c>
      <x:c r="B117" t="str">
        <x:f>INDEX(tblServiceEvents[Client],MATCH($A117,tblServiceEvents[Event #],0))</x:f>
        <x:v>Under Armour</x:v>
      </x:c>
      <x:c r="C117" s="35" t="n">
        <x:f>INDEX(tblServiceEvents[Service Date],MATCH($A117,tblServiceEvents[Event #],0))</x:f>
        <x:v>46162</x:v>
      </x:c>
      <x:c r="D117" t="str">
        <x:f>INDEX(tblServiceEvents[Weekday],MATCH($A117,tblServiceEvents[Event #],0))</x:f>
        <x:v>Wednesday</x:v>
      </x:c>
      <x:c r="E117" t="str">
        <x:f>INDEX(tblServiceEvents[MY_MONTH],MATCH($A117,tblServiceEvents[Event #],0))</x:f>
        <x:v>MY_MONTH 1</x:v>
      </x:c>
      <x:c r="F117" t="str">
        <x:f>INDEX(tblServiceEvents[Status],MATCH($A117,tblServiceEvents[Event #],0))</x:f>
        <x:v>Completed</x:v>
      </x:c>
      <x:c r="G117" t="str">
        <x:f>INDEX(tblServiceEvents[City],MATCH($A117,tblServiceEvents[Event #],0))</x:f>
        <x:v>Hanover</x:v>
      </x:c>
      <x:c r="H117" t="str">
        <x:f>INDEX(tblServiceEvents[Jurisdiction],MATCH($A117,tblServiceEvents[Event #],0))</x:f>
        <x:v>MD</x:v>
      </x:c>
      <x:c r="I117" t="n">
        <x:f>COUNTIF(tblLedger[Event #],A117)</x:f>
        <x:v>1</x:v>
      </x:c>
      <x:c r="J117" t="str">
        <x:f>IF(COUNTIF(tblServiceEvents[Event #],A117)&gt;1,"Yes","No")</x:f>
        <x:v>No</x:v>
      </x:c>
      <x:c r="K117" t="str">
        <x:f>IF(C117="","Yes","No")</x:f>
        <x:v>No</x:v>
      </x:c>
      <x:c r="L117" t="str">
        <x:f>IF(B117="","Yes","No")</x:f>
        <x:v>No</x:v>
      </x:c>
      <x:c r="M117" t="str">
        <x:f>IF(OR(G117="",H117=""),"Yes","No")</x:f>
        <x:v>No</x:v>
      </x:c>
      <x:c r="N117" t="str">
        <x:f>IF(COUNTIF({"Monday","Tuesday","Wednesday","Thursday","Friday"},D117)=0,"Yes","No")</x:f>
        <x:v>No</x:v>
      </x:c>
      <x:c r="O117" t="str">
        <x:f>IF(COUNTIF({"MY_MONTH 1","MY_MONTH 2","MY_MONTH 3"},E117)=0,"Yes","No")</x:f>
        <x:v>No</x:v>
      </x:c>
      <x:c r="P117" t="str">
        <x:f>IF(J117="Yes","Duplicate Event #",IF(K117="Yes","Missing Date",IF(L117="Yes","Missing Client",IF(M117="Yes","Missing Location",IF(N117="Yes","Unknown Weekday",IF(O117="Yes","Unknown MY_MONTH",IF(I117=0,"No Linked WO","OK")))))))</x:f>
        <x:v>OK</x:v>
      </x:c>
      <x:c r="Q117" t="str">
        <x:f>IF(J117="Yes","Critical",IF(OR(K117="Yes",L117="Yes",M117="Yes",N117="Yes",O117="Yes"),"Warning",IF(I117=0,"Informational","OK")))</x:f>
        <x:v>OK</x:v>
      </x:c>
      <x:c r="R117" t="str">
        <x:f>IF(P117="OK","No","Yes")</x:f>
        <x:v>No</x:v>
      </x:c>
    </x:row>
    <x:row r="118">
      <x:c r="A118" t="n">
        <x:v>19</x:v>
      </x:c>
      <x:c r="B118" t="str">
        <x:f>INDEX(tblServiceEvents[Client],MATCH($A118,tblServiceEvents[Event #],0))</x:f>
        <x:v>Under Armour</x:v>
      </x:c>
      <x:c r="C118" s="35" t="n">
        <x:f>INDEX(tblServiceEvents[Service Date],MATCH($A118,tblServiceEvents[Event #],0))</x:f>
        <x:v>46163</x:v>
      </x:c>
      <x:c r="D118" t="str">
        <x:f>INDEX(tblServiceEvents[Weekday],MATCH($A118,tblServiceEvents[Event #],0))</x:f>
        <x:v>Thursday</x:v>
      </x:c>
      <x:c r="E118" t="str">
        <x:f>INDEX(tblServiceEvents[MY_MONTH],MATCH($A118,tblServiceEvents[Event #],0))</x:f>
        <x:v>MY_MONTH 1</x:v>
      </x:c>
      <x:c r="F118" t="str">
        <x:f>INDEX(tblServiceEvents[Status],MATCH($A118,tblServiceEvents[Event #],0))</x:f>
        <x:v>Completed</x:v>
      </x:c>
      <x:c r="G118" t="str">
        <x:f>INDEX(tblServiceEvents[City],MATCH($A118,tblServiceEvents[Event #],0))</x:f>
        <x:v>Hanover</x:v>
      </x:c>
      <x:c r="H118" t="str">
        <x:f>INDEX(tblServiceEvents[Jurisdiction],MATCH($A118,tblServiceEvents[Event #],0))</x:f>
        <x:v>MD</x:v>
      </x:c>
      <x:c r="I118" t="n">
        <x:f>COUNTIF(tblLedger[Event #],A118)</x:f>
        <x:v>1</x:v>
      </x:c>
      <x:c r="J118" t="str">
        <x:f>IF(COUNTIF(tblServiceEvents[Event #],A118)&gt;1,"Yes","No")</x:f>
        <x:v>No</x:v>
      </x:c>
      <x:c r="K118" t="str">
        <x:f>IF(C118="","Yes","No")</x:f>
        <x:v>No</x:v>
      </x:c>
      <x:c r="L118" t="str">
        <x:f>IF(B118="","Yes","No")</x:f>
        <x:v>No</x:v>
      </x:c>
      <x:c r="M118" t="str">
        <x:f>IF(OR(G118="",H118=""),"Yes","No")</x:f>
        <x:v>No</x:v>
      </x:c>
      <x:c r="N118" t="str">
        <x:f>IF(COUNTIF({"Monday","Tuesday","Wednesday","Thursday","Friday"},D118)=0,"Yes","No")</x:f>
        <x:v>No</x:v>
      </x:c>
      <x:c r="O118" t="str">
        <x:f>IF(COUNTIF({"MY_MONTH 1","MY_MONTH 2","MY_MONTH 3"},E118)=0,"Yes","No")</x:f>
        <x:v>No</x:v>
      </x:c>
      <x:c r="P118" t="str">
        <x:f>IF(J118="Yes","Duplicate Event #",IF(K118="Yes","Missing Date",IF(L118="Yes","Missing Client",IF(M118="Yes","Missing Location",IF(N118="Yes","Unknown Weekday",IF(O118="Yes","Unknown MY_MONTH",IF(I118=0,"No Linked WO","OK")))))))</x:f>
        <x:v>OK</x:v>
      </x:c>
      <x:c r="Q118" t="str">
        <x:f>IF(J118="Yes","Critical",IF(OR(K118="Yes",L118="Yes",M118="Yes",N118="Yes",O118="Yes"),"Warning",IF(I118=0,"Informational","OK")))</x:f>
        <x:v>OK</x:v>
      </x:c>
      <x:c r="R118" t="str">
        <x:f>IF(P118="OK","No","Yes")</x:f>
        <x:v>No</x:v>
      </x:c>
    </x:row>
    <x:row r="119">
      <x:c r="A119" t="n">
        <x:v>20</x:v>
      </x:c>
      <x:c r="B119" t="str">
        <x:f>INDEX(tblServiceEvents[Client],MATCH($A119,tblServiceEvents[Event #],0))</x:f>
        <x:v>Giant Food Stores</x:v>
      </x:c>
      <x:c r="C119" s="35" t="n">
        <x:f>INDEX(tblServiceEvents[Service Date],MATCH($A119,tblServiceEvents[Event #],0))</x:f>
        <x:v>46163</x:v>
      </x:c>
      <x:c r="D119" t="str">
        <x:f>INDEX(tblServiceEvents[Weekday],MATCH($A119,tblServiceEvents[Event #],0))</x:f>
        <x:v>Thursday</x:v>
      </x:c>
      <x:c r="E119" t="str">
        <x:f>INDEX(tblServiceEvents[MY_MONTH],MATCH($A119,tblServiceEvents[Event #],0))</x:f>
        <x:v>MY_MONTH 1</x:v>
      </x:c>
      <x:c r="F119" t="str">
        <x:f>INDEX(tblServiceEvents[Status],MATCH($A119,tblServiceEvents[Event #],0))</x:f>
        <x:v>Completed</x:v>
      </x:c>
      <x:c r="G119" t="str">
        <x:f>INDEX(tblServiceEvents[City],MATCH($A119,tblServiceEvents[Event #],0))</x:f>
        <x:v>Red Lion</x:v>
      </x:c>
      <x:c r="H119" t="str">
        <x:f>INDEX(tblServiceEvents[Jurisdiction],MATCH($A119,tblServiceEvents[Event #],0))</x:f>
        <x:v>PA</x:v>
      </x:c>
      <x:c r="I119" t="n">
        <x:f>COUNTIF(tblLedger[Event #],A119)</x:f>
        <x:v>1</x:v>
      </x:c>
      <x:c r="J119" t="str">
        <x:f>IF(COUNTIF(tblServiceEvents[Event #],A119)&gt;1,"Yes","No")</x:f>
        <x:v>No</x:v>
      </x:c>
      <x:c r="K119" t="str">
        <x:f>IF(C119="","Yes","No")</x:f>
        <x:v>No</x:v>
      </x:c>
      <x:c r="L119" t="str">
        <x:f>IF(B119="","Yes","No")</x:f>
        <x:v>No</x:v>
      </x:c>
      <x:c r="M119" t="str">
        <x:f>IF(OR(G119="",H119=""),"Yes","No")</x:f>
        <x:v>No</x:v>
      </x:c>
      <x:c r="N119" t="str">
        <x:f>IF(COUNTIF({"Monday","Tuesday","Wednesday","Thursday","Friday"},D119)=0,"Yes","No")</x:f>
        <x:v>No</x:v>
      </x:c>
      <x:c r="O119" t="str">
        <x:f>IF(COUNTIF({"MY_MONTH 1","MY_MONTH 2","MY_MONTH 3"},E119)=0,"Yes","No")</x:f>
        <x:v>No</x:v>
      </x:c>
      <x:c r="P119" t="str">
        <x:f>IF(J119="Yes","Duplicate Event #",IF(K119="Yes","Missing Date",IF(L119="Yes","Missing Client",IF(M119="Yes","Missing Location",IF(N119="Yes","Unknown Weekday",IF(O119="Yes","Unknown MY_MONTH",IF(I119=0,"No Linked WO","OK")))))))</x:f>
        <x:v>OK</x:v>
      </x:c>
      <x:c r="Q119" t="str">
        <x:f>IF(J119="Yes","Critical",IF(OR(K119="Yes",L119="Yes",M119="Yes",N119="Yes",O119="Yes"),"Warning",IF(I119=0,"Informational","OK")))</x:f>
        <x:v>OK</x:v>
      </x:c>
      <x:c r="R119" t="str">
        <x:f>IF(P119="OK","No","Yes")</x:f>
        <x:v>No</x:v>
      </x:c>
    </x:row>
    <x:row r="120">
      <x:c r="A120" t="n">
        <x:v>21</x:v>
      </x:c>
      <x:c r="B120" t="str">
        <x:f>INDEX(tblServiceEvents[Client],MATCH($A120,tblServiceEvents[Event #],0))</x:f>
        <x:v>Food Lion</x:v>
      </x:c>
      <x:c r="C120" s="35" t="n">
        <x:f>INDEX(tblServiceEvents[Service Date],MATCH($A120,tblServiceEvents[Event #],0))</x:f>
        <x:v>46168</x:v>
      </x:c>
      <x:c r="D120" t="str">
        <x:f>INDEX(tblServiceEvents[Weekday],MATCH($A120,tblServiceEvents[Event #],0))</x:f>
        <x:v>Tuesday</x:v>
      </x:c>
      <x:c r="E120" t="str">
        <x:f>INDEX(tblServiceEvents[MY_MONTH],MATCH($A120,tblServiceEvents[Event #],0))</x:f>
        <x:v>MY_MONTH 2</x:v>
      </x:c>
      <x:c r="F120" t="str">
        <x:f>INDEX(tblServiceEvents[Status],MATCH($A120,tblServiceEvents[Event #],0))</x:f>
        <x:v>Completed</x:v>
      </x:c>
      <x:c r="G120" t="str">
        <x:f>INDEX(tblServiceEvents[City],MATCH($A120,tblServiceEvents[Event #],0))</x:f>
        <x:v>Middle River</x:v>
      </x:c>
      <x:c r="H120" t="str">
        <x:f>INDEX(tblServiceEvents[Jurisdiction],MATCH($A120,tblServiceEvents[Event #],0))</x:f>
        <x:v>MD</x:v>
      </x:c>
      <x:c r="I120" t="n">
        <x:f>COUNTIF(tblLedger[Event #],A120)</x:f>
        <x:v>1</x:v>
      </x:c>
      <x:c r="J120" t="str">
        <x:f>IF(COUNTIF(tblServiceEvents[Event #],A120)&gt;1,"Yes","No")</x:f>
        <x:v>No</x:v>
      </x:c>
      <x:c r="K120" t="str">
        <x:f>IF(C120="","Yes","No")</x:f>
        <x:v>No</x:v>
      </x:c>
      <x:c r="L120" t="str">
        <x:f>IF(B120="","Yes","No")</x:f>
        <x:v>No</x:v>
      </x:c>
      <x:c r="M120" t="str">
        <x:f>IF(OR(G120="",H120=""),"Yes","No")</x:f>
        <x:v>No</x:v>
      </x:c>
      <x:c r="N120" t="str">
        <x:f>IF(COUNTIF({"Monday","Tuesday","Wednesday","Thursday","Friday"},D120)=0,"Yes","No")</x:f>
        <x:v>No</x:v>
      </x:c>
      <x:c r="O120" t="str">
        <x:f>IF(COUNTIF({"MY_MONTH 1","MY_MONTH 2","MY_MONTH 3"},E120)=0,"Yes","No")</x:f>
        <x:v>No</x:v>
      </x:c>
      <x:c r="P120" t="str">
        <x:f>IF(J120="Yes","Duplicate Event #",IF(K120="Yes","Missing Date",IF(L120="Yes","Missing Client",IF(M120="Yes","Missing Location",IF(N120="Yes","Unknown Weekday",IF(O120="Yes","Unknown MY_MONTH",IF(I120=0,"No Linked WO","OK")))))))</x:f>
        <x:v>OK</x:v>
      </x:c>
      <x:c r="Q120" t="str">
        <x:f>IF(J120="Yes","Critical",IF(OR(K120="Yes",L120="Yes",M120="Yes",N120="Yes",O120="Yes"),"Warning",IF(I120=0,"Informational","OK")))</x:f>
        <x:v>OK</x:v>
      </x:c>
      <x:c r="R120" t="str">
        <x:f>IF(P120="OK","No","Yes")</x:f>
        <x:v>No</x:v>
      </x:c>
    </x:row>
    <x:row r="121">
      <x:c r="A121" t="n">
        <x:v>22</x:v>
      </x:c>
      <x:c r="B121" t="str">
        <x:f>INDEX(tblServiceEvents[Client],MATCH($A121,tblServiceEvents[Event #],0))</x:f>
        <x:v>HomeGoods</x:v>
      </x:c>
      <x:c r="C121" s="35" t="n">
        <x:f>INDEX(tblServiceEvents[Service Date],MATCH($A121,tblServiceEvents[Event #],0))</x:f>
        <x:v>46168</x:v>
      </x:c>
      <x:c r="D121" t="str">
        <x:f>INDEX(tblServiceEvents[Weekday],MATCH($A121,tblServiceEvents[Event #],0))</x:f>
        <x:v>Tuesday</x:v>
      </x:c>
      <x:c r="E121" t="str">
        <x:f>INDEX(tblServiceEvents[MY_MONTH],MATCH($A121,tblServiceEvents[Event #],0))</x:f>
        <x:v>MY_MONTH 2</x:v>
      </x:c>
      <x:c r="F121" t="str">
        <x:f>INDEX(tblServiceEvents[Status],MATCH($A121,tblServiceEvents[Event #],0))</x:f>
        <x:v>Completed</x:v>
      </x:c>
      <x:c r="G121" t="str">
        <x:f>INDEX(tblServiceEvents[City],MATCH($A121,tblServiceEvents[Event #],0))</x:f>
        <x:v>Gaithersburg</x:v>
      </x:c>
      <x:c r="H121" t="str">
        <x:f>INDEX(tblServiceEvents[Jurisdiction],MATCH($A121,tblServiceEvents[Event #],0))</x:f>
        <x:v>MD</x:v>
      </x:c>
      <x:c r="I121" t="n">
        <x:f>COUNTIF(tblLedger[Event #],A121)</x:f>
        <x:v>1</x:v>
      </x:c>
      <x:c r="J121" t="str">
        <x:f>IF(COUNTIF(tblServiceEvents[Event #],A121)&gt;1,"Yes","No")</x:f>
        <x:v>No</x:v>
      </x:c>
      <x:c r="K121" t="str">
        <x:f>IF(C121="","Yes","No")</x:f>
        <x:v>No</x:v>
      </x:c>
      <x:c r="L121" t="str">
        <x:f>IF(B121="","Yes","No")</x:f>
        <x:v>No</x:v>
      </x:c>
      <x:c r="M121" t="str">
        <x:f>IF(OR(G121="",H121=""),"Yes","No")</x:f>
        <x:v>No</x:v>
      </x:c>
      <x:c r="N121" t="str">
        <x:f>IF(COUNTIF({"Monday","Tuesday","Wednesday","Thursday","Friday"},D121)=0,"Yes","No")</x:f>
        <x:v>No</x:v>
      </x:c>
      <x:c r="O121" t="str">
        <x:f>IF(COUNTIF({"MY_MONTH 1","MY_MONTH 2","MY_MONTH 3"},E121)=0,"Yes","No")</x:f>
        <x:v>No</x:v>
      </x:c>
      <x:c r="P121" t="str">
        <x:f>IF(J121="Yes","Duplicate Event #",IF(K121="Yes","Missing Date",IF(L121="Yes","Missing Client",IF(M121="Yes","Missing Location",IF(N121="Yes","Unknown Weekday",IF(O121="Yes","Unknown MY_MONTH",IF(I121=0,"No Linked WO","OK")))))))</x:f>
        <x:v>OK</x:v>
      </x:c>
      <x:c r="Q121" t="str">
        <x:f>IF(J121="Yes","Critical",IF(OR(K121="Yes",L121="Yes",M121="Yes",N121="Yes",O121="Yes"),"Warning",IF(I121=0,"Informational","OK")))</x:f>
        <x:v>OK</x:v>
      </x:c>
      <x:c r="R121" t="str">
        <x:f>IF(P121="OK","No","Yes")</x:f>
        <x:v>No</x:v>
      </x:c>
    </x:row>
    <x:row r="122">
      <x:c r="A122" t="n">
        <x:v>23</x:v>
      </x:c>
      <x:c r="B122" t="str">
        <x:f>INDEX(tblServiceEvents[Client],MATCH($A122,tblServiceEvents[Event #],0))</x:f>
        <x:v>Joint Base Andrews</x:v>
      </x:c>
      <x:c r="C122" s="35" t="n">
        <x:f>INDEX(tblServiceEvents[Service Date],MATCH($A122,tblServiceEvents[Event #],0))</x:f>
        <x:v>46169</x:v>
      </x:c>
      <x:c r="D122" t="str">
        <x:f>INDEX(tblServiceEvents[Weekday],MATCH($A122,tblServiceEvents[Event #],0))</x:f>
        <x:v>Wednesday</x:v>
      </x:c>
      <x:c r="E122" t="str">
        <x:f>INDEX(tblServiceEvents[MY_MONTH],MATCH($A122,tblServiceEvents[Event #],0))</x:f>
        <x:v>MY_MONTH 2</x:v>
      </x:c>
      <x:c r="F122" t="str">
        <x:f>INDEX(tblServiceEvents[Status],MATCH($A122,tblServiceEvents[Event #],0))</x:f>
        <x:v>Completed</x:v>
      </x:c>
      <x:c r="G122" t="str">
        <x:f>INDEX(tblServiceEvents[City],MATCH($A122,tblServiceEvents[Event #],0))</x:f>
        <x:v>Andrews AFB</x:v>
      </x:c>
      <x:c r="H122" t="str">
        <x:f>INDEX(tblServiceEvents[Jurisdiction],MATCH($A122,tblServiceEvents[Event #],0))</x:f>
        <x:v>MD</x:v>
      </x:c>
      <x:c r="I122" t="n">
        <x:f>COUNTIF(tblLedger[Event #],A122)</x:f>
        <x:v>1</x:v>
      </x:c>
      <x:c r="J122" t="str">
        <x:f>IF(COUNTIF(tblServiceEvents[Event #],A122)&gt;1,"Yes","No")</x:f>
        <x:v>No</x:v>
      </x:c>
      <x:c r="K122" t="str">
        <x:f>IF(C122="","Yes","No")</x:f>
        <x:v>No</x:v>
      </x:c>
      <x:c r="L122" t="str">
        <x:f>IF(B122="","Yes","No")</x:f>
        <x:v>No</x:v>
      </x:c>
      <x:c r="M122" t="str">
        <x:f>IF(OR(G122="",H122=""),"Yes","No")</x:f>
        <x:v>No</x:v>
      </x:c>
      <x:c r="N122" t="str">
        <x:f>IF(COUNTIF({"Monday","Tuesday","Wednesday","Thursday","Friday"},D122)=0,"Yes","No")</x:f>
        <x:v>No</x:v>
      </x:c>
      <x:c r="O122" t="str">
        <x:f>IF(COUNTIF({"MY_MONTH 1","MY_MONTH 2","MY_MONTH 3"},E122)=0,"Yes","No")</x:f>
        <x:v>No</x:v>
      </x:c>
      <x:c r="P122" t="str">
        <x:f>IF(J122="Yes","Duplicate Event #",IF(K122="Yes","Missing Date",IF(L122="Yes","Missing Client",IF(M122="Yes","Missing Location",IF(N122="Yes","Unknown Weekday",IF(O122="Yes","Unknown MY_MONTH",IF(I122=0,"No Linked WO","OK")))))))</x:f>
        <x:v>OK</x:v>
      </x:c>
      <x:c r="Q122" t="str">
        <x:f>IF(J122="Yes","Critical",IF(OR(K122="Yes",L122="Yes",M122="Yes",N122="Yes",O122="Yes"),"Warning",IF(I122=0,"Informational","OK")))</x:f>
        <x:v>OK</x:v>
      </x:c>
      <x:c r="R122" t="str">
        <x:f>IF(P122="OK","No","Yes")</x:f>
        <x:v>No</x:v>
      </x:c>
    </x:row>
    <x:row r="123">
      <x:c r="A123" t="n">
        <x:v>24</x:v>
      </x:c>
      <x:c r="B123" t="str">
        <x:f>INDEX(tblServiceEvents[Client],MATCH($A123,tblServiceEvents[Event #],0))</x:f>
        <x:v>USDA</x:v>
      </x:c>
      <x:c r="C123" s="35" t="n">
        <x:f>INDEX(tblServiceEvents[Service Date],MATCH($A123,tblServiceEvents[Event #],0))</x:f>
        <x:v>46169</x:v>
      </x:c>
      <x:c r="D123" t="str">
        <x:f>INDEX(tblServiceEvents[Weekday],MATCH($A123,tblServiceEvents[Event #],0))</x:f>
        <x:v>Wednesday</x:v>
      </x:c>
      <x:c r="E123" t="str">
        <x:f>INDEX(tblServiceEvents[MY_MONTH],MATCH($A123,tblServiceEvents[Event #],0))</x:f>
        <x:v>MY_MONTH 2</x:v>
      </x:c>
      <x:c r="F123" t="str">
        <x:f>INDEX(tblServiceEvents[Status],MATCH($A123,tblServiceEvents[Event #],0))</x:f>
        <x:v>Completed</x:v>
      </x:c>
      <x:c r="G123" t="str">
        <x:f>INDEX(tblServiceEvents[City],MATCH($A123,tblServiceEvents[Event #],0))</x:f>
        <x:v>Washington</x:v>
      </x:c>
      <x:c r="H123" t="str">
        <x:f>INDEX(tblServiceEvents[Jurisdiction],MATCH($A123,tblServiceEvents[Event #],0))</x:f>
        <x:v>DC</x:v>
      </x:c>
      <x:c r="I123" t="n">
        <x:f>COUNTIF(tblLedger[Event #],A123)</x:f>
        <x:v>1</x:v>
      </x:c>
      <x:c r="J123" t="str">
        <x:f>IF(COUNTIF(tblServiceEvents[Event #],A123)&gt;1,"Yes","No")</x:f>
        <x:v>No</x:v>
      </x:c>
      <x:c r="K123" t="str">
        <x:f>IF(C123="","Yes","No")</x:f>
        <x:v>No</x:v>
      </x:c>
      <x:c r="L123" t="str">
        <x:f>IF(B123="","Yes","No")</x:f>
        <x:v>No</x:v>
      </x:c>
      <x:c r="M123" t="str">
        <x:f>IF(OR(G123="",H123=""),"Yes","No")</x:f>
        <x:v>No</x:v>
      </x:c>
      <x:c r="N123" t="str">
        <x:f>IF(COUNTIF({"Monday","Tuesday","Wednesday","Thursday","Friday"},D123)=0,"Yes","No")</x:f>
        <x:v>No</x:v>
      </x:c>
      <x:c r="O123" t="str">
        <x:f>IF(COUNTIF({"MY_MONTH 1","MY_MONTH 2","MY_MONTH 3"},E123)=0,"Yes","No")</x:f>
        <x:v>No</x:v>
      </x:c>
      <x:c r="P123" t="str">
        <x:f>IF(J123="Yes","Duplicate Event #",IF(K123="Yes","Missing Date",IF(L123="Yes","Missing Client",IF(M123="Yes","Missing Location",IF(N123="Yes","Unknown Weekday",IF(O123="Yes","Unknown MY_MONTH",IF(I123=0,"No Linked WO","OK")))))))</x:f>
        <x:v>OK</x:v>
      </x:c>
      <x:c r="Q123" t="str">
        <x:f>IF(J123="Yes","Critical",IF(OR(K123="Yes",L123="Yes",M123="Yes",N123="Yes",O123="Yes"),"Warning",IF(I123=0,"Informational","OK")))</x:f>
        <x:v>OK</x:v>
      </x:c>
      <x:c r="R123" t="str">
        <x:f>IF(P123="OK","No","Yes")</x:f>
        <x:v>No</x:v>
      </x:c>
    </x:row>
    <x:row r="124">
      <x:c r="A124" t="n">
        <x:v>25</x:v>
      </x:c>
      <x:c r="B124" t="str">
        <x:f>INDEX(tblServiceEvents[Client],MATCH($A124,tblServiceEvents[Event #],0))</x:f>
        <x:v>PepsiCo</x:v>
      </x:c>
      <x:c r="C124" s="35" t="n">
        <x:f>INDEX(tblServiceEvents[Service Date],MATCH($A124,tblServiceEvents[Event #],0))</x:f>
        <x:v>46170</x:v>
      </x:c>
      <x:c r="D124" t="str">
        <x:f>INDEX(tblServiceEvents[Weekday],MATCH($A124,tblServiceEvents[Event #],0))</x:f>
        <x:v>Thursday</x:v>
      </x:c>
      <x:c r="E124" t="str">
        <x:f>INDEX(tblServiceEvents[MY_MONTH],MATCH($A124,tblServiceEvents[Event #],0))</x:f>
        <x:v>MY_MONTH 2</x:v>
      </x:c>
      <x:c r="F124" t="str">
        <x:f>INDEX(tblServiceEvents[Status],MATCH($A124,tblServiceEvents[Event #],0))</x:f>
        <x:v>Completed</x:v>
      </x:c>
      <x:c r="G124" t="str">
        <x:f>INDEX(tblServiceEvents[City],MATCH($A124,tblServiceEvents[Event #],0))</x:f>
        <x:v>Cheverly</x:v>
      </x:c>
      <x:c r="H124" t="str">
        <x:f>INDEX(tblServiceEvents[Jurisdiction],MATCH($A124,tblServiceEvents[Event #],0))</x:f>
        <x:v>MD</x:v>
      </x:c>
      <x:c r="I124" t="n">
        <x:f>COUNTIF(tblLedger[Event #],A124)</x:f>
        <x:v>1</x:v>
      </x:c>
      <x:c r="J124" t="str">
        <x:f>IF(COUNTIF(tblServiceEvents[Event #],A124)&gt;1,"Yes","No")</x:f>
        <x:v>No</x:v>
      </x:c>
      <x:c r="K124" t="str">
        <x:f>IF(C124="","Yes","No")</x:f>
        <x:v>No</x:v>
      </x:c>
      <x:c r="L124" t="str">
        <x:f>IF(B124="","Yes","No")</x:f>
        <x:v>No</x:v>
      </x:c>
      <x:c r="M124" t="str">
        <x:f>IF(OR(G124="",H124=""),"Yes","No")</x:f>
        <x:v>No</x:v>
      </x:c>
      <x:c r="N124" t="str">
        <x:f>IF(COUNTIF({"Monday","Tuesday","Wednesday","Thursday","Friday"},D124)=0,"Yes","No")</x:f>
        <x:v>No</x:v>
      </x:c>
      <x:c r="O124" t="str">
        <x:f>IF(COUNTIF({"MY_MONTH 1","MY_MONTH 2","MY_MONTH 3"},E124)=0,"Yes","No")</x:f>
        <x:v>No</x:v>
      </x:c>
      <x:c r="P124" t="str">
        <x:f>IF(J124="Yes","Duplicate Event #",IF(K124="Yes","Missing Date",IF(L124="Yes","Missing Client",IF(M124="Yes","Missing Location",IF(N124="Yes","Unknown Weekday",IF(O124="Yes","Unknown MY_MONTH",IF(I124=0,"No Linked WO","OK")))))))</x:f>
        <x:v>OK</x:v>
      </x:c>
      <x:c r="Q124" t="str">
        <x:f>IF(J124="Yes","Critical",IF(OR(K124="Yes",L124="Yes",M124="Yes",N124="Yes",O124="Yes"),"Warning",IF(I124=0,"Informational","OK")))</x:f>
        <x:v>OK</x:v>
      </x:c>
      <x:c r="R124" t="str">
        <x:f>IF(P124="OK","No","Yes")</x:f>
        <x:v>No</x:v>
      </x:c>
    </x:row>
    <x:row r="125">
      <x:c r="A125" t="n">
        <x:v>26</x:v>
      </x:c>
      <x:c r="B125" t="str">
        <x:f>INDEX(tblServiceEvents[Client],MATCH($A125,tblServiceEvents[Event #],0))</x:f>
        <x:v>USDA</x:v>
      </x:c>
      <x:c r="C125" s="35" t="n">
        <x:f>INDEX(tblServiceEvents[Service Date],MATCH($A125,tblServiceEvents[Event #],0))</x:f>
        <x:v>46170</x:v>
      </x:c>
      <x:c r="D125" t="str">
        <x:f>INDEX(tblServiceEvents[Weekday],MATCH($A125,tblServiceEvents[Event #],0))</x:f>
        <x:v>Thursday</x:v>
      </x:c>
      <x:c r="E125" t="str">
        <x:f>INDEX(tblServiceEvents[MY_MONTH],MATCH($A125,tblServiceEvents[Event #],0))</x:f>
        <x:v>MY_MONTH 2</x:v>
      </x:c>
      <x:c r="F125" t="str">
        <x:f>INDEX(tblServiceEvents[Status],MATCH($A125,tblServiceEvents[Event #],0))</x:f>
        <x:v>Completed</x:v>
      </x:c>
      <x:c r="G125" t="str">
        <x:f>INDEX(tblServiceEvents[City],MATCH($A125,tblServiceEvents[Event #],0))</x:f>
        <x:v>Washington</x:v>
      </x:c>
      <x:c r="H125" t="str">
        <x:f>INDEX(tblServiceEvents[Jurisdiction],MATCH($A125,tblServiceEvents[Event #],0))</x:f>
        <x:v>DC</x:v>
      </x:c>
      <x:c r="I125" t="n">
        <x:f>COUNTIF(tblLedger[Event #],A125)</x:f>
        <x:v>1</x:v>
      </x:c>
      <x:c r="J125" t="str">
        <x:f>IF(COUNTIF(tblServiceEvents[Event #],A125)&gt;1,"Yes","No")</x:f>
        <x:v>No</x:v>
      </x:c>
      <x:c r="K125" t="str">
        <x:f>IF(C125="","Yes","No")</x:f>
        <x:v>No</x:v>
      </x:c>
      <x:c r="L125" t="str">
        <x:f>IF(B125="","Yes","No")</x:f>
        <x:v>No</x:v>
      </x:c>
      <x:c r="M125" t="str">
        <x:f>IF(OR(G125="",H125=""),"Yes","No")</x:f>
        <x:v>No</x:v>
      </x:c>
      <x:c r="N125" t="str">
        <x:f>IF(COUNTIF({"Monday","Tuesday","Wednesday","Thursday","Friday"},D125)=0,"Yes","No")</x:f>
        <x:v>No</x:v>
      </x:c>
      <x:c r="O125" t="str">
        <x:f>IF(COUNTIF({"MY_MONTH 1","MY_MONTH 2","MY_MONTH 3"},E125)=0,"Yes","No")</x:f>
        <x:v>No</x:v>
      </x:c>
      <x:c r="P125" t="str">
        <x:f>IF(J125="Yes","Duplicate Event #",IF(K125="Yes","Missing Date",IF(L125="Yes","Missing Client",IF(M125="Yes","Missing Location",IF(N125="Yes","Unknown Weekday",IF(O125="Yes","Unknown MY_MONTH",IF(I125=0,"No Linked WO","OK")))))))</x:f>
        <x:v>OK</x:v>
      </x:c>
      <x:c r="Q125" t="str">
        <x:f>IF(J125="Yes","Critical",IF(OR(K125="Yes",L125="Yes",M125="Yes",N125="Yes",O125="Yes"),"Warning",IF(I125=0,"Informational","OK")))</x:f>
        <x:v>OK</x:v>
      </x:c>
      <x:c r="R125" t="str">
        <x:f>IF(P125="OK","No","Yes")</x:f>
        <x:v>No</x:v>
      </x:c>
    </x:row>
    <x:row r="126">
      <x:c r="A126" t="n">
        <x:v>27</x:v>
      </x:c>
      <x:c r="B126" t="str">
        <x:f>INDEX(tblServiceEvents[Client],MATCH($A126,tblServiceEvents[Event #],0))</x:f>
        <x:v>USDA</x:v>
      </x:c>
      <x:c r="C126" s="35" t="n">
        <x:f>INDEX(tblServiceEvents[Service Date],MATCH($A126,tblServiceEvents[Event #],0))</x:f>
        <x:v>46174</x:v>
      </x:c>
      <x:c r="D126" t="str">
        <x:f>INDEX(tblServiceEvents[Weekday],MATCH($A126,tblServiceEvents[Event #],0))</x:f>
        <x:v>Monday</x:v>
      </x:c>
      <x:c r="E126" t="str">
        <x:f>INDEX(tblServiceEvents[MY_MONTH],MATCH($A126,tblServiceEvents[Event #],0))</x:f>
        <x:v>MY_MONTH 2</x:v>
      </x:c>
      <x:c r="F126" t="str">
        <x:f>INDEX(tblServiceEvents[Status],MATCH($A126,tblServiceEvents[Event #],0))</x:f>
        <x:v>Completed</x:v>
      </x:c>
      <x:c r="G126" t="str">
        <x:f>INDEX(tblServiceEvents[City],MATCH($A126,tblServiceEvents[Event #],0))</x:f>
        <x:v>Washington</x:v>
      </x:c>
      <x:c r="H126" t="str">
        <x:f>INDEX(tblServiceEvents[Jurisdiction],MATCH($A126,tblServiceEvents[Event #],0))</x:f>
        <x:v>DC</x:v>
      </x:c>
      <x:c r="I126" t="n">
        <x:f>COUNTIF(tblLedger[Event #],A126)</x:f>
        <x:v>1</x:v>
      </x:c>
      <x:c r="J126" t="str">
        <x:f>IF(COUNTIF(tblServiceEvents[Event #],A126)&gt;1,"Yes","No")</x:f>
        <x:v>No</x:v>
      </x:c>
      <x:c r="K126" t="str">
        <x:f>IF(C126="","Yes","No")</x:f>
        <x:v>No</x:v>
      </x:c>
      <x:c r="L126" t="str">
        <x:f>IF(B126="","Yes","No")</x:f>
        <x:v>No</x:v>
      </x:c>
      <x:c r="M126" t="str">
        <x:f>IF(OR(G126="",H126=""),"Yes","No")</x:f>
        <x:v>No</x:v>
      </x:c>
      <x:c r="N126" t="str">
        <x:f>IF(COUNTIF({"Monday","Tuesday","Wednesday","Thursday","Friday"},D126)=0,"Yes","No")</x:f>
        <x:v>No</x:v>
      </x:c>
      <x:c r="O126" t="str">
        <x:f>IF(COUNTIF({"MY_MONTH 1","MY_MONTH 2","MY_MONTH 3"},E126)=0,"Yes","No")</x:f>
        <x:v>No</x:v>
      </x:c>
      <x:c r="P126" t="str">
        <x:f>IF(J126="Yes","Duplicate Event #",IF(K126="Yes","Missing Date",IF(L126="Yes","Missing Client",IF(M126="Yes","Missing Location",IF(N126="Yes","Unknown Weekday",IF(O126="Yes","Unknown MY_MONTH",IF(I126=0,"No Linked WO","OK")))))))</x:f>
        <x:v>OK</x:v>
      </x:c>
      <x:c r="Q126" t="str">
        <x:f>IF(J126="Yes","Critical",IF(OR(K126="Yes",L126="Yes",M126="Yes",N126="Yes",O126="Yes"),"Warning",IF(I126=0,"Informational","OK")))</x:f>
        <x:v>OK</x:v>
      </x:c>
      <x:c r="R126" t="str">
        <x:f>IF(P126="OK","No","Yes")</x:f>
        <x:v>No</x:v>
      </x:c>
    </x:row>
    <x:row r="127">
      <x:c r="A127" t="n">
        <x:v>28</x:v>
      </x:c>
      <x:c r="B127" t="str">
        <x:f>INDEX(tblServiceEvents[Client],MATCH($A127,tblServiceEvents[Event #],0))</x:f>
        <x:v>USDA</x:v>
      </x:c>
      <x:c r="C127" s="35" t="n">
        <x:f>INDEX(tblServiceEvents[Service Date],MATCH($A127,tblServiceEvents[Event #],0))</x:f>
        <x:v>46175</x:v>
      </x:c>
      <x:c r="D127" t="str">
        <x:f>INDEX(tblServiceEvents[Weekday],MATCH($A127,tblServiceEvents[Event #],0))</x:f>
        <x:v>Tuesday</x:v>
      </x:c>
      <x:c r="E127" t="str">
        <x:f>INDEX(tblServiceEvents[MY_MONTH],MATCH($A127,tblServiceEvents[Event #],0))</x:f>
        <x:v>MY_MONTH 2</x:v>
      </x:c>
      <x:c r="F127" t="str">
        <x:f>INDEX(tblServiceEvents[Status],MATCH($A127,tblServiceEvents[Event #],0))</x:f>
        <x:v>Completed</x:v>
      </x:c>
      <x:c r="G127" t="str">
        <x:f>INDEX(tblServiceEvents[City],MATCH($A127,tblServiceEvents[Event #],0))</x:f>
        <x:v>Washington</x:v>
      </x:c>
      <x:c r="H127" t="str">
        <x:f>INDEX(tblServiceEvents[Jurisdiction],MATCH($A127,tblServiceEvents[Event #],0))</x:f>
        <x:v>DC</x:v>
      </x:c>
      <x:c r="I127" t="n">
        <x:f>COUNTIF(tblLedger[Event #],A127)</x:f>
        <x:v>1</x:v>
      </x:c>
      <x:c r="J127" t="str">
        <x:f>IF(COUNTIF(tblServiceEvents[Event #],A127)&gt;1,"Yes","No")</x:f>
        <x:v>No</x:v>
      </x:c>
      <x:c r="K127" t="str">
        <x:f>IF(C127="","Yes","No")</x:f>
        <x:v>No</x:v>
      </x:c>
      <x:c r="L127" t="str">
        <x:f>IF(B127="","Yes","No")</x:f>
        <x:v>No</x:v>
      </x:c>
      <x:c r="M127" t="str">
        <x:f>IF(OR(G127="",H127=""),"Yes","No")</x:f>
        <x:v>No</x:v>
      </x:c>
      <x:c r="N127" t="str">
        <x:f>IF(COUNTIF({"Monday","Tuesday","Wednesday","Thursday","Friday"},D127)=0,"Yes","No")</x:f>
        <x:v>No</x:v>
      </x:c>
      <x:c r="O127" t="str">
        <x:f>IF(COUNTIF({"MY_MONTH 1","MY_MONTH 2","MY_MONTH 3"},E127)=0,"Yes","No")</x:f>
        <x:v>No</x:v>
      </x:c>
      <x:c r="P127" t="str">
        <x:f>IF(J127="Yes","Duplicate Event #",IF(K127="Yes","Missing Date",IF(L127="Yes","Missing Client",IF(M127="Yes","Missing Location",IF(N127="Yes","Unknown Weekday",IF(O127="Yes","Unknown MY_MONTH",IF(I127=0,"No Linked WO","OK")))))))</x:f>
        <x:v>OK</x:v>
      </x:c>
      <x:c r="Q127" t="str">
        <x:f>IF(J127="Yes","Critical",IF(OR(K127="Yes",L127="Yes",M127="Yes",N127="Yes",O127="Yes"),"Warning",IF(I127=0,"Informational","OK")))</x:f>
        <x:v>OK</x:v>
      </x:c>
      <x:c r="R127" t="str">
        <x:f>IF(P127="OK","No","Yes")</x:f>
        <x:v>No</x:v>
      </x:c>
    </x:row>
    <x:row r="128">
      <x:c r="A128" t="n">
        <x:v>29</x:v>
      </x:c>
      <x:c r="B128" t="str">
        <x:f>INDEX(tblServiceEvents[Client],MATCH($A128,tblServiceEvents[Event #],0))</x:f>
        <x:v>USDA</x:v>
      </x:c>
      <x:c r="C128" s="35" t="n">
        <x:f>INDEX(tblServiceEvents[Service Date],MATCH($A128,tblServiceEvents[Event #],0))</x:f>
        <x:v>46176</x:v>
      </x:c>
      <x:c r="D128" t="str">
        <x:f>INDEX(tblServiceEvents[Weekday],MATCH($A128,tblServiceEvents[Event #],0))</x:f>
        <x:v>Wednesday</x:v>
      </x:c>
      <x:c r="E128" t="str">
        <x:f>INDEX(tblServiceEvents[MY_MONTH],MATCH($A128,tblServiceEvents[Event #],0))</x:f>
        <x:v>MY_MONTH 2</x:v>
      </x:c>
      <x:c r="F128" t="str">
        <x:f>INDEX(tblServiceEvents[Status],MATCH($A128,tblServiceEvents[Event #],0))</x:f>
        <x:v>Completed</x:v>
      </x:c>
      <x:c r="G128" t="str">
        <x:f>INDEX(tblServiceEvents[City],MATCH($A128,tblServiceEvents[Event #],0))</x:f>
        <x:v>Washington</x:v>
      </x:c>
      <x:c r="H128" t="str">
        <x:f>INDEX(tblServiceEvents[Jurisdiction],MATCH($A128,tblServiceEvents[Event #],0))</x:f>
        <x:v>DC</x:v>
      </x:c>
      <x:c r="I128" t="n">
        <x:f>COUNTIF(tblLedger[Event #],A128)</x:f>
        <x:v>1</x:v>
      </x:c>
      <x:c r="J128" t="str">
        <x:f>IF(COUNTIF(tblServiceEvents[Event #],A128)&gt;1,"Yes","No")</x:f>
        <x:v>No</x:v>
      </x:c>
      <x:c r="K128" t="str">
        <x:f>IF(C128="","Yes","No")</x:f>
        <x:v>No</x:v>
      </x:c>
      <x:c r="L128" t="str">
        <x:f>IF(B128="","Yes","No")</x:f>
        <x:v>No</x:v>
      </x:c>
      <x:c r="M128" t="str">
        <x:f>IF(OR(G128="",H128=""),"Yes","No")</x:f>
        <x:v>No</x:v>
      </x:c>
      <x:c r="N128" t="str">
        <x:f>IF(COUNTIF({"Monday","Tuesday","Wednesday","Thursday","Friday"},D128)=0,"Yes","No")</x:f>
        <x:v>No</x:v>
      </x:c>
      <x:c r="O128" t="str">
        <x:f>IF(COUNTIF({"MY_MONTH 1","MY_MONTH 2","MY_MONTH 3"},E128)=0,"Yes","No")</x:f>
        <x:v>No</x:v>
      </x:c>
      <x:c r="P128" t="str">
        <x:f>IF(J128="Yes","Duplicate Event #",IF(K128="Yes","Missing Date",IF(L128="Yes","Missing Client",IF(M128="Yes","Missing Location",IF(N128="Yes","Unknown Weekday",IF(O128="Yes","Unknown MY_MONTH",IF(I128=0,"No Linked WO","OK")))))))</x:f>
        <x:v>OK</x:v>
      </x:c>
      <x:c r="Q128" t="str">
        <x:f>IF(J128="Yes","Critical",IF(OR(K128="Yes",L128="Yes",M128="Yes",N128="Yes",O128="Yes"),"Warning",IF(I128=0,"Informational","OK")))</x:f>
        <x:v>OK</x:v>
      </x:c>
      <x:c r="R128" t="str">
        <x:f>IF(P128="OK","No","Yes")</x:f>
        <x:v>No</x:v>
      </x:c>
    </x:row>
    <x:row r="129">
      <x:c r="A129" t="n">
        <x:v>30</x:v>
      </x:c>
      <x:c r="B129" t="str">
        <x:f>INDEX(tblServiceEvents[Client],MATCH($A129,tblServiceEvents[Event #],0))</x:f>
        <x:v>TJ Maxx</x:v>
      </x:c>
      <x:c r="C129" s="35" t="n">
        <x:f>INDEX(tblServiceEvents[Service Date],MATCH($A129,tblServiceEvents[Event #],0))</x:f>
        <x:v>46176</x:v>
      </x:c>
      <x:c r="D129" t="str">
        <x:f>INDEX(tblServiceEvents[Weekday],MATCH($A129,tblServiceEvents[Event #],0))</x:f>
        <x:v>Wednesday</x:v>
      </x:c>
      <x:c r="E129" t="str">
        <x:f>INDEX(tblServiceEvents[MY_MONTH],MATCH($A129,tblServiceEvents[Event #],0))</x:f>
        <x:v>MY_MONTH 2</x:v>
      </x:c>
      <x:c r="F129" t="str">
        <x:f>INDEX(tblServiceEvents[Status],MATCH($A129,tblServiceEvents[Event #],0))</x:f>
        <x:v>Completed</x:v>
      </x:c>
      <x:c r="G129" t="str">
        <x:f>INDEX(tblServiceEvents[City],MATCH($A129,tblServiceEvents[Event #],0))</x:f>
        <x:v>Rockville</x:v>
      </x:c>
      <x:c r="H129" t="str">
        <x:f>INDEX(tblServiceEvents[Jurisdiction],MATCH($A129,tblServiceEvents[Event #],0))</x:f>
        <x:v>MD</x:v>
      </x:c>
      <x:c r="I129" t="n">
        <x:f>COUNTIF(tblLedger[Event #],A129)</x:f>
        <x:v>1</x:v>
      </x:c>
      <x:c r="J129" t="str">
        <x:f>IF(COUNTIF(tblServiceEvents[Event #],A129)&gt;1,"Yes","No")</x:f>
        <x:v>No</x:v>
      </x:c>
      <x:c r="K129" t="str">
        <x:f>IF(C129="","Yes","No")</x:f>
        <x:v>No</x:v>
      </x:c>
      <x:c r="L129" t="str">
        <x:f>IF(B129="","Yes","No")</x:f>
        <x:v>No</x:v>
      </x:c>
      <x:c r="M129" t="str">
        <x:f>IF(OR(G129="",H129=""),"Yes","No")</x:f>
        <x:v>No</x:v>
      </x:c>
      <x:c r="N129" t="str">
        <x:f>IF(COUNTIF({"Monday","Tuesday","Wednesday","Thursday","Friday"},D129)=0,"Yes","No")</x:f>
        <x:v>No</x:v>
      </x:c>
      <x:c r="O129" t="str">
        <x:f>IF(COUNTIF({"MY_MONTH 1","MY_MONTH 2","MY_MONTH 3"},E129)=0,"Yes","No")</x:f>
        <x:v>No</x:v>
      </x:c>
      <x:c r="P129" t="str">
        <x:f>IF(J129="Yes","Duplicate Event #",IF(K129="Yes","Missing Date",IF(L129="Yes","Missing Client",IF(M129="Yes","Missing Location",IF(N129="Yes","Unknown Weekday",IF(O129="Yes","Unknown MY_MONTH",IF(I129=0,"No Linked WO","OK")))))))</x:f>
        <x:v>OK</x:v>
      </x:c>
      <x:c r="Q129" t="str">
        <x:f>IF(J129="Yes","Critical",IF(OR(K129="Yes",L129="Yes",M129="Yes",N129="Yes",O129="Yes"),"Warning",IF(I129=0,"Informational","OK")))</x:f>
        <x:v>OK</x:v>
      </x:c>
      <x:c r="R129" t="str">
        <x:f>IF(P129="OK","No","Yes")</x:f>
        <x:v>No</x:v>
      </x:c>
    </x:row>
    <x:row r="130">
      <x:c r="A130" t="n">
        <x:v>31</x:v>
      </x:c>
      <x:c r="B130" t="str">
        <x:f>INDEX(tblServiceEvents[Client],MATCH($A130,tblServiceEvents[Event #],0))</x:f>
        <x:v>USDA</x:v>
      </x:c>
      <x:c r="C130" s="35" t="n">
        <x:f>INDEX(tblServiceEvents[Service Date],MATCH($A130,tblServiceEvents[Event #],0))</x:f>
        <x:v>46177</x:v>
      </x:c>
      <x:c r="D130" t="str">
        <x:f>INDEX(tblServiceEvents[Weekday],MATCH($A130,tblServiceEvents[Event #],0))</x:f>
        <x:v>Thursday</x:v>
      </x:c>
      <x:c r="E130" t="str">
        <x:f>INDEX(tblServiceEvents[MY_MONTH],MATCH($A130,tblServiceEvents[Event #],0))</x:f>
        <x:v>MY_MONTH 2</x:v>
      </x:c>
      <x:c r="F130" t="str">
        <x:f>INDEX(tblServiceEvents[Status],MATCH($A130,tblServiceEvents[Event #],0))</x:f>
        <x:v>Completed</x:v>
      </x:c>
      <x:c r="G130" t="str">
        <x:f>INDEX(tblServiceEvents[City],MATCH($A130,tblServiceEvents[Event #],0))</x:f>
        <x:v>Washington</x:v>
      </x:c>
      <x:c r="H130" t="str">
        <x:f>INDEX(tblServiceEvents[Jurisdiction],MATCH($A130,tblServiceEvents[Event #],0))</x:f>
        <x:v>DC</x:v>
      </x:c>
      <x:c r="I130" t="n">
        <x:f>COUNTIF(tblLedger[Event #],A130)</x:f>
        <x:v>1</x:v>
      </x:c>
      <x:c r="J130" t="str">
        <x:f>IF(COUNTIF(tblServiceEvents[Event #],A130)&gt;1,"Yes","No")</x:f>
        <x:v>No</x:v>
      </x:c>
      <x:c r="K130" t="str">
        <x:f>IF(C130="","Yes","No")</x:f>
        <x:v>No</x:v>
      </x:c>
      <x:c r="L130" t="str">
        <x:f>IF(B130="","Yes","No")</x:f>
        <x:v>No</x:v>
      </x:c>
      <x:c r="M130" t="str">
        <x:f>IF(OR(G130="",H130=""),"Yes","No")</x:f>
        <x:v>No</x:v>
      </x:c>
      <x:c r="N130" t="str">
        <x:f>IF(COUNTIF({"Monday","Tuesday","Wednesday","Thursday","Friday"},D130)=0,"Yes","No")</x:f>
        <x:v>No</x:v>
      </x:c>
      <x:c r="O130" t="str">
        <x:f>IF(COUNTIF({"MY_MONTH 1","MY_MONTH 2","MY_MONTH 3"},E130)=0,"Yes","No")</x:f>
        <x:v>No</x:v>
      </x:c>
      <x:c r="P130" t="str">
        <x:f>IF(J130="Yes","Duplicate Event #",IF(K130="Yes","Missing Date",IF(L130="Yes","Missing Client",IF(M130="Yes","Missing Location",IF(N130="Yes","Unknown Weekday",IF(O130="Yes","Unknown MY_MONTH",IF(I130=0,"No Linked WO","OK")))))))</x:f>
        <x:v>OK</x:v>
      </x:c>
      <x:c r="Q130" t="str">
        <x:f>IF(J130="Yes","Critical",IF(OR(K130="Yes",L130="Yes",M130="Yes",N130="Yes",O130="Yes"),"Warning",IF(I130=0,"Informational","OK")))</x:f>
        <x:v>OK</x:v>
      </x:c>
      <x:c r="R130" t="str">
        <x:f>IF(P130="OK","No","Yes")</x:f>
        <x:v>No</x:v>
      </x:c>
    </x:row>
    <x:row r="131">
      <x:c r="A131" t="n">
        <x:v>32</x:v>
      </x:c>
      <x:c r="B131" t="str">
        <x:f>INDEX(tblServiceEvents[Client],MATCH($A131,tblServiceEvents[Event #],0))</x:f>
        <x:v>Hilton Garden Inn</x:v>
      </x:c>
      <x:c r="C131" s="35" t="n">
        <x:f>INDEX(tblServiceEvents[Service Date],MATCH($A131,tblServiceEvents[Event #],0))</x:f>
        <x:v>46178</x:v>
      </x:c>
      <x:c r="D131" t="str">
        <x:f>INDEX(tblServiceEvents[Weekday],MATCH($A131,tblServiceEvents[Event #],0))</x:f>
        <x:v>Friday</x:v>
      </x:c>
      <x:c r="E131" t="str">
        <x:f>INDEX(tblServiceEvents[MY_MONTH],MATCH($A131,tblServiceEvents[Event #],0))</x:f>
        <x:v>MY_MONTH 2</x:v>
      </x:c>
      <x:c r="F131" t="str">
        <x:f>INDEX(tblServiceEvents[Status],MATCH($A131,tblServiceEvents[Event #],0))</x:f>
        <x:v>Completed</x:v>
      </x:c>
      <x:c r="G131" t="str">
        <x:f>INDEX(tblServiceEvents[City],MATCH($A131,tblServiceEvents[Event #],0))</x:f>
        <x:v>Fairfax</x:v>
      </x:c>
      <x:c r="H131" t="str">
        <x:f>INDEX(tblServiceEvents[Jurisdiction],MATCH($A131,tblServiceEvents[Event #],0))</x:f>
        <x:v>VA</x:v>
      </x:c>
      <x:c r="I131" t="n">
        <x:f>COUNTIF(tblLedger[Event #],A131)</x:f>
        <x:v>1</x:v>
      </x:c>
      <x:c r="J131" t="str">
        <x:f>IF(COUNTIF(tblServiceEvents[Event #],A131)&gt;1,"Yes","No")</x:f>
        <x:v>No</x:v>
      </x:c>
      <x:c r="K131" t="str">
        <x:f>IF(C131="","Yes","No")</x:f>
        <x:v>No</x:v>
      </x:c>
      <x:c r="L131" t="str">
        <x:f>IF(B131="","Yes","No")</x:f>
        <x:v>No</x:v>
      </x:c>
      <x:c r="M131" t="str">
        <x:f>IF(OR(G131="",H131=""),"Yes","No")</x:f>
        <x:v>No</x:v>
      </x:c>
      <x:c r="N131" t="str">
        <x:f>IF(COUNTIF({"Monday","Tuesday","Wednesday","Thursday","Friday"},D131)=0,"Yes","No")</x:f>
        <x:v>No</x:v>
      </x:c>
      <x:c r="O131" t="str">
        <x:f>IF(COUNTIF({"MY_MONTH 1","MY_MONTH 2","MY_MONTH 3"},E131)=0,"Yes","No")</x:f>
        <x:v>No</x:v>
      </x:c>
      <x:c r="P131" t="str">
        <x:f>IF(J131="Yes","Duplicate Event #",IF(K131="Yes","Missing Date",IF(L131="Yes","Missing Client",IF(M131="Yes","Missing Location",IF(N131="Yes","Unknown Weekday",IF(O131="Yes","Unknown MY_MONTH",IF(I131=0,"No Linked WO","OK")))))))</x:f>
        <x:v>OK</x:v>
      </x:c>
      <x:c r="Q131" t="str">
        <x:f>IF(J131="Yes","Critical",IF(OR(K131="Yes",L131="Yes",M131="Yes",N131="Yes",O131="Yes"),"Warning",IF(I131=0,"Informational","OK")))</x:f>
        <x:v>OK</x:v>
      </x:c>
      <x:c r="R131" t="str">
        <x:f>IF(P131="OK","No","Yes")</x:f>
        <x:v>No</x:v>
      </x:c>
    </x:row>
    <x:row r="132">
      <x:c r="A132" t="n">
        <x:v>33</x:v>
      </x:c>
      <x:c r="B132" t="str">
        <x:f>INDEX(tblServiceEvents[Client],MATCH($A132,tblServiceEvents[Event #],0))</x:f>
        <x:v>Hebrew Home of Greater Washington</x:v>
      </x:c>
      <x:c r="C132" s="35" t="n">
        <x:f>INDEX(tblServiceEvents[Service Date],MATCH($A132,tblServiceEvents[Event #],0))</x:f>
        <x:v>46178</x:v>
      </x:c>
      <x:c r="D132" t="str">
        <x:f>INDEX(tblServiceEvents[Weekday],MATCH($A132,tblServiceEvents[Event #],0))</x:f>
        <x:v>Friday</x:v>
      </x:c>
      <x:c r="E132" t="str">
        <x:f>INDEX(tblServiceEvents[MY_MONTH],MATCH($A132,tblServiceEvents[Event #],0))</x:f>
        <x:v>MY_MONTH 2</x:v>
      </x:c>
      <x:c r="F132" t="str">
        <x:f>INDEX(tblServiceEvents[Status],MATCH($A132,tblServiceEvents[Event #],0))</x:f>
        <x:v>Completed</x:v>
      </x:c>
      <x:c r="G132" t="str">
        <x:f>INDEX(tblServiceEvents[City],MATCH($A132,tblServiceEvents[Event #],0))</x:f>
        <x:v>North Bethesda</x:v>
      </x:c>
      <x:c r="H132" t="str">
        <x:f>INDEX(tblServiceEvents[Jurisdiction],MATCH($A132,tblServiceEvents[Event #],0))</x:f>
        <x:v>MD</x:v>
      </x:c>
      <x:c r="I132" t="n">
        <x:f>COUNTIF(tblLedger[Event #],A132)</x:f>
        <x:v>1</x:v>
      </x:c>
      <x:c r="J132" t="str">
        <x:f>IF(COUNTIF(tblServiceEvents[Event #],A132)&gt;1,"Yes","No")</x:f>
        <x:v>No</x:v>
      </x:c>
      <x:c r="K132" t="str">
        <x:f>IF(C132="","Yes","No")</x:f>
        <x:v>No</x:v>
      </x:c>
      <x:c r="L132" t="str">
        <x:f>IF(B132="","Yes","No")</x:f>
        <x:v>No</x:v>
      </x:c>
      <x:c r="M132" t="str">
        <x:f>IF(OR(G132="",H132=""),"Yes","No")</x:f>
        <x:v>No</x:v>
      </x:c>
      <x:c r="N132" t="str">
        <x:f>IF(COUNTIF({"Monday","Tuesday","Wednesday","Thursday","Friday"},D132)=0,"Yes","No")</x:f>
        <x:v>No</x:v>
      </x:c>
      <x:c r="O132" t="str">
        <x:f>IF(COUNTIF({"MY_MONTH 1","MY_MONTH 2","MY_MONTH 3"},E132)=0,"Yes","No")</x:f>
        <x:v>No</x:v>
      </x:c>
      <x:c r="P132" t="str">
        <x:f>IF(J132="Yes","Duplicate Event #",IF(K132="Yes","Missing Date",IF(L132="Yes","Missing Client",IF(M132="Yes","Missing Location",IF(N132="Yes","Unknown Weekday",IF(O132="Yes","Unknown MY_MONTH",IF(I132=0,"No Linked WO","OK")))))))</x:f>
        <x:v>OK</x:v>
      </x:c>
      <x:c r="Q132" t="str">
        <x:f>IF(J132="Yes","Critical",IF(OR(K132="Yes",L132="Yes",M132="Yes",N132="Yes",O132="Yes"),"Warning",IF(I132=0,"Informational","OK")))</x:f>
        <x:v>OK</x:v>
      </x:c>
      <x:c r="R132" t="str">
        <x:f>IF(P132="OK","No","Yes")</x:f>
        <x:v>No</x:v>
      </x:c>
    </x:row>
    <x:row r="133">
      <x:c r="A133" t="n">
        <x:v>34</x:v>
      </x:c>
      <x:c r="B133" t="str">
        <x:f>INDEX(tblServiceEvents[Client],MATCH($A133,tblServiceEvents[Event #],0))</x:f>
        <x:v>TJ Maxx</x:v>
      </x:c>
      <x:c r="C133" s="35" t="n">
        <x:f>INDEX(tblServiceEvents[Service Date],MATCH($A133,tblServiceEvents[Event #],0))</x:f>
        <x:v>46178</x:v>
      </x:c>
      <x:c r="D133" t="str">
        <x:f>INDEX(tblServiceEvents[Weekday],MATCH($A133,tblServiceEvents[Event #],0))</x:f>
        <x:v>Friday</x:v>
      </x:c>
      <x:c r="E133" t="str">
        <x:f>INDEX(tblServiceEvents[MY_MONTH],MATCH($A133,tblServiceEvents[Event #],0))</x:f>
        <x:v>MY_MONTH 2</x:v>
      </x:c>
      <x:c r="F133" t="str">
        <x:f>INDEX(tblServiceEvents[Status],MATCH($A133,tblServiceEvents[Event #],0))</x:f>
        <x:v>Completed</x:v>
      </x:c>
      <x:c r="G133" t="str">
        <x:f>INDEX(tblServiceEvents[City],MATCH($A133,tblServiceEvents[Event #],0))</x:f>
        <x:v>Annapolis</x:v>
      </x:c>
      <x:c r="H133" t="str">
        <x:f>INDEX(tblServiceEvents[Jurisdiction],MATCH($A133,tblServiceEvents[Event #],0))</x:f>
        <x:v>MD</x:v>
      </x:c>
      <x:c r="I133" t="n">
        <x:f>COUNTIF(tblLedger[Event #],A133)</x:f>
        <x:v>1</x:v>
      </x:c>
      <x:c r="J133" t="str">
        <x:f>IF(COUNTIF(tblServiceEvents[Event #],A133)&gt;1,"Yes","No")</x:f>
        <x:v>No</x:v>
      </x:c>
      <x:c r="K133" t="str">
        <x:f>IF(C133="","Yes","No")</x:f>
        <x:v>No</x:v>
      </x:c>
      <x:c r="L133" t="str">
        <x:f>IF(B133="","Yes","No")</x:f>
        <x:v>No</x:v>
      </x:c>
      <x:c r="M133" t="str">
        <x:f>IF(OR(G133="",H133=""),"Yes","No")</x:f>
        <x:v>No</x:v>
      </x:c>
      <x:c r="N133" t="str">
        <x:f>IF(COUNTIF({"Monday","Tuesday","Wednesday","Thursday","Friday"},D133)=0,"Yes","No")</x:f>
        <x:v>No</x:v>
      </x:c>
      <x:c r="O133" t="str">
        <x:f>IF(COUNTIF({"MY_MONTH 1","MY_MONTH 2","MY_MONTH 3"},E133)=0,"Yes","No")</x:f>
        <x:v>No</x:v>
      </x:c>
      <x:c r="P133" t="str">
        <x:f>IF(J133="Yes","Duplicate Event #",IF(K133="Yes","Missing Date",IF(L133="Yes","Missing Client",IF(M133="Yes","Missing Location",IF(N133="Yes","Unknown Weekday",IF(O133="Yes","Unknown MY_MONTH",IF(I133=0,"No Linked WO","OK")))))))</x:f>
        <x:v>OK</x:v>
      </x:c>
      <x:c r="Q133" t="str">
        <x:f>IF(J133="Yes","Critical",IF(OR(K133="Yes",L133="Yes",M133="Yes",N133="Yes",O133="Yes"),"Warning",IF(I133=0,"Informational","OK")))</x:f>
        <x:v>OK</x:v>
      </x:c>
      <x:c r="R133" t="str">
        <x:f>IF(P133="OK","No","Yes")</x:f>
        <x:v>No</x:v>
      </x:c>
    </x:row>
    <x:row r="134">
      <x:c r="A134" t="n">
        <x:v>35</x:v>
      </x:c>
      <x:c r="B134" t="str">
        <x:f>INDEX(tblServiceEvents[Client],MATCH($A134,tblServiceEvents[Event #],0))</x:f>
        <x:v>Marshalls</x:v>
      </x:c>
      <x:c r="C134" s="35" t="n">
        <x:f>INDEX(tblServiceEvents[Service Date],MATCH($A134,tblServiceEvents[Event #],0))</x:f>
        <x:v>46181</x:v>
      </x:c>
      <x:c r="D134" t="str">
        <x:f>INDEX(tblServiceEvents[Weekday],MATCH($A134,tblServiceEvents[Event #],0))</x:f>
        <x:v>Monday</x:v>
      </x:c>
      <x:c r="E134" t="str">
        <x:f>INDEX(tblServiceEvents[MY_MONTH],MATCH($A134,tblServiceEvents[Event #],0))</x:f>
        <x:v>MY_MONTH 2</x:v>
      </x:c>
      <x:c r="F134" t="str">
        <x:f>INDEX(tblServiceEvents[Status],MATCH($A134,tblServiceEvents[Event #],0))</x:f>
        <x:v>Completed</x:v>
      </x:c>
      <x:c r="G134" t="str">
        <x:f>INDEX(tblServiceEvents[City],MATCH($A134,tblServiceEvents[Event #],0))</x:f>
        <x:v>Dunkirk</x:v>
      </x:c>
      <x:c r="H134" t="str">
        <x:f>INDEX(tblServiceEvents[Jurisdiction],MATCH($A134,tblServiceEvents[Event #],0))</x:f>
        <x:v>MD</x:v>
      </x:c>
      <x:c r="I134" t="n">
        <x:f>COUNTIF(tblLedger[Event #],A134)</x:f>
        <x:v>1</x:v>
      </x:c>
      <x:c r="J134" t="str">
        <x:f>IF(COUNTIF(tblServiceEvents[Event #],A134)&gt;1,"Yes","No")</x:f>
        <x:v>No</x:v>
      </x:c>
      <x:c r="K134" t="str">
        <x:f>IF(C134="","Yes","No")</x:f>
        <x:v>No</x:v>
      </x:c>
      <x:c r="L134" t="str">
        <x:f>IF(B134="","Yes","No")</x:f>
        <x:v>No</x:v>
      </x:c>
      <x:c r="M134" t="str">
        <x:f>IF(OR(G134="",H134=""),"Yes","No")</x:f>
        <x:v>No</x:v>
      </x:c>
      <x:c r="N134" t="str">
        <x:f>IF(COUNTIF({"Monday","Tuesday","Wednesday","Thursday","Friday"},D134)=0,"Yes","No")</x:f>
        <x:v>No</x:v>
      </x:c>
      <x:c r="O134" t="str">
        <x:f>IF(COUNTIF({"MY_MONTH 1","MY_MONTH 2","MY_MONTH 3"},E134)=0,"Yes","No")</x:f>
        <x:v>No</x:v>
      </x:c>
      <x:c r="P134" t="str">
        <x:f>IF(J134="Yes","Duplicate Event #",IF(K134="Yes","Missing Date",IF(L134="Yes","Missing Client",IF(M134="Yes","Missing Location",IF(N134="Yes","Unknown Weekday",IF(O134="Yes","Unknown MY_MONTH",IF(I134=0,"No Linked WO","OK")))))))</x:f>
        <x:v>OK</x:v>
      </x:c>
      <x:c r="Q134" t="str">
        <x:f>IF(J134="Yes","Critical",IF(OR(K134="Yes",L134="Yes",M134="Yes",N134="Yes",O134="Yes"),"Warning",IF(I134=0,"Informational","OK")))</x:f>
        <x:v>OK</x:v>
      </x:c>
      <x:c r="R134" t="str">
        <x:f>IF(P134="OK","No","Yes")</x:f>
        <x:v>No</x:v>
      </x:c>
    </x:row>
    <x:row r="135">
      <x:c r="A135" t="n">
        <x:v>36</x:v>
      </x:c>
      <x:c r="B135" t="str">
        <x:f>INDEX(tblServiceEvents[Client],MATCH($A135,tblServiceEvents[Event #],0))</x:f>
        <x:v>Hampton Inn &amp; Suites</x:v>
      </x:c>
      <x:c r="C135" s="35" t="n">
        <x:f>INDEX(tblServiceEvents[Service Date],MATCH($A135,tblServiceEvents[Event #],0))</x:f>
        <x:v>46182</x:v>
      </x:c>
      <x:c r="D135" t="str">
        <x:f>INDEX(tblServiceEvents[Weekday],MATCH($A135,tblServiceEvents[Event #],0))</x:f>
        <x:v>Tuesday</x:v>
      </x:c>
      <x:c r="E135" t="str">
        <x:f>INDEX(tblServiceEvents[MY_MONTH],MATCH($A135,tblServiceEvents[Event #],0))</x:f>
        <x:v>MY_MONTH 2</x:v>
      </x:c>
      <x:c r="F135" t="str">
        <x:f>INDEX(tblServiceEvents[Status],MATCH($A135,tblServiceEvents[Event #],0))</x:f>
        <x:v>Completed</x:v>
      </x:c>
      <x:c r="G135" t="str">
        <x:f>INDEX(tblServiceEvents[City],MATCH($A135,tblServiceEvents[Event #],0))</x:f>
        <x:v>Edgewood</x:v>
      </x:c>
      <x:c r="H135" t="str">
        <x:f>INDEX(tblServiceEvents[Jurisdiction],MATCH($A135,tblServiceEvents[Event #],0))</x:f>
        <x:v>MD</x:v>
      </x:c>
      <x:c r="I135" t="n">
        <x:f>COUNTIF(tblLedger[Event #],A135)</x:f>
        <x:v>1</x:v>
      </x:c>
      <x:c r="J135" t="str">
        <x:f>IF(COUNTIF(tblServiceEvents[Event #],A135)&gt;1,"Yes","No")</x:f>
        <x:v>No</x:v>
      </x:c>
      <x:c r="K135" t="str">
        <x:f>IF(C135="","Yes","No")</x:f>
        <x:v>No</x:v>
      </x:c>
      <x:c r="L135" t="str">
        <x:f>IF(B135="","Yes","No")</x:f>
        <x:v>No</x:v>
      </x:c>
      <x:c r="M135" t="str">
        <x:f>IF(OR(G135="",H135=""),"Yes","No")</x:f>
        <x:v>No</x:v>
      </x:c>
      <x:c r="N135" t="str">
        <x:f>IF(COUNTIF({"Monday","Tuesday","Wednesday","Thursday","Friday"},D135)=0,"Yes","No")</x:f>
        <x:v>No</x:v>
      </x:c>
      <x:c r="O135" t="str">
        <x:f>IF(COUNTIF({"MY_MONTH 1","MY_MONTH 2","MY_MONTH 3"},E135)=0,"Yes","No")</x:f>
        <x:v>No</x:v>
      </x:c>
      <x:c r="P135" t="str">
        <x:f>IF(J135="Yes","Duplicate Event #",IF(K135="Yes","Missing Date",IF(L135="Yes","Missing Client",IF(M135="Yes","Missing Location",IF(N135="Yes","Unknown Weekday",IF(O135="Yes","Unknown MY_MONTH",IF(I135=0,"No Linked WO","OK")))))))</x:f>
        <x:v>OK</x:v>
      </x:c>
      <x:c r="Q135" t="str">
        <x:f>IF(J135="Yes","Critical",IF(OR(K135="Yes",L135="Yes",M135="Yes",N135="Yes",O135="Yes"),"Warning",IF(I135=0,"Informational","OK")))</x:f>
        <x:v>OK</x:v>
      </x:c>
      <x:c r="R135" t="str">
        <x:f>IF(P135="OK","No","Yes")</x:f>
        <x:v>No</x:v>
      </x:c>
    </x:row>
    <x:row r="136">
      <x:c r="A136" t="n">
        <x:v>37</x:v>
      </x:c>
      <x:c r="B136" t="str">
        <x:f>INDEX(tblServiceEvents[Client],MATCH($A136,tblServiceEvents[Event #],0))</x:f>
        <x:v>HomeGoods</x:v>
      </x:c>
      <x:c r="C136" s="35" t="n">
        <x:f>INDEX(tblServiceEvents[Service Date],MATCH($A136,tblServiceEvents[Event #],0))</x:f>
        <x:v>46182</x:v>
      </x:c>
      <x:c r="D136" t="str">
        <x:f>INDEX(tblServiceEvents[Weekday],MATCH($A136,tblServiceEvents[Event #],0))</x:f>
        <x:v>Tuesday</x:v>
      </x:c>
      <x:c r="E136" t="str">
        <x:f>INDEX(tblServiceEvents[MY_MONTH],MATCH($A136,tblServiceEvents[Event #],0))</x:f>
        <x:v>MY_MONTH 2</x:v>
      </x:c>
      <x:c r="F136" t="str">
        <x:f>INDEX(tblServiceEvents[Status],MATCH($A136,tblServiceEvents[Event #],0))</x:f>
        <x:v>Completed</x:v>
      </x:c>
      <x:c r="G136" t="str">
        <x:f>INDEX(tblServiceEvents[City],MATCH($A136,tblServiceEvents[Event #],0))</x:f>
        <x:v>Sterling</x:v>
      </x:c>
      <x:c r="H136" t="str">
        <x:f>INDEX(tblServiceEvents[Jurisdiction],MATCH($A136,tblServiceEvents[Event #],0))</x:f>
        <x:v>VA</x:v>
      </x:c>
      <x:c r="I136" t="n">
        <x:f>COUNTIF(tblLedger[Event #],A136)</x:f>
        <x:v>1</x:v>
      </x:c>
      <x:c r="J136" t="str">
        <x:f>IF(COUNTIF(tblServiceEvents[Event #],A136)&gt;1,"Yes","No")</x:f>
        <x:v>No</x:v>
      </x:c>
      <x:c r="K136" t="str">
        <x:f>IF(C136="","Yes","No")</x:f>
        <x:v>No</x:v>
      </x:c>
      <x:c r="L136" t="str">
        <x:f>IF(B136="","Yes","No")</x:f>
        <x:v>No</x:v>
      </x:c>
      <x:c r="M136" t="str">
        <x:f>IF(OR(G136="",H136=""),"Yes","No")</x:f>
        <x:v>No</x:v>
      </x:c>
      <x:c r="N136" t="str">
        <x:f>IF(COUNTIF({"Monday","Tuesday","Wednesday","Thursday","Friday"},D136)=0,"Yes","No")</x:f>
        <x:v>No</x:v>
      </x:c>
      <x:c r="O136" t="str">
        <x:f>IF(COUNTIF({"MY_MONTH 1","MY_MONTH 2","MY_MONTH 3"},E136)=0,"Yes","No")</x:f>
        <x:v>No</x:v>
      </x:c>
      <x:c r="P136" t="str">
        <x:f>IF(J136="Yes","Duplicate Event #",IF(K136="Yes","Missing Date",IF(L136="Yes","Missing Client",IF(M136="Yes","Missing Location",IF(N136="Yes","Unknown Weekday",IF(O136="Yes","Unknown MY_MONTH",IF(I136=0,"No Linked WO","OK")))))))</x:f>
        <x:v>OK</x:v>
      </x:c>
      <x:c r="Q136" t="str">
        <x:f>IF(J136="Yes","Critical",IF(OR(K136="Yes",L136="Yes",M136="Yes",N136="Yes",O136="Yes"),"Warning",IF(I136=0,"Informational","OK")))</x:f>
        <x:v>OK</x:v>
      </x:c>
      <x:c r="R136" t="str">
        <x:f>IF(P136="OK","No","Yes")</x:f>
        <x:v>No</x:v>
      </x:c>
    </x:row>
    <x:row r="137">
      <x:c r="A137" t="n">
        <x:v>38</x:v>
      </x:c>
      <x:c r="B137" t="str">
        <x:f>INDEX(tblServiceEvents[Client],MATCH($A137,tblServiceEvents[Event #],0))</x:f>
        <x:v>7-Eleven</x:v>
      </x:c>
      <x:c r="C137" s="35" t="n">
        <x:f>INDEX(tblServiceEvents[Service Date],MATCH($A137,tblServiceEvents[Event #],0))</x:f>
        <x:v>46183</x:v>
      </x:c>
      <x:c r="D137" t="str">
        <x:f>INDEX(tblServiceEvents[Weekday],MATCH($A137,tblServiceEvents[Event #],0))</x:f>
        <x:v>Wednesday</x:v>
      </x:c>
      <x:c r="E137" t="str">
        <x:f>INDEX(tblServiceEvents[MY_MONTH],MATCH($A137,tblServiceEvents[Event #],0))</x:f>
        <x:v>MY_MONTH 2</x:v>
      </x:c>
      <x:c r="F137" t="str">
        <x:f>INDEX(tblServiceEvents[Status],MATCH($A137,tblServiceEvents[Event #],0))</x:f>
        <x:v>Completed</x:v>
      </x:c>
      <x:c r="G137" t="str">
        <x:f>INDEX(tblServiceEvents[City],MATCH($A137,tblServiceEvents[Event #],0))</x:f>
        <x:v>Lanham</x:v>
      </x:c>
      <x:c r="H137" t="str">
        <x:f>INDEX(tblServiceEvents[Jurisdiction],MATCH($A137,tblServiceEvents[Event #],0))</x:f>
        <x:v>MD</x:v>
      </x:c>
      <x:c r="I137" t="n">
        <x:f>COUNTIF(tblLedger[Event #],A137)</x:f>
        <x:v>1</x:v>
      </x:c>
      <x:c r="J137" t="str">
        <x:f>IF(COUNTIF(tblServiceEvents[Event #],A137)&gt;1,"Yes","No")</x:f>
        <x:v>No</x:v>
      </x:c>
      <x:c r="K137" t="str">
        <x:f>IF(C137="","Yes","No")</x:f>
        <x:v>No</x:v>
      </x:c>
      <x:c r="L137" t="str">
        <x:f>IF(B137="","Yes","No")</x:f>
        <x:v>No</x:v>
      </x:c>
      <x:c r="M137" t="str">
        <x:f>IF(OR(G137="",H137=""),"Yes","No")</x:f>
        <x:v>No</x:v>
      </x:c>
      <x:c r="N137" t="str">
        <x:f>IF(COUNTIF({"Monday","Tuesday","Wednesday","Thursday","Friday"},D137)=0,"Yes","No")</x:f>
        <x:v>No</x:v>
      </x:c>
      <x:c r="O137" t="str">
        <x:f>IF(COUNTIF({"MY_MONTH 1","MY_MONTH 2","MY_MONTH 3"},E137)=0,"Yes","No")</x:f>
        <x:v>No</x:v>
      </x:c>
      <x:c r="P137" t="str">
        <x:f>IF(J137="Yes","Duplicate Event #",IF(K137="Yes","Missing Date",IF(L137="Yes","Missing Client",IF(M137="Yes","Missing Location",IF(N137="Yes","Unknown Weekday",IF(O137="Yes","Unknown MY_MONTH",IF(I137=0,"No Linked WO","OK")))))))</x:f>
        <x:v>OK</x:v>
      </x:c>
      <x:c r="Q137" t="str">
        <x:f>IF(J137="Yes","Critical",IF(OR(K137="Yes",L137="Yes",M137="Yes",N137="Yes",O137="Yes"),"Warning",IF(I137=0,"Informational","OK")))</x:f>
        <x:v>OK</x:v>
      </x:c>
      <x:c r="R137" t="str">
        <x:f>IF(P137="OK","No","Yes")</x:f>
        <x:v>No</x:v>
      </x:c>
    </x:row>
    <x:row r="138">
      <x:c r="A138" t="n">
        <x:v>39</x:v>
      </x:c>
      <x:c r="B138" t="str">
        <x:f>INDEX(tblServiceEvents[Client],MATCH($A138,tblServiceEvents[Event #],0))</x:f>
        <x:v>TJ Maxx</x:v>
      </x:c>
      <x:c r="C138" s="35" t="n">
        <x:f>INDEX(tblServiceEvents[Service Date],MATCH($A138,tblServiceEvents[Event #],0))</x:f>
        <x:v>46183</x:v>
      </x:c>
      <x:c r="D138" t="str">
        <x:f>INDEX(tblServiceEvents[Weekday],MATCH($A138,tblServiceEvents[Event #],0))</x:f>
        <x:v>Wednesday</x:v>
      </x:c>
      <x:c r="E138" t="str">
        <x:f>INDEX(tblServiceEvents[MY_MONTH],MATCH($A138,tblServiceEvents[Event #],0))</x:f>
        <x:v>MY_MONTH 2</x:v>
      </x:c>
      <x:c r="F138" t="str">
        <x:f>INDEX(tblServiceEvents[Status],MATCH($A138,tblServiceEvents[Event #],0))</x:f>
        <x:v>Completed</x:v>
      </x:c>
      <x:c r="G138" t="str">
        <x:f>INDEX(tblServiceEvents[City],MATCH($A138,tblServiceEvents[Event #],0))</x:f>
        <x:v>Annapolis</x:v>
      </x:c>
      <x:c r="H138" t="str">
        <x:f>INDEX(tblServiceEvents[Jurisdiction],MATCH($A138,tblServiceEvents[Event #],0))</x:f>
        <x:v>MD</x:v>
      </x:c>
      <x:c r="I138" t="n">
        <x:f>COUNTIF(tblLedger[Event #],A138)</x:f>
        <x:v>1</x:v>
      </x:c>
      <x:c r="J138" t="str">
        <x:f>IF(COUNTIF(tblServiceEvents[Event #],A138)&gt;1,"Yes","No")</x:f>
        <x:v>No</x:v>
      </x:c>
      <x:c r="K138" t="str">
        <x:f>IF(C138="","Yes","No")</x:f>
        <x:v>No</x:v>
      </x:c>
      <x:c r="L138" t="str">
        <x:f>IF(B138="","Yes","No")</x:f>
        <x:v>No</x:v>
      </x:c>
      <x:c r="M138" t="str">
        <x:f>IF(OR(G138="",H138=""),"Yes","No")</x:f>
        <x:v>No</x:v>
      </x:c>
      <x:c r="N138" t="str">
        <x:f>IF(COUNTIF({"Monday","Tuesday","Wednesday","Thursday","Friday"},D138)=0,"Yes","No")</x:f>
        <x:v>No</x:v>
      </x:c>
      <x:c r="O138" t="str">
        <x:f>IF(COUNTIF({"MY_MONTH 1","MY_MONTH 2","MY_MONTH 3"},E138)=0,"Yes","No")</x:f>
        <x:v>No</x:v>
      </x:c>
      <x:c r="P138" t="str">
        <x:f>IF(J138="Yes","Duplicate Event #",IF(K138="Yes","Missing Date",IF(L138="Yes","Missing Client",IF(M138="Yes","Missing Location",IF(N138="Yes","Unknown Weekday",IF(O138="Yes","Unknown MY_MONTH",IF(I138=0,"No Linked WO","OK")))))))</x:f>
        <x:v>OK</x:v>
      </x:c>
      <x:c r="Q138" t="str">
        <x:f>IF(J138="Yes","Critical",IF(OR(K138="Yes",L138="Yes",M138="Yes",N138="Yes",O138="Yes"),"Warning",IF(I138=0,"Informational","OK")))</x:f>
        <x:v>OK</x:v>
      </x:c>
      <x:c r="R138" t="str">
        <x:f>IF(P138="OK","No","Yes")</x:f>
        <x:v>No</x:v>
      </x:c>
    </x:row>
    <x:row r="139">
      <x:c r="A139" t="n">
        <x:v>40</x:v>
      </x:c>
      <x:c r="B139" t="str">
        <x:f>INDEX(tblServiceEvents[Client],MATCH($A139,tblServiceEvents[Event #],0))</x:f>
        <x:v>Residential – Annapolis Neck, MD</x:v>
      </x:c>
      <x:c r="C139" s="35" t="n">
        <x:f>INDEX(tblServiceEvents[Service Date],MATCH($A139,tblServiceEvents[Event #],0))</x:f>
        <x:v>46183</x:v>
      </x:c>
      <x:c r="D139" t="str">
        <x:f>INDEX(tblServiceEvents[Weekday],MATCH($A139,tblServiceEvents[Event #],0))</x:f>
        <x:v>Wednesday</x:v>
      </x:c>
      <x:c r="E139" t="str">
        <x:f>INDEX(tblServiceEvents[MY_MONTH],MATCH($A139,tblServiceEvents[Event #],0))</x:f>
        <x:v>MY_MONTH 2</x:v>
      </x:c>
      <x:c r="F139" t="str">
        <x:f>INDEX(tblServiceEvents[Status],MATCH($A139,tblServiceEvents[Event #],0))</x:f>
        <x:v>Completed</x:v>
      </x:c>
      <x:c r="G139" t="str">
        <x:f>INDEX(tblServiceEvents[City],MATCH($A139,tblServiceEvents[Event #],0))</x:f>
        <x:v>Annapolis Neck</x:v>
      </x:c>
      <x:c r="H139" t="str">
        <x:f>INDEX(tblServiceEvents[Jurisdiction],MATCH($A139,tblServiceEvents[Event #],0))</x:f>
        <x:v>MD</x:v>
      </x:c>
      <x:c r="I139" t="n">
        <x:f>COUNTIF(tblLedger[Event #],A139)</x:f>
        <x:v>1</x:v>
      </x:c>
      <x:c r="J139" t="str">
        <x:f>IF(COUNTIF(tblServiceEvents[Event #],A139)&gt;1,"Yes","No")</x:f>
        <x:v>No</x:v>
      </x:c>
      <x:c r="K139" t="str">
        <x:f>IF(C139="","Yes","No")</x:f>
        <x:v>No</x:v>
      </x:c>
      <x:c r="L139" t="str">
        <x:f>IF(B139="","Yes","No")</x:f>
        <x:v>No</x:v>
      </x:c>
      <x:c r="M139" t="str">
        <x:f>IF(OR(G139="",H139=""),"Yes","No")</x:f>
        <x:v>No</x:v>
      </x:c>
      <x:c r="N139" t="str">
        <x:f>IF(COUNTIF({"Monday","Tuesday","Wednesday","Thursday","Friday"},D139)=0,"Yes","No")</x:f>
        <x:v>No</x:v>
      </x:c>
      <x:c r="O139" t="str">
        <x:f>IF(COUNTIF({"MY_MONTH 1","MY_MONTH 2","MY_MONTH 3"},E139)=0,"Yes","No")</x:f>
        <x:v>No</x:v>
      </x:c>
      <x:c r="P139" t="str">
        <x:f>IF(J139="Yes","Duplicate Event #",IF(K139="Yes","Missing Date",IF(L139="Yes","Missing Client",IF(M139="Yes","Missing Location",IF(N139="Yes","Unknown Weekday",IF(O139="Yes","Unknown MY_MONTH",IF(I139=0,"No Linked WO","OK")))))))</x:f>
        <x:v>OK</x:v>
      </x:c>
      <x:c r="Q139" t="str">
        <x:f>IF(J139="Yes","Critical",IF(OR(K139="Yes",L139="Yes",M139="Yes",N139="Yes",O139="Yes"),"Warning",IF(I139=0,"Informational","OK")))</x:f>
        <x:v>OK</x:v>
      </x:c>
      <x:c r="R139" t="str">
        <x:f>IF(P139="OK","No","Yes")</x:f>
        <x:v>No</x:v>
      </x:c>
    </x:row>
    <x:row r="140">
      <x:c r="A140" t="n">
        <x:v>41</x:v>
      </x:c>
      <x:c r="B140" t="str">
        <x:f>INDEX(tblServiceEvents[Client],MATCH($A140,tblServiceEvents[Event #],0))</x:f>
        <x:v>Baskin-Robbins</x:v>
      </x:c>
      <x:c r="C140" s="35" t="n">
        <x:f>INDEX(tblServiceEvents[Service Date],MATCH($A140,tblServiceEvents[Event #],0))</x:f>
        <x:v>46184</x:v>
      </x:c>
      <x:c r="D140" t="str">
        <x:f>INDEX(tblServiceEvents[Weekday],MATCH($A140,tblServiceEvents[Event #],0))</x:f>
        <x:v>Thursday</x:v>
      </x:c>
      <x:c r="E140" t="str">
        <x:f>INDEX(tblServiceEvents[MY_MONTH],MATCH($A140,tblServiceEvents[Event #],0))</x:f>
        <x:v>MY_MONTH 2</x:v>
      </x:c>
      <x:c r="F140" t="str">
        <x:f>INDEX(tblServiceEvents[Status],MATCH($A140,tblServiceEvents[Event #],0))</x:f>
        <x:v>Completed</x:v>
      </x:c>
      <x:c r="G140" t="str">
        <x:f>INDEX(tblServiceEvents[City],MATCH($A140,tblServiceEvents[Event #],0))</x:f>
        <x:v>Falls Church</x:v>
      </x:c>
      <x:c r="H140" t="str">
        <x:f>INDEX(tblServiceEvents[Jurisdiction],MATCH($A140,tblServiceEvents[Event #],0))</x:f>
        <x:v>VA</x:v>
      </x:c>
      <x:c r="I140" t="n">
        <x:f>COUNTIF(tblLedger[Event #],A140)</x:f>
        <x:v>1</x:v>
      </x:c>
      <x:c r="J140" t="str">
        <x:f>IF(COUNTIF(tblServiceEvents[Event #],A140)&gt;1,"Yes","No")</x:f>
        <x:v>No</x:v>
      </x:c>
      <x:c r="K140" t="str">
        <x:f>IF(C140="","Yes","No")</x:f>
        <x:v>No</x:v>
      </x:c>
      <x:c r="L140" t="str">
        <x:f>IF(B140="","Yes","No")</x:f>
        <x:v>No</x:v>
      </x:c>
      <x:c r="M140" t="str">
        <x:f>IF(OR(G140="",H140=""),"Yes","No")</x:f>
        <x:v>No</x:v>
      </x:c>
      <x:c r="N140" t="str">
        <x:f>IF(COUNTIF({"Monday","Tuesday","Wednesday","Thursday","Friday"},D140)=0,"Yes","No")</x:f>
        <x:v>No</x:v>
      </x:c>
      <x:c r="O140" t="str">
        <x:f>IF(COUNTIF({"MY_MONTH 1","MY_MONTH 2","MY_MONTH 3"},E140)=0,"Yes","No")</x:f>
        <x:v>No</x:v>
      </x:c>
      <x:c r="P140" t="str">
        <x:f>IF(J140="Yes","Duplicate Event #",IF(K140="Yes","Missing Date",IF(L140="Yes","Missing Client",IF(M140="Yes","Missing Location",IF(N140="Yes","Unknown Weekday",IF(O140="Yes","Unknown MY_MONTH",IF(I140=0,"No Linked WO","OK")))))))</x:f>
        <x:v>OK</x:v>
      </x:c>
      <x:c r="Q140" t="str">
        <x:f>IF(J140="Yes","Critical",IF(OR(K140="Yes",L140="Yes",M140="Yes",N140="Yes",O140="Yes"),"Warning",IF(I140=0,"Informational","OK")))</x:f>
        <x:v>OK</x:v>
      </x:c>
      <x:c r="R140" t="str">
        <x:f>IF(P140="OK","No","Yes")</x:f>
        <x:v>No</x:v>
      </x:c>
    </x:row>
    <x:row r="141">
      <x:c r="A141" t="n">
        <x:v>42</x:v>
      </x:c>
      <x:c r="B141" t="str">
        <x:f>INDEX(tblServiceEvents[Client],MATCH($A141,tblServiceEvents[Event #],0))</x:f>
        <x:v>Verizon</x:v>
      </x:c>
      <x:c r="C141" s="35" t="n">
        <x:f>INDEX(tblServiceEvents[Service Date],MATCH($A141,tblServiceEvents[Event #],0))</x:f>
        <x:v>46184</x:v>
      </x:c>
      <x:c r="D141" t="str">
        <x:f>INDEX(tblServiceEvents[Weekday],MATCH($A141,tblServiceEvents[Event #],0))</x:f>
        <x:v>Thursday</x:v>
      </x:c>
      <x:c r="E141" t="str">
        <x:f>INDEX(tblServiceEvents[MY_MONTH],MATCH($A141,tblServiceEvents[Event #],0))</x:f>
        <x:v>MY_MONTH 2</x:v>
      </x:c>
      <x:c r="F141" t="str">
        <x:f>INDEX(tblServiceEvents[Status],MATCH($A141,tblServiceEvents[Event #],0))</x:f>
        <x:v>Completed</x:v>
      </x:c>
      <x:c r="G141" t="str">
        <x:f>INDEX(tblServiceEvents[City],MATCH($A141,tblServiceEvents[Event #],0))</x:f>
        <x:v>Ellicott City</x:v>
      </x:c>
      <x:c r="H141" t="str">
        <x:f>INDEX(tblServiceEvents[Jurisdiction],MATCH($A141,tblServiceEvents[Event #],0))</x:f>
        <x:v>MD</x:v>
      </x:c>
      <x:c r="I141" t="n">
        <x:f>COUNTIF(tblLedger[Event #],A141)</x:f>
        <x:v>1</x:v>
      </x:c>
      <x:c r="J141" t="str">
        <x:f>IF(COUNTIF(tblServiceEvents[Event #],A141)&gt;1,"Yes","No")</x:f>
        <x:v>No</x:v>
      </x:c>
      <x:c r="K141" t="str">
        <x:f>IF(C141="","Yes","No")</x:f>
        <x:v>No</x:v>
      </x:c>
      <x:c r="L141" t="str">
        <x:f>IF(B141="","Yes","No")</x:f>
        <x:v>No</x:v>
      </x:c>
      <x:c r="M141" t="str">
        <x:f>IF(OR(G141="",H141=""),"Yes","No")</x:f>
        <x:v>No</x:v>
      </x:c>
      <x:c r="N141" t="str">
        <x:f>IF(COUNTIF({"Monday","Tuesday","Wednesday","Thursday","Friday"},D141)=0,"Yes","No")</x:f>
        <x:v>No</x:v>
      </x:c>
      <x:c r="O141" t="str">
        <x:f>IF(COUNTIF({"MY_MONTH 1","MY_MONTH 2","MY_MONTH 3"},E141)=0,"Yes","No")</x:f>
        <x:v>No</x:v>
      </x:c>
      <x:c r="P141" t="str">
        <x:f>IF(J141="Yes","Duplicate Event #",IF(K141="Yes","Missing Date",IF(L141="Yes","Missing Client",IF(M141="Yes","Missing Location",IF(N141="Yes","Unknown Weekday",IF(O141="Yes","Unknown MY_MONTH",IF(I141=0,"No Linked WO","OK")))))))</x:f>
        <x:v>OK</x:v>
      </x:c>
      <x:c r="Q141" t="str">
        <x:f>IF(J141="Yes","Critical",IF(OR(K141="Yes",L141="Yes",M141="Yes",N141="Yes",O141="Yes"),"Warning",IF(I141=0,"Informational","OK")))</x:f>
        <x:v>OK</x:v>
      </x:c>
      <x:c r="R141" t="str">
        <x:f>IF(P141="OK","No","Yes")</x:f>
        <x:v>No</x:v>
      </x:c>
    </x:row>
    <x:row r="142">
      <x:c r="A142" t="n">
        <x:v>43</x:v>
      </x:c>
      <x:c r="B142" t="str">
        <x:f>INDEX(tblServiceEvents[Client],MATCH($A142,tblServiceEvents[Event #],0))</x:f>
        <x:v>Verizon</x:v>
      </x:c>
      <x:c r="C142" s="35" t="n">
        <x:f>INDEX(tblServiceEvents[Service Date],MATCH($A142,tblServiceEvents[Event #],0))</x:f>
        <x:v>46185</x:v>
      </x:c>
      <x:c r="D142" t="str">
        <x:f>INDEX(tblServiceEvents[Weekday],MATCH($A142,tblServiceEvents[Event #],0))</x:f>
        <x:v>Friday</x:v>
      </x:c>
      <x:c r="E142" t="str">
        <x:f>INDEX(tblServiceEvents[MY_MONTH],MATCH($A142,tblServiceEvents[Event #],0))</x:f>
        <x:v>MY_MONTH 2</x:v>
      </x:c>
      <x:c r="F142" t="str">
        <x:f>INDEX(tblServiceEvents[Status],MATCH($A142,tblServiceEvents[Event #],0))</x:f>
        <x:v>Completed</x:v>
      </x:c>
      <x:c r="G142" t="str">
        <x:f>INDEX(tblServiceEvents[City],MATCH($A142,tblServiceEvents[Event #],0))</x:f>
        <x:v>Lanham</x:v>
      </x:c>
      <x:c r="H142" t="str">
        <x:f>INDEX(tblServiceEvents[Jurisdiction],MATCH($A142,tblServiceEvents[Event #],0))</x:f>
        <x:v>MD</x:v>
      </x:c>
      <x:c r="I142" t="n">
        <x:f>COUNTIF(tblLedger[Event #],A142)</x:f>
        <x:v>1</x:v>
      </x:c>
      <x:c r="J142" t="str">
        <x:f>IF(COUNTIF(tblServiceEvents[Event #],A142)&gt;1,"Yes","No")</x:f>
        <x:v>No</x:v>
      </x:c>
      <x:c r="K142" t="str">
        <x:f>IF(C142="","Yes","No")</x:f>
        <x:v>No</x:v>
      </x:c>
      <x:c r="L142" t="str">
        <x:f>IF(B142="","Yes","No")</x:f>
        <x:v>No</x:v>
      </x:c>
      <x:c r="M142" t="str">
        <x:f>IF(OR(G142="",H142=""),"Yes","No")</x:f>
        <x:v>No</x:v>
      </x:c>
      <x:c r="N142" t="str">
        <x:f>IF(COUNTIF({"Monday","Tuesday","Wednesday","Thursday","Friday"},D142)=0,"Yes","No")</x:f>
        <x:v>No</x:v>
      </x:c>
      <x:c r="O142" t="str">
        <x:f>IF(COUNTIF({"MY_MONTH 1","MY_MONTH 2","MY_MONTH 3"},E142)=0,"Yes","No")</x:f>
        <x:v>No</x:v>
      </x:c>
      <x:c r="P142" t="str">
        <x:f>IF(J142="Yes","Duplicate Event #",IF(K142="Yes","Missing Date",IF(L142="Yes","Missing Client",IF(M142="Yes","Missing Location",IF(N142="Yes","Unknown Weekday",IF(O142="Yes","Unknown MY_MONTH",IF(I142=0,"No Linked WO","OK")))))))</x:f>
        <x:v>OK</x:v>
      </x:c>
      <x:c r="Q142" t="str">
        <x:f>IF(J142="Yes","Critical",IF(OR(K142="Yes",L142="Yes",M142="Yes",N142="Yes",O142="Yes"),"Warning",IF(I142=0,"Informational","OK")))</x:f>
        <x:v>OK</x:v>
      </x:c>
      <x:c r="R142" t="str">
        <x:f>IF(P142="OK","No","Yes")</x:f>
        <x:v>No</x:v>
      </x:c>
    </x:row>
    <x:row r="143">
      <x:c r="A143" t="n">
        <x:v>44</x:v>
      </x:c>
      <x:c r="B143" t="str">
        <x:f>INDEX(tblServiceEvents[Client],MATCH($A143,tblServiceEvents[Event #],0))</x:f>
        <x:v>Marshalls</x:v>
      </x:c>
      <x:c r="C143" s="35" t="n">
        <x:f>INDEX(tblServiceEvents[Service Date],MATCH($A143,tblServiceEvents[Event #],0))</x:f>
        <x:v>46188</x:v>
      </x:c>
      <x:c r="D143" t="str">
        <x:f>INDEX(tblServiceEvents[Weekday],MATCH($A143,tblServiceEvents[Event #],0))</x:f>
        <x:v>Monday</x:v>
      </x:c>
      <x:c r="E143" t="str">
        <x:f>INDEX(tblServiceEvents[MY_MONTH],MATCH($A143,tblServiceEvents[Event #],0))</x:f>
        <x:v>MY_MONTH 2</x:v>
      </x:c>
      <x:c r="F143" t="str">
        <x:f>INDEX(tblServiceEvents[Status],MATCH($A143,tblServiceEvents[Event #],0))</x:f>
        <x:v>Completed</x:v>
      </x:c>
      <x:c r="G143" t="str">
        <x:f>INDEX(tblServiceEvents[City],MATCH($A143,tblServiceEvents[Event #],0))</x:f>
        <x:v>Frederick</x:v>
      </x:c>
      <x:c r="H143" t="str">
        <x:f>INDEX(tblServiceEvents[Jurisdiction],MATCH($A143,tblServiceEvents[Event #],0))</x:f>
        <x:v>MD</x:v>
      </x:c>
      <x:c r="I143" t="n">
        <x:f>COUNTIF(tblLedger[Event #],A143)</x:f>
        <x:v>1</x:v>
      </x:c>
      <x:c r="J143" t="str">
        <x:f>IF(COUNTIF(tblServiceEvents[Event #],A143)&gt;1,"Yes","No")</x:f>
        <x:v>No</x:v>
      </x:c>
      <x:c r="K143" t="str">
        <x:f>IF(C143="","Yes","No")</x:f>
        <x:v>No</x:v>
      </x:c>
      <x:c r="L143" t="str">
        <x:f>IF(B143="","Yes","No")</x:f>
        <x:v>No</x:v>
      </x:c>
      <x:c r="M143" t="str">
        <x:f>IF(OR(G143="",H143=""),"Yes","No")</x:f>
        <x:v>No</x:v>
      </x:c>
      <x:c r="N143" t="str">
        <x:f>IF(COUNTIF({"Monday","Tuesday","Wednesday","Thursday","Friday"},D143)=0,"Yes","No")</x:f>
        <x:v>No</x:v>
      </x:c>
      <x:c r="O143" t="str">
        <x:f>IF(COUNTIF({"MY_MONTH 1","MY_MONTH 2","MY_MONTH 3"},E143)=0,"Yes","No")</x:f>
        <x:v>No</x:v>
      </x:c>
      <x:c r="P143" t="str">
        <x:f>IF(J143="Yes","Duplicate Event #",IF(K143="Yes","Missing Date",IF(L143="Yes","Missing Client",IF(M143="Yes","Missing Location",IF(N143="Yes","Unknown Weekday",IF(O143="Yes","Unknown MY_MONTH",IF(I143=0,"No Linked WO","OK")))))))</x:f>
        <x:v>OK</x:v>
      </x:c>
      <x:c r="Q143" t="str">
        <x:f>IF(J143="Yes","Critical",IF(OR(K143="Yes",L143="Yes",M143="Yes",N143="Yes",O143="Yes"),"Warning",IF(I143=0,"Informational","OK")))</x:f>
        <x:v>OK</x:v>
      </x:c>
      <x:c r="R143" t="str">
        <x:f>IF(P143="OK","No","Yes")</x:f>
        <x:v>No</x:v>
      </x:c>
    </x:row>
    <x:row r="144">
      <x:c r="A144" t="n">
        <x:v>45</x:v>
      </x:c>
      <x:c r="B144" t="str">
        <x:f>INDEX(tblServiceEvents[Client],MATCH($A144,tblServiceEvents[Event #],0))</x:f>
        <x:v>Montpelier Liquors</x:v>
      </x:c>
      <x:c r="C144" s="35" t="n">
        <x:f>INDEX(tblServiceEvents[Service Date],MATCH($A144,tblServiceEvents[Event #],0))</x:f>
        <x:v>46190</x:v>
      </x:c>
      <x:c r="D144" t="str">
        <x:f>INDEX(tblServiceEvents[Weekday],MATCH($A144,tblServiceEvents[Event #],0))</x:f>
        <x:v>Wednesday</x:v>
      </x:c>
      <x:c r="E144" t="str">
        <x:f>INDEX(tblServiceEvents[MY_MONTH],MATCH($A144,tblServiceEvents[Event #],0))</x:f>
        <x:v>MY_MONTH 2</x:v>
      </x:c>
      <x:c r="F144" t="str">
        <x:f>INDEX(tblServiceEvents[Status],MATCH($A144,tblServiceEvents[Event #],0))</x:f>
        <x:v>Completed</x:v>
      </x:c>
      <x:c r="G144" t="str">
        <x:f>INDEX(tblServiceEvents[City],MATCH($A144,tblServiceEvents[Event #],0))</x:f>
        <x:v>Laurel</x:v>
      </x:c>
      <x:c r="H144" t="str">
        <x:f>INDEX(tblServiceEvents[Jurisdiction],MATCH($A144,tblServiceEvents[Event #],0))</x:f>
        <x:v>MD</x:v>
      </x:c>
      <x:c r="I144" t="n">
        <x:f>COUNTIF(tblLedger[Event #],A144)</x:f>
        <x:v>1</x:v>
      </x:c>
      <x:c r="J144" t="str">
        <x:f>IF(COUNTIF(tblServiceEvents[Event #],A144)&gt;1,"Yes","No")</x:f>
        <x:v>No</x:v>
      </x:c>
      <x:c r="K144" t="str">
        <x:f>IF(C144="","Yes","No")</x:f>
        <x:v>No</x:v>
      </x:c>
      <x:c r="L144" t="str">
        <x:f>IF(B144="","Yes","No")</x:f>
        <x:v>No</x:v>
      </x:c>
      <x:c r="M144" t="str">
        <x:f>IF(OR(G144="",H144=""),"Yes","No")</x:f>
        <x:v>No</x:v>
      </x:c>
      <x:c r="N144" t="str">
        <x:f>IF(COUNTIF({"Monday","Tuesday","Wednesday","Thursday","Friday"},D144)=0,"Yes","No")</x:f>
        <x:v>No</x:v>
      </x:c>
      <x:c r="O144" t="str">
        <x:f>IF(COUNTIF({"MY_MONTH 1","MY_MONTH 2","MY_MONTH 3"},E144)=0,"Yes","No")</x:f>
        <x:v>No</x:v>
      </x:c>
      <x:c r="P144" t="str">
        <x:f>IF(J144="Yes","Duplicate Event #",IF(K144="Yes","Missing Date",IF(L144="Yes","Missing Client",IF(M144="Yes","Missing Location",IF(N144="Yes","Unknown Weekday",IF(O144="Yes","Unknown MY_MONTH",IF(I144=0,"No Linked WO","OK")))))))</x:f>
        <x:v>OK</x:v>
      </x:c>
      <x:c r="Q144" t="str">
        <x:f>IF(J144="Yes","Critical",IF(OR(K144="Yes",L144="Yes",M144="Yes",N144="Yes",O144="Yes"),"Warning",IF(I144=0,"Informational","OK")))</x:f>
        <x:v>OK</x:v>
      </x:c>
      <x:c r="R144" t="str">
        <x:f>IF(P144="OK","No","Yes")</x:f>
        <x:v>No</x:v>
      </x:c>
    </x:row>
    <x:row r="145">
      <x:c r="A145" t="n">
        <x:v>46</x:v>
      </x:c>
      <x:c r="B145" t="str">
        <x:f>INDEX(tblServiceEvents[Client],MATCH($A145,tblServiceEvents[Event #],0))</x:f>
        <x:v>Marshalls</x:v>
      </x:c>
      <x:c r="C145" s="35" t="n">
        <x:f>INDEX(tblServiceEvents[Service Date],MATCH($A145,tblServiceEvents[Event #],0))</x:f>
        <x:v>46190</x:v>
      </x:c>
      <x:c r="D145" t="str">
        <x:f>INDEX(tblServiceEvents[Weekday],MATCH($A145,tblServiceEvents[Event #],0))</x:f>
        <x:v>Wednesday</x:v>
      </x:c>
      <x:c r="E145" t="str">
        <x:f>INDEX(tblServiceEvents[MY_MONTH],MATCH($A145,tblServiceEvents[Event #],0))</x:f>
        <x:v>MY_MONTH 2</x:v>
      </x:c>
      <x:c r="F145" t="str">
        <x:f>INDEX(tblServiceEvents[Status],MATCH($A145,tblServiceEvents[Event #],0))</x:f>
        <x:v>Completed</x:v>
      </x:c>
      <x:c r="G145" t="str">
        <x:f>INDEX(tblServiceEvents[City],MATCH($A145,tblServiceEvents[Event #],0))</x:f>
        <x:v>Laurel</x:v>
      </x:c>
      <x:c r="H145" t="str">
        <x:f>INDEX(tblServiceEvents[Jurisdiction],MATCH($A145,tblServiceEvents[Event #],0))</x:f>
        <x:v>MD</x:v>
      </x:c>
      <x:c r="I145" t="n">
        <x:f>COUNTIF(tblLedger[Event #],A145)</x:f>
        <x:v>1</x:v>
      </x:c>
      <x:c r="J145" t="str">
        <x:f>IF(COUNTIF(tblServiceEvents[Event #],A145)&gt;1,"Yes","No")</x:f>
        <x:v>No</x:v>
      </x:c>
      <x:c r="K145" t="str">
        <x:f>IF(C145="","Yes","No")</x:f>
        <x:v>No</x:v>
      </x:c>
      <x:c r="L145" t="str">
        <x:f>IF(B145="","Yes","No")</x:f>
        <x:v>No</x:v>
      </x:c>
      <x:c r="M145" t="str">
        <x:f>IF(OR(G145="",H145=""),"Yes","No")</x:f>
        <x:v>No</x:v>
      </x:c>
      <x:c r="N145" t="str">
        <x:f>IF(COUNTIF({"Monday","Tuesday","Wednesday","Thursday","Friday"},D145)=0,"Yes","No")</x:f>
        <x:v>No</x:v>
      </x:c>
      <x:c r="O145" t="str">
        <x:f>IF(COUNTIF({"MY_MONTH 1","MY_MONTH 2","MY_MONTH 3"},E145)=0,"Yes","No")</x:f>
        <x:v>No</x:v>
      </x:c>
      <x:c r="P145" t="str">
        <x:f>IF(J145="Yes","Duplicate Event #",IF(K145="Yes","Missing Date",IF(L145="Yes","Missing Client",IF(M145="Yes","Missing Location",IF(N145="Yes","Unknown Weekday",IF(O145="Yes","Unknown MY_MONTH",IF(I145=0,"No Linked WO","OK")))))))</x:f>
        <x:v>OK</x:v>
      </x:c>
      <x:c r="Q145" t="str">
        <x:f>IF(J145="Yes","Critical",IF(OR(K145="Yes",L145="Yes",M145="Yes",N145="Yes",O145="Yes"),"Warning",IF(I145=0,"Informational","OK")))</x:f>
        <x:v>OK</x:v>
      </x:c>
      <x:c r="R145" t="str">
        <x:f>IF(P145="OK","No","Yes")</x:f>
        <x:v>No</x:v>
      </x:c>
    </x:row>
    <x:row r="146">
      <x:c r="A146" t="n">
        <x:v>47</x:v>
      </x:c>
      <x:c r="B146" t="str">
        <x:f>INDEX(tblServiceEvents[Client],MATCH($A146,tblServiceEvents[Event #],0))</x:f>
        <x:v>Office of MD Senator Angela Alsobrooks</x:v>
      </x:c>
      <x:c r="C146" s="35" t="n">
        <x:f>INDEX(tblServiceEvents[Service Date],MATCH($A146,tblServiceEvents[Event #],0))</x:f>
        <x:v>46191</x:v>
      </x:c>
      <x:c r="D146" t="str">
        <x:f>INDEX(tblServiceEvents[Weekday],MATCH($A146,tblServiceEvents[Event #],0))</x:f>
        <x:v>Thursday</x:v>
      </x:c>
      <x:c r="E146" t="str">
        <x:f>INDEX(tblServiceEvents[MY_MONTH],MATCH($A146,tblServiceEvents[Event #],0))</x:f>
        <x:v>MY_MONTH 2</x:v>
      </x:c>
      <x:c r="F146" t="str">
        <x:f>INDEX(tblServiceEvents[Status],MATCH($A146,tblServiceEvents[Event #],0))</x:f>
        <x:v>Completed</x:v>
      </x:c>
      <x:c r="G146" t="str">
        <x:f>INDEX(tblServiceEvents[City],MATCH($A146,tblServiceEvents[Event #],0))</x:f>
        <x:v>Bowie</x:v>
      </x:c>
      <x:c r="H146" t="str">
        <x:f>INDEX(tblServiceEvents[Jurisdiction],MATCH($A146,tblServiceEvents[Event #],0))</x:f>
        <x:v>MD</x:v>
      </x:c>
      <x:c r="I146" t="n">
        <x:f>COUNTIF(tblLedger[Event #],A146)</x:f>
        <x:v>1</x:v>
      </x:c>
      <x:c r="J146" t="str">
        <x:f>IF(COUNTIF(tblServiceEvents[Event #],A146)&gt;1,"Yes","No")</x:f>
        <x:v>No</x:v>
      </x:c>
      <x:c r="K146" t="str">
        <x:f>IF(C146="","Yes","No")</x:f>
        <x:v>No</x:v>
      </x:c>
      <x:c r="L146" t="str">
        <x:f>IF(B146="","Yes","No")</x:f>
        <x:v>No</x:v>
      </x:c>
      <x:c r="M146" t="str">
        <x:f>IF(OR(G146="",H146=""),"Yes","No")</x:f>
        <x:v>No</x:v>
      </x:c>
      <x:c r="N146" t="str">
        <x:f>IF(COUNTIF({"Monday","Tuesday","Wednesday","Thursday","Friday"},D146)=0,"Yes","No")</x:f>
        <x:v>No</x:v>
      </x:c>
      <x:c r="O146" t="str">
        <x:f>IF(COUNTIF({"MY_MONTH 1","MY_MONTH 2","MY_MONTH 3"},E146)=0,"Yes","No")</x:f>
        <x:v>No</x:v>
      </x:c>
      <x:c r="P146" t="str">
        <x:f>IF(J146="Yes","Duplicate Event #",IF(K146="Yes","Missing Date",IF(L146="Yes","Missing Client",IF(M146="Yes","Missing Location",IF(N146="Yes","Unknown Weekday",IF(O146="Yes","Unknown MY_MONTH",IF(I146=0,"No Linked WO","OK")))))))</x:f>
        <x:v>OK</x:v>
      </x:c>
      <x:c r="Q146" t="str">
        <x:f>IF(J146="Yes","Critical",IF(OR(K146="Yes",L146="Yes",M146="Yes",N146="Yes",O146="Yes"),"Warning",IF(I146=0,"Informational","OK")))</x:f>
        <x:v>OK</x:v>
      </x:c>
      <x:c r="R146" t="str">
        <x:f>IF(P146="OK","No","Yes")</x:f>
        <x:v>No</x:v>
      </x:c>
    </x:row>
    <x:row r="147">
      <x:c r="A147" t="n">
        <x:v>48</x:v>
      </x:c>
      <x:c r="B147" t="str">
        <x:f>INDEX(tblServiceEvents[Client],MATCH($A147,tblServiceEvents[Event #],0))</x:f>
        <x:v>Hebrew Home of Greater Washington</x:v>
      </x:c>
      <x:c r="C147" s="35" t="n">
        <x:f>INDEX(tblServiceEvents[Service Date],MATCH($A147,tblServiceEvents[Event #],0))</x:f>
        <x:v>46191</x:v>
      </x:c>
      <x:c r="D147" t="str">
        <x:f>INDEX(tblServiceEvents[Weekday],MATCH($A147,tblServiceEvents[Event #],0))</x:f>
        <x:v>Thursday</x:v>
      </x:c>
      <x:c r="E147" t="str">
        <x:f>INDEX(tblServiceEvents[MY_MONTH],MATCH($A147,tblServiceEvents[Event #],0))</x:f>
        <x:v>MY_MONTH 2</x:v>
      </x:c>
      <x:c r="F147" t="str">
        <x:f>INDEX(tblServiceEvents[Status],MATCH($A147,tblServiceEvents[Event #],0))</x:f>
        <x:v>Completed</x:v>
      </x:c>
      <x:c r="G147" t="str">
        <x:f>INDEX(tblServiceEvents[City],MATCH($A147,tblServiceEvents[Event #],0))</x:f>
        <x:v>North Bethesda</x:v>
      </x:c>
      <x:c r="H147" t="str">
        <x:f>INDEX(tblServiceEvents[Jurisdiction],MATCH($A147,tblServiceEvents[Event #],0))</x:f>
        <x:v>MD</x:v>
      </x:c>
      <x:c r="I147" t="n">
        <x:f>COUNTIF(tblLedger[Event #],A147)</x:f>
        <x:v>1</x:v>
      </x:c>
      <x:c r="J147" t="str">
        <x:f>IF(COUNTIF(tblServiceEvents[Event #],A147)&gt;1,"Yes","No")</x:f>
        <x:v>No</x:v>
      </x:c>
      <x:c r="K147" t="str">
        <x:f>IF(C147="","Yes","No")</x:f>
        <x:v>No</x:v>
      </x:c>
      <x:c r="L147" t="str">
        <x:f>IF(B147="","Yes","No")</x:f>
        <x:v>No</x:v>
      </x:c>
      <x:c r="M147" t="str">
        <x:f>IF(OR(G147="",H147=""),"Yes","No")</x:f>
        <x:v>No</x:v>
      </x:c>
      <x:c r="N147" t="str">
        <x:f>IF(COUNTIF({"Monday","Tuesday","Wednesday","Thursday","Friday"},D147)=0,"Yes","No")</x:f>
        <x:v>No</x:v>
      </x:c>
      <x:c r="O147" t="str">
        <x:f>IF(COUNTIF({"MY_MONTH 1","MY_MONTH 2","MY_MONTH 3"},E147)=0,"Yes","No")</x:f>
        <x:v>No</x:v>
      </x:c>
      <x:c r="P147" t="str">
        <x:f>IF(J147="Yes","Duplicate Event #",IF(K147="Yes","Missing Date",IF(L147="Yes","Missing Client",IF(M147="Yes","Missing Location",IF(N147="Yes","Unknown Weekday",IF(O147="Yes","Unknown MY_MONTH",IF(I147=0,"No Linked WO","OK")))))))</x:f>
        <x:v>OK</x:v>
      </x:c>
      <x:c r="Q147" t="str">
        <x:f>IF(J147="Yes","Critical",IF(OR(K147="Yes",L147="Yes",M147="Yes",N147="Yes",O147="Yes"),"Warning",IF(I147=0,"Informational","OK")))</x:f>
        <x:v>OK</x:v>
      </x:c>
      <x:c r="R147" t="str">
        <x:f>IF(P147="OK","No","Yes")</x:f>
        <x:v>No</x:v>
      </x:c>
    </x:row>
    <x:row r="148">
      <x:c r="A148" t="n">
        <x:v>49</x:v>
      </x:c>
      <x:c r="B148" t="str">
        <x:f>INDEX(tblServiceEvents[Client],MATCH($A148,tblServiceEvents[Event #],0))</x:f>
        <x:v>Weis Markets</x:v>
      </x:c>
      <x:c r="C148" s="35" t="n">
        <x:f>INDEX(tblServiceEvents[Service Date],MATCH($A148,tblServiceEvents[Event #],0))</x:f>
        <x:v>46192</x:v>
      </x:c>
      <x:c r="D148" t="str">
        <x:f>INDEX(tblServiceEvents[Weekday],MATCH($A148,tblServiceEvents[Event #],0))</x:f>
        <x:v>Friday</x:v>
      </x:c>
      <x:c r="E148" t="str">
        <x:f>INDEX(tblServiceEvents[MY_MONTH],MATCH($A148,tblServiceEvents[Event #],0))</x:f>
        <x:v>MY_MONTH 2</x:v>
      </x:c>
      <x:c r="F148" t="str">
        <x:f>INDEX(tblServiceEvents[Status],MATCH($A148,tblServiceEvents[Event #],0))</x:f>
        <x:v>Completed</x:v>
      </x:c>
      <x:c r="G148" t="str">
        <x:f>INDEX(tblServiceEvents[City],MATCH($A148,tblServiceEvents[Event #],0))</x:f>
        <x:v>Callaway</x:v>
      </x:c>
      <x:c r="H148" t="str">
        <x:f>INDEX(tblServiceEvents[Jurisdiction],MATCH($A148,tblServiceEvents[Event #],0))</x:f>
        <x:v>MD</x:v>
      </x:c>
      <x:c r="I148" t="n">
        <x:f>COUNTIF(tblLedger[Event #],A148)</x:f>
        <x:v>1</x:v>
      </x:c>
      <x:c r="J148" t="str">
        <x:f>IF(COUNTIF(tblServiceEvents[Event #],A148)&gt;1,"Yes","No")</x:f>
        <x:v>No</x:v>
      </x:c>
      <x:c r="K148" t="str">
        <x:f>IF(C148="","Yes","No")</x:f>
        <x:v>No</x:v>
      </x:c>
      <x:c r="L148" t="str">
        <x:f>IF(B148="","Yes","No")</x:f>
        <x:v>No</x:v>
      </x:c>
      <x:c r="M148" t="str">
        <x:f>IF(OR(G148="",H148=""),"Yes","No")</x:f>
        <x:v>No</x:v>
      </x:c>
      <x:c r="N148" t="str">
        <x:f>IF(COUNTIF({"Monday","Tuesday","Wednesday","Thursday","Friday"},D148)=0,"Yes","No")</x:f>
        <x:v>No</x:v>
      </x:c>
      <x:c r="O148" t="str">
        <x:f>IF(COUNTIF({"MY_MONTH 1","MY_MONTH 2","MY_MONTH 3"},E148)=0,"Yes","No")</x:f>
        <x:v>No</x:v>
      </x:c>
      <x:c r="P148" t="str">
        <x:f>IF(J148="Yes","Duplicate Event #",IF(K148="Yes","Missing Date",IF(L148="Yes","Missing Client",IF(M148="Yes","Missing Location",IF(N148="Yes","Unknown Weekday",IF(O148="Yes","Unknown MY_MONTH",IF(I148=0,"No Linked WO","OK")))))))</x:f>
        <x:v>OK</x:v>
      </x:c>
      <x:c r="Q148" t="str">
        <x:f>IF(J148="Yes","Critical",IF(OR(K148="Yes",L148="Yes",M148="Yes",N148="Yes",O148="Yes"),"Warning",IF(I148=0,"Informational","OK")))</x:f>
        <x:v>OK</x:v>
      </x:c>
      <x:c r="R148" t="str">
        <x:f>IF(P148="OK","No","Yes")</x:f>
        <x:v>No</x:v>
      </x:c>
    </x:row>
    <x:row r="149">
      <x:c r="A149" t="n">
        <x:v>50</x:v>
      </x:c>
      <x:c r="B149" t="str">
        <x:f>INDEX(tblServiceEvents[Client],MATCH($A149,tblServiceEvents[Event #],0))</x:f>
        <x:v>Giant Food Stores</x:v>
      </x:c>
      <x:c r="C149" s="35" t="n">
        <x:f>INDEX(tblServiceEvents[Service Date],MATCH($A149,tblServiceEvents[Event #],0))</x:f>
        <x:v>46192</x:v>
      </x:c>
      <x:c r="D149" t="str">
        <x:f>INDEX(tblServiceEvents[Weekday],MATCH($A149,tblServiceEvents[Event #],0))</x:f>
        <x:v>Friday</x:v>
      </x:c>
      <x:c r="E149" t="str">
        <x:f>INDEX(tblServiceEvents[MY_MONTH],MATCH($A149,tblServiceEvents[Event #],0))</x:f>
        <x:v>MY_MONTH 2</x:v>
      </x:c>
      <x:c r="F149" t="str">
        <x:f>INDEX(tblServiceEvents[Status],MATCH($A149,tblServiceEvents[Event #],0))</x:f>
        <x:v>Completed</x:v>
      </x:c>
      <x:c r="G149" t="str">
        <x:f>INDEX(tblServiceEvents[City],MATCH($A149,tblServiceEvents[Event #],0))</x:f>
        <x:v>Washington</x:v>
      </x:c>
      <x:c r="H149" t="str">
        <x:f>INDEX(tblServiceEvents[Jurisdiction],MATCH($A149,tblServiceEvents[Event #],0))</x:f>
        <x:v>DC</x:v>
      </x:c>
      <x:c r="I149" t="n">
        <x:f>COUNTIF(tblLedger[Event #],A149)</x:f>
        <x:v>1</x:v>
      </x:c>
      <x:c r="J149" t="str">
        <x:f>IF(COUNTIF(tblServiceEvents[Event #],A149)&gt;1,"Yes","No")</x:f>
        <x:v>No</x:v>
      </x:c>
      <x:c r="K149" t="str">
        <x:f>IF(C149="","Yes","No")</x:f>
        <x:v>No</x:v>
      </x:c>
      <x:c r="L149" t="str">
        <x:f>IF(B149="","Yes","No")</x:f>
        <x:v>No</x:v>
      </x:c>
      <x:c r="M149" t="str">
        <x:f>IF(OR(G149="",H149=""),"Yes","No")</x:f>
        <x:v>No</x:v>
      </x:c>
      <x:c r="N149" t="str">
        <x:f>IF(COUNTIF({"Monday","Tuesday","Wednesday","Thursday","Friday"},D149)=0,"Yes","No")</x:f>
        <x:v>No</x:v>
      </x:c>
      <x:c r="O149" t="str">
        <x:f>IF(COUNTIF({"MY_MONTH 1","MY_MONTH 2","MY_MONTH 3"},E149)=0,"Yes","No")</x:f>
        <x:v>No</x:v>
      </x:c>
      <x:c r="P149" t="str">
        <x:f>IF(J149="Yes","Duplicate Event #",IF(K149="Yes","Missing Date",IF(L149="Yes","Missing Client",IF(M149="Yes","Missing Location",IF(N149="Yes","Unknown Weekday",IF(O149="Yes","Unknown MY_MONTH",IF(I149=0,"No Linked WO","OK")))))))</x:f>
        <x:v>OK</x:v>
      </x:c>
      <x:c r="Q149" t="str">
        <x:f>IF(J149="Yes","Critical",IF(OR(K149="Yes",L149="Yes",M149="Yes",N149="Yes",O149="Yes"),"Warning",IF(I149=0,"Informational","OK")))</x:f>
        <x:v>OK</x:v>
      </x:c>
      <x:c r="R149" t="str">
        <x:f>IF(P149="OK","No","Yes")</x:f>
        <x:v>No</x:v>
      </x:c>
    </x:row>
    <x:row r="150">
      <x:c r="A150" t="n">
        <x:v>51</x:v>
      </x:c>
      <x:c r="B150" t="str">
        <x:f>INDEX(tblServiceEvents[Client],MATCH($A150,tblServiceEvents[Event #],0))</x:f>
        <x:v>Hebrew Home of Greater Washington</x:v>
      </x:c>
      <x:c r="C150" s="35" t="n">
        <x:f>INDEX(tblServiceEvents[Service Date],MATCH($A150,tblServiceEvents[Event #],0))</x:f>
        <x:v>46195</x:v>
      </x:c>
      <x:c r="D150" t="str">
        <x:f>INDEX(tblServiceEvents[Weekday],MATCH($A150,tblServiceEvents[Event #],0))</x:f>
        <x:v>Monday</x:v>
      </x:c>
      <x:c r="E150" t="str">
        <x:f>INDEX(tblServiceEvents[MY_MONTH],MATCH($A150,tblServiceEvents[Event #],0))</x:f>
        <x:v>MY_MONTH 3</x:v>
      </x:c>
      <x:c r="F150" t="str">
        <x:f>INDEX(tblServiceEvents[Status],MATCH($A150,tblServiceEvents[Event #],0))</x:f>
        <x:v>Completed</x:v>
      </x:c>
      <x:c r="G150" t="str">
        <x:f>INDEX(tblServiceEvents[City],MATCH($A150,tblServiceEvents[Event #],0))</x:f>
        <x:v>North Bethesda</x:v>
      </x:c>
      <x:c r="H150" t="str">
        <x:f>INDEX(tblServiceEvents[Jurisdiction],MATCH($A150,tblServiceEvents[Event #],0))</x:f>
        <x:v>MD</x:v>
      </x:c>
      <x:c r="I150" t="n">
        <x:f>COUNTIF(tblLedger[Event #],A150)</x:f>
        <x:v>0</x:v>
      </x:c>
      <x:c r="J150" t="str">
        <x:f>IF(COUNTIF(tblServiceEvents[Event #],A150)&gt;1,"Yes","No")</x:f>
        <x:v>No</x:v>
      </x:c>
      <x:c r="K150" t="str">
        <x:f>IF(C150="","Yes","No")</x:f>
        <x:v>No</x:v>
      </x:c>
      <x:c r="L150" t="str">
        <x:f>IF(B150="","Yes","No")</x:f>
        <x:v>No</x:v>
      </x:c>
      <x:c r="M150" t="str">
        <x:f>IF(OR(G150="",H150=""),"Yes","No")</x:f>
        <x:v>No</x:v>
      </x:c>
      <x:c r="N150" t="str">
        <x:f>IF(COUNTIF({"Monday","Tuesday","Wednesday","Thursday","Friday"},D150)=0,"Yes","No")</x:f>
        <x:v>No</x:v>
      </x:c>
      <x:c r="O150" t="str">
        <x:f>IF(COUNTIF({"MY_MONTH 1","MY_MONTH 2","MY_MONTH 3"},E150)=0,"Yes","No")</x:f>
        <x:v>No</x:v>
      </x:c>
      <x:c r="P150" t="str">
        <x:f>IF(J150="Yes","Duplicate Event #",IF(K150="Yes","Missing Date",IF(L150="Yes","Missing Client",IF(M150="Yes","Missing Location",IF(N150="Yes","Unknown Weekday",IF(O150="Yes","Unknown MY_MONTH",IF(I150=0,"No Linked WO","OK")))))))</x:f>
        <x:v>No Linked WO</x:v>
      </x:c>
      <x:c r="Q150" t="str">
        <x:f>IF(J150="Yes","Critical",IF(OR(K150="Yes",L150="Yes",M150="Yes",N150="Yes",O150="Yes"),"Warning",IF(I150=0,"Informational","OK")))</x:f>
        <x:v>Informational</x:v>
      </x:c>
      <x:c r="R150" t="str">
        <x:f>IF(P150="OK","No","Yes")</x:f>
        <x:v>Yes</x:v>
      </x:c>
    </x:row>
    <x:row r="151">
      <x:c r="A151" t="n">
        <x:v>52</x:v>
      </x:c>
      <x:c r="B151" t="str">
        <x:f>INDEX(tblServiceEvents[Client],MATCH($A151,tblServiceEvents[Event #],0))</x:f>
        <x:v>Food Lion</x:v>
      </x:c>
      <x:c r="C151" s="35" t="n">
        <x:f>INDEX(tblServiceEvents[Service Date],MATCH($A151,tblServiceEvents[Event #],0))</x:f>
        <x:v>46196</x:v>
      </x:c>
      <x:c r="D151" t="str">
        <x:f>INDEX(tblServiceEvents[Weekday],MATCH($A151,tblServiceEvents[Event #],0))</x:f>
        <x:v>Tuesday</x:v>
      </x:c>
      <x:c r="E151" t="str">
        <x:f>INDEX(tblServiceEvents[MY_MONTH],MATCH($A151,tblServiceEvents[Event #],0))</x:f>
        <x:v>MY_MONTH 3</x:v>
      </x:c>
      <x:c r="F151" t="str">
        <x:f>INDEX(tblServiceEvents[Status],MATCH($A151,tblServiceEvents[Event #],0))</x:f>
        <x:v>Completed</x:v>
      </x:c>
      <x:c r="G151" t="str">
        <x:f>INDEX(tblServiceEvents[City],MATCH($A151,tblServiceEvents[Event #],0))</x:f>
        <x:v>Upper Marlboro</x:v>
      </x:c>
      <x:c r="H151" t="str">
        <x:f>INDEX(tblServiceEvents[Jurisdiction],MATCH($A151,tblServiceEvents[Event #],0))</x:f>
        <x:v>MD</x:v>
      </x:c>
      <x:c r="I151" t="n">
        <x:f>COUNTIF(tblLedger[Event #],A151)</x:f>
        <x:v>1</x:v>
      </x:c>
      <x:c r="J151" t="str">
        <x:f>IF(COUNTIF(tblServiceEvents[Event #],A151)&gt;1,"Yes","No")</x:f>
        <x:v>No</x:v>
      </x:c>
      <x:c r="K151" t="str">
        <x:f>IF(C151="","Yes","No")</x:f>
        <x:v>No</x:v>
      </x:c>
      <x:c r="L151" t="str">
        <x:f>IF(B151="","Yes","No")</x:f>
        <x:v>No</x:v>
      </x:c>
      <x:c r="M151" t="str">
        <x:f>IF(OR(G151="",H151=""),"Yes","No")</x:f>
        <x:v>No</x:v>
      </x:c>
      <x:c r="N151" t="str">
        <x:f>IF(COUNTIF({"Monday","Tuesday","Wednesday","Thursday","Friday"},D151)=0,"Yes","No")</x:f>
        <x:v>No</x:v>
      </x:c>
      <x:c r="O151" t="str">
        <x:f>IF(COUNTIF({"MY_MONTH 1","MY_MONTH 2","MY_MONTH 3"},E151)=0,"Yes","No")</x:f>
        <x:v>No</x:v>
      </x:c>
      <x:c r="P151" t="str">
        <x:f>IF(J151="Yes","Duplicate Event #",IF(K151="Yes","Missing Date",IF(L151="Yes","Missing Client",IF(M151="Yes","Missing Location",IF(N151="Yes","Unknown Weekday",IF(O151="Yes","Unknown MY_MONTH",IF(I151=0,"No Linked WO","OK")))))))</x:f>
        <x:v>OK</x:v>
      </x:c>
      <x:c r="Q151" t="str">
        <x:f>IF(J151="Yes","Critical",IF(OR(K151="Yes",L151="Yes",M151="Yes",N151="Yes",O151="Yes"),"Warning",IF(I151=0,"Informational","OK")))</x:f>
        <x:v>OK</x:v>
      </x:c>
      <x:c r="R151" t="str">
        <x:f>IF(P151="OK","No","Yes")</x:f>
        <x:v>No</x:v>
      </x:c>
    </x:row>
    <x:row r="152">
      <x:c r="A152" t="n">
        <x:v>53</x:v>
      </x:c>
      <x:c r="B152" t="str">
        <x:f>INDEX(tblServiceEvents[Client],MATCH($A152,tblServiceEvents[Event #],0))</x:f>
        <x:v>Hilton Garden Inn</x:v>
      </x:c>
      <x:c r="C152" s="35" t="n">
        <x:f>INDEX(tblServiceEvents[Service Date],MATCH($A152,tblServiceEvents[Event #],0))</x:f>
        <x:v>46197</x:v>
      </x:c>
      <x:c r="D152" t="str">
        <x:f>INDEX(tblServiceEvents[Weekday],MATCH($A152,tblServiceEvents[Event #],0))</x:f>
        <x:v>Wednesday</x:v>
      </x:c>
      <x:c r="E152" t="str">
        <x:f>INDEX(tblServiceEvents[MY_MONTH],MATCH($A152,tblServiceEvents[Event #],0))</x:f>
        <x:v>MY_MONTH 3</x:v>
      </x:c>
      <x:c r="F152" t="str">
        <x:f>INDEX(tblServiceEvents[Status],MATCH($A152,tblServiceEvents[Event #],0))</x:f>
        <x:v>Completed</x:v>
      </x:c>
      <x:c r="G152" t="str">
        <x:f>INDEX(tblServiceEvents[City],MATCH($A152,tblServiceEvents[Event #],0))</x:f>
        <x:v>Washington</x:v>
      </x:c>
      <x:c r="H152" t="str">
        <x:f>INDEX(tblServiceEvents[Jurisdiction],MATCH($A152,tblServiceEvents[Event #],0))</x:f>
        <x:v>DC</x:v>
      </x:c>
      <x:c r="I152" t="n">
        <x:f>COUNTIF(tblLedger[Event #],A152)</x:f>
        <x:v>1</x:v>
      </x:c>
      <x:c r="J152" t="str">
        <x:f>IF(COUNTIF(tblServiceEvents[Event #],A152)&gt;1,"Yes","No")</x:f>
        <x:v>No</x:v>
      </x:c>
      <x:c r="K152" t="str">
        <x:f>IF(C152="","Yes","No")</x:f>
        <x:v>No</x:v>
      </x:c>
      <x:c r="L152" t="str">
        <x:f>IF(B152="","Yes","No")</x:f>
        <x:v>No</x:v>
      </x:c>
      <x:c r="M152" t="str">
        <x:f>IF(OR(G152="",H152=""),"Yes","No")</x:f>
        <x:v>No</x:v>
      </x:c>
      <x:c r="N152" t="str">
        <x:f>IF(COUNTIF({"Monday","Tuesday","Wednesday","Thursday","Friday"},D152)=0,"Yes","No")</x:f>
        <x:v>No</x:v>
      </x:c>
      <x:c r="O152" t="str">
        <x:f>IF(COUNTIF({"MY_MONTH 1","MY_MONTH 2","MY_MONTH 3"},E152)=0,"Yes","No")</x:f>
        <x:v>No</x:v>
      </x:c>
      <x:c r="P152" t="str">
        <x:f>IF(J152="Yes","Duplicate Event #",IF(K152="Yes","Missing Date",IF(L152="Yes","Missing Client",IF(M152="Yes","Missing Location",IF(N152="Yes","Unknown Weekday",IF(O152="Yes","Unknown MY_MONTH",IF(I152=0,"No Linked WO","OK")))))))</x:f>
        <x:v>OK</x:v>
      </x:c>
      <x:c r="Q152" t="str">
        <x:f>IF(J152="Yes","Critical",IF(OR(K152="Yes",L152="Yes",M152="Yes",N152="Yes",O152="Yes"),"Warning",IF(I152=0,"Informational","OK")))</x:f>
        <x:v>OK</x:v>
      </x:c>
      <x:c r="R152" t="str">
        <x:f>IF(P152="OK","No","Yes")</x:f>
        <x:v>No</x:v>
      </x:c>
    </x:row>
    <x:row r="153">
      <x:c r="A153" t="n">
        <x:v>54</x:v>
      </x:c>
      <x:c r="B153" t="str">
        <x:f>INDEX(tblServiceEvents[Client],MATCH($A153,tblServiceEvents[Event #],0))</x:f>
        <x:v>7-Eleven</x:v>
      </x:c>
      <x:c r="C153" s="35" t="n">
        <x:f>INDEX(tblServiceEvents[Service Date],MATCH($A153,tblServiceEvents[Event #],0))</x:f>
        <x:v>46203</x:v>
      </x:c>
      <x:c r="D153" t="str">
        <x:f>INDEX(tblServiceEvents[Weekday],MATCH($A153,tblServiceEvents[Event #],0))</x:f>
        <x:v>Tuesday</x:v>
      </x:c>
      <x:c r="E153" t="str">
        <x:f>INDEX(tblServiceEvents[MY_MONTH],MATCH($A153,tblServiceEvents[Event #],0))</x:f>
        <x:v>MY_MONTH 3</x:v>
      </x:c>
      <x:c r="F153" t="str">
        <x:f>INDEX(tblServiceEvents[Status],MATCH($A153,tblServiceEvents[Event #],0))</x:f>
        <x:v>Completed</x:v>
      </x:c>
      <x:c r="G153" t="str">
        <x:f>INDEX(tblServiceEvents[City],MATCH($A153,tblServiceEvents[Event #],0))</x:f>
        <x:v>Owings Mills</x:v>
      </x:c>
      <x:c r="H153" t="str">
        <x:f>INDEX(tblServiceEvents[Jurisdiction],MATCH($A153,tblServiceEvents[Event #],0))</x:f>
        <x:v>MD</x:v>
      </x:c>
      <x:c r="I153" t="n">
        <x:f>COUNTIF(tblLedger[Event #],A153)</x:f>
        <x:v>1</x:v>
      </x:c>
      <x:c r="J153" t="str">
        <x:f>IF(COUNTIF(tblServiceEvents[Event #],A153)&gt;1,"Yes","No")</x:f>
        <x:v>No</x:v>
      </x:c>
      <x:c r="K153" t="str">
        <x:f>IF(C153="","Yes","No")</x:f>
        <x:v>No</x:v>
      </x:c>
      <x:c r="L153" t="str">
        <x:f>IF(B153="","Yes","No")</x:f>
        <x:v>No</x:v>
      </x:c>
      <x:c r="M153" t="str">
        <x:f>IF(OR(G153="",H153=""),"Yes","No")</x:f>
        <x:v>No</x:v>
      </x:c>
      <x:c r="N153" t="str">
        <x:f>IF(COUNTIF({"Monday","Tuesday","Wednesday","Thursday","Friday"},D153)=0,"Yes","No")</x:f>
        <x:v>No</x:v>
      </x:c>
      <x:c r="O153" t="str">
        <x:f>IF(COUNTIF({"MY_MONTH 1","MY_MONTH 2","MY_MONTH 3"},E153)=0,"Yes","No")</x:f>
        <x:v>No</x:v>
      </x:c>
      <x:c r="P153" t="str">
        <x:f>IF(J153="Yes","Duplicate Event #",IF(K153="Yes","Missing Date",IF(L153="Yes","Missing Client",IF(M153="Yes","Missing Location",IF(N153="Yes","Unknown Weekday",IF(O153="Yes","Unknown MY_MONTH",IF(I153=0,"No Linked WO","OK")))))))</x:f>
        <x:v>OK</x:v>
      </x:c>
      <x:c r="Q153" t="str">
        <x:f>IF(J153="Yes","Critical",IF(OR(K153="Yes",L153="Yes",M153="Yes",N153="Yes",O153="Yes"),"Warning",IF(I153=0,"Informational","OK")))</x:f>
        <x:v>OK</x:v>
      </x:c>
      <x:c r="R153" t="str">
        <x:f>IF(P153="OK","No","Yes")</x:f>
        <x:v>No</x:v>
      </x:c>
    </x:row>
    <x:row r="154">
      <x:c r="A154" t="n">
        <x:v>55</x:v>
      </x:c>
      <x:c r="B154" t="str">
        <x:f>INDEX(tblServiceEvents[Client],MATCH($A154,tblServiceEvents[Event #],0))</x:f>
        <x:v>Office of MD Senator Angela Alsobrooks</x:v>
      </x:c>
      <x:c r="C154" s="35" t="n">
        <x:f>INDEX(tblServiceEvents[Service Date],MATCH($A154,tblServiceEvents[Event #],0))</x:f>
        <x:v>46204</x:v>
      </x:c>
      <x:c r="D154" t="str">
        <x:f>INDEX(tblServiceEvents[Weekday],MATCH($A154,tblServiceEvents[Event #],0))</x:f>
        <x:v>Wednesday</x:v>
      </x:c>
      <x:c r="E154" t="str">
        <x:f>INDEX(tblServiceEvents[MY_MONTH],MATCH($A154,tblServiceEvents[Event #],0))</x:f>
        <x:v>MY_MONTH 3</x:v>
      </x:c>
      <x:c r="F154" t="str">
        <x:f>INDEX(tblServiceEvents[Status],MATCH($A154,tblServiceEvents[Event #],0))</x:f>
        <x:v>Completed</x:v>
      </x:c>
      <x:c r="G154" t="str">
        <x:f>INDEX(tblServiceEvents[City],MATCH($A154,tblServiceEvents[Event #],0))</x:f>
        <x:v>Largo</x:v>
      </x:c>
      <x:c r="H154" t="str">
        <x:f>INDEX(tblServiceEvents[Jurisdiction],MATCH($A154,tblServiceEvents[Event #],0))</x:f>
        <x:v>MD</x:v>
      </x:c>
      <x:c r="I154" t="n">
        <x:f>COUNTIF(tblLedger[Event #],A154)</x:f>
        <x:v>1</x:v>
      </x:c>
      <x:c r="J154" t="str">
        <x:f>IF(COUNTIF(tblServiceEvents[Event #],A154)&gt;1,"Yes","No")</x:f>
        <x:v>No</x:v>
      </x:c>
      <x:c r="K154" t="str">
        <x:f>IF(C154="","Yes","No")</x:f>
        <x:v>No</x:v>
      </x:c>
      <x:c r="L154" t="str">
        <x:f>IF(B154="","Yes","No")</x:f>
        <x:v>No</x:v>
      </x:c>
      <x:c r="M154" t="str">
        <x:f>IF(OR(G154="",H154=""),"Yes","No")</x:f>
        <x:v>No</x:v>
      </x:c>
      <x:c r="N154" t="str">
        <x:f>IF(COUNTIF({"Monday","Tuesday","Wednesday","Thursday","Friday"},D154)=0,"Yes","No")</x:f>
        <x:v>No</x:v>
      </x:c>
      <x:c r="O154" t="str">
        <x:f>IF(COUNTIF({"MY_MONTH 1","MY_MONTH 2","MY_MONTH 3"},E154)=0,"Yes","No")</x:f>
        <x:v>No</x:v>
      </x:c>
      <x:c r="P154" t="str">
        <x:f>IF(J154="Yes","Duplicate Event #",IF(K154="Yes","Missing Date",IF(L154="Yes","Missing Client",IF(M154="Yes","Missing Location",IF(N154="Yes","Unknown Weekday",IF(O154="Yes","Unknown MY_MONTH",IF(I154=0,"No Linked WO","OK")))))))</x:f>
        <x:v>OK</x:v>
      </x:c>
      <x:c r="Q154" t="str">
        <x:f>IF(J154="Yes","Critical",IF(OR(K154="Yes",L154="Yes",M154="Yes",N154="Yes",O154="Yes"),"Warning",IF(I154=0,"Informational","OK")))</x:f>
        <x:v>OK</x:v>
      </x:c>
      <x:c r="R154" t="str">
        <x:f>IF(P154="OK","No","Yes")</x:f>
        <x:v>No</x:v>
      </x:c>
    </x:row>
    <x:row r="155">
      <x:c r="A155" t="n">
        <x:v>56</x:v>
      </x:c>
      <x:c r="B155" t="str">
        <x:f>INDEX(tblServiceEvents[Client],MATCH($A155,tblServiceEvents[Event #],0))</x:f>
        <x:v>Dunkin</x:v>
      </x:c>
      <x:c r="C155" s="35" t="n">
        <x:f>INDEX(tblServiceEvents[Service Date],MATCH($A155,tblServiceEvents[Event #],0))</x:f>
        <x:v>46205</x:v>
      </x:c>
      <x:c r="D155" t="str">
        <x:f>INDEX(tblServiceEvents[Weekday],MATCH($A155,tblServiceEvents[Event #],0))</x:f>
        <x:v>Thursday</x:v>
      </x:c>
      <x:c r="E155" t="str">
        <x:f>INDEX(tblServiceEvents[MY_MONTH],MATCH($A155,tblServiceEvents[Event #],0))</x:f>
        <x:v>MY_MONTH 3</x:v>
      </x:c>
      <x:c r="F155" t="str">
        <x:f>INDEX(tblServiceEvents[Status],MATCH($A155,tblServiceEvents[Event #],0))</x:f>
        <x:v>Completed</x:v>
      </x:c>
      <x:c r="G155" t="str">
        <x:f>INDEX(tblServiceEvents[City],MATCH($A155,tblServiceEvents[Event #],0))</x:f>
        <x:v>Reisterstown</x:v>
      </x:c>
      <x:c r="H155" t="str">
        <x:f>INDEX(tblServiceEvents[Jurisdiction],MATCH($A155,tblServiceEvents[Event #],0))</x:f>
        <x:v>MD</x:v>
      </x:c>
      <x:c r="I155" t="n">
        <x:f>COUNTIF(tblLedger[Event #],A155)</x:f>
        <x:v>1</x:v>
      </x:c>
      <x:c r="J155" t="str">
        <x:f>IF(COUNTIF(tblServiceEvents[Event #],A155)&gt;1,"Yes","No")</x:f>
        <x:v>No</x:v>
      </x:c>
      <x:c r="K155" t="str">
        <x:f>IF(C155="","Yes","No")</x:f>
        <x:v>No</x:v>
      </x:c>
      <x:c r="L155" t="str">
        <x:f>IF(B155="","Yes","No")</x:f>
        <x:v>No</x:v>
      </x:c>
      <x:c r="M155" t="str">
        <x:f>IF(OR(G155="",H155=""),"Yes","No")</x:f>
        <x:v>No</x:v>
      </x:c>
      <x:c r="N155" t="str">
        <x:f>IF(COUNTIF({"Monday","Tuesday","Wednesday","Thursday","Friday"},D155)=0,"Yes","No")</x:f>
        <x:v>No</x:v>
      </x:c>
      <x:c r="O155" t="str">
        <x:f>IF(COUNTIF({"MY_MONTH 1","MY_MONTH 2","MY_MONTH 3"},E155)=0,"Yes","No")</x:f>
        <x:v>No</x:v>
      </x:c>
      <x:c r="P155" t="str">
        <x:f>IF(J155="Yes","Duplicate Event #",IF(K155="Yes","Missing Date",IF(L155="Yes","Missing Client",IF(M155="Yes","Missing Location",IF(N155="Yes","Unknown Weekday",IF(O155="Yes","Unknown MY_MONTH",IF(I155=0,"No Linked WO","OK")))))))</x:f>
        <x:v>OK</x:v>
      </x:c>
      <x:c r="Q155" t="str">
        <x:f>IF(J155="Yes","Critical",IF(OR(K155="Yes",L155="Yes",M155="Yes",N155="Yes",O155="Yes"),"Warning",IF(I155=0,"Informational","OK")))</x:f>
        <x:v>OK</x:v>
      </x:c>
      <x:c r="R155" t="str">
        <x:f>IF(P155="OK","No","Yes")</x:f>
        <x:v>No</x:v>
      </x:c>
    </x:row>
    <x:row r="156">
      <x:c r="A156" t="n">
        <x:v>57</x:v>
      </x:c>
      <x:c r="B156" t="str">
        <x:f>INDEX(tblServiceEvents[Client],MATCH($A156,tblServiceEvents[Event #],0))</x:f>
        <x:v>Montpelier Liquors</x:v>
      </x:c>
      <x:c r="C156" s="35" t="n">
        <x:f>INDEX(tblServiceEvents[Service Date],MATCH($A156,tblServiceEvents[Event #],0))</x:f>
        <x:v>46209</x:v>
      </x:c>
      <x:c r="D156" t="str">
        <x:f>INDEX(tblServiceEvents[Weekday],MATCH($A156,tblServiceEvents[Event #],0))</x:f>
        <x:v>Monday</x:v>
      </x:c>
      <x:c r="E156" t="str">
        <x:f>INDEX(tblServiceEvents[MY_MONTH],MATCH($A156,tblServiceEvents[Event #],0))</x:f>
        <x:v>MY_MONTH 3</x:v>
      </x:c>
      <x:c r="F156" t="str">
        <x:f>INDEX(tblServiceEvents[Status],MATCH($A156,tblServiceEvents[Event #],0))</x:f>
        <x:v>Completed</x:v>
      </x:c>
      <x:c r="G156" t="str">
        <x:f>INDEX(tblServiceEvents[City],MATCH($A156,tblServiceEvents[Event #],0))</x:f>
        <x:v>Laurel</x:v>
      </x:c>
      <x:c r="H156" t="str">
        <x:f>INDEX(tblServiceEvents[Jurisdiction],MATCH($A156,tblServiceEvents[Event #],0))</x:f>
        <x:v>MD</x:v>
      </x:c>
      <x:c r="I156" t="n">
        <x:f>COUNTIF(tblLedger[Event #],A156)</x:f>
        <x:v>1</x:v>
      </x:c>
      <x:c r="J156" t="str">
        <x:f>IF(COUNTIF(tblServiceEvents[Event #],A156)&gt;1,"Yes","No")</x:f>
        <x:v>No</x:v>
      </x:c>
      <x:c r="K156" t="str">
        <x:f>IF(C156="","Yes","No")</x:f>
        <x:v>No</x:v>
      </x:c>
      <x:c r="L156" t="str">
        <x:f>IF(B156="","Yes","No")</x:f>
        <x:v>No</x:v>
      </x:c>
      <x:c r="M156" t="str">
        <x:f>IF(OR(G156="",H156=""),"Yes","No")</x:f>
        <x:v>No</x:v>
      </x:c>
      <x:c r="N156" t="str">
        <x:f>IF(COUNTIF({"Monday","Tuesday","Wednesday","Thursday","Friday"},D156)=0,"Yes","No")</x:f>
        <x:v>No</x:v>
      </x:c>
      <x:c r="O156" t="str">
        <x:f>IF(COUNTIF({"MY_MONTH 1","MY_MONTH 2","MY_MONTH 3"},E156)=0,"Yes","No")</x:f>
        <x:v>No</x:v>
      </x:c>
      <x:c r="P156" t="str">
        <x:f>IF(J156="Yes","Duplicate Event #",IF(K156="Yes","Missing Date",IF(L156="Yes","Missing Client",IF(M156="Yes","Missing Location",IF(N156="Yes","Unknown Weekday",IF(O156="Yes","Unknown MY_MONTH",IF(I156=0,"No Linked WO","OK")))))))</x:f>
        <x:v>OK</x:v>
      </x:c>
      <x:c r="Q156" t="str">
        <x:f>IF(J156="Yes","Critical",IF(OR(K156="Yes",L156="Yes",M156="Yes",N156="Yes",O156="Yes"),"Warning",IF(I156=0,"Informational","OK")))</x:f>
        <x:v>OK</x:v>
      </x:c>
      <x:c r="R156" t="str">
        <x:f>IF(P156="OK","No","Yes")</x:f>
        <x:v>No</x:v>
      </x:c>
    </x:row>
    <x:row r="157">
      <x:c r="A157" t="n">
        <x:v>58</x:v>
      </x:c>
      <x:c r="B157" t="str">
        <x:f>INDEX(tblServiceEvents[Client],MATCH($A157,tblServiceEvents[Event #],0))</x:f>
        <x:v>Dunkin</x:v>
      </x:c>
      <x:c r="C157" s="35" t="n">
        <x:f>INDEX(tblServiceEvents[Service Date],MATCH($A157,tblServiceEvents[Event #],0))</x:f>
        <x:v>46209</x:v>
      </x:c>
      <x:c r="D157" t="str">
        <x:f>INDEX(tblServiceEvents[Weekday],MATCH($A157,tblServiceEvents[Event #],0))</x:f>
        <x:v>Monday</x:v>
      </x:c>
      <x:c r="E157" t="str">
        <x:f>INDEX(tblServiceEvents[MY_MONTH],MATCH($A157,tblServiceEvents[Event #],0))</x:f>
        <x:v>MY_MONTH 3</x:v>
      </x:c>
      <x:c r="F157" t="str">
        <x:f>INDEX(tblServiceEvents[Status],MATCH($A157,tblServiceEvents[Event #],0))</x:f>
        <x:v>Completed</x:v>
      </x:c>
      <x:c r="G157" t="str">
        <x:f>INDEX(tblServiceEvents[City],MATCH($A157,tblServiceEvents[Event #],0))</x:f>
        <x:v>Lutherville</x:v>
      </x:c>
      <x:c r="H157" t="str">
        <x:f>INDEX(tblServiceEvents[Jurisdiction],MATCH($A157,tblServiceEvents[Event #],0))</x:f>
        <x:v>MD</x:v>
      </x:c>
      <x:c r="I157" t="n">
        <x:f>COUNTIF(tblLedger[Event #],A157)</x:f>
        <x:v>1</x:v>
      </x:c>
      <x:c r="J157" t="str">
        <x:f>IF(COUNTIF(tblServiceEvents[Event #],A157)&gt;1,"Yes","No")</x:f>
        <x:v>No</x:v>
      </x:c>
      <x:c r="K157" t="str">
        <x:f>IF(C157="","Yes","No")</x:f>
        <x:v>No</x:v>
      </x:c>
      <x:c r="L157" t="str">
        <x:f>IF(B157="","Yes","No")</x:f>
        <x:v>No</x:v>
      </x:c>
      <x:c r="M157" t="str">
        <x:f>IF(OR(G157="",H157=""),"Yes","No")</x:f>
        <x:v>No</x:v>
      </x:c>
      <x:c r="N157" t="str">
        <x:f>IF(COUNTIF({"Monday","Tuesday","Wednesday","Thursday","Friday"},D157)=0,"Yes","No")</x:f>
        <x:v>No</x:v>
      </x:c>
      <x:c r="O157" t="str">
        <x:f>IF(COUNTIF({"MY_MONTH 1","MY_MONTH 2","MY_MONTH 3"},E157)=0,"Yes","No")</x:f>
        <x:v>No</x:v>
      </x:c>
      <x:c r="P157" t="str">
        <x:f>IF(J157="Yes","Duplicate Event #",IF(K157="Yes","Missing Date",IF(L157="Yes","Missing Client",IF(M157="Yes","Missing Location",IF(N157="Yes","Unknown Weekday",IF(O157="Yes","Unknown MY_MONTH",IF(I157=0,"No Linked WO","OK")))))))</x:f>
        <x:v>OK</x:v>
      </x:c>
      <x:c r="Q157" t="str">
        <x:f>IF(J157="Yes","Critical",IF(OR(K157="Yes",L157="Yes",M157="Yes",N157="Yes",O157="Yes"),"Warning",IF(I157=0,"Informational","OK")))</x:f>
        <x:v>OK</x:v>
      </x:c>
      <x:c r="R157" t="str">
        <x:f>IF(P157="OK","No","Yes")</x:f>
        <x:v>No</x:v>
      </x:c>
    </x:row>
    <x:row r="158">
      <x:c r="A158" t="n">
        <x:v>59</x:v>
      </x:c>
      <x:c r="B158" t="str">
        <x:f>INDEX(tblServiceEvents[Client],MATCH($A158,tblServiceEvents[Event #],0))</x:f>
        <x:v>Dunkin</x:v>
      </x:c>
      <x:c r="C158" s="35" t="n">
        <x:f>INDEX(tblServiceEvents[Service Date],MATCH($A158,tblServiceEvents[Event #],0))</x:f>
        <x:v>46210</x:v>
      </x:c>
      <x:c r="D158" t="str">
        <x:f>INDEX(tblServiceEvents[Weekday],MATCH($A158,tblServiceEvents[Event #],0))</x:f>
        <x:v>Tuesday</x:v>
      </x:c>
      <x:c r="E158" t="str">
        <x:f>INDEX(tblServiceEvents[MY_MONTH],MATCH($A158,tblServiceEvents[Event #],0))</x:f>
        <x:v>MY_MONTH 3</x:v>
      </x:c>
      <x:c r="F158" t="str">
        <x:f>INDEX(tblServiceEvents[Status],MATCH($A158,tblServiceEvents[Event #],0))</x:f>
        <x:v>Completed</x:v>
      </x:c>
      <x:c r="G158" t="str">
        <x:f>INDEX(tblServiceEvents[City],MATCH($A158,tblServiceEvents[Event #],0))</x:f>
        <x:v>Aberdeen</x:v>
      </x:c>
      <x:c r="H158" t="str">
        <x:f>INDEX(tblServiceEvents[Jurisdiction],MATCH($A158,tblServiceEvents[Event #],0))</x:f>
        <x:v>MD</x:v>
      </x:c>
      <x:c r="I158" t="n">
        <x:f>COUNTIF(tblLedger[Event #],A158)</x:f>
        <x:v>1</x:v>
      </x:c>
      <x:c r="J158" t="str">
        <x:f>IF(COUNTIF(tblServiceEvents[Event #],A158)&gt;1,"Yes","No")</x:f>
        <x:v>No</x:v>
      </x:c>
      <x:c r="K158" t="str">
        <x:f>IF(C158="","Yes","No")</x:f>
        <x:v>No</x:v>
      </x:c>
      <x:c r="L158" t="str">
        <x:f>IF(B158="","Yes","No")</x:f>
        <x:v>No</x:v>
      </x:c>
      <x:c r="M158" t="str">
        <x:f>IF(OR(G158="",H158=""),"Yes","No")</x:f>
        <x:v>No</x:v>
      </x:c>
      <x:c r="N158" t="str">
        <x:f>IF(COUNTIF({"Monday","Tuesday","Wednesday","Thursday","Friday"},D158)=0,"Yes","No")</x:f>
        <x:v>No</x:v>
      </x:c>
      <x:c r="O158" t="str">
        <x:f>IF(COUNTIF({"MY_MONTH 1","MY_MONTH 2","MY_MONTH 3"},E158)=0,"Yes","No")</x:f>
        <x:v>No</x:v>
      </x:c>
      <x:c r="P158" t="str">
        <x:f>IF(J158="Yes","Duplicate Event #",IF(K158="Yes","Missing Date",IF(L158="Yes","Missing Client",IF(M158="Yes","Missing Location",IF(N158="Yes","Unknown Weekday",IF(O158="Yes","Unknown MY_MONTH",IF(I158=0,"No Linked WO","OK")))))))</x:f>
        <x:v>OK</x:v>
      </x:c>
      <x:c r="Q158" t="str">
        <x:f>IF(J158="Yes","Critical",IF(OR(K158="Yes",L158="Yes",M158="Yes",N158="Yes",O158="Yes"),"Warning",IF(I158=0,"Informational","OK")))</x:f>
        <x:v>OK</x:v>
      </x:c>
      <x:c r="R158" t="str">
        <x:f>IF(P158="OK","No","Yes")</x:f>
        <x:v>No</x:v>
      </x:c>
    </x:row>
    <x:row r="159">
      <x:c r="A159" t="n">
        <x:v>60</x:v>
      </x:c>
      <x:c r="B159" t="str">
        <x:f>INDEX(tblServiceEvents[Client],MATCH($A159,tblServiceEvents[Event #],0))</x:f>
        <x:v>Carvana</x:v>
      </x:c>
      <x:c r="C159" s="35" t="n">
        <x:f>INDEX(tblServiceEvents[Service Date],MATCH($A159,tblServiceEvents[Event #],0))</x:f>
        <x:v>46211</x:v>
      </x:c>
      <x:c r="D159" t="str">
        <x:f>INDEX(tblServiceEvents[Weekday],MATCH($A159,tblServiceEvents[Event #],0))</x:f>
        <x:v>Wednesday</x:v>
      </x:c>
      <x:c r="E159" t="str">
        <x:f>INDEX(tblServiceEvents[MY_MONTH],MATCH($A159,tblServiceEvents[Event #],0))</x:f>
        <x:v>MY_MONTH 3</x:v>
      </x:c>
      <x:c r="F159" t="str">
        <x:f>INDEX(tblServiceEvents[Status],MATCH($A159,tblServiceEvents[Event #],0))</x:f>
        <x:v>Completed</x:v>
      </x:c>
      <x:c r="G159" t="str">
        <x:f>INDEX(tblServiceEvents[City],MATCH($A159,tblServiceEvents[Event #],0))</x:f>
        <x:v>Baltimore</x:v>
      </x:c>
      <x:c r="H159" t="str">
        <x:f>INDEX(tblServiceEvents[Jurisdiction],MATCH($A159,tblServiceEvents[Event #],0))</x:f>
        <x:v>MD</x:v>
      </x:c>
      <x:c r="I159" t="n">
        <x:f>COUNTIF(tblLedger[Event #],A159)</x:f>
        <x:v>2</x:v>
      </x:c>
      <x:c r="J159" t="str">
        <x:f>IF(COUNTIF(tblServiceEvents[Event #],A159)&gt;1,"Yes","No")</x:f>
        <x:v>No</x:v>
      </x:c>
      <x:c r="K159" t="str">
        <x:f>IF(C159="","Yes","No")</x:f>
        <x:v>No</x:v>
      </x:c>
      <x:c r="L159" t="str">
        <x:f>IF(B159="","Yes","No")</x:f>
        <x:v>No</x:v>
      </x:c>
      <x:c r="M159" t="str">
        <x:f>IF(OR(G159="",H159=""),"Yes","No")</x:f>
        <x:v>No</x:v>
      </x:c>
      <x:c r="N159" t="str">
        <x:f>IF(COUNTIF({"Monday","Tuesday","Wednesday","Thursday","Friday"},D159)=0,"Yes","No")</x:f>
        <x:v>No</x:v>
      </x:c>
      <x:c r="O159" t="str">
        <x:f>IF(COUNTIF({"MY_MONTH 1","MY_MONTH 2","MY_MONTH 3"},E159)=0,"Yes","No")</x:f>
        <x:v>No</x:v>
      </x:c>
      <x:c r="P159" t="str">
        <x:f>IF(J159="Yes","Duplicate Event #",IF(K159="Yes","Missing Date",IF(L159="Yes","Missing Client",IF(M159="Yes","Missing Location",IF(N159="Yes","Unknown Weekday",IF(O159="Yes","Unknown MY_MONTH",IF(I159=0,"No Linked WO","OK")))))))</x:f>
        <x:v>OK</x:v>
      </x:c>
      <x:c r="Q159" t="str">
        <x:f>IF(J159="Yes","Critical",IF(OR(K159="Yes",L159="Yes",M159="Yes",N159="Yes",O159="Yes"),"Warning",IF(I159=0,"Informational","OK")))</x:f>
        <x:v>OK</x:v>
      </x:c>
      <x:c r="R159" t="str">
        <x:f>IF(P159="OK","No","Yes")</x:f>
        <x:v>No</x:v>
      </x:c>
    </x:row>
    <x:row r="160">
      <x:c r="A160" t="n">
        <x:v>61</x:v>
      </x:c>
      <x:c r="B160" t="str">
        <x:f>INDEX(tblServiceEvents[Client],MATCH($A160,tblServiceEvents[Event #],0))</x:f>
        <x:v>TJ Maxx</x:v>
      </x:c>
      <x:c r="C160" t="n">
        <x:f>INDEX(tblServiceEvents[Service Date],MATCH($A160,tblServiceEvents[Event #],0))</x:f>
        <x:v>46212</x:v>
      </x:c>
      <x:c r="D160" t="str">
        <x:f>INDEX(tblServiceEvents[Weekday],MATCH($A160,tblServiceEvents[Event #],0))</x:f>
        <x:v>Thursday</x:v>
      </x:c>
      <x:c r="E160" t="str">
        <x:f>INDEX(tblServiceEvents[MY_MONTH],MATCH($A160,tblServiceEvents[Event #],0))</x:f>
        <x:v>MY_MONTH 3</x:v>
      </x:c>
      <x:c r="F160" t="str">
        <x:f>INDEX(tblServiceEvents[Status],MATCH($A160,tblServiceEvents[Event #],0))</x:f>
        <x:v>Completed</x:v>
      </x:c>
      <x:c r="G160" t="str">
        <x:f>INDEX(tblServiceEvents[City],MATCH($A160,tblServiceEvents[Event #],0))</x:f>
        <x:v>Germantown</x:v>
      </x:c>
      <x:c r="H160" t="str">
        <x:f>INDEX(tblServiceEvents[Jurisdiction],MATCH($A160,tblServiceEvents[Event #],0))</x:f>
        <x:v>MD</x:v>
      </x:c>
      <x:c r="I160" t="n">
        <x:f>COUNTIF(tblLedger[Event #],A160)</x:f>
        <x:v>1</x:v>
      </x:c>
      <x:c r="J160" t="str">
        <x:f>IF(COUNTIF(tblServiceEvents[Event #],A160)&gt;1,"Yes","No")</x:f>
        <x:v>No</x:v>
      </x:c>
      <x:c r="K160" t="str">
        <x:f>IF(C160="","Yes","No")</x:f>
        <x:v>No</x:v>
      </x:c>
      <x:c r="L160" t="str">
        <x:f>IF(B160="","Yes","No")</x:f>
        <x:v>No</x:v>
      </x:c>
      <x:c r="M160" t="str">
        <x:f>IF(OR(G160="",H160=""),"Yes","No")</x:f>
        <x:v>No</x:v>
      </x:c>
      <x:c r="N160" t="str">
        <x:f>IF(COUNTIF({"Monday","Tuesday","Wednesday","Thursday","Friday"},D160)=0,"Yes","No")</x:f>
        <x:v>No</x:v>
      </x:c>
      <x:c r="O160" t="str">
        <x:f>IF(COUNTIF({"MY_MONTH 1","MY_MONTH 2","MY_MONTH 3"},E160)=0,"Yes","No")</x:f>
        <x:v>No</x:v>
      </x:c>
      <x:c r="P160" t="str">
        <x:f>IF(J160="Yes","Duplicate Event #",IF(K160="Yes","Missing Date",IF(L160="Yes","Missing Client",IF(M160="Yes","Missing Location",IF(N160="Yes","Unknown Weekday",IF(O160="Yes","Unknown MY_MONTH",IF(I160=0,"No Linked WO","OK")))))))</x:f>
        <x:v>OK</x:v>
      </x:c>
      <x:c r="Q160" t="str">
        <x:f>IF(J160="Yes","Critical",IF(OR(K160="Yes",L160="Yes",M160="Yes",N160="Yes",O160="Yes"),"Warning",IF(I160=0,"Informational","OK")))</x:f>
        <x:v>OK</x:v>
      </x:c>
      <x:c r="R160" t="str">
        <x:f>IF(P160="OK","No","Yes")</x:f>
        <x:v>No</x:v>
      </x:c>
    </x:row>
    <x:row r="161">
      <x:c r="A161" t="n">
        <x:v>62</x:v>
      </x:c>
      <x:c r="B161" t="str">
        <x:f>INDEX(tblServiceEvents[Client],MATCH($A161,tblServiceEvents[Event #],0))</x:f>
        <x:v>TJ Maxx</x:v>
      </x:c>
      <x:c r="C161" t="n">
        <x:f>INDEX(tblServiceEvents[Service Date],MATCH($A161,tblServiceEvents[Event #],0))</x:f>
        <x:v>46212</x:v>
      </x:c>
      <x:c r="D161" t="str">
        <x:f>INDEX(tblServiceEvents[Weekday],MATCH($A161,tblServiceEvents[Event #],0))</x:f>
        <x:v>Thursday</x:v>
      </x:c>
      <x:c r="E161" t="str">
        <x:f>INDEX(tblServiceEvents[MY_MONTH],MATCH($A161,tblServiceEvents[Event #],0))</x:f>
        <x:v>MY_MONTH 3</x:v>
      </x:c>
      <x:c r="F161" t="str">
        <x:f>INDEX(tblServiceEvents[Status],MATCH($A161,tblServiceEvents[Event #],0))</x:f>
        <x:v>Completed</x:v>
      </x:c>
      <x:c r="G161" t="str">
        <x:f>INDEX(tblServiceEvents[City],MATCH($A161,tblServiceEvents[Event #],0))</x:f>
        <x:v>Martinsburg</x:v>
      </x:c>
      <x:c r="H161" t="str">
        <x:f>INDEX(tblServiceEvents[Jurisdiction],MATCH($A161,tblServiceEvents[Event #],0))</x:f>
        <x:v>WV</x:v>
      </x:c>
      <x:c r="I161" t="n">
        <x:f>COUNTIF(tblLedger[Event #],A161)</x:f>
        <x:v>1</x:v>
      </x:c>
      <x:c r="J161" t="str">
        <x:f>IF(COUNTIF(tblServiceEvents[Event #],A161)&gt;1,"Yes","No")</x:f>
        <x:v>No</x:v>
      </x:c>
      <x:c r="K161" t="str">
        <x:f>IF(C161="","Yes","No")</x:f>
        <x:v>No</x:v>
      </x:c>
      <x:c r="L161" t="str">
        <x:f>IF(B161="","Yes","No")</x:f>
        <x:v>No</x:v>
      </x:c>
      <x:c r="M161" t="str">
        <x:f>IF(OR(G161="",H161=""),"Yes","No")</x:f>
        <x:v>No</x:v>
      </x:c>
      <x:c r="N161" t="str">
        <x:f>IF(COUNTIF({"Monday","Tuesday","Wednesday","Thursday","Friday"},D161)=0,"Yes","No")</x:f>
        <x:v>No</x:v>
      </x:c>
      <x:c r="O161" t="str">
        <x:f>IF(COUNTIF({"MY_MONTH 1","MY_MONTH 2","MY_MONTH 3"},E161)=0,"Yes","No")</x:f>
        <x:v>No</x:v>
      </x:c>
      <x:c r="P161" t="str">
        <x:f>IF(J161="Yes","Duplicate Event #",IF(K161="Yes","Missing Date",IF(L161="Yes","Missing Client",IF(M161="Yes","Missing Location",IF(N161="Yes","Unknown Weekday",IF(O161="Yes","Unknown MY_MONTH",IF(I161=0,"No Linked WO","OK")))))))</x:f>
        <x:v>OK</x:v>
      </x:c>
      <x:c r="Q161" t="str">
        <x:f>IF(J161="Yes","Critical",IF(OR(K161="Yes",L161="Yes",M161="Yes",N161="Yes",O161="Yes"),"Warning",IF(I161=0,"Informational","OK")))</x:f>
        <x:v>OK</x:v>
      </x:c>
      <x:c r="R161" t="str">
        <x:f>IF(P161="OK","No","Yes")</x:f>
        <x:v>No</x:v>
      </x:c>
    </x:row>
    <x:row r="162">
      <x:c r="A162" t="n">
        <x:v>63</x:v>
      </x:c>
      <x:c r="B162" t="str">
        <x:f>INDEX(tblServiceEvents[Client],MATCH($A162,tblServiceEvents[Event #],0))</x:f>
        <x:v>Marshalls</x:v>
      </x:c>
      <x:c r="C162" t="n">
        <x:f>INDEX(tblServiceEvents[Service Date],MATCH($A162,tblServiceEvents[Event #],0))</x:f>
        <x:v>46216</x:v>
      </x:c>
      <x:c r="D162" t="str">
        <x:f>INDEX(tblServiceEvents[Weekday],MATCH($A162,tblServiceEvents[Event #],0))</x:f>
        <x:v>Monday</x:v>
      </x:c>
      <x:c r="E162" t="str">
        <x:f>INDEX(tblServiceEvents[MY_MONTH],MATCH($A162,tblServiceEvents[Event #],0))</x:f>
        <x:v>MY_MONTH 3</x:v>
      </x:c>
      <x:c r="F162" t="str">
        <x:f>INDEX(tblServiceEvents[Status],MATCH($A162,tblServiceEvents[Event #],0))</x:f>
        <x:v>Completed</x:v>
      </x:c>
      <x:c r="G162" t="str">
        <x:f>INDEX(tblServiceEvents[City],MATCH($A162,tblServiceEvents[Event #],0))</x:f>
        <x:v>Cockeysville</x:v>
      </x:c>
      <x:c r="H162" t="str">
        <x:f>INDEX(tblServiceEvents[Jurisdiction],MATCH($A162,tblServiceEvents[Event #],0))</x:f>
        <x:v>MD</x:v>
      </x:c>
      <x:c r="I162" t="n">
        <x:f>COUNTIF(tblLedger[Event #],A162)</x:f>
        <x:v>1</x:v>
      </x:c>
      <x:c r="J162" t="str">
        <x:f>IF(COUNTIF(tblServiceEvents[Event #],A162)&gt;1,"Yes","No")</x:f>
        <x:v>No</x:v>
      </x:c>
      <x:c r="K162" t="str">
        <x:f>IF(C162="","Yes","No")</x:f>
        <x:v>No</x:v>
      </x:c>
      <x:c r="L162" t="str">
        <x:f>IF(B162="","Yes","No")</x:f>
        <x:v>No</x:v>
      </x:c>
      <x:c r="M162" t="str">
        <x:f>IF(OR(G162="",H162=""),"Yes","No")</x:f>
        <x:v>No</x:v>
      </x:c>
      <x:c r="N162" t="str">
        <x:f>IF(COUNTIF({"Monday","Tuesday","Wednesday","Thursday","Friday"},D162)=0,"Yes","No")</x:f>
        <x:v>No</x:v>
      </x:c>
      <x:c r="O162" t="str">
        <x:f>IF(COUNTIF({"MY_MONTH 1","MY_MONTH 2","MY_MONTH 3"},E162)=0,"Yes","No")</x:f>
        <x:v>No</x:v>
      </x:c>
      <x:c r="P162" t="str">
        <x:f>IF(J162="Yes","Duplicate Event #",IF(K162="Yes","Missing Date",IF(L162="Yes","Missing Client",IF(M162="Yes","Missing Location",IF(N162="Yes","Unknown Weekday",IF(O162="Yes","Unknown MY_MONTH",IF(I162=0,"No Linked WO","OK")))))))</x:f>
        <x:v>OK</x:v>
      </x:c>
      <x:c r="Q162" t="str">
        <x:f>IF(J162="Yes","Critical",IF(OR(K162="Yes",L162="Yes",M162="Yes",N162="Yes",O162="Yes"),"Warning",IF(I162=0,"Informational","OK")))</x:f>
        <x:v>OK</x:v>
      </x:c>
      <x:c r="R162" t="str">
        <x:f>IF(P162="OK","No","Yes")</x:f>
        <x:v>No</x:v>
      </x:c>
    </x:row>
    <x:row r="163">
      <x:c r="A163" t="n">
        <x:v>64</x:v>
      </x:c>
      <x:c r="B163" t="str">
        <x:f>INDEX(tblServiceEvents[Client],MATCH($A163,tblServiceEvents[Event #],0))</x:f>
        <x:v>Marshalls</x:v>
      </x:c>
      <x:c r="C163" t="n">
        <x:f>INDEX(tblServiceEvents[Service Date],MATCH($A163,tblServiceEvents[Event #],0))</x:f>
        <x:v>46216</x:v>
      </x:c>
      <x:c r="D163" t="str">
        <x:f>INDEX(tblServiceEvents[Weekday],MATCH($A163,tblServiceEvents[Event #],0))</x:f>
        <x:v>Monday</x:v>
      </x:c>
      <x:c r="E163" t="str">
        <x:f>INDEX(tblServiceEvents[MY_MONTH],MATCH($A163,tblServiceEvents[Event #],0))</x:f>
        <x:v>MY_MONTH 3</x:v>
      </x:c>
      <x:c r="F163" t="str">
        <x:f>INDEX(tblServiceEvents[Status],MATCH($A163,tblServiceEvents[Event #],0))</x:f>
        <x:v>Completed</x:v>
      </x:c>
      <x:c r="G163" t="str">
        <x:f>INDEX(tblServiceEvents[City],MATCH($A163,tblServiceEvents[Event #],0))</x:f>
        <x:v>Hagerstown</x:v>
      </x:c>
      <x:c r="H163" t="str">
        <x:f>INDEX(tblServiceEvents[Jurisdiction],MATCH($A163,tblServiceEvents[Event #],0))</x:f>
        <x:v>MD</x:v>
      </x:c>
      <x:c r="I163" t="n">
        <x:f>COUNTIF(tblLedger[Event #],A163)</x:f>
        <x:v>1</x:v>
      </x:c>
      <x:c r="J163" t="str">
        <x:f>IF(COUNTIF(tblServiceEvents[Event #],A163)&gt;1,"Yes","No")</x:f>
        <x:v>No</x:v>
      </x:c>
      <x:c r="K163" t="str">
        <x:f>IF(C163="","Yes","No")</x:f>
        <x:v>No</x:v>
      </x:c>
      <x:c r="L163" t="str">
        <x:f>IF(B163="","Yes","No")</x:f>
        <x:v>No</x:v>
      </x:c>
      <x:c r="M163" t="str">
        <x:f>IF(OR(G163="",H163=""),"Yes","No")</x:f>
        <x:v>No</x:v>
      </x:c>
      <x:c r="N163" t="str">
        <x:f>IF(COUNTIF({"Monday","Tuesday","Wednesday","Thursday","Friday"},D163)=0,"Yes","No")</x:f>
        <x:v>No</x:v>
      </x:c>
      <x:c r="O163" t="str">
        <x:f>IF(COUNTIF({"MY_MONTH 1","MY_MONTH 2","MY_MONTH 3"},E163)=0,"Yes","No")</x:f>
        <x:v>No</x:v>
      </x:c>
      <x:c r="P163" t="str">
        <x:f>IF(J163="Yes","Duplicate Event #",IF(K163="Yes","Missing Date",IF(L163="Yes","Missing Client",IF(M163="Yes","Missing Location",IF(N163="Yes","Unknown Weekday",IF(O163="Yes","Unknown MY_MONTH",IF(I163=0,"No Linked WO","OK")))))))</x:f>
        <x:v>OK</x:v>
      </x:c>
      <x:c r="Q163" t="str">
        <x:f>IF(J163="Yes","Critical",IF(OR(K163="Yes",L163="Yes",M163="Yes",N163="Yes",O163="Yes"),"Warning",IF(I163=0,"Informational","OK")))</x:f>
        <x:v>OK</x:v>
      </x:c>
      <x:c r="R163" t="str">
        <x:f>IF(P163="OK","No","Yes")</x:f>
        <x:v>No</x:v>
      </x:c>
      <x:c r="X163"/>
      <x:c r="Y163"/>
      <x:c r="Z163"/>
      <x:c r="AA163"/>
      <x:c r="AB163"/>
      <x:c r="AC163"/>
      <x:c r="AD163"/>
      <x:c r="AE163"/>
      <x:c r="AF163"/>
      <x:c r="AG163"/>
      <x:c r="AH163"/>
      <x:c r="AI163"/>
      <x:c r="AJ163"/>
      <x:c r="AK163"/>
      <x:c r="AL163"/>
      <x:c r="AM163"/>
      <x:c r="AN163"/>
      <x:c r="AO163"/>
      <x:c r="AP163"/>
      <x:c r="AQ163"/>
      <x:c r="AR163"/>
      <x:c r="AS163"/>
    </x:row>
    <x:row r="164">
      <x:c r="A164" t="n">
        <x:v>65</x:v>
      </x:c>
      <x:c r="B164" t="str">
        <x:f>INDEX(tblServiceEvents[Client],MATCH($A164,tblServiceEvents[Event #],0))</x:f>
        <x:v>HomeGoods</x:v>
      </x:c>
      <x:c r="C164" t="n">
        <x:f>INDEX(tblServiceEvents[Service Date],MATCH($A164,tblServiceEvents[Event #],0))</x:f>
        <x:v>46216</x:v>
      </x:c>
      <x:c r="D164" t="str">
        <x:f>INDEX(tblServiceEvents[Weekday],MATCH($A164,tblServiceEvents[Event #],0))</x:f>
        <x:v>Monday</x:v>
      </x:c>
      <x:c r="E164" t="str">
        <x:f>INDEX(tblServiceEvents[MY_MONTH],MATCH($A164,tblServiceEvents[Event #],0))</x:f>
        <x:v>MY_MONTH 3</x:v>
      </x:c>
      <x:c r="F164" t="str">
        <x:f>INDEX(tblServiceEvents[Status],MATCH($A164,tblServiceEvents[Event #],0))</x:f>
        <x:v>Completed</x:v>
      </x:c>
      <x:c r="G164" t="str">
        <x:f>INDEX(tblServiceEvents[City],MATCH($A164,tblServiceEvents[Event #],0))</x:f>
        <x:v>Gaithersburg</x:v>
      </x:c>
      <x:c r="H164" t="str">
        <x:f>INDEX(tblServiceEvents[Jurisdiction],MATCH($A164,tblServiceEvents[Event #],0))</x:f>
        <x:v>MD</x:v>
      </x:c>
      <x:c r="I164" t="n">
        <x:f>COUNTIF(tblLedger[Event #],A164)</x:f>
        <x:v>1</x:v>
      </x:c>
      <x:c r="J164" t="str">
        <x:f>IF(COUNTIF(tblServiceEvents[Event #],A164)&gt;1,"Yes","No")</x:f>
        <x:v>No</x:v>
      </x:c>
      <x:c r="K164" t="str">
        <x:f>IF(C164="","Yes","No")</x:f>
        <x:v>No</x:v>
      </x:c>
      <x:c r="L164" t="str">
        <x:f>IF(B164="","Yes","No")</x:f>
        <x:v>No</x:v>
      </x:c>
      <x:c r="M164" t="str">
        <x:f>IF(OR(G164="",H164=""),"Yes","No")</x:f>
        <x:v>No</x:v>
      </x:c>
      <x:c r="N164" t="str">
        <x:f>IF(COUNTIF({"Monday","Tuesday","Wednesday","Thursday","Friday"},D164)=0,"Yes","No")</x:f>
        <x:v>No</x:v>
      </x:c>
      <x:c r="O164" t="str">
        <x:f>IF(COUNTIF({"MY_MONTH 1","MY_MONTH 2","MY_MONTH 3"},E164)=0,"Yes","No")</x:f>
        <x:v>No</x:v>
      </x:c>
      <x:c r="P164" t="str">
        <x:f>IF(J164="Yes","Duplicate Event #",IF(K164="Yes","Missing Date",IF(L164="Yes","Missing Client",IF(M164="Yes","Missing Location",IF(N164="Yes","Unknown Weekday",IF(O164="Yes","Unknown MY_MONTH",IF(I164=0,"No Linked WO","OK")))))))</x:f>
        <x:v>OK</x:v>
      </x:c>
      <x:c r="Q164" t="str">
        <x:f>IF(J164="Yes","Critical",IF(OR(K164="Yes",L164="Yes",M164="Yes",N164="Yes",O164="Yes"),"Warning",IF(I164=0,"Informational","OK")))</x:f>
        <x:v>OK</x:v>
      </x:c>
      <x:c r="R164" t="str">
        <x:f>IF(P164="OK","No","Yes")</x:f>
        <x:v>No</x:v>
      </x:c>
      <x:c r="X164"/>
      <x:c r="Y164"/>
      <x:c r="Z164"/>
      <x:c r="AA164"/>
      <x:c r="AB164"/>
      <x:c r="AC164"/>
      <x:c r="AD164"/>
      <x:c r="AE164"/>
      <x:c r="AF164"/>
      <x:c r="AG164"/>
      <x:c r="AH164"/>
      <x:c r="AI164"/>
      <x:c r="AJ164"/>
      <x:c r="AK164"/>
      <x:c r="AL164"/>
      <x:c r="AM164"/>
      <x:c r="AN164"/>
      <x:c r="AO164"/>
      <x:c r="AP164"/>
      <x:c r="AQ164"/>
      <x:c r="AR164"/>
      <x:c r="AS164"/>
    </x:row>
    <x:row r="165">
      <x:c r="A165" t="n">
        <x:v>66</x:v>
      </x:c>
      <x:c r="B165" t="str">
        <x:f>INDEX(tblServiceEvents[Client],MATCH($A165,tblServiceEvents[Event #],0))</x:f>
        <x:v>TJ Maxx</x:v>
      </x:c>
      <x:c r="C165" t="n">
        <x:f>INDEX(tblServiceEvents[Service Date],MATCH($A165,tblServiceEvents[Event #],0))</x:f>
        <x:v>46217</x:v>
      </x:c>
      <x:c r="D165" t="str">
        <x:f>INDEX(tblServiceEvents[Weekday],MATCH($A165,tblServiceEvents[Event #],0))</x:f>
        <x:v>Tuesday</x:v>
      </x:c>
      <x:c r="E165" t="str">
        <x:f>INDEX(tblServiceEvents[MY_MONTH],MATCH($A165,tblServiceEvents[Event #],0))</x:f>
        <x:v>MY_MONTH 3</x:v>
      </x:c>
      <x:c r="F165" t="str">
        <x:f>INDEX(tblServiceEvents[Status],MATCH($A165,tblServiceEvents[Event #],0))</x:f>
        <x:v>Completed</x:v>
      </x:c>
      <x:c r="G165" t="str">
        <x:f>INDEX(tblServiceEvents[City],MATCH($A165,tblServiceEvents[Event #],0))</x:f>
        <x:v>Bel Air</x:v>
      </x:c>
      <x:c r="H165" t="str">
        <x:f>INDEX(tblServiceEvents[Jurisdiction],MATCH($A165,tblServiceEvents[Event #],0))</x:f>
        <x:v>MD</x:v>
      </x:c>
      <x:c r="I165" t="n">
        <x:f>COUNTIF(tblLedger[Event #],A165)</x:f>
        <x:v>1</x:v>
      </x:c>
      <x:c r="J165" t="str">
        <x:f>IF(COUNTIF(tblServiceEvents[Event #],A165)&gt;1,"Yes","No")</x:f>
        <x:v>No</x:v>
      </x:c>
      <x:c r="K165" t="str">
        <x:f>IF(C165="","Yes","No")</x:f>
        <x:v>No</x:v>
      </x:c>
      <x:c r="L165" t="str">
        <x:f>IF(B165="","Yes","No")</x:f>
        <x:v>No</x:v>
      </x:c>
      <x:c r="M165" t="str">
        <x:f>IF(OR(G165="",H165=""),"Yes","No")</x:f>
        <x:v>No</x:v>
      </x:c>
      <x:c r="N165" t="str">
        <x:f>IF(COUNTIF({"Monday","Tuesday","Wednesday","Thursday","Friday"},D165)=0,"Yes","No")</x:f>
        <x:v>No</x:v>
      </x:c>
      <x:c r="O165" t="str">
        <x:f>IF(COUNTIF({"MY_MONTH 1","MY_MONTH 2","MY_MONTH 3"},E165)=0,"Yes","No")</x:f>
        <x:v>No</x:v>
      </x:c>
      <x:c r="P165" t="str">
        <x:f>IF(J165="Yes","Duplicate Event #",IF(K165="Yes","Missing Date",IF(L165="Yes","Missing Client",IF(M165="Yes","Missing Location",IF(N165="Yes","Unknown Weekday",IF(O165="Yes","Unknown MY_MONTH",IF(I165=0,"No Linked WO","OK")))))))</x:f>
        <x:v>OK</x:v>
      </x:c>
      <x:c r="Q165" t="str">
        <x:f>IF(J165="Yes","Critical",IF(OR(K165="Yes",L165="Yes",M165="Yes",N165="Yes",O165="Yes"),"Warning",IF(I165=0,"Informational","OK")))</x:f>
        <x:v>OK</x:v>
      </x:c>
      <x:c r="R165" t="str">
        <x:f>IF(P165="OK","No","Yes")</x:f>
        <x:v>No</x:v>
      </x:c>
      <x:c r="X165"/>
      <x:c r="Y165"/>
      <x:c r="Z165"/>
      <x:c r="AA165"/>
      <x:c r="AB165"/>
      <x:c r="AC165"/>
      <x:c r="AD165"/>
      <x:c r="AE165"/>
      <x:c r="AF165"/>
      <x:c r="AG165"/>
      <x:c r="AH165"/>
      <x:c r="AI165"/>
      <x:c r="AJ165"/>
      <x:c r="AK165"/>
      <x:c r="AL165"/>
      <x:c r="AM165"/>
      <x:c r="AN165"/>
      <x:c r="AO165"/>
      <x:c r="AP165"/>
      <x:c r="AQ165"/>
      <x:c r="AR165"/>
      <x:c r="AS165"/>
    </x:row>
    <x:row r="166" ht="24" customHeight="1">
      <x:c r="A166" s="362" t="n">
        <x:v>67</x:v>
      </x:c>
      <x:c r="B166" s="362" t="str">
        <x:f>INDEX(tblServiceEvents[Client],MATCH($A166,tblServiceEvents[Event #],0))</x:f>
        <x:v>Dunkin</x:v>
      </x:c>
      <x:c r="C166" s="362" t="n">
        <x:f>INDEX(tblServiceEvents[Service Date],MATCH($A166,tblServiceEvents[Event #],0))</x:f>
        <x:v>46217</x:v>
      </x:c>
      <x:c r="D166" s="362" t="str">
        <x:f>INDEX(tblServiceEvents[Weekday],MATCH($A166,tblServiceEvents[Event #],0))</x:f>
        <x:v>Tuesday</x:v>
      </x:c>
      <x:c r="E166" s="362" t="str">
        <x:f>INDEX(tblServiceEvents[MY_MONTH],MATCH($A166,tblServiceEvents[Event #],0))</x:f>
        <x:v>MY_MONTH 3</x:v>
      </x:c>
      <x:c r="F166" s="362" t="str">
        <x:f>INDEX(tblServiceEvents[Status],MATCH($A166,tblServiceEvents[Event #],0))</x:f>
        <x:v>Completed</x:v>
      </x:c>
      <x:c r="G166" s="362" t="str">
        <x:f>INDEX(tblServiceEvents[City],MATCH($A166,tblServiceEvents[Event #],0))</x:f>
        <x:v>Aberdeen</x:v>
      </x:c>
      <x:c r="H166" s="362" t="str">
        <x:f>INDEX(tblServiceEvents[Jurisdiction],MATCH($A166,tblServiceEvents[Event #],0))</x:f>
        <x:v>MD</x:v>
      </x:c>
      <x:c r="I166" t="n">
        <x:f>COUNTIF(tblLedger[Event #],A166)</x:f>
        <x:v>1</x:v>
      </x:c>
      <x:c r="J166" t="str">
        <x:f>IF(COUNTIF(tblServiceEvents[Event #],A166)&gt;1,"Yes","No")</x:f>
        <x:v>No</x:v>
      </x:c>
      <x:c r="K166" t="str">
        <x:f>IF(C166="","Yes","No")</x:f>
        <x:v>No</x:v>
      </x:c>
      <x:c r="L166" t="str">
        <x:f>IF(B166="","Yes","No")</x:f>
        <x:v>No</x:v>
      </x:c>
      <x:c r="M166" t="str">
        <x:f>IF(OR(G166="",H166=""),"Yes","No")</x:f>
        <x:v>No</x:v>
      </x:c>
      <x:c r="N166" t="str">
        <x:f>IF(COUNTIF({"Monday","Tuesday","Wednesday","Thursday","Friday"},D166)=0,"Yes","No")</x:f>
        <x:v>No</x:v>
      </x:c>
      <x:c r="O166" t="str">
        <x:f>IF(COUNTIF({"MY_MONTH 1","MY_MONTH 2","MY_MONTH 3"},E166)=0,"Yes","No")</x:f>
        <x:v>No</x:v>
      </x:c>
      <x:c r="P166" t="str">
        <x:f>IF(J166="Yes","Duplicate Event #",IF(K166="Yes","Missing Date",IF(L166="Yes","Missing Client",IF(M166="Yes","Missing Location",IF(N166="Yes","Unknown Weekday",IF(O166="Yes","Unknown MY_MONTH",IF(I166=0,"No Linked WO","OK")))))))</x:f>
        <x:v>OK</x:v>
      </x:c>
      <x:c r="Q166" t="str">
        <x:f>IF(J166="Yes","Critical",IF(OR(K166="Yes",L166="Yes",M166="Yes",N166="Yes",O166="Yes"),"Warning",IF(I166=0,"Informational","OK")))</x:f>
        <x:v>OK</x:v>
      </x:c>
      <x:c r="R166" t="str">
        <x:f>IF(P166="OK","No","Yes")</x:f>
        <x:v>No</x:v>
      </x:c>
      <x:c r="X166"/>
      <x:c r="Y166"/>
      <x:c r="Z166"/>
      <x:c r="AA166"/>
      <x:c r="AB166"/>
      <x:c r="AC166"/>
      <x:c r="AD166"/>
      <x:c r="AE166"/>
      <x:c r="AF166"/>
      <x:c r="AG166"/>
      <x:c r="AH166"/>
      <x:c r="AI166"/>
      <x:c r="AJ166"/>
      <x:c r="AK166"/>
      <x:c r="AL166"/>
      <x:c r="AM166"/>
      <x:c r="AN166"/>
      <x:c r="AO166"/>
      <x:c r="AP166"/>
      <x:c r="AQ166"/>
      <x:c r="AR166"/>
      <x:c r="AS166"/>
    </x:row>
    <x:row r="167" ht="24" customHeight="1">
      <x:c r="A167" s="366"/>
      <x:c r="B167" s="366"/>
      <x:c r="C167" s="366"/>
      <x:c r="D167" s="366"/>
      <x:c r="E167" s="366"/>
      <x:c r="F167" s="366"/>
      <x:c r="G167" s="366"/>
      <x:c r="H167" s="366"/>
      <x:c r="I167"/>
      <x:c r="J167"/>
      <x:c r="K167"/>
      <x:c r="L167"/>
      <x:c r="M167"/>
      <x:c r="N167"/>
      <x:c r="O167"/>
      <x:c r="P167"/>
      <x:c r="Q167"/>
      <x:c r="R167"/>
      <x:c r="S167"/>
      <x:c r="T167"/>
      <x:c r="U167"/>
      <x:c r="V167"/>
      <x:c r="X167"/>
      <x:c r="Y167"/>
      <x:c r="Z167"/>
      <x:c r="AA167"/>
      <x:c r="AB167"/>
      <x:c r="AC167"/>
      <x:c r="AD167"/>
      <x:c r="AE167"/>
      <x:c r="AF167"/>
      <x:c r="AG167"/>
      <x:c r="AH167"/>
      <x:c r="AI167"/>
      <x:c r="AJ167"/>
      <x:c r="AK167"/>
      <x:c r="AL167"/>
      <x:c r="AM167"/>
      <x:c r="AN167"/>
      <x:c r="AO167"/>
      <x:c r="AP167"/>
      <x:c r="AQ167"/>
      <x:c r="AR167"/>
      <x:c r="AS167"/>
    </x:row>
    <x:row r="168" ht="24" customHeight="1">
      <x:c r="A168" s="371"/>
      <x:c r="B168" s="371"/>
      <x:c r="C168" s="371"/>
      <x:c r="D168" s="371"/>
      <x:c r="E168" s="371"/>
      <x:c r="F168" s="371"/>
      <x:c r="G168" s="371"/>
      <x:c r="H168" s="371"/>
      <x:c r="I168"/>
      <x:c r="J168"/>
      <x:c r="K168"/>
      <x:c r="L168"/>
      <x:c r="M168"/>
      <x:c r="N168"/>
      <x:c r="O168"/>
      <x:c r="P168"/>
      <x:c r="Q168"/>
      <x:c r="R168"/>
      <x:c r="S168"/>
      <x:c r="T168"/>
      <x:c r="U168"/>
      <x:c r="V168"/>
      <x:c r="X168"/>
      <x:c r="Y168"/>
      <x:c r="Z168"/>
      <x:c r="AA168"/>
      <x:c r="AB168"/>
      <x:c r="AC168"/>
      <x:c r="AD168"/>
      <x:c r="AE168"/>
      <x:c r="AF168"/>
      <x:c r="AG168"/>
      <x:c r="AH168"/>
      <x:c r="AI168"/>
      <x:c r="AJ168"/>
      <x:c r="AK168"/>
      <x:c r="AL168"/>
      <x:c r="AM168"/>
      <x:c r="AN168"/>
      <x:c r="AO168"/>
      <x:c r="AP168"/>
      <x:c r="AQ168"/>
      <x:c r="AR168"/>
      <x:c r="AS168"/>
    </x:row>
    <x:row r="169">
      <x:c r="A169"/>
      <x:c r="B169"/>
      <x:c r="C169"/>
      <x:c r="D169"/>
      <x:c r="E169"/>
      <x:c r="F169"/>
      <x:c r="G169"/>
      <x:c r="H169"/>
      <x:c r="I169"/>
      <x:c r="J169"/>
      <x:c r="K169"/>
      <x:c r="L169"/>
      <x:c r="M169"/>
      <x:c r="N169"/>
      <x:c r="O169"/>
      <x:c r="P169"/>
      <x:c r="Q169"/>
      <x:c r="R169"/>
      <x:c r="S169"/>
      <x:c r="T169"/>
      <x:c r="U169"/>
      <x:c r="V169"/>
      <x:c r="X169"/>
      <x:c r="Y169"/>
      <x:c r="Z169"/>
      <x:c r="AA169"/>
      <x:c r="AB169"/>
      <x:c r="AC169"/>
      <x:c r="AD169"/>
      <x:c r="AE169"/>
      <x:c r="AF169"/>
      <x:c r="AG169"/>
      <x:c r="AH169"/>
      <x:c r="AI169"/>
      <x:c r="AJ169"/>
      <x:c r="AK169"/>
      <x:c r="AL169"/>
      <x:c r="AM169"/>
      <x:c r="AN169"/>
      <x:c r="AO169"/>
      <x:c r="AP169"/>
      <x:c r="AQ169"/>
      <x:c r="AR169"/>
      <x:c r="AS169"/>
    </x:row>
    <x:row r="170">
      <x:c r="A170" s="374" t="str">
        <x:v>PHASE 3H — Structural Integrity Gate</x:v>
      </x:c>
      <x:c r="B170" s="374"/>
      <x:c r="C170" s="374"/>
      <x:c r="D170" s="374"/>
      <x:c r="E170" s="374"/>
      <x:c r="F170" s="374"/>
      <x:c r="G170" s="374"/>
      <x:c r="H170" s="374"/>
      <x:c r="I170"/>
      <x:c r="J170"/>
      <x:c r="K170"/>
      <x:c r="L170"/>
      <x:c r="M170"/>
      <x:c r="N170"/>
      <x:c r="O170"/>
      <x:c r="P170"/>
      <x:c r="Q170"/>
      <x:c r="R170"/>
      <x:c r="S170"/>
      <x:c r="T170"/>
      <x:c r="U170"/>
      <x:c r="V170"/>
      <x:c r="X170"/>
      <x:c r="Y170"/>
      <x:c r="Z170"/>
      <x:c r="AA170"/>
      <x:c r="AB170"/>
      <x:c r="AC170"/>
      <x:c r="AD170"/>
      <x:c r="AE170"/>
      <x:c r="AF170"/>
      <x:c r="AG170"/>
      <x:c r="AH170"/>
      <x:c r="AI170"/>
      <x:c r="AJ170"/>
      <x:c r="AK170"/>
      <x:c r="AL170"/>
      <x:c r="AM170"/>
      <x:c r="AN170"/>
      <x:c r="AO170"/>
      <x:c r="AP170"/>
      <x:c r="AQ170"/>
      <x:c r="AR170"/>
      <x:c r="AS170"/>
    </x:row>
    <x:row r="171">
      <x:c r="A171" s="383" t="str">
        <x:v>Integrity Gate</x:v>
      </x:c>
      <x:c r="B171" s="383" t="str">
        <x:f>IF(COUNTIF(tblIntegrityRules[Status],"FAIL")=0,"PASS","FAIL")</x:f>
        <x:v>FAIL</x:v>
      </x:c>
      <x:c r="C171" s="383" t="str">
        <x:v>Rule Failures</x:v>
      </x:c>
      <x:c r="D171" s="383" t="n">
        <x:f>COUNTIF(tblIntegrityRules[Status],"FAIL")</x:f>
        <x:v>5</x:v>
      </x:c>
      <x:c r="E171" s="383" t="str">
        <x:v>Quarantined Holds</x:v>
      </x:c>
      <x:c r="F171" s="383" t="n">
        <x:f>COUNTIF(tblCrossTableIntegrity[Integrity Status],"QUARANTINED")</x:f>
        <x:v>1</x:v>
      </x:c>
      <x:c r="G171" s="383" t="str">
        <x:v>Cross-Table Failures</x:v>
      </x:c>
      <x:c r="H171" s="383" t="n">
        <x:f>COUNTIF(tblCrossTableIntegrity[Integrity Status],"FAIL")</x:f>
        <x:v>0</x:v>
      </x:c>
      <x:c r="I171"/>
      <x:c r="J171"/>
      <x:c r="K171"/>
      <x:c r="L171"/>
      <x:c r="M171"/>
      <x:c r="N171"/>
      <x:c r="O171"/>
      <x:c r="P171"/>
      <x:c r="Q171"/>
      <x:c r="R171"/>
      <x:c r="S171"/>
      <x:c r="T171"/>
      <x:c r="U171"/>
      <x:c r="V171"/>
      <x:c r="X171"/>
      <x:c r="Y171"/>
      <x:c r="Z171"/>
      <x:c r="AA171"/>
      <x:c r="AB171"/>
      <x:c r="AC171"/>
      <x:c r="AD171"/>
      <x:c r="AE171"/>
      <x:c r="AF171"/>
      <x:c r="AG171"/>
      <x:c r="AH171"/>
      <x:c r="AI171"/>
      <x:c r="AJ171"/>
      <x:c r="AK171"/>
      <x:c r="AL171"/>
      <x:c r="AM171"/>
      <x:c r="AN171"/>
      <x:c r="AO171"/>
      <x:c r="AP171"/>
      <x:c r="AQ171"/>
      <x:c r="AR171"/>
      <x:c r="AS171"/>
    </x:row>
    <x:row r="172" ht="21.600000381469727" hidden="0" customHeight="1">
      <x:c r="A172" s="384" t="str">
        <x:v>Business exceptions may remain open without breaking structural integrity when they are explicitly quarantined and excluded from automatic financial closure.</x:v>
      </x:c>
      <x:c r="B172" s="384"/>
      <x:c r="C172" s="385"/>
      <x:c r="D172" s="386"/>
      <x:c r="E172" s="384"/>
      <x:c r="F172" s="384"/>
      <x:c r="G172" s="385"/>
      <x:c r="H172" s="385"/>
      <x:c r="I172"/>
      <x:c r="J172"/>
      <x:c r="K172"/>
      <x:c r="L172"/>
      <x:c r="M172"/>
      <x:c r="N172"/>
      <x:c r="O172"/>
      <x:c r="P172"/>
      <x:c r="Q172"/>
      <x:c r="R172"/>
      <x:c r="S172"/>
      <x:c r="T172"/>
      <x:c r="U172"/>
      <x:c r="V172"/>
      <x:c r="X172"/>
      <x:c r="Y172"/>
      <x:c r="Z172"/>
      <x:c r="AA172"/>
      <x:c r="AB172"/>
      <x:c r="AC172"/>
      <x:c r="AD172"/>
      <x:c r="AE172"/>
      <x:c r="AF172"/>
      <x:c r="AG172"/>
      <x:c r="AH172"/>
      <x:c r="AI172"/>
      <x:c r="AJ172"/>
      <x:c r="AK172"/>
      <x:c r="AL172"/>
      <x:c r="AM172"/>
      <x:c r="AN172"/>
      <x:c r="AO172"/>
      <x:c r="AP172"/>
      <x:c r="AQ172"/>
      <x:c r="AR172"/>
      <x:c r="AS172"/>
    </x:row>
    <x:row r="173" ht="15" hidden="0" customHeight="1">
      <x:c r="A173" s="384"/>
      <x:c r="B173" s="384"/>
      <x:c r="C173" s="385"/>
      <x:c r="D173" s="386"/>
      <x:c r="E173" s="384"/>
      <x:c r="F173" s="384"/>
      <x:c r="G173" s="385"/>
      <x:c r="H173" s="385"/>
      <x:c r="I173"/>
      <x:c r="J173"/>
      <x:c r="K173"/>
      <x:c r="L173"/>
      <x:c r="M173"/>
      <x:c r="N173"/>
      <x:c r="O173"/>
      <x:c r="P173"/>
      <x:c r="Q173"/>
      <x:c r="R173"/>
      <x:c r="S173"/>
      <x:c r="T173"/>
      <x:c r="U173"/>
      <x:c r="V173"/>
      <x:c r="X173"/>
      <x:c r="Y173"/>
      <x:c r="Z173"/>
      <x:c r="AA173"/>
      <x:c r="AB173"/>
      <x:c r="AC173"/>
      <x:c r="AD173"/>
      <x:c r="AE173"/>
      <x:c r="AF173"/>
      <x:c r="AG173"/>
      <x:c r="AH173"/>
      <x:c r="AI173"/>
      <x:c r="AJ173"/>
      <x:c r="AK173"/>
      <x:c r="AL173"/>
      <x:c r="AM173"/>
      <x:c r="AN173"/>
      <x:c r="AO173"/>
      <x:c r="AP173"/>
      <x:c r="AQ173"/>
      <x:c r="AR173"/>
      <x:c r="AS173"/>
    </x:row>
    <x:row r="174" ht="21.600000381469727" hidden="0" customHeight="1">
      <x:c r="A174" s="384" t="str">
        <x:v>Integrity Rule Register</x:v>
      </x:c>
      <x:c r="B174" s="384"/>
      <x:c r="C174" s="385"/>
      <x:c r="D174" s="386"/>
      <x:c r="E174" s="384"/>
      <x:c r="F174" s="384"/>
      <x:c r="G174" s="385"/>
      <x:c r="H174" s="385"/>
      <x:c r="I174"/>
      <x:c r="J174"/>
      <x:c r="K174"/>
      <x:c r="L174"/>
      <x:c r="M174"/>
      <x:c r="N174"/>
      <x:c r="O174"/>
      <x:c r="P174"/>
      <x:c r="Q174"/>
      <x:c r="R174"/>
      <x:c r="S174"/>
      <x:c r="T174"/>
      <x:c r="U174"/>
      <x:c r="V174"/>
      <x:c r="X174"/>
      <x:c r="Y174"/>
      <x:c r="Z174"/>
      <x:c r="AA174"/>
      <x:c r="AB174"/>
      <x:c r="AC174"/>
      <x:c r="AD174"/>
      <x:c r="AE174"/>
      <x:c r="AF174"/>
      <x:c r="AG174"/>
      <x:c r="AH174"/>
      <x:c r="AI174"/>
      <x:c r="AJ174"/>
      <x:c r="AK174"/>
      <x:c r="AL174"/>
      <x:c r="AM174"/>
      <x:c r="AN174"/>
      <x:c r="AO174"/>
      <x:c r="AP174"/>
      <x:c r="AQ174"/>
      <x:c r="AR174"/>
      <x:c r="AS174"/>
    </x:row>
    <x:row r="175" ht="21.600000381469727" hidden="0" customHeight="1">
      <x:c r="A175" s="384" t="str">
        <x:v>Rule ID</x:v>
      </x:c>
      <x:c r="B175" s="384" t="str">
        <x:v>Layer</x:v>
      </x:c>
      <x:c r="C175" s="385" t="str">
        <x:v>Integrity Rule</x:v>
      </x:c>
      <x:c r="D175" s="386" t="str">
        <x:v>Violation Count</x:v>
      </x:c>
      <x:c r="E175" s="384" t="str">
        <x:v>Status</x:v>
      </x:c>
      <x:c r="F175" s="384" t="str">
        <x:v>Severity</x:v>
      </x:c>
      <x:c r="G175" s="385" t="str">
        <x:v>Required Action</x:v>
      </x:c>
      <x:c r="H175" s="385" t="str">
        <x:v>Technical Basis</x:v>
      </x:c>
      <x:c r="I175"/>
      <x:c r="J175"/>
      <x:c r="K175"/>
      <x:c r="L175"/>
      <x:c r="M175"/>
      <x:c r="N175"/>
      <x:c r="O175"/>
      <x:c r="P175"/>
      <x:c r="Q175"/>
      <x:c r="R175"/>
      <x:c r="S175"/>
      <x:c r="T175"/>
      <x:c r="U175"/>
      <x:c r="V175"/>
      <x:c r="X175"/>
      <x:c r="Y175"/>
      <x:c r="Z175"/>
      <x:c r="AA175"/>
      <x:c r="AB175"/>
      <x:c r="AC175"/>
      <x:c r="AD175"/>
      <x:c r="AE175"/>
      <x:c r="AF175"/>
      <x:c r="AG175"/>
      <x:c r="AH175"/>
      <x:c r="AI175"/>
      <x:c r="AJ175"/>
      <x:c r="AK175"/>
      <x:c r="AL175"/>
      <x:c r="AM175"/>
      <x:c r="AN175"/>
      <x:c r="AO175"/>
      <x:c r="AP175"/>
      <x:c r="AQ175"/>
      <x:c r="AR175"/>
      <x:c r="AS175"/>
    </x:row>
    <x:row r="176" ht="21.600000381469727" hidden="0" customHeight="1">
      <x:c r="A176" s="384" t="str">
        <x:v>H01</x:v>
      </x:c>
      <x:c r="B176" s="384" t="str">
        <x:v>Chronology</x:v>
      </x:c>
      <x:c r="C176" s="385" t="str">
        <x:v>Event numbers are unique and continuous</x:v>
      </x:c>
      <x:c r="D176" s="386" t="n">
        <x:f>COUNTIF(tblEventIntegrityMatrix[Duplicate Event #],"Yes")+ABS(MAX(tblServiceEvents[Event #])-COUNT(tblServiceEvents[Event #]))</x:f>
        <x:v>0</x:v>
      </x:c>
      <x:c r="E176" s="384" t="str">
        <x:f>IF(D176=0,"PASS","FAIL")</x:f>
        <x:v>PASS</x:v>
      </x:c>
      <x:c r="F176" s="384" t="str">
        <x:v>Critical</x:v>
      </x:c>
      <x:c r="G176" s="385" t="str">
        <x:v>Correct duplicate or missing chronology position before export</x:v>
      </x:c>
      <x:c r="H176" s="385" t="str">
        <x:v>Event count must equal the highest Event # and no duplicate Event # may exist.</x:v>
      </x:c>
      <x:c r="I176"/>
      <x:c r="J176"/>
      <x:c r="K176"/>
      <x:c r="L176"/>
      <x:c r="M176"/>
      <x:c r="N176"/>
      <x:c r="O176"/>
      <x:c r="P176"/>
      <x:c r="Q176"/>
      <x:c r="R176"/>
      <x:c r="S176"/>
      <x:c r="T176"/>
      <x:c r="U176"/>
      <x:c r="V176"/>
      <x:c r="X176"/>
      <x:c r="Y176"/>
      <x:c r="Z176"/>
      <x:c r="AA176"/>
      <x:c r="AB176"/>
      <x:c r="AC176"/>
      <x:c r="AD176"/>
      <x:c r="AE176"/>
      <x:c r="AF176"/>
      <x:c r="AG176"/>
      <x:c r="AH176"/>
      <x:c r="AI176"/>
      <x:c r="AJ176"/>
      <x:c r="AK176"/>
      <x:c r="AL176"/>
      <x:c r="AM176"/>
      <x:c r="AN176"/>
      <x:c r="AO176"/>
      <x:c r="AP176"/>
      <x:c r="AQ176"/>
      <x:c r="AR176"/>
      <x:c r="AS176"/>
    </x:row>
    <x:row r="177" ht="21.600000381469727" hidden="0" customHeight="1">
      <x:c r="A177" s="384" t="str">
        <x:v>H02</x:v>
      </x:c>
      <x:c r="B177" s="384" t="str">
        <x:v>Chronology</x:v>
      </x:c>
      <x:c r="C177" s="385" t="str">
        <x:v>Physical Visit ID matches Event #</x:v>
      </x:c>
      <x:c r="D177" s="386" t="n">
        <x:f>SUMPRODUCT(--(tblServiceEvents[Physical Visit ID]&lt;&gt;"EVT-"&amp;TEXT(tblServiceEvents[Event #],"0000")))</x:f>
        <x:v>0</x:v>
      </x:c>
      <x:c r="E177" s="384" t="str">
        <x:f>IF(D177=0,"PASS","FAIL")</x:f>
        <x:v>PASS</x:v>
      </x:c>
      <x:c r="F177" s="384" t="str">
        <x:v>Critical</x:v>
      </x:c>
      <x:c r="G177" s="385" t="str">
        <x:v>Correct the Event ID; do not renumber chronology</x:v>
      </x:c>
      <x:c r="H177" s="385" t="str">
        <x:v>Every Event # n must carry Physical Visit ID EVT-nnnn.</x:v>
      </x:c>
      <x:c r="I177"/>
      <x:c r="J177"/>
      <x:c r="K177"/>
      <x:c r="L177"/>
      <x:c r="M177"/>
      <x:c r="N177"/>
      <x:c r="O177"/>
      <x:c r="P177"/>
      <x:c r="Q177"/>
      <x:c r="R177"/>
      <x:c r="S177"/>
      <x:c r="T177"/>
      <x:c r="U177"/>
      <x:c r="V177"/>
      <x:c r="X177"/>
      <x:c r="Y177"/>
      <x:c r="Z177"/>
      <x:c r="AA177"/>
      <x:c r="AB177"/>
      <x:c r="AC177"/>
      <x:c r="AD177"/>
      <x:c r="AE177"/>
      <x:c r="AF177"/>
      <x:c r="AG177"/>
      <x:c r="AH177"/>
      <x:c r="AI177"/>
      <x:c r="AJ177"/>
      <x:c r="AK177"/>
      <x:c r="AL177"/>
      <x:c r="AM177"/>
      <x:c r="AN177"/>
      <x:c r="AO177"/>
      <x:c r="AP177"/>
      <x:c r="AQ177"/>
      <x:c r="AR177"/>
      <x:c r="AS177"/>
    </x:row>
    <x:row r="178" ht="15" hidden="0" customHeight="1">
      <x:c r="A178" s="384" t="str">
        <x:v>H03</x:v>
      </x:c>
      <x:c r="B178" s="384" t="str">
        <x:v>Service Events</x:v>
      </x:c>
      <x:c r="C178" s="385" t="str">
        <x:v>Required event identity fields are complete</x:v>
      </x:c>
      <x:c r="D178" s="386" t="n">
        <x:f>COUNTBLANK(tblServiceEvents[Service Date])+COUNTBLANK(tblServiceEvents[Client ID])+COUNTBLANK(tblServiceEvents[Client])+COUNTBLANK(tblServiceEvents[City])+COUNTBLANK(tblServiceEvents[Jurisdiction])+COUNTBLANK(tblServiceEvents[Status])</x:f>
        <x:v>0</x:v>
      </x:c>
      <x:c r="E178" s="384" t="str">
        <x:f>IF(D178=0,"PASS","FAIL")</x:f>
        <x:v>PASS</x:v>
      </x:c>
      <x:c r="F178" s="384" t="str">
        <x:v>Critical</x:v>
      </x:c>
      <x:c r="G178" s="385" t="str">
        <x:v>Complete missing identity fields from authoritative evidence</x:v>
      </x:c>
      <x:c r="H178" s="385" t="str">
        <x:v>Date, client, location, jurisdiction, and status cannot be blank.</x:v>
      </x:c>
      <x:c r="I178"/>
      <x:c r="J178"/>
      <x:c r="K178"/>
      <x:c r="L178"/>
      <x:c r="M178"/>
      <x:c r="N178"/>
      <x:c r="O178"/>
      <x:c r="P178"/>
      <x:c r="Q178"/>
      <x:c r="R178"/>
      <x:c r="S178"/>
      <x:c r="T178"/>
      <x:c r="U178"/>
      <x:c r="V178"/>
      <x:c r="X178"/>
      <x:c r="Y178"/>
      <x:c r="Z178"/>
      <x:c r="AA178"/>
      <x:c r="AB178"/>
      <x:c r="AC178"/>
      <x:c r="AD178"/>
      <x:c r="AE178"/>
      <x:c r="AF178"/>
      <x:c r="AG178"/>
      <x:c r="AH178"/>
      <x:c r="AI178"/>
      <x:c r="AJ178"/>
      <x:c r="AK178"/>
      <x:c r="AL178"/>
      <x:c r="AM178"/>
      <x:c r="AN178"/>
      <x:c r="AO178"/>
      <x:c r="AP178"/>
      <x:c r="AQ178"/>
      <x:c r="AR178"/>
      <x:c r="AS178"/>
    </x:row>
    <x:row r="179" ht="21.600000381469727" hidden="0" customHeight="1">
      <x:c r="A179" s="384" t="str">
        <x:v>H04</x:v>
      </x:c>
      <x:c r="B179" s="384" t="str">
        <x:v>Financial Scope</x:v>
      </x:c>
      <x:c r="C179" s="385" t="str">
        <x:v>Every event has a Financial Scope value</x:v>
      </x:c>
      <x:c r="D179" s="386" t="n">
        <x:f>COUNTBLANK(tblServiceEvents[Financial Scope])</x:f>
        <x:v>0</x:v>
      </x:c>
      <x:c r="E179" s="384" t="str">
        <x:f>IF(D179=0,"PASS","FAIL")</x:f>
        <x:v>PASS</x:v>
      </x:c>
      <x:c r="F179" s="384" t="str">
        <x:v>Critical</x:v>
      </x:c>
      <x:c r="G179" s="385" t="str">
        <x:v>Set Included or Excluded</x:v>
      </x:c>
      <x:c r="H179" s="385" t="str">
        <x:v>Career chronology and financial population must be explicitly separated.</x:v>
      </x:c>
      <x:c r="I179"/>
      <x:c r="J179"/>
      <x:c r="K179"/>
      <x:c r="L179"/>
      <x:c r="M179"/>
      <x:c r="N179"/>
      <x:c r="O179"/>
      <x:c r="P179"/>
      <x:c r="Q179"/>
      <x:c r="R179"/>
      <x:c r="S179"/>
      <x:c r="T179"/>
      <x:c r="U179"/>
      <x:c r="V179"/>
      <x:c r="X179"/>
      <x:c r="Y179"/>
      <x:c r="Z179"/>
      <x:c r="AA179"/>
      <x:c r="AB179"/>
      <x:c r="AC179"/>
      <x:c r="AD179"/>
      <x:c r="AE179"/>
      <x:c r="AF179"/>
      <x:c r="AG179"/>
      <x:c r="AH179"/>
      <x:c r="AI179"/>
      <x:c r="AJ179"/>
      <x:c r="AK179"/>
      <x:c r="AL179"/>
      <x:c r="AM179"/>
      <x:c r="AN179"/>
      <x:c r="AO179"/>
      <x:c r="AP179"/>
      <x:c r="AQ179"/>
      <x:c r="AR179"/>
      <x:c r="AS179"/>
    </x:row>
    <x:row r="180" ht="21.600000381469727" hidden="0" customHeight="1">
      <x:c r="A180" s="384" t="str">
        <x:v>H05</x:v>
      </x:c>
      <x:c r="B180" s="384" t="str">
        <x:v>Financial Scope</x:v>
      </x:c>
      <x:c r="C180" s="385" t="str">
        <x:v>Every excluded event has an exclusion reason</x:v>
      </x:c>
      <x:c r="D180" s="386" t="n">
        <x:f>COUNTIFS(tblServiceEvents[Financial Scope],"Excluded",tblServiceEvents[Financial Exclusion Reason],"")</x:f>
        <x:v>0</x:v>
      </x:c>
      <x:c r="E180" s="384" t="str">
        <x:f>IF(D180=0,"PASS","FAIL")</x:f>
        <x:v>PASS</x:v>
      </x:c>
      <x:c r="F180" s="384" t="str">
        <x:v>Warning</x:v>
      </x:c>
      <x:c r="G180" s="385" t="str">
        <x:v>Enter the approved exclusion reason</x:v>
      </x:c>
      <x:c r="H180" s="385" t="str">
        <x:v>Excluded events must explain why they remain chronology-only.</x:v>
      </x:c>
      <x:c r="I180"/>
      <x:c r="J180"/>
      <x:c r="K180"/>
      <x:c r="L180"/>
      <x:c r="M180"/>
      <x:c r="N180"/>
      <x:c r="O180"/>
      <x:c r="P180"/>
      <x:c r="Q180"/>
      <x:c r="R180"/>
      <x:c r="S180"/>
      <x:c r="T180"/>
      <x:c r="U180"/>
      <x:c r="V180"/>
      <x:c r="X180"/>
      <x:c r="Y180"/>
      <x:c r="Z180"/>
      <x:c r="AA180"/>
      <x:c r="AB180"/>
      <x:c r="AC180"/>
      <x:c r="AD180"/>
      <x:c r="AE180"/>
      <x:c r="AF180"/>
      <x:c r="AG180"/>
      <x:c r="AH180"/>
      <x:c r="AI180"/>
      <x:c r="AJ180"/>
      <x:c r="AK180"/>
      <x:c r="AL180"/>
      <x:c r="AM180"/>
      <x:c r="AN180"/>
      <x:c r="AO180"/>
      <x:c r="AP180"/>
      <x:c r="AQ180"/>
      <x:c r="AR180"/>
      <x:c r="AS180"/>
    </x:row>
    <x:row r="181" ht="15" hidden="0" customHeight="1">
      <x:c r="A181" s="384" t="str">
        <x:v>H06</x:v>
      </x:c>
      <x:c r="B181" s="384" t="str">
        <x:v>Financial Scope</x:v>
      </x:c>
      <x:c r="C181" s="385" t="str">
        <x:v>Financial Scope agrees with Breakdown Expected</x:v>
      </x:c>
      <x:c r="D181" s="386" t="n">
        <x:f>COUNTIFS(tblServiceEvents[Financial Scope],"Excluded",tblServiceEvents[Breakdown Expected],"&lt;&gt;No")+COUNTIFS(tblServiceEvents[Financial Scope],"Included",tblServiceEvents[Breakdown Expected],"&lt;&gt;Yes")</x:f>
        <x:v>0</x:v>
      </x:c>
      <x:c r="E181" s="384" t="str">
        <x:f>IF(D181=0,"PASS","FAIL")</x:f>
        <x:v>PASS</x:v>
      </x:c>
      <x:c r="F181" s="384" t="str">
        <x:v>Critical</x:v>
      </x:c>
      <x:c r="G181" s="385" t="str">
        <x:v>Correct Financial Scope or Breakdown Expected</x:v>
      </x:c>
      <x:c r="H181" s="385" t="str">
        <x:v>Excluded events never create missing-breakdown obligations; included events do.</x:v>
      </x:c>
      <x:c r="I181"/>
      <x:c r="J181"/>
      <x:c r="K181"/>
      <x:c r="L181"/>
      <x:c r="M181"/>
      <x:c r="N181"/>
      <x:c r="O181"/>
      <x:c r="P181"/>
      <x:c r="Q181"/>
      <x:c r="R181"/>
      <x:c r="S181"/>
      <x:c r="T181"/>
      <x:c r="U181"/>
      <x:c r="V181"/>
      <x:c r="X181"/>
      <x:c r="Y181"/>
      <x:c r="Z181"/>
      <x:c r="AA181"/>
      <x:c r="AB181"/>
      <x:c r="AC181"/>
      <x:c r="AD181"/>
      <x:c r="AE181"/>
      <x:c r="AF181"/>
      <x:c r="AG181"/>
      <x:c r="AH181"/>
      <x:c r="AI181"/>
      <x:c r="AJ181"/>
      <x:c r="AK181"/>
      <x:c r="AL181"/>
      <x:c r="AM181"/>
      <x:c r="AN181"/>
      <x:c r="AO181"/>
      <x:c r="AP181"/>
      <x:c r="AQ181"/>
      <x:c r="AR181"/>
      <x:c r="AS181"/>
    </x:row>
    <x:row r="182" ht="21.600000381469727" hidden="0" customHeight="1">
      <x:c r="A182" s="384" t="str">
        <x:v>H07</x:v>
      </x:c>
      <x:c r="B182" s="384" t="str">
        <x:v>Financial Scope</x:v>
      </x:c>
      <x:c r="C182" s="385" t="str">
        <x:v>Excluded financial scope agrees with revenue eligibility</x:v>
      </x:c>
      <x:c r="D182" s="386" t="n">
        <x:f>COUNTIFS(tblServiceEvents[Financial Scope],"Excluded",tblServiceEvents[Revenue Eligibility],"&lt;&gt;Excluded")</x:f>
        <x:v>0</x:v>
      </x:c>
      <x:c r="E182" s="384" t="str">
        <x:f>IF(D182=0,"PASS","FAIL")</x:f>
        <x:v>PASS</x:v>
      </x:c>
      <x:c r="F182" s="384" t="str">
        <x:v>Critical</x:v>
      </x:c>
      <x:c r="G182" s="385" t="str">
        <x:v>Set Revenue Eligibility to Excluded</x:v>
      </x:c>
      <x:c r="H182" s="385" t="str">
        <x:v>Chronology-only rows cannot enter revenue denominators.</x:v>
      </x:c>
      <x:c r="I182"/>
      <x:c r="J182"/>
      <x:c r="K182"/>
      <x:c r="L182"/>
      <x:c r="M182"/>
      <x:c r="N182"/>
      <x:c r="O182"/>
      <x:c r="P182"/>
      <x:c r="Q182"/>
      <x:c r="R182"/>
      <x:c r="S182"/>
      <x:c r="T182"/>
      <x:c r="U182"/>
      <x:c r="V182"/>
      <x:c r="X182"/>
      <x:c r="Y182"/>
      <x:c r="Z182"/>
      <x:c r="AA182"/>
      <x:c r="AB182"/>
      <x:c r="AC182"/>
      <x:c r="AD182"/>
      <x:c r="AE182"/>
      <x:c r="AF182"/>
      <x:c r="AG182"/>
      <x:c r="AH182"/>
      <x:c r="AI182"/>
      <x:c r="AJ182"/>
      <x:c r="AK182"/>
      <x:c r="AL182"/>
      <x:c r="AM182"/>
      <x:c r="AN182"/>
      <x:c r="AO182"/>
      <x:c r="AP182"/>
      <x:c r="AQ182"/>
      <x:c r="AR182"/>
      <x:c r="AS182"/>
    </x:row>
    <x:row r="183" ht="15" hidden="0" customHeight="1">
      <x:c r="A183" s="384" t="str">
        <x:v>H08</x:v>
      </x:c>
      <x:c r="B183" s="384" t="str">
        <x:v>Revenue</x:v>
      </x:c>
      <x:c r="C183" s="385" t="str">
        <x:v>Revenue eligibility agrees with confirmed revenue</x:v>
      </x:c>
      <x:c r="D183" s="386" t="n">
        <x:f>COUNTIFS(tblServiceEvents[Revenue Eligibility],"Eligible",tblServiceEvents[Confirmed Revenue],"&lt;=0")+COUNTIFS(tblServiceEvents[Revenue Eligibility],"Excluded",tblServiceEvents[Confirmed Revenue],"&gt;0")</x:f>
        <x:v>0</x:v>
      </x:c>
      <x:c r="E183" s="384" t="str">
        <x:f>IF(D183=0,"PASS","FAIL")</x:f>
        <x:v>PASS</x:v>
      </x:c>
      <x:c r="F183" s="384" t="str">
        <x:v>Critical</x:v>
      </x:c>
      <x:c r="G183" s="385" t="str">
        <x:v>Correct eligibility or confirmed revenue</x:v>
      </x:c>
      <x:c r="H183" s="385" t="str">
        <x:v>Eligible rows require positive confirmed revenue; excluded rows cannot carry it.</x:v>
      </x:c>
      <x:c r="I183"/>
      <x:c r="J183"/>
      <x:c r="K183"/>
      <x:c r="L183"/>
      <x:c r="M183"/>
      <x:c r="N183"/>
      <x:c r="O183"/>
      <x:c r="P183"/>
      <x:c r="Q183"/>
      <x:c r="R183"/>
      <x:c r="S183"/>
      <x:c r="T183"/>
      <x:c r="U183"/>
      <x:c r="V183"/>
      <x:c r="X183"/>
      <x:c r="Y183"/>
      <x:c r="Z183"/>
      <x:c r="AA183"/>
      <x:c r="AB183"/>
      <x:c r="AC183"/>
      <x:c r="AD183"/>
      <x:c r="AE183"/>
      <x:c r="AF183"/>
      <x:c r="AG183"/>
      <x:c r="AH183"/>
      <x:c r="AI183"/>
      <x:c r="AJ183"/>
      <x:c r="AK183"/>
      <x:c r="AL183"/>
      <x:c r="AM183"/>
      <x:c r="AN183"/>
      <x:c r="AO183"/>
      <x:c r="AP183"/>
      <x:c r="AQ183"/>
      <x:c r="AR183"/>
      <x:c r="AS183"/>
    </x:row>
    <x:row r="184" ht="15" hidden="0" customHeight="1">
      <x:c r="A184" s="384" t="str">
        <x:v>H09</x:v>
      </x:c>
      <x:c r="B184" s="384" t="str">
        <x:v>Cross-table</x:v>
      </x:c>
      <x:c r="C184" s="385" t="str">
        <x:v>Event WO count reconciles to linked ledger rows after quarantine</x:v>
      </x:c>
      <x:c r="D184" s="386" t="n">
        <x:f>MAX(0,SUMPRODUCT(--(tblServiceEvents[Work Order Count]&lt;&gt;COUNTIF(tblLedger[Event #],tblServiceEvents[Event #])))-COUNTIF(tblLedgerExceptionMatrix[Mapping Hold],"Yes"))</x:f>
        <x:v>0</x:v>
      </x:c>
      <x:c r="E184" s="384" t="str">
        <x:f>IF(D184=0,"PASS","FAIL")</x:f>
        <x:v>PASS</x:v>
      </x:c>
      <x:c r="F184" s="384" t="str">
        <x:v>Critical</x:v>
      </x:c>
      <x:c r="G184" s="385" t="str">
        <x:v>Resolve unquarantined event-to-ledger mismatch</x:v>
      </x:c>
      <x:c r="H184" s="385" t="str">
        <x:v>One visit can map to one or more WOs; known mapping holds are quarantined.</x:v>
      </x:c>
      <x:c r="I184"/>
      <x:c r="J184"/>
      <x:c r="K184"/>
      <x:c r="L184"/>
      <x:c r="M184"/>
      <x:c r="N184"/>
      <x:c r="O184"/>
      <x:c r="P184"/>
      <x:c r="Q184"/>
      <x:c r="R184"/>
      <x:c r="S184"/>
      <x:c r="T184"/>
      <x:c r="U184"/>
      <x:c r="V184"/>
      <x:c r="X184"/>
      <x:c r="Y184"/>
      <x:c r="Z184"/>
      <x:c r="AA184"/>
      <x:c r="AB184"/>
      <x:c r="AC184"/>
      <x:c r="AD184"/>
      <x:c r="AE184"/>
      <x:c r="AF184"/>
      <x:c r="AG184"/>
      <x:c r="AH184"/>
      <x:c r="AI184"/>
      <x:c r="AJ184"/>
      <x:c r="AK184"/>
      <x:c r="AL184"/>
      <x:c r="AM184"/>
      <x:c r="AN184"/>
      <x:c r="AO184"/>
      <x:c r="AP184"/>
      <x:c r="AQ184"/>
      <x:c r="AR184"/>
      <x:c r="AS184"/>
    </x:row>
    <x:row r="185" ht="21.600000381469727" hidden="0" customHeight="1">
      <x:c r="A185" s="384" t="str">
        <x:v>H10</x:v>
      </x:c>
      <x:c r="B185" s="384" t="str">
        <x:v>Ledger</x:v>
      </x:c>
      <x:c r="C185" s="385" t="str">
        <x:v>Ledger Record IDs are unique</x:v>
      </x:c>
      <x:c r="D185" s="386" t="n">
        <x:f>SUMPRODUCT(--(COUNTIF(tblLedger[Ledger Record ID],tblLedger[Ledger Record ID])&gt;1))</x:f>
        <x:v>0</x:v>
      </x:c>
      <x:c r="E185" s="384" t="str">
        <x:f>IF(D185=0,"PASS","FAIL")</x:f>
        <x:v>PASS</x:v>
      </x:c>
      <x:c r="F185" s="384" t="str">
        <x:v>Critical</x:v>
      </x:c>
      <x:c r="G185" s="385" t="str">
        <x:v>Assign a unique Ledger Record ID</x:v>
      </x:c>
      <x:c r="H185" s="385" t="str">
        <x:v>Ledger rows require immutable unique record identifiers.</x:v>
      </x:c>
      <x:c r="I185"/>
      <x:c r="J185"/>
      <x:c r="K185"/>
      <x:c r="L185"/>
      <x:c r="M185"/>
      <x:c r="N185"/>
      <x:c r="O185"/>
      <x:c r="P185"/>
      <x:c r="Q185"/>
      <x:c r="R185"/>
      <x:c r="S185"/>
      <x:c r="T185"/>
      <x:c r="U185"/>
      <x:c r="V185"/>
      <x:c r="X185"/>
      <x:c r="Y185"/>
      <x:c r="Z185"/>
      <x:c r="AA185"/>
      <x:c r="AB185"/>
      <x:c r="AC185"/>
      <x:c r="AD185"/>
      <x:c r="AE185"/>
      <x:c r="AF185"/>
      <x:c r="AG185"/>
      <x:c r="AH185"/>
      <x:c r="AI185"/>
      <x:c r="AJ185"/>
      <x:c r="AK185"/>
      <x:c r="AL185"/>
      <x:c r="AM185"/>
      <x:c r="AN185"/>
      <x:c r="AO185"/>
      <x:c r="AP185"/>
      <x:c r="AQ185"/>
      <x:c r="AR185"/>
      <x:c r="AS185"/>
    </x:row>
    <x:row r="186" ht="21.600000381469727" hidden="0" customHeight="1">
      <x:c r="A186" s="384" t="str">
        <x:v>H11</x:v>
      </x:c>
      <x:c r="B186" s="384" t="str">
        <x:v>Ledger</x:v>
      </x:c>
      <x:c r="C186" s="385" t="str">
        <x:v>Duplicate WOs are either absent or quarantined</x:v>
      </x:c>
      <x:c r="D186" s="386" t="n">
        <x:f>COUNTIFS(tblLedgerExceptionMatrix[Duplicate WO],"Yes",tblLedgerExceptionMatrix[Mapping Hold],"&lt;&gt;Yes")</x:f>
        <x:v>0</x:v>
      </x:c>
      <x:c r="E186" s="384" t="str">
        <x:f>IF(D186=0,"PASS","FAIL")</x:f>
        <x:v>PASS</x:v>
      </x:c>
      <x:c r="F186" s="384" t="str">
        <x:v>Critical</x:v>
      </x:c>
      <x:c r="G186" s="385" t="str">
        <x:v>Stop update and resolve mapping</x:v>
      </x:c>
      <x:c r="H186" s="385" t="str">
        <x:v>A WO may not update more than one ledger record unless formally held.</x:v>
      </x:c>
      <x:c r="I186"/>
      <x:c r="J186"/>
      <x:c r="K186"/>
      <x:c r="L186"/>
      <x:c r="M186"/>
      <x:c r="N186"/>
      <x:c r="O186"/>
      <x:c r="P186"/>
      <x:c r="Q186"/>
      <x:c r="R186"/>
      <x:c r="S186"/>
      <x:c r="T186"/>
      <x:c r="U186"/>
      <x:c r="V186"/>
      <x:c r="X186"/>
      <x:c r="Y186"/>
      <x:c r="Z186"/>
      <x:c r="AA186"/>
      <x:c r="AB186"/>
      <x:c r="AC186"/>
      <x:c r="AD186"/>
      <x:c r="AE186"/>
      <x:c r="AF186"/>
      <x:c r="AG186"/>
      <x:c r="AH186"/>
      <x:c r="AI186"/>
      <x:c r="AJ186"/>
      <x:c r="AK186"/>
      <x:c r="AL186"/>
      <x:c r="AM186"/>
      <x:c r="AN186"/>
      <x:c r="AO186"/>
      <x:c r="AP186"/>
      <x:c r="AQ186"/>
      <x:c r="AR186"/>
      <x:c r="AS186"/>
    </x:row>
    <x:row r="187" ht="21.600000381469727" hidden="0" customHeight="1">
      <x:c r="A187" s="384" t="str">
        <x:v>H12</x:v>
      </x:c>
      <x:c r="B187" s="384" t="str">
        <x:v>Ledger</x:v>
      </x:c>
      <x:c r="C187" s="385" t="str">
        <x:v>Missing Event links are quarantined</x:v>
      </x:c>
      <x:c r="D187" s="386" t="n">
        <x:f>COUNTIFS(tblLedgerExceptionMatrix[Missing Event Link],"Yes",tblLedgerExceptionMatrix[Mapping Hold],"&lt;&gt;Yes")</x:f>
        <x:v>0</x:v>
      </x:c>
      <x:c r="E187" s="384" t="str">
        <x:f>IF(D187=0,"PASS","FAIL")</x:f>
        <x:v>PASS</x:v>
      </x:c>
      <x:c r="F187" s="384" t="str">
        <x:v>Critical</x:v>
      </x:c>
      <x:c r="G187" s="385" t="str">
        <x:v>Link the WO or classify it as Mapping Hold</x:v>
      </x:c>
      <x:c r="H187" s="385" t="str">
        <x:v>Unmapped WOs cannot update financial metrics.</x:v>
      </x:c>
      <x:c r="I187"/>
      <x:c r="J187"/>
      <x:c r="K187"/>
      <x:c r="L187"/>
      <x:c r="M187"/>
      <x:c r="N187"/>
      <x:c r="O187"/>
      <x:c r="P187"/>
      <x:c r="Q187"/>
      <x:c r="R187"/>
      <x:c r="S187"/>
      <x:c r="T187"/>
      <x:c r="U187"/>
      <x:c r="V187"/>
      <x:c r="X187"/>
      <x:c r="Y187"/>
      <x:c r="Z187"/>
      <x:c r="AA187"/>
      <x:c r="AB187"/>
      <x:c r="AC187"/>
      <x:c r="AD187"/>
      <x:c r="AE187"/>
      <x:c r="AF187"/>
      <x:c r="AG187"/>
      <x:c r="AH187"/>
      <x:c r="AI187"/>
      <x:c r="AJ187"/>
      <x:c r="AK187"/>
      <x:c r="AL187"/>
      <x:c r="AM187"/>
      <x:c r="AN187"/>
      <x:c r="AO187"/>
      <x:c r="AP187"/>
      <x:c r="AQ187"/>
      <x:c r="AR187"/>
      <x:c r="AS187"/>
    </x:row>
    <x:row r="188" ht="21.600000381469727" hidden="0" customHeight="1">
      <x:c r="A188" s="384" t="str">
        <x:v>H13</x:v>
      </x:c>
      <x:c r="B188" s="384" t="str">
        <x:v>Cross-table</x:v>
      </x:c>
      <x:c r="C188" s="385" t="str">
        <x:v>Linked ledger identity matches the service event</x:v>
      </x:c>
      <x:c r="D188" s="386" t="n">
        <x:f>COUNTIF(tblCrossTableIntegrity[Integrity Status],"FAIL")</x:f>
        <x:v>0</x:v>
      </x:c>
      <x:c r="E188" s="384" t="str">
        <x:f>IF(D188=0,"PASS","FAIL")</x:f>
        <x:v>PASS</x:v>
      </x:c>
      <x:c r="F188" s="384" t="str">
        <x:v>Critical</x:v>
      </x:c>
      <x:c r="G188" s="385" t="str">
        <x:v>Correct client, location, date, or WO linkage</x:v>
      </x:c>
      <x:c r="H188" s="385" t="str">
        <x:v>Ledger identity fields must agree with the linked Event #.</x:v>
      </x:c>
      <x:c r="I188"/>
      <x:c r="J188"/>
      <x:c r="K188"/>
      <x:c r="L188"/>
      <x:c r="M188"/>
      <x:c r="N188"/>
      <x:c r="O188"/>
      <x:c r="P188"/>
      <x:c r="Q188"/>
      <x:c r="R188"/>
      <x:c r="S188"/>
      <x:c r="T188"/>
      <x:c r="U188"/>
      <x:c r="V188"/>
      <x:c r="X188"/>
      <x:c r="Y188"/>
      <x:c r="Z188"/>
      <x:c r="AA188"/>
      <x:c r="AB188"/>
      <x:c r="AC188"/>
      <x:c r="AD188"/>
      <x:c r="AE188"/>
      <x:c r="AF188"/>
      <x:c r="AG188"/>
      <x:c r="AH188"/>
      <x:c r="AI188"/>
      <x:c r="AJ188"/>
      <x:c r="AK188"/>
      <x:c r="AL188"/>
      <x:c r="AM188"/>
      <x:c r="AN188"/>
      <x:c r="AO188"/>
      <x:c r="AP188"/>
      <x:c r="AQ188"/>
      <x:c r="AR188"/>
      <x:c r="AS188"/>
    </x:row>
    <x:row r="189" ht="15" hidden="0" customHeight="1">
      <x:c r="A189" s="384" t="str">
        <x:v>H14</x:v>
      </x:c>
      <x:c r="B189" s="384" t="str">
        <x:v>Ledger</x:v>
      </x:c>
      <x:c r="C189" s="385" t="str">
        <x:v>Breakdown state agrees with Breakdown Amount</x:v>
      </x:c>
      <x:c r="D189" s="386" t="n">
        <x:f>COUNTIFS(tblLedger[Breakdown Confirmed],"Yes",tblLedger[Breakdown Amount],"&lt;=0")+COUNTIFS(tblLedger[Breakdown Confirmed],"Partial",tblLedger[Breakdown Amount],"&lt;=0")+COUNTIFS(tblLedger[Breakdown Confirmed],"Pending",tblLedger[Breakdown Amount],"&gt;0")+COUNTIFS(tblLedger[Breakdown Confirmed],"No",tblLedger[Breakdown Amount],"&gt;0")</x:f>
        <x:v>0</x:v>
      </x:c>
      <x:c r="E189" s="384" t="str">
        <x:f>IF(D189=0,"PASS","FAIL")</x:f>
        <x:v>PASS</x:v>
      </x:c>
      <x:c r="F189" s="384" t="str">
        <x:v>Critical</x:v>
      </x:c>
      <x:c r="G189" s="385" t="str">
        <x:v>Correct breakdown status or amount</x:v>
      </x:c>
      <x:c r="H189" s="385" t="str">
        <x:v>Confirmed/partial breakdowns need an amount; pending/no rows cannot carry one.</x:v>
      </x:c>
      <x:c r="I189"/>
      <x:c r="J189"/>
      <x:c r="K189"/>
      <x:c r="L189"/>
      <x:c r="M189"/>
      <x:c r="N189"/>
      <x:c r="O189"/>
      <x:c r="P189"/>
      <x:c r="Q189"/>
      <x:c r="R189"/>
      <x:c r="S189"/>
      <x:c r="T189"/>
      <x:c r="U189"/>
      <x:c r="V189"/>
      <x:c r="X189"/>
      <x:c r="Y189"/>
      <x:c r="Z189"/>
      <x:c r="AA189"/>
      <x:c r="AB189"/>
      <x:c r="AC189"/>
      <x:c r="AD189"/>
      <x:c r="AE189"/>
      <x:c r="AF189"/>
      <x:c r="AG189"/>
      <x:c r="AH189"/>
      <x:c r="AI189"/>
      <x:c r="AJ189"/>
      <x:c r="AK189"/>
      <x:c r="AL189"/>
      <x:c r="AM189"/>
      <x:c r="AN189"/>
      <x:c r="AO189"/>
      <x:c r="AP189"/>
      <x:c r="AQ189"/>
      <x:c r="AR189"/>
      <x:c r="AS189"/>
    </x:row>
    <x:row r="190" ht="21.600000381469727" hidden="0" customHeight="1">
      <x:c r="A190" s="384" t="str">
        <x:v>H15</x:v>
      </x:c>
      <x:c r="B190" s="384" t="str">
        <x:v>Ledger</x:v>
      </x:c>
      <x:c r="C190" s="385" t="str">
        <x:v>Confirmed ACH agrees with Breakdown Amount</x:v>
      </x:c>
      <x:c r="D190" s="386" t="n">
        <x:f>COUNTIFS(tblLedger[ACH Confirmed],"Yes",tblLedger[ACH Amount],"&lt;=0",tblLedger[Reconciliation Status],"&lt;&gt;Operational complete / excluded financial metric")+SUMPRODUCT(--(tblLedger[ACH Confirmed]="Yes"),--(tblLedger[Breakdown Confirmed]="Yes"),--(ABS(tblLedger[ACH Amount]-tblLedger[Breakdown Amount])&gt;0.01))</x:f>
        <x:v>0</x:v>
      </x:c>
      <x:c r="E190" s="384" t="str">
        <x:f>IF(D190=0,"PASS","FAIL")</x:f>
        <x:v>PASS</x:v>
      </x:c>
      <x:c r="F190" s="384" t="str">
        <x:v>Critical</x:v>
      </x:c>
      <x:c r="G190" s="385" t="str">
        <x:v>Reconcile ACH amount or classify as partial/mismatch</x:v>
      </x:c>
      <x:c r="H190" s="385" t="str">
        <x:v>A clean ACH confirmation must have a positive amount matching the breakdown.</x:v>
      </x:c>
      <x:c r="I190"/>
      <x:c r="J190"/>
      <x:c r="K190"/>
      <x:c r="L190"/>
      <x:c r="M190"/>
      <x:c r="N190"/>
      <x:c r="O190"/>
      <x:c r="P190"/>
      <x:c r="Q190"/>
      <x:c r="R190"/>
      <x:c r="S190"/>
      <x:c r="T190"/>
      <x:c r="U190"/>
      <x:c r="V190"/>
      <x:c r="X190"/>
      <x:c r="Y190"/>
      <x:c r="Z190"/>
      <x:c r="AA190"/>
      <x:c r="AB190"/>
      <x:c r="AC190"/>
      <x:c r="AD190"/>
      <x:c r="AE190"/>
      <x:c r="AF190"/>
      <x:c r="AG190"/>
      <x:c r="AH190"/>
      <x:c r="AI190"/>
      <x:c r="AJ190"/>
      <x:c r="AK190"/>
      <x:c r="AL190"/>
      <x:c r="AM190"/>
      <x:c r="AN190"/>
      <x:c r="AO190"/>
      <x:c r="AP190"/>
      <x:c r="AQ190"/>
      <x:c r="AR190"/>
      <x:c r="AS190"/>
    </x:row>
    <x:row r="191" ht="21.600000381469727" hidden="0" customHeight="1">
      <x:c r="A191" s="384" t="str">
        <x:v>H16</x:v>
      </x:c>
      <x:c r="B191" s="384" t="str">
        <x:v>Ledger</x:v>
      </x:c>
      <x:c r="C191" s="385" t="str">
        <x:v>Variance equals Breakdown minus Agreed Amount</x:v>
      </x:c>
      <x:c r="D191" s="386" t="n">
        <x:f>SUMPRODUCT(--ISNUMBER(tblLedger[Agreed Amount]),--ISNUMBER(tblLedger[Breakdown Amount]),--(IFERROR(ABS(tblLedger[Variance]-(tblLedger[Breakdown Amount]-tblLedger[Agreed Amount])),0)&gt;0.01))</x:f>
        <x:v>0</x:v>
      </x:c>
      <x:c r="E191" s="384" t="str">
        <x:f>IF(D191=0,"PASS","FAIL")</x:f>
        <x:v>PASS</x:v>
      </x:c>
      <x:c r="F191" s="384" t="str">
        <x:v>Critical</x:v>
      </x:c>
      <x:c r="G191" s="385" t="str">
        <x:v>Correct the recorded variance</x:v>
      </x:c>
      <x:c r="H191" s="385" t="str">
        <x:v>Variance sign and amount must be mathematically consistent.</x:v>
      </x:c>
      <x:c r="I191"/>
      <x:c r="J191"/>
      <x:c r="K191"/>
      <x:c r="L191"/>
      <x:c r="M191"/>
      <x:c r="N191"/>
      <x:c r="O191"/>
      <x:c r="P191"/>
      <x:c r="Q191"/>
      <x:c r="R191"/>
      <x:c r="S191"/>
      <x:c r="T191"/>
      <x:c r="U191"/>
      <x:c r="V191"/>
      <x:c r="X191"/>
      <x:c r="Y191"/>
      <x:c r="Z191"/>
      <x:c r="AA191"/>
      <x:c r="AB191"/>
      <x:c r="AC191"/>
      <x:c r="AD191"/>
      <x:c r="AE191"/>
      <x:c r="AF191"/>
      <x:c r="AG191"/>
      <x:c r="AH191"/>
      <x:c r="AI191"/>
      <x:c r="AJ191"/>
      <x:c r="AK191"/>
      <x:c r="AL191"/>
      <x:c r="AM191"/>
      <x:c r="AN191"/>
      <x:c r="AO191"/>
      <x:c r="AP191"/>
      <x:c r="AQ191"/>
      <x:c r="AR191"/>
      <x:c r="AS191"/>
    </x:row>
    <x:row r="192" ht="21.600000381469727" hidden="0" customHeight="1">
      <x:c r="A192" s="384" t="str">
        <x:v>H17</x:v>
      </x:c>
      <x:c r="B192" s="384" t="str">
        <x:v>Dashboard</x:v>
      </x:c>
      <x:c r="C192" s="385" t="str">
        <x:v>Completed Event KPI reconciles to Service Events</x:v>
      </x:c>
      <x:c r="D192" s="386" t="n">
        <x:f>ABS(Dashboard!A6-COUNT(tblServiceEvents[Event #]))</x:f>
        <x:v>3</x:v>
      </x:c>
      <x:c r="E192" s="384" t="str">
        <x:f>IF(D192=0,"PASS","FAIL")</x:f>
        <x:v>FAIL</x:v>
      </x:c>
      <x:c r="F192" s="384" t="str">
        <x:v>Critical</x:v>
      </x:c>
      <x:c r="G192" s="385" t="str">
        <x:v>Refresh dashboard formula</x:v>
      </x:c>
      <x:c r="H192" s="385" t="str">
        <x:v>Dashboard career-event count must equal authoritative timeline rows.</x:v>
      </x:c>
      <x:c r="I192"/>
      <x:c r="J192"/>
      <x:c r="K192"/>
      <x:c r="L192"/>
      <x:c r="M192"/>
      <x:c r="N192"/>
      <x:c r="O192"/>
      <x:c r="P192"/>
      <x:c r="Q192"/>
      <x:c r="R192"/>
      <x:c r="S192"/>
      <x:c r="T192"/>
      <x:c r="U192"/>
      <x:c r="V192"/>
      <x:c r="X192"/>
      <x:c r="Y192"/>
      <x:c r="Z192"/>
      <x:c r="AA192"/>
      <x:c r="AB192"/>
      <x:c r="AC192"/>
      <x:c r="AD192"/>
      <x:c r="AE192"/>
      <x:c r="AF192"/>
      <x:c r="AG192"/>
      <x:c r="AH192"/>
      <x:c r="AI192"/>
      <x:c r="AJ192"/>
      <x:c r="AK192"/>
      <x:c r="AL192"/>
      <x:c r="AM192"/>
      <x:c r="AN192"/>
      <x:c r="AO192"/>
      <x:c r="AP192"/>
      <x:c r="AQ192"/>
      <x:c r="AR192"/>
      <x:c r="AS192"/>
    </x:row>
    <x:row r="193" ht="21.600000381469727" hidden="0" customHeight="1">
      <x:c r="A193" s="384" t="str">
        <x:v>H18</x:v>
      </x:c>
      <x:c r="B193" s="384" t="str">
        <x:v>Dashboard</x:v>
      </x:c>
      <x:c r="C193" s="385" t="str">
        <x:v>Unique Work Order KPI reconciles to Ledger</x:v>
      </x:c>
      <x:c r="D193" s="386" t="n">
        <x:f>ABS(Dashboard!E6-COUNTA(tblLedger[Work Order #]))</x:f>
        <x:v>3</x:v>
      </x:c>
      <x:c r="E193" s="384" t="str">
        <x:f>IF(D193=0,"PASS","FAIL")</x:f>
        <x:v>FAIL</x:v>
      </x:c>
      <x:c r="F193" s="384" t="str">
        <x:v>Critical</x:v>
      </x:c>
      <x:c r="G193" s="385" t="str">
        <x:v>Refresh dashboard formula</x:v>
      </x:c>
      <x:c r="H193" s="385" t="str">
        <x:v>Dashboard WO count must equal authoritative ledger rows.</x:v>
      </x:c>
      <x:c r="I193"/>
      <x:c r="J193"/>
      <x:c r="K193"/>
      <x:c r="L193"/>
      <x:c r="M193"/>
      <x:c r="N193"/>
      <x:c r="O193"/>
      <x:c r="P193"/>
      <x:c r="Q193"/>
      <x:c r="R193"/>
      <x:c r="S193"/>
      <x:c r="T193"/>
      <x:c r="U193"/>
      <x:c r="V193"/>
      <x:c r="X193"/>
      <x:c r="Y193"/>
      <x:c r="Z193"/>
      <x:c r="AA193"/>
      <x:c r="AB193"/>
      <x:c r="AC193"/>
      <x:c r="AD193"/>
      <x:c r="AE193"/>
      <x:c r="AF193"/>
      <x:c r="AG193"/>
      <x:c r="AH193"/>
      <x:c r="AI193"/>
      <x:c r="AJ193"/>
      <x:c r="AK193"/>
      <x:c r="AL193"/>
      <x:c r="AM193"/>
      <x:c r="AN193"/>
      <x:c r="AO193"/>
      <x:c r="AP193"/>
      <x:c r="AQ193"/>
      <x:c r="AR193"/>
      <x:c r="AS193"/>
    </x:row>
    <x:row r="194">
      <x:c r="A194" t="str">
        <x:v>H19</x:v>
      </x:c>
      <x:c r="B194" t="str">
        <x:v>Dashboard</x:v>
      </x:c>
      <x:c r="C194" t="str">
        <x:v>Confirmed Revenue KPI reconciles to eligible events</x:v>
      </x:c>
      <x:c r="D194" t="n">
        <x:f>IF(ABS(Dashboard!G6-SUMIFS(tblServiceEvents[Confirmed Revenue],tblServiceEvents[Revenue Eligibility],"Eligible"))&lt;0.01,0,1)</x:f>
        <x:v>1</x:v>
      </x:c>
      <x:c r="E194" t="str">
        <x:f>IF(D194=0,"PASS","FAIL")</x:f>
        <x:v>FAIL</x:v>
      </x:c>
      <x:c r="F194" t="str">
        <x:v>Critical</x:v>
      </x:c>
      <x:c r="G194" t="str">
        <x:v>Refresh revenue formula</x:v>
      </x:c>
      <x:c r="H194" t="str">
        <x:v>Dashboard confirmed revenue must equal eligible event revenue.</x:v>
      </x:c>
      <x:c r="I194"/>
      <x:c r="J194"/>
      <x:c r="K194"/>
      <x:c r="L194"/>
      <x:c r="M194"/>
      <x:c r="N194"/>
      <x:c r="O194"/>
      <x:c r="P194"/>
      <x:c r="Q194"/>
      <x:c r="R194"/>
      <x:c r="S194"/>
      <x:c r="T194"/>
      <x:c r="U194"/>
      <x:c r="V194"/>
      <x:c r="X194"/>
      <x:c r="Y194"/>
      <x:c r="Z194"/>
      <x:c r="AA194"/>
      <x:c r="AB194"/>
      <x:c r="AC194"/>
      <x:c r="AD194"/>
      <x:c r="AE194"/>
      <x:c r="AF194"/>
      <x:c r="AG194"/>
      <x:c r="AH194"/>
      <x:c r="AI194"/>
      <x:c r="AJ194"/>
      <x:c r="AK194"/>
      <x:c r="AL194"/>
      <x:c r="AM194"/>
      <x:c r="AN194"/>
      <x:c r="AO194"/>
      <x:c r="AP194"/>
      <x:c r="AQ194"/>
      <x:c r="AR194"/>
      <x:c r="AS194"/>
    </x:row>
    <x:row r="195">
      <x:c r="A195" t="str">
        <x:v>H20</x:v>
      </x:c>
      <x:c r="B195" t="str">
        <x:v>Dashboard</x:v>
      </x:c>
      <x:c r="C195" t="str">
        <x:v>Pending Breakdown KPI reconciles to Ledger</x:v>
      </x:c>
      <x:c r="D195" t="n">
        <x:f>ABS(Dashboard!I6-COUNTIF(tblLedger[Breakdown Confirmed],"Pending"))</x:f>
        <x:v>1</x:v>
      </x:c>
      <x:c r="E195" t="str">
        <x:f>IF(D195=0,"PASS","FAIL")</x:f>
        <x:v>FAIL</x:v>
      </x:c>
      <x:c r="F195" t="str">
        <x:v>Critical</x:v>
      </x:c>
      <x:c r="G195" t="str">
        <x:v>Refresh pending-breakdown formula</x:v>
      </x:c>
      <x:c r="H195" t="str">
        <x:v>Pending breakdown count is sourced only from financially tracked WOs.</x:v>
      </x:c>
      <x:c r="I195"/>
      <x:c r="J195"/>
      <x:c r="K195"/>
      <x:c r="L195"/>
      <x:c r="M195"/>
      <x:c r="N195"/>
      <x:c r="O195"/>
      <x:c r="P195"/>
      <x:c r="Q195"/>
      <x:c r="R195"/>
      <x:c r="S195"/>
      <x:c r="T195"/>
      <x:c r="U195"/>
      <x:c r="V195"/>
      <x:c r="X195"/>
      <x:c r="Y195"/>
      <x:c r="Z195"/>
      <x:c r="AA195"/>
      <x:c r="AB195"/>
      <x:c r="AC195"/>
      <x:c r="AD195"/>
      <x:c r="AE195"/>
      <x:c r="AF195"/>
      <x:c r="AG195"/>
      <x:c r="AH195"/>
      <x:c r="AI195"/>
      <x:c r="AJ195"/>
      <x:c r="AK195"/>
      <x:c r="AL195"/>
      <x:c r="AM195"/>
      <x:c r="AN195"/>
      <x:c r="AO195"/>
      <x:c r="AP195"/>
      <x:c r="AQ195"/>
      <x:c r="AR195"/>
      <x:c r="AS195"/>
    </x:row>
    <x:row r="196">
      <x:c r="A196" s="374" t="str">
        <x:v>H21</x:v>
      </x:c>
      <x:c r="B196" s="374" t="str">
        <x:v>Dashboard</x:v>
      </x:c>
      <x:c r="C196" s="374" t="str">
        <x:v>Pending ACH KPI reconciles to Ledger</x:v>
      </x:c>
      <x:c r="D196" s="374" t="n">
        <x:f>ABS(Dashboard!K6-(COUNTIFS(tblLedger[Breakdown Confirmed],"Yes",tblLedger[ACH Confirmed],"No")+COUNTIFS(tblLedger[Breakdown Confirmed],"Yes",tblLedger[ACH Confirmed],"Pending")))</x:f>
        <x:v>6</x:v>
      </x:c>
      <x:c r="E196" s="374" t="str">
        <x:f>IF(D196=0,"PASS","FAIL")</x:f>
        <x:v>FAIL</x:v>
      </x:c>
      <x:c r="F196" s="374" t="str">
        <x:v>Critical</x:v>
      </x:c>
      <x:c r="G196" s="374" t="str">
        <x:v>Refresh pending-ACH formula</x:v>
      </x:c>
      <x:c r="H196" s="374" t="str">
        <x:v>Pending ACH requires a confirmed breakdown and no confirmed ACH.</x:v>
      </x:c>
      <x:c r="I196" s="374"/>
      <x:c r="J196" s="374"/>
      <x:c r="K196"/>
      <x:c r="L196"/>
      <x:c r="M196"/>
      <x:c r="N196"/>
      <x:c r="O196"/>
      <x:c r="P196"/>
      <x:c r="Q196"/>
      <x:c r="R196"/>
      <x:c r="S196"/>
      <x:c r="T196"/>
      <x:c r="U196"/>
      <x:c r="V196"/>
      <x:c r="X196"/>
      <x:c r="Y196"/>
      <x:c r="Z196"/>
      <x:c r="AA196"/>
      <x:c r="AB196"/>
      <x:c r="AC196"/>
      <x:c r="AD196"/>
      <x:c r="AE196"/>
      <x:c r="AF196"/>
      <x:c r="AG196"/>
      <x:c r="AH196"/>
      <x:c r="AI196"/>
      <x:c r="AJ196"/>
      <x:c r="AK196"/>
      <x:c r="AL196"/>
      <x:c r="AM196"/>
      <x:c r="AN196"/>
      <x:c r="AO196"/>
      <x:c r="AP196"/>
      <x:c r="AQ196"/>
      <x:c r="AR196"/>
      <x:c r="AS196"/>
    </x:row>
    <x:row r="197" ht="15" hidden="0" customHeight="1">
      <x:c r="A197" s="383" t="str">
        <x:v>H22</x:v>
      </x:c>
      <x:c r="B197" s="383" t="str">
        <x:v>Quarantine</x:v>
      </x:c>
      <x:c r="C197" s="383" t="str">
        <x:v>Mapping Holds are fully and consistently quarantined</x:v>
      </x:c>
      <x:c r="D197" s="383" t="n">
        <x:f>COUNTIFS(tblLedger[Mapping Status],"MAPPING_HOLD",tblLedger[Reconciliation Status],"&lt;&gt;MAPPING_HOLD")+COUNTIFS(tblLedger[Reconciliation Status],"MAPPING_HOLD",tblLedger[Mapping Status],"&lt;&gt;MAPPING_HOLD")+COUNTIFS(tblLedger[Mapping Status],"MAPPING_HOLD",tblLedger[Candidate Event(s)],"")</x:f>
        <x:v>0</x:v>
      </x:c>
      <x:c r="E197" s="383" t="str">
        <x:f>IF(D197=0,"PASS","FAIL")</x:f>
        <x:v>PASS</x:v>
      </x:c>
      <x:c r="F197" s="383" t="str">
        <x:v>Critical</x:v>
      </x:c>
      <x:c r="G197" s="383" t="str">
        <x:v>Complete the hold classification before any update</x:v>
      </x:c>
      <x:c r="H197" s="383" t="str">
        <x:v>Known ambiguous WOs remain visible but cannot affect automatic financial closure.</x:v>
      </x:c>
      <x:c r="I197" s="383"/>
      <x:c r="J197" s="383"/>
      <x:c r="K197"/>
      <x:c r="L197"/>
      <x:c r="M197"/>
      <x:c r="N197"/>
      <x:c r="O197"/>
      <x:c r="P197"/>
      <x:c r="Q197"/>
      <x:c r="R197"/>
      <x:c r="S197"/>
      <x:c r="T197"/>
      <x:c r="U197"/>
      <x:c r="V197"/>
      <x:c r="X197"/>
      <x:c r="Y197"/>
      <x:c r="Z197"/>
      <x:c r="AA197"/>
      <x:c r="AB197"/>
      <x:c r="AC197"/>
      <x:c r="AD197"/>
      <x:c r="AE197"/>
      <x:c r="AF197"/>
      <x:c r="AG197"/>
      <x:c r="AH197"/>
      <x:c r="AI197"/>
      <x:c r="AJ197"/>
      <x:c r="AK197"/>
      <x:c r="AL197"/>
      <x:c r="AM197"/>
      <x:c r="AN197"/>
      <x:c r="AO197"/>
      <x:c r="AP197"/>
      <x:c r="AQ197"/>
      <x:c r="AR197"/>
      <x:c r="AS197"/>
    </x:row>
    <x:row r="198" ht="15" hidden="0" customHeight="1">
      <x:c r="A198" s="384"/>
      <x:c r="B198" s="384"/>
      <x:c r="C198" s="384"/>
      <x:c r="D198" s="384"/>
      <x:c r="E198" s="384"/>
      <x:c r="F198" s="384"/>
      <x:c r="G198" s="384"/>
      <x:c r="H198" s="384"/>
      <x:c r="I198" s="384"/>
      <x:c r="J198" s="384"/>
      <x:c r="K198"/>
      <x:c r="L198"/>
      <x:c r="M198"/>
      <x:c r="N198"/>
      <x:c r="O198"/>
      <x:c r="P198"/>
      <x:c r="Q198"/>
      <x:c r="R198"/>
      <x:c r="S198"/>
      <x:c r="T198"/>
      <x:c r="U198"/>
      <x:c r="V198"/>
      <x:c r="X198"/>
      <x:c r="Y198"/>
      <x:c r="Z198"/>
      <x:c r="AA198"/>
      <x:c r="AB198"/>
      <x:c r="AC198"/>
      <x:c r="AD198"/>
      <x:c r="AE198"/>
      <x:c r="AF198"/>
      <x:c r="AG198"/>
      <x:c r="AH198"/>
      <x:c r="AI198"/>
      <x:c r="AJ198"/>
      <x:c r="AK198"/>
      <x:c r="AL198"/>
      <x:c r="AM198"/>
      <x:c r="AN198"/>
      <x:c r="AO198"/>
      <x:c r="AP198"/>
      <x:c r="AQ198"/>
      <x:c r="AR198"/>
      <x:c r="AS198"/>
    </x:row>
    <x:row r="199" ht="15" hidden="0" customHeight="1">
      <x:c r="A199" s="384"/>
      <x:c r="B199" s="384"/>
      <x:c r="C199" s="384"/>
      <x:c r="D199" s="384"/>
      <x:c r="E199" s="384"/>
      <x:c r="F199" s="384"/>
      <x:c r="G199" s="384"/>
      <x:c r="H199" s="384"/>
      <x:c r="I199" s="384"/>
      <x:c r="J199" s="384"/>
      <x:c r="K199"/>
      <x:c r="L199"/>
      <x:c r="M199"/>
      <x:c r="N199"/>
      <x:c r="O199"/>
      <x:c r="P199"/>
      <x:c r="Q199"/>
      <x:c r="R199"/>
      <x:c r="S199"/>
      <x:c r="T199"/>
      <x:c r="U199"/>
      <x:c r="V199"/>
      <x:c r="X199"/>
      <x:c r="Y199"/>
      <x:c r="Z199"/>
      <x:c r="AA199"/>
      <x:c r="AB199"/>
      <x:c r="AC199"/>
      <x:c r="AD199"/>
      <x:c r="AE199"/>
      <x:c r="AF199"/>
      <x:c r="AG199"/>
      <x:c r="AH199"/>
      <x:c r="AI199"/>
      <x:c r="AJ199"/>
      <x:c r="AK199"/>
      <x:c r="AL199"/>
      <x:c r="AM199"/>
      <x:c r="AN199"/>
      <x:c r="AO199"/>
      <x:c r="AP199"/>
      <x:c r="AQ199"/>
      <x:c r="AR199"/>
      <x:c r="AS199"/>
    </x:row>
    <x:row r="200" ht="15" hidden="0" customHeight="1">
      <x:c r="A200" s="384" t="str">
        <x:v>Cross-Table Identity Matrix — Ledger to Service Events</x:v>
      </x:c>
      <x:c r="B200" s="384"/>
      <x:c r="C200" s="384"/>
      <x:c r="D200" s="384"/>
      <x:c r="E200" s="384"/>
      <x:c r="F200" s="384"/>
      <x:c r="G200" s="384"/>
      <x:c r="H200" s="384"/>
      <x:c r="I200" s="384"/>
      <x:c r="J200" s="384"/>
      <x:c r="K200"/>
      <x:c r="L200"/>
      <x:c r="M200"/>
      <x:c r="N200"/>
      <x:c r="O200"/>
      <x:c r="P200"/>
      <x:c r="Q200"/>
      <x:c r="R200"/>
      <x:c r="S200"/>
      <x:c r="T200"/>
      <x:c r="U200"/>
      <x:c r="V200"/>
      <x:c r="X200"/>
      <x:c r="Y200"/>
      <x:c r="Z200"/>
      <x:c r="AA200"/>
      <x:c r="AB200"/>
      <x:c r="AC200"/>
      <x:c r="AD200"/>
      <x:c r="AE200"/>
      <x:c r="AF200"/>
      <x:c r="AG200"/>
      <x:c r="AH200"/>
      <x:c r="AI200"/>
      <x:c r="AJ200"/>
      <x:c r="AK200"/>
      <x:c r="AL200"/>
      <x:c r="AM200"/>
      <x:c r="AN200"/>
      <x:c r="AO200"/>
      <x:c r="AP200"/>
      <x:c r="AQ200"/>
      <x:c r="AR200"/>
      <x:c r="AS200"/>
    </x:row>
    <x:row r="201" ht="15" hidden="0" customHeight="1">
      <x:c r="A201" s="384" t="str">
        <x:v>Ledger Record ID</x:v>
      </x:c>
      <x:c r="B201" s="384" t="str">
        <x:v>WO #</x:v>
      </x:c>
      <x:c r="C201" s="384" t="str">
        <x:v>Event #</x:v>
      </x:c>
      <x:c r="D201" s="384" t="str">
        <x:v>Mapping Status</x:v>
      </x:c>
      <x:c r="E201" s="384" t="str">
        <x:v>Event Exists</x:v>
      </x:c>
      <x:c r="F201" s="384" t="str">
        <x:v>Client Match</x:v>
      </x:c>
      <x:c r="G201" s="384" t="str">
        <x:v>Location Match</x:v>
      </x:c>
      <x:c r="H201" s="384" t="str">
        <x:v>Date Match</x:v>
      </x:c>
      <x:c r="I201" s="384" t="str">
        <x:v>WO Listed</x:v>
      </x:c>
      <x:c r="J201" s="384" t="str">
        <x:v>Integrity Status</x:v>
      </x:c>
      <x:c r="K201"/>
      <x:c r="L201"/>
      <x:c r="M201"/>
      <x:c r="N201"/>
      <x:c r="O201"/>
      <x:c r="P201"/>
      <x:c r="Q201"/>
      <x:c r="R201"/>
      <x:c r="S201"/>
      <x:c r="T201"/>
      <x:c r="U201"/>
      <x:c r="V201"/>
      <x:c r="X201"/>
      <x:c r="Y201"/>
      <x:c r="Z201"/>
      <x:c r="AA201"/>
      <x:c r="AB201"/>
      <x:c r="AC201"/>
      <x:c r="AD201"/>
      <x:c r="AE201"/>
      <x:c r="AF201"/>
      <x:c r="AG201"/>
      <x:c r="AH201"/>
      <x:c r="AI201"/>
      <x:c r="AJ201"/>
      <x:c r="AK201"/>
      <x:c r="AL201"/>
      <x:c r="AM201"/>
      <x:c r="AN201"/>
      <x:c r="AO201"/>
      <x:c r="AP201"/>
      <x:c r="AQ201"/>
      <x:c r="AR201"/>
      <x:c r="AS201"/>
    </x:row>
    <x:row r="202" ht="15" hidden="0" customHeight="1">
      <x:c r="A202" s="384" t="str">
        <x:f>IFERROR(INDEX(tblLedger[Ledger Record ID],ROWS($A$202:A202)),"")</x:f>
        <x:v>LED-0001</x:v>
      </x:c>
      <x:c r="B202" s="384" t="n">
        <x:f>IFERROR(INDEX(tblLedger[Work Order #],ROWS($A$202:A202)),"")</x:f>
        <x:v>5847113</x:v>
      </x:c>
      <x:c r="C202" s="384" t="n">
        <x:f>IFERROR(INDEX(tblLedger[Event #],ROWS($A$202:A202)),"")</x:f>
        <x:v>1</x:v>
      </x:c>
      <x:c r="D202" s="384" t="str">
        <x:f>IFERROR(INDEX(tblLedger[Mapping Status],ROWS($A$202:A202)),"")</x:f>
        <x:v>Unique</x:v>
      </x:c>
      <x:c r="E202" s="384" t="str">
        <x:f>IF(A202="","",IF(D202="MAPPING_HOLD","QUARANTINED",IF(COUNTIF(tblServiceEvents[Event #],C202)=1,"Yes","No")))</x:f>
        <x:v>Yes</x:v>
      </x:c>
      <x:c r="F202" s="384" t="str">
        <x:f>IF(A202="","",IF(E202&lt;&gt;"Yes","N/A",IF(INDEX(tblServiceEvents[Client ID],MATCH(C202,tblServiceEvents[Event #],0))=INDEX(tblLedger[Client ID],ROWS($A$202:A202)),"Yes","No")))</x:f>
        <x:v>Yes</x:v>
      </x:c>
      <x:c r="G202" s="384" t="str">
        <x:f>IF(A202="","",IF(E202&lt;&gt;"Yes","N/A",IF(INDEX(tblServiceEvents[Location Key],MATCH(C202,tblServiceEvents[Event #],0))=INDEX(tblLedger[Location Key],ROWS($A$202:A202)),"Yes","No")))</x:f>
        <x:v>Yes</x:v>
      </x:c>
      <x:c r="H202" s="384" t="str">
        <x:f>IF(A202="","",IF(E202&lt;&gt;"Yes","N/A",IF(INDEX(tblServiceEvents[Service Date],MATCH(C202,tblServiceEvents[Event #],0))=INDEX(tblLedger[Service Date],ROWS($A$202:A202)),"Yes","No")))</x:f>
        <x:v>Yes</x:v>
      </x:c>
      <x:c r="I202" s="384" t="str">
        <x:f>IF(A202="","",IF(E202&lt;&gt;"Yes","N/A",IF(D202="MULTI-WO VISIT","Yes",IF(B202=INDEX(tblServiceEvents[Work Orders],MATCH(C202,tblServiceEvents[Event #],0)),"Yes","No"))))</x:f>
        <x:v>Yes</x:v>
      </x:c>
      <x:c r="J202" s="384" t="str">
        <x:f>IF(A202="","",IF(D202="MAPPING_HOLD","QUARANTINED",IF(AND(E202="Yes",F202="Yes",G202="Yes",H202="Yes",I202="Yes"),"PASS","FAIL")))</x:f>
        <x:v>PASS</x:v>
      </x:c>
      <x:c r="K202"/>
      <x:c r="L202"/>
      <x:c r="M202"/>
      <x:c r="N202"/>
      <x:c r="O202"/>
      <x:c r="P202"/>
      <x:c r="Q202"/>
      <x:c r="R202"/>
      <x:c r="S202"/>
      <x:c r="T202"/>
      <x:c r="U202"/>
      <x:c r="V202"/>
      <x:c r="X202"/>
      <x:c r="Y202"/>
      <x:c r="Z202"/>
      <x:c r="AA202"/>
      <x:c r="AB202"/>
      <x:c r="AC202"/>
      <x:c r="AD202"/>
      <x:c r="AE202"/>
      <x:c r="AF202"/>
      <x:c r="AG202"/>
      <x:c r="AH202"/>
      <x:c r="AI202"/>
      <x:c r="AJ202"/>
      <x:c r="AK202"/>
      <x:c r="AL202"/>
      <x:c r="AM202"/>
      <x:c r="AN202"/>
      <x:c r="AO202"/>
      <x:c r="AP202"/>
      <x:c r="AQ202"/>
      <x:c r="AR202"/>
      <x:c r="AS202"/>
    </x:row>
    <x:row r="203" ht="15" hidden="0" customHeight="1">
      <x:c r="A203" s="384" t="str">
        <x:f>IFERROR(INDEX(tblLedger[Ledger Record ID],ROWS($A$202:A203)),"")</x:f>
        <x:v>LED-0002</x:v>
      </x:c>
      <x:c r="B203" s="384" t="n">
        <x:f>IFERROR(INDEX(tblLedger[Work Order #],ROWS($A$202:A203)),"")</x:f>
        <x:v>5860365</x:v>
      </x:c>
      <x:c r="C203" s="384" t="n">
        <x:f>IFERROR(INDEX(tblLedger[Event #],ROWS($A$202:A203)),"")</x:f>
        <x:v>2</x:v>
      </x:c>
      <x:c r="D203" s="384" t="str">
        <x:f>IFERROR(INDEX(tblLedger[Mapping Status],ROWS($A$202:A203)),"")</x:f>
        <x:v>Unique</x:v>
      </x:c>
      <x:c r="E203" s="384" t="str">
        <x:f>IF(A203="","",IF(D203="MAPPING_HOLD","QUARANTINED",IF(COUNTIF(tblServiceEvents[Event #],C203)=1,"Yes","No")))</x:f>
        <x:v>Yes</x:v>
      </x:c>
      <x:c r="F203" s="384" t="str">
        <x:f>IF(A203="","",IF(E203&lt;&gt;"Yes","N/A",IF(INDEX(tblServiceEvents[Client ID],MATCH(C203,tblServiceEvents[Event #],0))=INDEX(tblLedger[Client ID],ROWS($A$202:A203)),"Yes","No")))</x:f>
        <x:v>Yes</x:v>
      </x:c>
      <x:c r="G203" s="384" t="str">
        <x:f>IF(A203="","",IF(E203&lt;&gt;"Yes","N/A",IF(INDEX(tblServiceEvents[Location Key],MATCH(C203,tblServiceEvents[Event #],0))=INDEX(tblLedger[Location Key],ROWS($A$202:A203)),"Yes","No")))</x:f>
        <x:v>Yes</x:v>
      </x:c>
      <x:c r="H203" s="384" t="str">
        <x:f>IF(A203="","",IF(E203&lt;&gt;"Yes","N/A",IF(INDEX(tblServiceEvents[Service Date],MATCH(C203,tblServiceEvents[Event #],0))=INDEX(tblLedger[Service Date],ROWS($A$202:A203)),"Yes","No")))</x:f>
        <x:v>Yes</x:v>
      </x:c>
      <x:c r="I203" s="384" t="str">
        <x:f>IF(A203="","",IF(E203&lt;&gt;"Yes","N/A",IF(D203="MULTI-WO VISIT","Yes",IF(B203=INDEX(tblServiceEvents[Work Orders],MATCH(C203,tblServiceEvents[Event #],0)),"Yes","No"))))</x:f>
        <x:v>Yes</x:v>
      </x:c>
      <x:c r="J203" s="384" t="str">
        <x:f>IF(A203="","",IF(D203="MAPPING_HOLD","QUARANTINED",IF(AND(E203="Yes",F203="Yes",G203="Yes",H203="Yes",I203="Yes"),"PASS","FAIL")))</x:f>
        <x:v>PASS</x:v>
      </x:c>
      <x:c r="K203"/>
      <x:c r="L203"/>
      <x:c r="M203"/>
      <x:c r="N203"/>
      <x:c r="O203"/>
      <x:c r="P203"/>
      <x:c r="Q203"/>
      <x:c r="R203"/>
      <x:c r="S203"/>
      <x:c r="T203"/>
      <x:c r="U203"/>
      <x:c r="V203"/>
      <x:c r="X203"/>
      <x:c r="Y203"/>
      <x:c r="Z203"/>
      <x:c r="AA203"/>
      <x:c r="AB203"/>
      <x:c r="AC203"/>
      <x:c r="AD203"/>
      <x:c r="AE203"/>
      <x:c r="AF203"/>
      <x:c r="AG203"/>
      <x:c r="AH203"/>
      <x:c r="AI203"/>
      <x:c r="AJ203"/>
      <x:c r="AK203"/>
      <x:c r="AL203"/>
      <x:c r="AM203"/>
      <x:c r="AN203"/>
      <x:c r="AO203"/>
      <x:c r="AP203"/>
      <x:c r="AQ203"/>
      <x:c r="AR203"/>
      <x:c r="AS203"/>
    </x:row>
    <x:row r="204" ht="15" hidden="0" customHeight="1">
      <x:c r="A204" s="384" t="str">
        <x:f>IFERROR(INDEX(tblLedger[Ledger Record ID],ROWS($A$202:A204)),"")</x:f>
        <x:v>LED-0003</x:v>
      </x:c>
      <x:c r="B204" s="384" t="n">
        <x:f>IFERROR(INDEX(tblLedger[Work Order #],ROWS($A$202:A204)),"")</x:f>
        <x:v>5860393</x:v>
      </x:c>
      <x:c r="C204" s="384" t="n">
        <x:f>IFERROR(INDEX(tblLedger[Event #],ROWS($A$202:A204)),"")</x:f>
        <x:v>3</x:v>
      </x:c>
      <x:c r="D204" s="384" t="str">
        <x:f>IFERROR(INDEX(tblLedger[Mapping Status],ROWS($A$202:A204)),"")</x:f>
        <x:v>Unique</x:v>
      </x:c>
      <x:c r="E204" s="384" t="str">
        <x:f>IF(A204="","",IF(D204="MAPPING_HOLD","QUARANTINED",IF(COUNTIF(tblServiceEvents[Event #],C204)=1,"Yes","No")))</x:f>
        <x:v>Yes</x:v>
      </x:c>
      <x:c r="F204" s="384" t="str">
        <x:f>IF(A204="","",IF(E204&lt;&gt;"Yes","N/A",IF(INDEX(tblServiceEvents[Client ID],MATCH(C204,tblServiceEvents[Event #],0))=INDEX(tblLedger[Client ID],ROWS($A$202:A204)),"Yes","No")))</x:f>
        <x:v>Yes</x:v>
      </x:c>
      <x:c r="G204" s="384" t="str">
        <x:f>IF(A204="","",IF(E204&lt;&gt;"Yes","N/A",IF(INDEX(tblServiceEvents[Location Key],MATCH(C204,tblServiceEvents[Event #],0))=INDEX(tblLedger[Location Key],ROWS($A$202:A204)),"Yes","No")))</x:f>
        <x:v>Yes</x:v>
      </x:c>
      <x:c r="H204" s="384" t="str">
        <x:f>IF(A204="","",IF(E204&lt;&gt;"Yes","N/A",IF(INDEX(tblServiceEvents[Service Date],MATCH(C204,tblServiceEvents[Event #],0))=INDEX(tblLedger[Service Date],ROWS($A$202:A204)),"Yes","No")))</x:f>
        <x:v>Yes</x:v>
      </x:c>
      <x:c r="I204" s="384" t="str">
        <x:f>IF(A204="","",IF(E204&lt;&gt;"Yes","N/A",IF(D204="MULTI-WO VISIT","Yes",IF(B204=INDEX(tblServiceEvents[Work Orders],MATCH(C204,tblServiceEvents[Event #],0)),"Yes","No"))))</x:f>
        <x:v>Yes</x:v>
      </x:c>
      <x:c r="J204" s="384" t="str">
        <x:f>IF(A204="","",IF(D204="MAPPING_HOLD","QUARANTINED",IF(AND(E204="Yes",F204="Yes",G204="Yes",H204="Yes",I204="Yes"),"PASS","FAIL")))</x:f>
        <x:v>PASS</x:v>
      </x:c>
      <x:c r="K204"/>
      <x:c r="L204"/>
      <x:c r="M204"/>
      <x:c r="N204"/>
      <x:c r="O204"/>
      <x:c r="P204"/>
      <x:c r="Q204"/>
      <x:c r="R204"/>
      <x:c r="S204"/>
      <x:c r="T204"/>
      <x:c r="U204"/>
      <x:c r="V204"/>
      <x:c r="X204"/>
      <x:c r="Y204"/>
      <x:c r="Z204"/>
      <x:c r="AA204"/>
      <x:c r="AB204"/>
      <x:c r="AC204"/>
      <x:c r="AD204"/>
      <x:c r="AE204"/>
      <x:c r="AF204"/>
      <x:c r="AG204"/>
      <x:c r="AH204"/>
      <x:c r="AI204"/>
      <x:c r="AJ204"/>
      <x:c r="AK204"/>
      <x:c r="AL204"/>
      <x:c r="AM204"/>
      <x:c r="AN204"/>
      <x:c r="AO204"/>
      <x:c r="AP204"/>
      <x:c r="AQ204"/>
      <x:c r="AR204"/>
      <x:c r="AS204"/>
    </x:row>
    <x:row r="205" ht="15" hidden="0" customHeight="1">
      <x:c r="A205" s="384" t="str">
        <x:f>IFERROR(INDEX(tblLedger[Ledger Record ID],ROWS($A$202:A205)),"")</x:f>
        <x:v>LED-0004</x:v>
      </x:c>
      <x:c r="B205" s="384" t="n">
        <x:f>IFERROR(INDEX(tblLedger[Work Order #],ROWS($A$202:A205)),"")</x:f>
        <x:v>5874484</x:v>
      </x:c>
      <x:c r="C205" s="384" t="n">
        <x:f>IFERROR(INDEX(tblLedger[Event #],ROWS($A$202:A205)),"")</x:f>
        <x:v>4</x:v>
      </x:c>
      <x:c r="D205" s="384" t="str">
        <x:f>IFERROR(INDEX(tblLedger[Mapping Status],ROWS($A$202:A205)),"")</x:f>
        <x:v>Unique</x:v>
      </x:c>
      <x:c r="E205" s="384" t="str">
        <x:f>IF(A205="","",IF(D205="MAPPING_HOLD","QUARANTINED",IF(COUNTIF(tblServiceEvents[Event #],C205)=1,"Yes","No")))</x:f>
        <x:v>Yes</x:v>
      </x:c>
      <x:c r="F205" s="384" t="str">
        <x:f>IF(A205="","",IF(E205&lt;&gt;"Yes","N/A",IF(INDEX(tblServiceEvents[Client ID],MATCH(C205,tblServiceEvents[Event #],0))=INDEX(tblLedger[Client ID],ROWS($A$202:A205)),"Yes","No")))</x:f>
        <x:v>Yes</x:v>
      </x:c>
      <x:c r="G205" s="384" t="str">
        <x:f>IF(A205="","",IF(E205&lt;&gt;"Yes","N/A",IF(INDEX(tblServiceEvents[Location Key],MATCH(C205,tblServiceEvents[Event #],0))=INDEX(tblLedger[Location Key],ROWS($A$202:A205)),"Yes","No")))</x:f>
        <x:v>Yes</x:v>
      </x:c>
      <x:c r="H205" s="384" t="str">
        <x:f>IF(A205="","",IF(E205&lt;&gt;"Yes","N/A",IF(INDEX(tblServiceEvents[Service Date],MATCH(C205,tblServiceEvents[Event #],0))=INDEX(tblLedger[Service Date],ROWS($A$202:A205)),"Yes","No")))</x:f>
        <x:v>Yes</x:v>
      </x:c>
      <x:c r="I205" s="384" t="str">
        <x:f>IF(A205="","",IF(E205&lt;&gt;"Yes","N/A",IF(D205="MULTI-WO VISIT","Yes",IF(B205=INDEX(tblServiceEvents[Work Orders],MATCH(C205,tblServiceEvents[Event #],0)),"Yes","No"))))</x:f>
        <x:v>Yes</x:v>
      </x:c>
      <x:c r="J205" s="384" t="str">
        <x:f>IF(A205="","",IF(D205="MAPPING_HOLD","QUARANTINED",IF(AND(E205="Yes",F205="Yes",G205="Yes",H205="Yes",I205="Yes"),"PASS","FAIL")))</x:f>
        <x:v>PASS</x:v>
      </x:c>
      <x:c r="K205"/>
      <x:c r="L205"/>
      <x:c r="M205"/>
      <x:c r="N205"/>
      <x:c r="O205"/>
      <x:c r="P205"/>
      <x:c r="Q205"/>
      <x:c r="R205"/>
      <x:c r="S205"/>
      <x:c r="T205"/>
      <x:c r="U205"/>
      <x:c r="V205"/>
      <x:c r="X205"/>
      <x:c r="Y205"/>
      <x:c r="Z205"/>
      <x:c r="AA205"/>
      <x:c r="AB205"/>
      <x:c r="AC205"/>
      <x:c r="AD205"/>
      <x:c r="AE205"/>
      <x:c r="AF205"/>
      <x:c r="AG205"/>
      <x:c r="AH205"/>
      <x:c r="AI205"/>
      <x:c r="AJ205"/>
      <x:c r="AK205"/>
      <x:c r="AL205"/>
      <x:c r="AM205"/>
      <x:c r="AN205"/>
      <x:c r="AO205"/>
      <x:c r="AP205"/>
      <x:c r="AQ205"/>
      <x:c r="AR205"/>
      <x:c r="AS205"/>
    </x:row>
    <x:row r="206" ht="15" hidden="0" customHeight="1">
      <x:c r="A206" s="384" t="str">
        <x:f>IFERROR(INDEX(tblLedger[Ledger Record ID],ROWS($A$202:A206)),"")</x:f>
        <x:v>LED-0005</x:v>
      </x:c>
      <x:c r="B206" s="384" t="n">
        <x:f>IFERROR(INDEX(tblLedger[Work Order #],ROWS($A$202:A206)),"")</x:f>
        <x:v>5876589</x:v>
      </x:c>
      <x:c r="C206" s="384" t="n">
        <x:f>IFERROR(INDEX(tblLedger[Event #],ROWS($A$202:A206)),"")</x:f>
        <x:v>5</x:v>
      </x:c>
      <x:c r="D206" s="384" t="str">
        <x:f>IFERROR(INDEX(tblLedger[Mapping Status],ROWS($A$202:A206)),"")</x:f>
        <x:v>Unique</x:v>
      </x:c>
      <x:c r="E206" s="384" t="str">
        <x:f>IF(A206="","",IF(D206="MAPPING_HOLD","QUARANTINED",IF(COUNTIF(tblServiceEvents[Event #],C206)=1,"Yes","No")))</x:f>
        <x:v>Yes</x:v>
      </x:c>
      <x:c r="F206" s="384" t="str">
        <x:f>IF(A206="","",IF(E206&lt;&gt;"Yes","N/A",IF(INDEX(tblServiceEvents[Client ID],MATCH(C206,tblServiceEvents[Event #],0))=INDEX(tblLedger[Client ID],ROWS($A$202:A206)),"Yes","No")))</x:f>
        <x:v>Yes</x:v>
      </x:c>
      <x:c r="G206" s="384" t="str">
        <x:f>IF(A206="","",IF(E206&lt;&gt;"Yes","N/A",IF(INDEX(tblServiceEvents[Location Key],MATCH(C206,tblServiceEvents[Event #],0))=INDEX(tblLedger[Location Key],ROWS($A$202:A206)),"Yes","No")))</x:f>
        <x:v>Yes</x:v>
      </x:c>
      <x:c r="H206" s="384" t="str">
        <x:f>IF(A206="","",IF(E206&lt;&gt;"Yes","N/A",IF(INDEX(tblServiceEvents[Service Date],MATCH(C206,tblServiceEvents[Event #],0))=INDEX(tblLedger[Service Date],ROWS($A$202:A206)),"Yes","No")))</x:f>
        <x:v>Yes</x:v>
      </x:c>
      <x:c r="I206" s="384" t="str">
        <x:f>IF(A206="","",IF(E206&lt;&gt;"Yes","N/A",IF(D206="MULTI-WO VISIT","Yes",IF(B206=INDEX(tblServiceEvents[Work Orders],MATCH(C206,tblServiceEvents[Event #],0)),"Yes","No"))))</x:f>
        <x:v>Yes</x:v>
      </x:c>
      <x:c r="J206" s="384" t="str">
        <x:f>IF(A206="","",IF(D206="MAPPING_HOLD","QUARANTINED",IF(AND(E206="Yes",F206="Yes",G206="Yes",H206="Yes",I206="Yes"),"PASS","FAIL")))</x:f>
        <x:v>PASS</x:v>
      </x:c>
      <x:c r="K206"/>
      <x:c r="L206"/>
      <x:c r="M206"/>
      <x:c r="N206"/>
      <x:c r="O206"/>
      <x:c r="P206"/>
      <x:c r="Q206"/>
      <x:c r="R206"/>
      <x:c r="S206"/>
      <x:c r="T206"/>
      <x:c r="U206"/>
      <x:c r="V206"/>
      <x:c r="X206"/>
      <x:c r="Y206"/>
      <x:c r="Z206"/>
      <x:c r="AA206"/>
      <x:c r="AB206"/>
      <x:c r="AC206"/>
      <x:c r="AD206"/>
      <x:c r="AE206"/>
      <x:c r="AF206"/>
      <x:c r="AG206"/>
      <x:c r="AH206"/>
      <x:c r="AI206"/>
      <x:c r="AJ206"/>
      <x:c r="AK206"/>
      <x:c r="AL206"/>
      <x:c r="AM206"/>
      <x:c r="AN206"/>
      <x:c r="AO206"/>
      <x:c r="AP206"/>
      <x:c r="AQ206"/>
      <x:c r="AR206"/>
      <x:c r="AS206"/>
    </x:row>
    <x:row r="207" ht="15" hidden="0" customHeight="1">
      <x:c r="A207" s="384" t="str">
        <x:f>IFERROR(INDEX(tblLedger[Ledger Record ID],ROWS($A$202:A207)),"")</x:f>
        <x:v>LED-0006</x:v>
      </x:c>
      <x:c r="B207" s="384" t="n">
        <x:f>IFERROR(INDEX(tblLedger[Work Order #],ROWS($A$202:A207)),"")</x:f>
        <x:v>5874982</x:v>
      </x:c>
      <x:c r="C207" s="384" t="n">
        <x:f>IFERROR(INDEX(tblLedger[Event #],ROWS($A$202:A207)),"")</x:f>
        <x:v>6</x:v>
      </x:c>
      <x:c r="D207" s="384" t="str">
        <x:f>IFERROR(INDEX(tblLedger[Mapping Status],ROWS($A$202:A207)),"")</x:f>
        <x:v>Unique</x:v>
      </x:c>
      <x:c r="E207" s="384" t="str">
        <x:f>IF(A207="","",IF(D207="MAPPING_HOLD","QUARANTINED",IF(COUNTIF(tblServiceEvents[Event #],C207)=1,"Yes","No")))</x:f>
        <x:v>Yes</x:v>
      </x:c>
      <x:c r="F207" s="384" t="str">
        <x:f>IF(A207="","",IF(E207&lt;&gt;"Yes","N/A",IF(INDEX(tblServiceEvents[Client ID],MATCH(C207,tblServiceEvents[Event #],0))=INDEX(tblLedger[Client ID],ROWS($A$202:A207)),"Yes","No")))</x:f>
        <x:v>Yes</x:v>
      </x:c>
      <x:c r="G207" s="384" t="str">
        <x:f>IF(A207="","",IF(E207&lt;&gt;"Yes","N/A",IF(INDEX(tblServiceEvents[Location Key],MATCH(C207,tblServiceEvents[Event #],0))=INDEX(tblLedger[Location Key],ROWS($A$202:A207)),"Yes","No")))</x:f>
        <x:v>Yes</x:v>
      </x:c>
      <x:c r="H207" s="384" t="str">
        <x:f>IF(A207="","",IF(E207&lt;&gt;"Yes","N/A",IF(INDEX(tblServiceEvents[Service Date],MATCH(C207,tblServiceEvents[Event #],0))=INDEX(tblLedger[Service Date],ROWS($A$202:A207)),"Yes","No")))</x:f>
        <x:v>Yes</x:v>
      </x:c>
      <x:c r="I207" s="384" t="str">
        <x:f>IF(A207="","",IF(E207&lt;&gt;"Yes","N/A",IF(D207="MULTI-WO VISIT","Yes",IF(B207=INDEX(tblServiceEvents[Work Orders],MATCH(C207,tblServiceEvents[Event #],0)),"Yes","No"))))</x:f>
        <x:v>Yes</x:v>
      </x:c>
      <x:c r="J207" s="384" t="str">
        <x:f>IF(A207="","",IF(D207="MAPPING_HOLD","QUARANTINED",IF(AND(E207="Yes",F207="Yes",G207="Yes",H207="Yes",I207="Yes"),"PASS","FAIL")))</x:f>
        <x:v>PASS</x:v>
      </x:c>
      <x:c r="K207"/>
      <x:c r="L207"/>
      <x:c r="M207"/>
      <x:c r="N207"/>
      <x:c r="O207"/>
      <x:c r="P207"/>
      <x:c r="Q207"/>
      <x:c r="R207"/>
      <x:c r="S207"/>
      <x:c r="T207"/>
      <x:c r="U207"/>
      <x:c r="V207"/>
      <x:c r="X207"/>
      <x:c r="Y207"/>
      <x:c r="Z207"/>
      <x:c r="AA207"/>
      <x:c r="AB207"/>
      <x:c r="AC207"/>
      <x:c r="AD207"/>
      <x:c r="AE207"/>
      <x:c r="AF207"/>
      <x:c r="AG207"/>
      <x:c r="AH207"/>
      <x:c r="AI207"/>
      <x:c r="AJ207"/>
      <x:c r="AK207"/>
      <x:c r="AL207"/>
      <x:c r="AM207"/>
      <x:c r="AN207"/>
      <x:c r="AO207"/>
      <x:c r="AP207"/>
      <x:c r="AQ207"/>
      <x:c r="AR207"/>
      <x:c r="AS207"/>
    </x:row>
    <x:row r="208" ht="15" hidden="0" customHeight="1">
      <x:c r="A208" s="384" t="str">
        <x:f>IFERROR(INDEX(tblLedger[Ledger Record ID],ROWS($A$202:A208)),"")</x:f>
        <x:v>LED-0007</x:v>
      </x:c>
      <x:c r="B208" s="384" t="n">
        <x:f>IFERROR(INDEX(tblLedger[Work Order #],ROWS($A$202:A208)),"")</x:f>
        <x:v>5876638</x:v>
      </x:c>
      <x:c r="C208" s="384" t="n">
        <x:f>IFERROR(INDEX(tblLedger[Event #],ROWS($A$202:A208)),"")</x:f>
        <x:v>7</x:v>
      </x:c>
      <x:c r="D208" s="384" t="str">
        <x:f>IFERROR(INDEX(tblLedger[Mapping Status],ROWS($A$202:A208)),"")</x:f>
        <x:v>Unique</x:v>
      </x:c>
      <x:c r="E208" s="384" t="str">
        <x:f>IF(A208="","",IF(D208="MAPPING_HOLD","QUARANTINED",IF(COUNTIF(tblServiceEvents[Event #],C208)=1,"Yes","No")))</x:f>
        <x:v>Yes</x:v>
      </x:c>
      <x:c r="F208" s="384" t="str">
        <x:f>IF(A208="","",IF(E208&lt;&gt;"Yes","N/A",IF(INDEX(tblServiceEvents[Client ID],MATCH(C208,tblServiceEvents[Event #],0))=INDEX(tblLedger[Client ID],ROWS($A$202:A208)),"Yes","No")))</x:f>
        <x:v>Yes</x:v>
      </x:c>
      <x:c r="G208" s="384" t="str">
        <x:f>IF(A208="","",IF(E208&lt;&gt;"Yes","N/A",IF(INDEX(tblServiceEvents[Location Key],MATCH(C208,tblServiceEvents[Event #],0))=INDEX(tblLedger[Location Key],ROWS($A$202:A208)),"Yes","No")))</x:f>
        <x:v>Yes</x:v>
      </x:c>
      <x:c r="H208" s="384" t="str">
        <x:f>IF(A208="","",IF(E208&lt;&gt;"Yes","N/A",IF(INDEX(tblServiceEvents[Service Date],MATCH(C208,tblServiceEvents[Event #],0))=INDEX(tblLedger[Service Date],ROWS($A$202:A208)),"Yes","No")))</x:f>
        <x:v>Yes</x:v>
      </x:c>
      <x:c r="I208" s="384" t="str">
        <x:f>IF(A208="","",IF(E208&lt;&gt;"Yes","N/A",IF(D208="MULTI-WO VISIT","Yes",IF(B208=INDEX(tblServiceEvents[Work Orders],MATCH(C208,tblServiceEvents[Event #],0)),"Yes","No"))))</x:f>
        <x:v>Yes</x:v>
      </x:c>
      <x:c r="J208" s="384" t="str">
        <x:f>IF(A208="","",IF(D208="MAPPING_HOLD","QUARANTINED",IF(AND(E208="Yes",F208="Yes",G208="Yes",H208="Yes",I208="Yes"),"PASS","FAIL")))</x:f>
        <x:v>PASS</x:v>
      </x:c>
      <x:c r="K208"/>
      <x:c r="L208"/>
      <x:c r="M208"/>
      <x:c r="N208"/>
      <x:c r="O208"/>
      <x:c r="P208"/>
      <x:c r="Q208"/>
      <x:c r="R208"/>
      <x:c r="S208"/>
      <x:c r="T208"/>
      <x:c r="U208"/>
      <x:c r="V208"/>
      <x:c r="X208"/>
      <x:c r="Y208"/>
      <x:c r="Z208"/>
      <x:c r="AA208"/>
      <x:c r="AB208"/>
      <x:c r="AC208"/>
      <x:c r="AD208"/>
      <x:c r="AE208"/>
      <x:c r="AF208"/>
      <x:c r="AG208"/>
      <x:c r="AH208"/>
      <x:c r="AI208"/>
      <x:c r="AJ208"/>
      <x:c r="AK208"/>
      <x:c r="AL208"/>
      <x:c r="AM208"/>
      <x:c r="AN208"/>
      <x:c r="AO208"/>
      <x:c r="AP208"/>
      <x:c r="AQ208"/>
      <x:c r="AR208"/>
      <x:c r="AS208"/>
    </x:row>
    <x:row r="209" ht="15" hidden="0" customHeight="1">
      <x:c r="A209" s="384" t="str">
        <x:f>IFERROR(INDEX(tblLedger[Ledger Record ID],ROWS($A$202:A209)),"")</x:f>
        <x:v>LED-0008</x:v>
      </x:c>
      <x:c r="B209" s="384" t="n">
        <x:f>IFERROR(INDEX(tblLedger[Work Order #],ROWS($A$202:A209)),"")</x:f>
        <x:v>5878985</x:v>
      </x:c>
      <x:c r="C209" s="384" t="n">
        <x:f>IFERROR(INDEX(tblLedger[Event #],ROWS($A$202:A209)),"")</x:f>
        <x:v>8</x:v>
      </x:c>
      <x:c r="D209" s="384" t="str">
        <x:f>IFERROR(INDEX(tblLedger[Mapping Status],ROWS($A$202:A209)),"")</x:f>
        <x:v>Unique</x:v>
      </x:c>
      <x:c r="E209" s="384" t="str">
        <x:f>IF(A209="","",IF(D209="MAPPING_HOLD","QUARANTINED",IF(COUNTIF(tblServiceEvents[Event #],C209)=1,"Yes","No")))</x:f>
        <x:v>Yes</x:v>
      </x:c>
      <x:c r="F209" s="384" t="str">
        <x:f>IF(A209="","",IF(E209&lt;&gt;"Yes","N/A",IF(INDEX(tblServiceEvents[Client ID],MATCH(C209,tblServiceEvents[Event #],0))=INDEX(tblLedger[Client ID],ROWS($A$202:A209)),"Yes","No")))</x:f>
        <x:v>Yes</x:v>
      </x:c>
      <x:c r="G209" s="384" t="str">
        <x:f>IF(A209="","",IF(E209&lt;&gt;"Yes","N/A",IF(INDEX(tblServiceEvents[Location Key],MATCH(C209,tblServiceEvents[Event #],0))=INDEX(tblLedger[Location Key],ROWS($A$202:A209)),"Yes","No")))</x:f>
        <x:v>Yes</x:v>
      </x:c>
      <x:c r="H209" s="384" t="str">
        <x:f>IF(A209="","",IF(E209&lt;&gt;"Yes","N/A",IF(INDEX(tblServiceEvents[Service Date],MATCH(C209,tblServiceEvents[Event #],0))=INDEX(tblLedger[Service Date],ROWS($A$202:A209)),"Yes","No")))</x:f>
        <x:v>Yes</x:v>
      </x:c>
      <x:c r="I209" s="384" t="str">
        <x:f>IF(A209="","",IF(E209&lt;&gt;"Yes","N/A",IF(D209="MULTI-WO VISIT","Yes",IF(B209=INDEX(tblServiceEvents[Work Orders],MATCH(C209,tblServiceEvents[Event #],0)),"Yes","No"))))</x:f>
        <x:v>Yes</x:v>
      </x:c>
      <x:c r="J209" s="384" t="str">
        <x:f>IF(A209="","",IF(D209="MAPPING_HOLD","QUARANTINED",IF(AND(E209="Yes",F209="Yes",G209="Yes",H209="Yes",I209="Yes"),"PASS","FAIL")))</x:f>
        <x:v>PASS</x:v>
      </x:c>
      <x:c r="K209"/>
      <x:c r="L209"/>
      <x:c r="M209"/>
      <x:c r="N209"/>
      <x:c r="O209"/>
      <x:c r="P209"/>
      <x:c r="Q209"/>
      <x:c r="R209"/>
      <x:c r="S209"/>
      <x:c r="T209"/>
      <x:c r="U209"/>
      <x:c r="V209"/>
      <x:c r="X209"/>
      <x:c r="Y209"/>
      <x:c r="Z209"/>
      <x:c r="AA209"/>
      <x:c r="AB209"/>
      <x:c r="AC209"/>
      <x:c r="AD209"/>
      <x:c r="AE209"/>
      <x:c r="AF209"/>
      <x:c r="AG209"/>
      <x:c r="AH209"/>
      <x:c r="AI209"/>
      <x:c r="AJ209"/>
      <x:c r="AK209"/>
      <x:c r="AL209"/>
      <x:c r="AM209"/>
      <x:c r="AN209"/>
      <x:c r="AO209"/>
      <x:c r="AP209"/>
      <x:c r="AQ209"/>
      <x:c r="AR209"/>
      <x:c r="AS209"/>
    </x:row>
    <x:row r="210" ht="15" hidden="0" customHeight="1">
      <x:c r="A210" s="384" t="str">
        <x:f>IFERROR(INDEX(tblLedger[Ledger Record ID],ROWS($A$202:A210)),"")</x:f>
        <x:v>LED-0009</x:v>
      </x:c>
      <x:c r="B210" s="384" t="str">
        <x:f>IFERROR(INDEX(tblLedger[Work Order #],ROWS($A$202:A210)),"")</x:f>
        <x:v>UNRESOLVED-E009</x:v>
      </x:c>
      <x:c r="C210" s="384" t="n">
        <x:f>IFERROR(INDEX(tblLedger[Event #],ROWS($A$202:A210)),"")</x:f>
        <x:v>9</x:v>
      </x:c>
      <x:c r="D210" s="384" t="str">
        <x:f>IFERROR(INDEX(tblLedger[Mapping Status],ROWS($A$202:A210)),"")</x:f>
        <x:v>Unique</x:v>
      </x:c>
      <x:c r="E210" s="384" t="str">
        <x:f>IF(A210="","",IF(D210="MAPPING_HOLD","QUARANTINED",IF(COUNTIF(tblServiceEvents[Event #],C210)=1,"Yes","No")))</x:f>
        <x:v>Yes</x:v>
      </x:c>
      <x:c r="F210" s="384" t="str">
        <x:f>IF(A210="","",IF(E210&lt;&gt;"Yes","N/A",IF(INDEX(tblServiceEvents[Client ID],MATCH(C210,tblServiceEvents[Event #],0))=INDEX(tblLedger[Client ID],ROWS($A$202:A210)),"Yes","No")))</x:f>
        <x:v>Yes</x:v>
      </x:c>
      <x:c r="G210" s="384" t="str">
        <x:f>IF(A210="","",IF(E210&lt;&gt;"Yes","N/A",IF(INDEX(tblServiceEvents[Location Key],MATCH(C210,tblServiceEvents[Event #],0))=INDEX(tblLedger[Location Key],ROWS($A$202:A210)),"Yes","No")))</x:f>
        <x:v>Yes</x:v>
      </x:c>
      <x:c r="H210" s="384" t="str">
        <x:f>IF(A210="","",IF(E210&lt;&gt;"Yes","N/A",IF(INDEX(tblServiceEvents[Service Date],MATCH(C210,tblServiceEvents[Event #],0))=INDEX(tblLedger[Service Date],ROWS($A$202:A210)),"Yes","No")))</x:f>
        <x:v>Yes</x:v>
      </x:c>
      <x:c r="I210" s="384" t="str">
        <x:f>IF(A210="","",IF(E210&lt;&gt;"Yes","N/A",IF(D210="MULTI-WO VISIT","Yes",IF(B210=INDEX(tblServiceEvents[Work Orders],MATCH(C210,tblServiceEvents[Event #],0)),"Yes","No"))))</x:f>
        <x:v>Yes</x:v>
      </x:c>
      <x:c r="J210" s="384" t="str">
        <x:f>IF(A210="","",IF(D210="MAPPING_HOLD","QUARANTINED",IF(AND(E210="Yes",F210="Yes",G210="Yes",H210="Yes",I210="Yes"),"PASS","FAIL")))</x:f>
        <x:v>PASS</x:v>
      </x:c>
      <x:c r="K210"/>
      <x:c r="L210"/>
      <x:c r="M210"/>
      <x:c r="N210"/>
      <x:c r="O210"/>
      <x:c r="P210"/>
      <x:c r="Q210"/>
      <x:c r="R210"/>
      <x:c r="S210"/>
      <x:c r="T210"/>
      <x:c r="U210"/>
      <x:c r="V210"/>
      <x:c r="X210"/>
      <x:c r="Y210"/>
      <x:c r="Z210"/>
      <x:c r="AA210"/>
      <x:c r="AB210"/>
      <x:c r="AC210"/>
      <x:c r="AD210"/>
      <x:c r="AE210"/>
      <x:c r="AF210"/>
      <x:c r="AG210"/>
      <x:c r="AH210"/>
      <x:c r="AI210"/>
      <x:c r="AJ210"/>
      <x:c r="AK210"/>
      <x:c r="AL210"/>
      <x:c r="AM210"/>
      <x:c r="AN210"/>
      <x:c r="AO210"/>
      <x:c r="AP210"/>
      <x:c r="AQ210"/>
      <x:c r="AR210"/>
      <x:c r="AS210"/>
    </x:row>
    <x:row r="211" ht="15" hidden="0" customHeight="1">
      <x:c r="A211" s="384" t="str">
        <x:f>IFERROR(INDEX(tblLedger[Ledger Record ID],ROWS($A$202:A211)),"")</x:f>
        <x:v>LED-0010</x:v>
      </x:c>
      <x:c r="B211" s="384" t="n">
        <x:f>IFERROR(INDEX(tblLedger[Work Order #],ROWS($A$202:A211)),"")</x:f>
        <x:v>5882097</x:v>
      </x:c>
      <x:c r="C211" s="384" t="n">
        <x:f>IFERROR(INDEX(tblLedger[Event #],ROWS($A$202:A211)),"")</x:f>
        <x:v>10</x:v>
      </x:c>
      <x:c r="D211" s="384" t="str">
        <x:f>IFERROR(INDEX(tblLedger[Mapping Status],ROWS($A$202:A211)),"")</x:f>
        <x:v>Unique</x:v>
      </x:c>
      <x:c r="E211" s="384" t="str">
        <x:f>IF(A211="","",IF(D211="MAPPING_HOLD","QUARANTINED",IF(COUNTIF(tblServiceEvents[Event #],C211)=1,"Yes","No")))</x:f>
        <x:v>Yes</x:v>
      </x:c>
      <x:c r="F211" s="384" t="str">
        <x:f>IF(A211="","",IF(E211&lt;&gt;"Yes","N/A",IF(INDEX(tblServiceEvents[Client ID],MATCH(C211,tblServiceEvents[Event #],0))=INDEX(tblLedger[Client ID],ROWS($A$202:A211)),"Yes","No")))</x:f>
        <x:v>Yes</x:v>
      </x:c>
      <x:c r="G211" s="384" t="str">
        <x:f>IF(A211="","",IF(E211&lt;&gt;"Yes","N/A",IF(INDEX(tblServiceEvents[Location Key],MATCH(C211,tblServiceEvents[Event #],0))=INDEX(tblLedger[Location Key],ROWS($A$202:A211)),"Yes","No")))</x:f>
        <x:v>Yes</x:v>
      </x:c>
      <x:c r="H211" s="384" t="str">
        <x:f>IF(A211="","",IF(E211&lt;&gt;"Yes","N/A",IF(INDEX(tblServiceEvents[Service Date],MATCH(C211,tblServiceEvents[Event #],0))=INDEX(tblLedger[Service Date],ROWS($A$202:A211)),"Yes","No")))</x:f>
        <x:v>Yes</x:v>
      </x:c>
      <x:c r="I211" s="384" t="str">
        <x:f>IF(A211="","",IF(E211&lt;&gt;"Yes","N/A",IF(D211="MULTI-WO VISIT","Yes",IF(B211=INDEX(tblServiceEvents[Work Orders],MATCH(C211,tblServiceEvents[Event #],0)),"Yes","No"))))</x:f>
        <x:v>Yes</x:v>
      </x:c>
      <x:c r="J211" s="384" t="str">
        <x:f>IF(A211="","",IF(D211="MAPPING_HOLD","QUARANTINED",IF(AND(E211="Yes",F211="Yes",G211="Yes",H211="Yes",I211="Yes"),"PASS","FAIL")))</x:f>
        <x:v>PASS</x:v>
      </x:c>
      <x:c r="K211"/>
      <x:c r="L211"/>
      <x:c r="M211"/>
      <x:c r="N211"/>
      <x:c r="O211"/>
      <x:c r="P211"/>
      <x:c r="Q211"/>
      <x:c r="R211"/>
      <x:c r="S211"/>
      <x:c r="T211"/>
      <x:c r="U211"/>
      <x:c r="V211"/>
      <x:c r="X211"/>
      <x:c r="Y211"/>
      <x:c r="Z211"/>
      <x:c r="AA211"/>
      <x:c r="AB211"/>
      <x:c r="AC211"/>
      <x:c r="AD211"/>
      <x:c r="AE211"/>
      <x:c r="AF211"/>
      <x:c r="AG211"/>
      <x:c r="AH211"/>
      <x:c r="AI211"/>
      <x:c r="AJ211"/>
      <x:c r="AK211"/>
      <x:c r="AL211"/>
      <x:c r="AM211"/>
      <x:c r="AN211"/>
      <x:c r="AO211"/>
      <x:c r="AP211"/>
      <x:c r="AQ211"/>
      <x:c r="AR211"/>
      <x:c r="AS211"/>
    </x:row>
    <x:row r="212" ht="15" hidden="0" customHeight="1">
      <x:c r="A212" s="384" t="str">
        <x:f>IFERROR(INDEX(tblLedger[Ledger Record ID],ROWS($A$202:A212)),"")</x:f>
        <x:v>LED-0011</x:v>
      </x:c>
      <x:c r="B212" s="384" t="n">
        <x:f>IFERROR(INDEX(tblLedger[Work Order #],ROWS($A$202:A212)),"")</x:f>
        <x:v>5884987</x:v>
      </x:c>
      <x:c r="C212" s="384" t="n">
        <x:f>IFERROR(INDEX(tblLedger[Event #],ROWS($A$202:A212)),"")</x:f>
        <x:v>11</x:v>
      </x:c>
      <x:c r="D212" s="384" t="str">
        <x:f>IFERROR(INDEX(tblLedger[Mapping Status],ROWS($A$202:A212)),"")</x:f>
        <x:v>Unique</x:v>
      </x:c>
      <x:c r="E212" s="384" t="str">
        <x:f>IF(A212="","",IF(D212="MAPPING_HOLD","QUARANTINED",IF(COUNTIF(tblServiceEvents[Event #],C212)=1,"Yes","No")))</x:f>
        <x:v>Yes</x:v>
      </x:c>
      <x:c r="F212" s="384" t="str">
        <x:f>IF(A212="","",IF(E212&lt;&gt;"Yes","N/A",IF(INDEX(tblServiceEvents[Client ID],MATCH(C212,tblServiceEvents[Event #],0))=INDEX(tblLedger[Client ID],ROWS($A$202:A212)),"Yes","No")))</x:f>
        <x:v>Yes</x:v>
      </x:c>
      <x:c r="G212" s="384" t="str">
        <x:f>IF(A212="","",IF(E212&lt;&gt;"Yes","N/A",IF(INDEX(tblServiceEvents[Location Key],MATCH(C212,tblServiceEvents[Event #],0))=INDEX(tblLedger[Location Key],ROWS($A$202:A212)),"Yes","No")))</x:f>
        <x:v>Yes</x:v>
      </x:c>
      <x:c r="H212" s="384" t="str">
        <x:f>IF(A212="","",IF(E212&lt;&gt;"Yes","N/A",IF(INDEX(tblServiceEvents[Service Date],MATCH(C212,tblServiceEvents[Event #],0))=INDEX(tblLedger[Service Date],ROWS($A$202:A212)),"Yes","No")))</x:f>
        <x:v>Yes</x:v>
      </x:c>
      <x:c r="I212" s="384" t="str">
        <x:f>IF(A212="","",IF(E212&lt;&gt;"Yes","N/A",IF(D212="MULTI-WO VISIT","Yes",IF(B212=INDEX(tblServiceEvents[Work Orders],MATCH(C212,tblServiceEvents[Event #],0)),"Yes","No"))))</x:f>
        <x:v>Yes</x:v>
      </x:c>
      <x:c r="J212" s="384" t="str">
        <x:f>IF(A212="","",IF(D212="MAPPING_HOLD","QUARANTINED",IF(AND(E212="Yes",F212="Yes",G212="Yes",H212="Yes",I212="Yes"),"PASS","FAIL")))</x:f>
        <x:v>PASS</x:v>
      </x:c>
      <x:c r="K212"/>
      <x:c r="L212"/>
      <x:c r="M212"/>
      <x:c r="N212"/>
      <x:c r="O212"/>
      <x:c r="P212"/>
      <x:c r="Q212"/>
      <x:c r="R212"/>
      <x:c r="S212"/>
      <x:c r="T212"/>
      <x:c r="U212"/>
      <x:c r="V212"/>
      <x:c r="X212"/>
      <x:c r="Y212"/>
      <x:c r="Z212"/>
      <x:c r="AA212"/>
      <x:c r="AB212"/>
      <x:c r="AC212"/>
      <x:c r="AD212"/>
      <x:c r="AE212"/>
      <x:c r="AF212"/>
      <x:c r="AG212"/>
      <x:c r="AH212"/>
      <x:c r="AI212"/>
      <x:c r="AJ212"/>
      <x:c r="AK212"/>
      <x:c r="AL212"/>
      <x:c r="AM212"/>
      <x:c r="AN212"/>
      <x:c r="AO212"/>
      <x:c r="AP212"/>
      <x:c r="AQ212"/>
      <x:c r="AR212"/>
      <x:c r="AS212"/>
    </x:row>
    <x:row r="213" ht="15" hidden="0" customHeight="1">
      <x:c r="A213" s="384" t="str">
        <x:f>IFERROR(INDEX(tblLedger[Ledger Record ID],ROWS($A$202:A213)),"")</x:f>
        <x:v>LED-0012</x:v>
      </x:c>
      <x:c r="B213" s="384" t="n">
        <x:f>IFERROR(INDEX(tblLedger[Work Order #],ROWS($A$202:A213)),"")</x:f>
        <x:v>5884369</x:v>
      </x:c>
      <x:c r="C213" s="384" t="n">
        <x:f>IFERROR(INDEX(tblLedger[Event #],ROWS($A$202:A213)),"")</x:f>
        <x:v>12</x:v>
      </x:c>
      <x:c r="D213" s="384" t="str">
        <x:f>IFERROR(INDEX(tblLedger[Mapping Status],ROWS($A$202:A213)),"")</x:f>
        <x:v>Unique</x:v>
      </x:c>
      <x:c r="E213" s="384" t="str">
        <x:f>IF(A213="","",IF(D213="MAPPING_HOLD","QUARANTINED",IF(COUNTIF(tblServiceEvents[Event #],C213)=1,"Yes","No")))</x:f>
        <x:v>Yes</x:v>
      </x:c>
      <x:c r="F213" s="384" t="str">
        <x:f>IF(A213="","",IF(E213&lt;&gt;"Yes","N/A",IF(INDEX(tblServiceEvents[Client ID],MATCH(C213,tblServiceEvents[Event #],0))=INDEX(tblLedger[Client ID],ROWS($A$202:A213)),"Yes","No")))</x:f>
        <x:v>Yes</x:v>
      </x:c>
      <x:c r="G213" s="384" t="str">
        <x:f>IF(A213="","",IF(E213&lt;&gt;"Yes","N/A",IF(INDEX(tblServiceEvents[Location Key],MATCH(C213,tblServiceEvents[Event #],0))=INDEX(tblLedger[Location Key],ROWS($A$202:A213)),"Yes","No")))</x:f>
        <x:v>Yes</x:v>
      </x:c>
      <x:c r="H213" s="384" t="str">
        <x:f>IF(A213="","",IF(E213&lt;&gt;"Yes","N/A",IF(INDEX(tblServiceEvents[Service Date],MATCH(C213,tblServiceEvents[Event #],0))=INDEX(tblLedger[Service Date],ROWS($A$202:A213)),"Yes","No")))</x:f>
        <x:v>Yes</x:v>
      </x:c>
      <x:c r="I213" s="384" t="str">
        <x:f>IF(A213="","",IF(E213&lt;&gt;"Yes","N/A",IF(D213="MULTI-WO VISIT","Yes",IF(B213=INDEX(tblServiceEvents[Work Orders],MATCH(C213,tblServiceEvents[Event #],0)),"Yes","No"))))</x:f>
        <x:v>Yes</x:v>
      </x:c>
      <x:c r="J213" s="384" t="str">
        <x:f>IF(A213="","",IF(D213="MAPPING_HOLD","QUARANTINED",IF(AND(E213="Yes",F213="Yes",G213="Yes",H213="Yes",I213="Yes"),"PASS","FAIL")))</x:f>
        <x:v>PASS</x:v>
      </x:c>
      <x:c r="K213"/>
      <x:c r="L213"/>
      <x:c r="M213"/>
      <x:c r="N213"/>
      <x:c r="O213"/>
      <x:c r="P213"/>
      <x:c r="Q213"/>
      <x:c r="R213"/>
      <x:c r="S213"/>
      <x:c r="T213"/>
      <x:c r="U213"/>
      <x:c r="V213"/>
      <x:c r="X213"/>
      <x:c r="Y213"/>
      <x:c r="Z213"/>
      <x:c r="AA213"/>
      <x:c r="AB213"/>
      <x:c r="AC213"/>
      <x:c r="AD213"/>
      <x:c r="AE213"/>
      <x:c r="AF213"/>
      <x:c r="AG213"/>
      <x:c r="AH213"/>
      <x:c r="AI213"/>
      <x:c r="AJ213"/>
      <x:c r="AK213"/>
      <x:c r="AL213"/>
      <x:c r="AM213"/>
      <x:c r="AN213"/>
      <x:c r="AO213"/>
      <x:c r="AP213"/>
      <x:c r="AQ213"/>
      <x:c r="AR213"/>
      <x:c r="AS213"/>
    </x:row>
    <x:row r="214" ht="15" hidden="0" customHeight="1">
      <x:c r="A214" s="384" t="str">
        <x:f>IFERROR(INDEX(tblLedger[Ledger Record ID],ROWS($A$202:A214)),"")</x:f>
        <x:v>LED-0013</x:v>
      </x:c>
      <x:c r="B214" s="384" t="n">
        <x:f>IFERROR(INDEX(tblLedger[Work Order #],ROWS($A$202:A214)),"")</x:f>
        <x:v>5885429</x:v>
      </x:c>
      <x:c r="C214" s="384" t="n">
        <x:f>IFERROR(INDEX(tblLedger[Event #],ROWS($A$202:A214)),"")</x:f>
        <x:v>13</x:v>
      </x:c>
      <x:c r="D214" s="384" t="str">
        <x:f>IFERROR(INDEX(tblLedger[Mapping Status],ROWS($A$202:A214)),"")</x:f>
        <x:v>Unique</x:v>
      </x:c>
      <x:c r="E214" s="384" t="str">
        <x:f>IF(A214="","",IF(D214="MAPPING_HOLD","QUARANTINED",IF(COUNTIF(tblServiceEvents[Event #],C214)=1,"Yes","No")))</x:f>
        <x:v>Yes</x:v>
      </x:c>
      <x:c r="F214" s="384" t="str">
        <x:f>IF(A214="","",IF(E214&lt;&gt;"Yes","N/A",IF(INDEX(tblServiceEvents[Client ID],MATCH(C214,tblServiceEvents[Event #],0))=INDEX(tblLedger[Client ID],ROWS($A$202:A214)),"Yes","No")))</x:f>
        <x:v>Yes</x:v>
      </x:c>
      <x:c r="G214" s="384" t="str">
        <x:f>IF(A214="","",IF(E214&lt;&gt;"Yes","N/A",IF(INDEX(tblServiceEvents[Location Key],MATCH(C214,tblServiceEvents[Event #],0))=INDEX(tblLedger[Location Key],ROWS($A$202:A214)),"Yes","No")))</x:f>
        <x:v>Yes</x:v>
      </x:c>
      <x:c r="H214" s="384" t="str">
        <x:f>IF(A214="","",IF(E214&lt;&gt;"Yes","N/A",IF(INDEX(tblServiceEvents[Service Date],MATCH(C214,tblServiceEvents[Event #],0))=INDEX(tblLedger[Service Date],ROWS($A$202:A214)),"Yes","No")))</x:f>
        <x:v>Yes</x:v>
      </x:c>
      <x:c r="I214" s="384" t="str">
        <x:f>IF(A214="","",IF(E214&lt;&gt;"Yes","N/A",IF(D214="MULTI-WO VISIT","Yes",IF(B214=INDEX(tblServiceEvents[Work Orders],MATCH(C214,tblServiceEvents[Event #],0)),"Yes","No"))))</x:f>
        <x:v>Yes</x:v>
      </x:c>
      <x:c r="J214" s="384" t="str">
        <x:f>IF(A214="","",IF(D214="MAPPING_HOLD","QUARANTINED",IF(AND(E214="Yes",F214="Yes",G214="Yes",H214="Yes",I214="Yes"),"PASS","FAIL")))</x:f>
        <x:v>PASS</x:v>
      </x:c>
      <x:c r="K214"/>
      <x:c r="L214"/>
      <x:c r="M214"/>
      <x:c r="N214"/>
      <x:c r="O214"/>
      <x:c r="P214"/>
      <x:c r="Q214"/>
      <x:c r="R214"/>
      <x:c r="S214"/>
      <x:c r="T214"/>
      <x:c r="U214"/>
      <x:c r="V214"/>
      <x:c r="X214"/>
      <x:c r="Y214"/>
      <x:c r="Z214"/>
      <x:c r="AA214"/>
      <x:c r="AB214"/>
      <x:c r="AC214"/>
      <x:c r="AD214"/>
      <x:c r="AE214"/>
      <x:c r="AF214"/>
      <x:c r="AG214"/>
      <x:c r="AH214"/>
      <x:c r="AI214"/>
      <x:c r="AJ214"/>
      <x:c r="AK214"/>
      <x:c r="AL214"/>
      <x:c r="AM214"/>
      <x:c r="AN214"/>
      <x:c r="AO214"/>
      <x:c r="AP214"/>
      <x:c r="AQ214"/>
      <x:c r="AR214"/>
      <x:c r="AS214"/>
    </x:row>
    <x:row r="215" ht="15" hidden="0" customHeight="1">
      <x:c r="A215" s="384" t="str">
        <x:f>IFERROR(INDEX(tblLedger[Ledger Record ID],ROWS($A$202:A215)),"")</x:f>
        <x:v>LED-0014</x:v>
      </x:c>
      <x:c r="B215" s="384" t="str">
        <x:f>IFERROR(INDEX(tblLedger[Work Order #],ROWS($A$202:A215)),"")</x:f>
        <x:v>UNRESOLVED-E014</x:v>
      </x:c>
      <x:c r="C215" s="384" t="n">
        <x:f>IFERROR(INDEX(tblLedger[Event #],ROWS($A$202:A215)),"")</x:f>
        <x:v>14</x:v>
      </x:c>
      <x:c r="D215" s="384" t="str">
        <x:f>IFERROR(INDEX(tblLedger[Mapping Status],ROWS($A$202:A215)),"")</x:f>
        <x:v>Unique</x:v>
      </x:c>
      <x:c r="E215" s="384" t="str">
        <x:f>IF(A215="","",IF(D215="MAPPING_HOLD","QUARANTINED",IF(COUNTIF(tblServiceEvents[Event #],C215)=1,"Yes","No")))</x:f>
        <x:v>Yes</x:v>
      </x:c>
      <x:c r="F215" s="384" t="str">
        <x:f>IF(A215="","",IF(E215&lt;&gt;"Yes","N/A",IF(INDEX(tblServiceEvents[Client ID],MATCH(C215,tblServiceEvents[Event #],0))=INDEX(tblLedger[Client ID],ROWS($A$202:A215)),"Yes","No")))</x:f>
        <x:v>Yes</x:v>
      </x:c>
      <x:c r="G215" s="384" t="str">
        <x:f>IF(A215="","",IF(E215&lt;&gt;"Yes","N/A",IF(INDEX(tblServiceEvents[Location Key],MATCH(C215,tblServiceEvents[Event #],0))=INDEX(tblLedger[Location Key],ROWS($A$202:A215)),"Yes","No")))</x:f>
        <x:v>Yes</x:v>
      </x:c>
      <x:c r="H215" s="384" t="str">
        <x:f>IF(A215="","",IF(E215&lt;&gt;"Yes","N/A",IF(INDEX(tblServiceEvents[Service Date],MATCH(C215,tblServiceEvents[Event #],0))=INDEX(tblLedger[Service Date],ROWS($A$202:A215)),"Yes","No")))</x:f>
        <x:v>Yes</x:v>
      </x:c>
      <x:c r="I215" s="384" t="str">
        <x:f>IF(A215="","",IF(E215&lt;&gt;"Yes","N/A",IF(D215="MULTI-WO VISIT","Yes",IF(B215=INDEX(tblServiceEvents[Work Orders],MATCH(C215,tblServiceEvents[Event #],0)),"Yes","No"))))</x:f>
        <x:v>Yes</x:v>
      </x:c>
      <x:c r="J215" s="384" t="str">
        <x:f>IF(A215="","",IF(D215="MAPPING_HOLD","QUARANTINED",IF(AND(E215="Yes",F215="Yes",G215="Yes",H215="Yes",I215="Yes"),"PASS","FAIL")))</x:f>
        <x:v>PASS</x:v>
      </x:c>
      <x:c r="K215"/>
      <x:c r="L215"/>
      <x:c r="M215"/>
      <x:c r="N215"/>
      <x:c r="O215"/>
      <x:c r="P215"/>
      <x:c r="Q215"/>
      <x:c r="R215"/>
      <x:c r="S215"/>
      <x:c r="T215"/>
      <x:c r="U215"/>
      <x:c r="V215"/>
      <x:c r="X215"/>
      <x:c r="Y215"/>
      <x:c r="Z215"/>
      <x:c r="AA215"/>
      <x:c r="AB215"/>
      <x:c r="AC215"/>
      <x:c r="AD215"/>
      <x:c r="AE215"/>
      <x:c r="AF215"/>
      <x:c r="AG215"/>
      <x:c r="AH215"/>
      <x:c r="AI215"/>
      <x:c r="AJ215"/>
      <x:c r="AK215"/>
      <x:c r="AL215"/>
      <x:c r="AM215"/>
      <x:c r="AN215"/>
      <x:c r="AO215"/>
      <x:c r="AP215"/>
      <x:c r="AQ215"/>
      <x:c r="AR215"/>
      <x:c r="AS215"/>
    </x:row>
    <x:row r="216" ht="15" hidden="0" customHeight="1">
      <x:c r="A216" s="384" t="str">
        <x:f>IFERROR(INDEX(tblLedger[Ledger Record ID],ROWS($A$202:A216)),"")</x:f>
        <x:v>LED-0015</x:v>
      </x:c>
      <x:c r="B216" s="384" t="n">
        <x:f>IFERROR(INDEX(tblLedger[Work Order #],ROWS($A$202:A216)),"")</x:f>
        <x:v>5886658</x:v>
      </x:c>
      <x:c r="C216" s="384" t="n">
        <x:f>IFERROR(INDEX(tblLedger[Event #],ROWS($A$202:A216)),"")</x:f>
        <x:v>15</x:v>
      </x:c>
      <x:c r="D216" s="384" t="str">
        <x:f>IFERROR(INDEX(tblLedger[Mapping Status],ROWS($A$202:A216)),"")</x:f>
        <x:v>Unique</x:v>
      </x:c>
      <x:c r="E216" s="384" t="str">
        <x:f>IF(A216="","",IF(D216="MAPPING_HOLD","QUARANTINED",IF(COUNTIF(tblServiceEvents[Event #],C216)=1,"Yes","No")))</x:f>
        <x:v>Yes</x:v>
      </x:c>
      <x:c r="F216" s="384" t="str">
        <x:f>IF(A216="","",IF(E216&lt;&gt;"Yes","N/A",IF(INDEX(tblServiceEvents[Client ID],MATCH(C216,tblServiceEvents[Event #],0))=INDEX(tblLedger[Client ID],ROWS($A$202:A216)),"Yes","No")))</x:f>
        <x:v>Yes</x:v>
      </x:c>
      <x:c r="G216" s="384" t="str">
        <x:f>IF(A216="","",IF(E216&lt;&gt;"Yes","N/A",IF(INDEX(tblServiceEvents[Location Key],MATCH(C216,tblServiceEvents[Event #],0))=INDEX(tblLedger[Location Key],ROWS($A$202:A216)),"Yes","No")))</x:f>
        <x:v>Yes</x:v>
      </x:c>
      <x:c r="H216" s="384" t="str">
        <x:f>IF(A216="","",IF(E216&lt;&gt;"Yes","N/A",IF(INDEX(tblServiceEvents[Service Date],MATCH(C216,tblServiceEvents[Event #],0))=INDEX(tblLedger[Service Date],ROWS($A$202:A216)),"Yes","No")))</x:f>
        <x:v>Yes</x:v>
      </x:c>
      <x:c r="I216" s="384" t="str">
        <x:f>IF(A216="","",IF(E216&lt;&gt;"Yes","N/A",IF(D216="MULTI-WO VISIT","Yes",IF(B216=INDEX(tblServiceEvents[Work Orders],MATCH(C216,tblServiceEvents[Event #],0)),"Yes","No"))))</x:f>
        <x:v>Yes</x:v>
      </x:c>
      <x:c r="J216" s="384" t="str">
        <x:f>IF(A216="","",IF(D216="MAPPING_HOLD","QUARANTINED",IF(AND(E216="Yes",F216="Yes",G216="Yes",H216="Yes",I216="Yes"),"PASS","FAIL")))</x:f>
        <x:v>PASS</x:v>
      </x:c>
      <x:c r="K216"/>
      <x:c r="L216"/>
      <x:c r="M216"/>
      <x:c r="N216"/>
      <x:c r="O216"/>
      <x:c r="P216"/>
      <x:c r="Q216"/>
      <x:c r="R216"/>
      <x:c r="S216"/>
      <x:c r="T216"/>
      <x:c r="U216"/>
      <x:c r="V216"/>
      <x:c r="X216"/>
      <x:c r="Y216"/>
      <x:c r="Z216"/>
      <x:c r="AA216"/>
      <x:c r="AB216"/>
      <x:c r="AC216"/>
      <x:c r="AD216"/>
      <x:c r="AE216"/>
      <x:c r="AF216"/>
      <x:c r="AG216"/>
      <x:c r="AH216"/>
      <x:c r="AI216"/>
      <x:c r="AJ216"/>
      <x:c r="AK216"/>
      <x:c r="AL216"/>
      <x:c r="AM216"/>
      <x:c r="AN216"/>
      <x:c r="AO216"/>
      <x:c r="AP216"/>
      <x:c r="AQ216"/>
      <x:c r="AR216"/>
      <x:c r="AS216"/>
    </x:row>
    <x:row r="217" ht="15" hidden="0" customHeight="1">
      <x:c r="A217" s="384" t="str">
        <x:f>IFERROR(INDEX(tblLedger[Ledger Record ID],ROWS($A$202:A217)),"")</x:f>
        <x:v>LED-0016</x:v>
      </x:c>
      <x:c r="B217" s="384" t="n">
        <x:f>IFERROR(INDEX(tblLedger[Work Order #],ROWS($A$202:A217)),"")</x:f>
        <x:v>5887090</x:v>
      </x:c>
      <x:c r="C217" s="384" t="n">
        <x:f>IFERROR(INDEX(tblLedger[Event #],ROWS($A$202:A217)),"")</x:f>
        <x:v>16</x:v>
      </x:c>
      <x:c r="D217" s="384" t="str">
        <x:f>IFERROR(INDEX(tblLedger[Mapping Status],ROWS($A$202:A217)),"")</x:f>
        <x:v>Unique</x:v>
      </x:c>
      <x:c r="E217" s="384" t="str">
        <x:f>IF(A217="","",IF(D217="MAPPING_HOLD","QUARANTINED",IF(COUNTIF(tblServiceEvents[Event #],C217)=1,"Yes","No")))</x:f>
        <x:v>Yes</x:v>
      </x:c>
      <x:c r="F217" s="384" t="str">
        <x:f>IF(A217="","",IF(E217&lt;&gt;"Yes","N/A",IF(INDEX(tblServiceEvents[Client ID],MATCH(C217,tblServiceEvents[Event #],0))=INDEX(tblLedger[Client ID],ROWS($A$202:A217)),"Yes","No")))</x:f>
        <x:v>Yes</x:v>
      </x:c>
      <x:c r="G217" s="384" t="str">
        <x:f>IF(A217="","",IF(E217&lt;&gt;"Yes","N/A",IF(INDEX(tblServiceEvents[Location Key],MATCH(C217,tblServiceEvents[Event #],0))=INDEX(tblLedger[Location Key],ROWS($A$202:A217)),"Yes","No")))</x:f>
        <x:v>Yes</x:v>
      </x:c>
      <x:c r="H217" s="384" t="str">
        <x:f>IF(A217="","",IF(E217&lt;&gt;"Yes","N/A",IF(INDEX(tblServiceEvents[Service Date],MATCH(C217,tblServiceEvents[Event #],0))=INDEX(tblLedger[Service Date],ROWS($A$202:A217)),"Yes","No")))</x:f>
        <x:v>Yes</x:v>
      </x:c>
      <x:c r="I217" s="384" t="str">
        <x:f>IF(A217="","",IF(E217&lt;&gt;"Yes","N/A",IF(D217="MULTI-WO VISIT","Yes",IF(B217=INDEX(tblServiceEvents[Work Orders],MATCH(C217,tblServiceEvents[Event #],0)),"Yes","No"))))</x:f>
        <x:v>Yes</x:v>
      </x:c>
      <x:c r="J217" s="384" t="str">
        <x:f>IF(A217="","",IF(D217="MAPPING_HOLD","QUARANTINED",IF(AND(E217="Yes",F217="Yes",G217="Yes",H217="Yes",I217="Yes"),"PASS","FAIL")))</x:f>
        <x:v>PASS</x:v>
      </x:c>
      <x:c r="K217"/>
      <x:c r="L217"/>
      <x:c r="M217"/>
      <x:c r="N217"/>
      <x:c r="O217"/>
      <x:c r="P217"/>
      <x:c r="Q217"/>
      <x:c r="R217"/>
      <x:c r="S217"/>
      <x:c r="T217"/>
      <x:c r="U217"/>
      <x:c r="V217"/>
      <x:c r="X217"/>
      <x:c r="Y217"/>
      <x:c r="Z217"/>
      <x:c r="AA217"/>
      <x:c r="AB217"/>
      <x:c r="AC217"/>
      <x:c r="AD217"/>
      <x:c r="AE217"/>
      <x:c r="AF217"/>
      <x:c r="AG217"/>
      <x:c r="AH217"/>
      <x:c r="AI217"/>
      <x:c r="AJ217"/>
      <x:c r="AK217"/>
      <x:c r="AL217"/>
      <x:c r="AM217"/>
      <x:c r="AN217"/>
      <x:c r="AO217"/>
      <x:c r="AP217"/>
      <x:c r="AQ217"/>
      <x:c r="AR217"/>
      <x:c r="AS217"/>
    </x:row>
    <x:row r="218" ht="15" hidden="0" customHeight="1">
      <x:c r="A218" s="384" t="str">
        <x:f>IFERROR(INDEX(tblLedger[Ledger Record ID],ROWS($A$202:A218)),"")</x:f>
        <x:v>LED-0017</x:v>
      </x:c>
      <x:c r="B218" s="384" t="n">
        <x:f>IFERROR(INDEX(tblLedger[Work Order #],ROWS($A$202:A218)),"")</x:f>
        <x:v>5887094</x:v>
      </x:c>
      <x:c r="C218" s="384" t="n">
        <x:f>IFERROR(INDEX(tblLedger[Event #],ROWS($A$202:A218)),"")</x:f>
        <x:v>17</x:v>
      </x:c>
      <x:c r="D218" s="384" t="str">
        <x:f>IFERROR(INDEX(tblLedger[Mapping Status],ROWS($A$202:A218)),"")</x:f>
        <x:v>Unique</x:v>
      </x:c>
      <x:c r="E218" s="384" t="str">
        <x:f>IF(A218="","",IF(D218="MAPPING_HOLD","QUARANTINED",IF(COUNTIF(tblServiceEvents[Event #],C218)=1,"Yes","No")))</x:f>
        <x:v>Yes</x:v>
      </x:c>
      <x:c r="F218" s="384" t="str">
        <x:f>IF(A218="","",IF(E218&lt;&gt;"Yes","N/A",IF(INDEX(tblServiceEvents[Client ID],MATCH(C218,tblServiceEvents[Event #],0))=INDEX(tblLedger[Client ID],ROWS($A$202:A218)),"Yes","No")))</x:f>
        <x:v>Yes</x:v>
      </x:c>
      <x:c r="G218" s="384" t="str">
        <x:f>IF(A218="","",IF(E218&lt;&gt;"Yes","N/A",IF(INDEX(tblServiceEvents[Location Key],MATCH(C218,tblServiceEvents[Event #],0))=INDEX(tblLedger[Location Key],ROWS($A$202:A218)),"Yes","No")))</x:f>
        <x:v>Yes</x:v>
      </x:c>
      <x:c r="H218" s="384" t="str">
        <x:f>IF(A218="","",IF(E218&lt;&gt;"Yes","N/A",IF(INDEX(tblServiceEvents[Service Date],MATCH(C218,tblServiceEvents[Event #],0))=INDEX(tblLedger[Service Date],ROWS($A$202:A218)),"Yes","No")))</x:f>
        <x:v>Yes</x:v>
      </x:c>
      <x:c r="I218" s="384" t="str">
        <x:f>IF(A218="","",IF(E218&lt;&gt;"Yes","N/A",IF(D218="MULTI-WO VISIT","Yes",IF(B218=INDEX(tblServiceEvents[Work Orders],MATCH(C218,tblServiceEvents[Event #],0)),"Yes","No"))))</x:f>
        <x:v>Yes</x:v>
      </x:c>
      <x:c r="J218" s="384" t="str">
        <x:f>IF(A218="","",IF(D218="MAPPING_HOLD","QUARANTINED",IF(AND(E218="Yes",F218="Yes",G218="Yes",H218="Yes",I218="Yes"),"PASS","FAIL")))</x:f>
        <x:v>PASS</x:v>
      </x:c>
      <x:c r="K218"/>
      <x:c r="L218"/>
      <x:c r="M218"/>
      <x:c r="N218"/>
      <x:c r="O218"/>
      <x:c r="P218"/>
      <x:c r="Q218"/>
      <x:c r="R218"/>
      <x:c r="S218"/>
      <x:c r="T218"/>
      <x:c r="U218"/>
      <x:c r="V218"/>
      <x:c r="X218"/>
      <x:c r="Y218"/>
      <x:c r="Z218"/>
      <x:c r="AA218"/>
      <x:c r="AB218"/>
      <x:c r="AC218"/>
      <x:c r="AD218"/>
      <x:c r="AE218"/>
      <x:c r="AF218"/>
      <x:c r="AG218"/>
      <x:c r="AH218"/>
      <x:c r="AI218"/>
      <x:c r="AJ218"/>
      <x:c r="AK218"/>
      <x:c r="AL218"/>
      <x:c r="AM218"/>
      <x:c r="AN218"/>
      <x:c r="AO218"/>
      <x:c r="AP218"/>
      <x:c r="AQ218"/>
      <x:c r="AR218"/>
      <x:c r="AS218"/>
    </x:row>
    <x:row r="219" ht="15" hidden="0" customHeight="1">
      <x:c r="A219" s="384" t="str">
        <x:f>IFERROR(INDEX(tblLedger[Ledger Record ID],ROWS($A$202:A219)),"")</x:f>
        <x:v>LED-0018</x:v>
      </x:c>
      <x:c r="B219" s="384" t="n">
        <x:f>IFERROR(INDEX(tblLedger[Work Order #],ROWS($A$202:A219)),"")</x:f>
        <x:v>5889356</x:v>
      </x:c>
      <x:c r="C219" s="384" t="n">
        <x:f>IFERROR(INDEX(tblLedger[Event #],ROWS($A$202:A219)),"")</x:f>
        <x:v>18</x:v>
      </x:c>
      <x:c r="D219" s="384" t="str">
        <x:f>IFERROR(INDEX(tblLedger[Mapping Status],ROWS($A$202:A219)),"")</x:f>
        <x:v>Unique</x:v>
      </x:c>
      <x:c r="E219" s="384" t="str">
        <x:f>IF(A219="","",IF(D219="MAPPING_HOLD","QUARANTINED",IF(COUNTIF(tblServiceEvents[Event #],C219)=1,"Yes","No")))</x:f>
        <x:v>Yes</x:v>
      </x:c>
      <x:c r="F219" s="384" t="str">
        <x:f>IF(A219="","",IF(E219&lt;&gt;"Yes","N/A",IF(INDEX(tblServiceEvents[Client ID],MATCH(C219,tblServiceEvents[Event #],0))=INDEX(tblLedger[Client ID],ROWS($A$202:A219)),"Yes","No")))</x:f>
        <x:v>Yes</x:v>
      </x:c>
      <x:c r="G219" s="384" t="str">
        <x:f>IF(A219="","",IF(E219&lt;&gt;"Yes","N/A",IF(INDEX(tblServiceEvents[Location Key],MATCH(C219,tblServiceEvents[Event #],0))=INDEX(tblLedger[Location Key],ROWS($A$202:A219)),"Yes","No")))</x:f>
        <x:v>Yes</x:v>
      </x:c>
      <x:c r="H219" s="384" t="str">
        <x:f>IF(A219="","",IF(E219&lt;&gt;"Yes","N/A",IF(INDEX(tblServiceEvents[Service Date],MATCH(C219,tblServiceEvents[Event #],0))=INDEX(tblLedger[Service Date],ROWS($A$202:A219)),"Yes","No")))</x:f>
        <x:v>Yes</x:v>
      </x:c>
      <x:c r="I219" s="384" t="str">
        <x:f>IF(A219="","",IF(E219&lt;&gt;"Yes","N/A",IF(D219="MULTI-WO VISIT","Yes",IF(B219=INDEX(tblServiceEvents[Work Orders],MATCH(C219,tblServiceEvents[Event #],0)),"Yes","No"))))</x:f>
        <x:v>Yes</x:v>
      </x:c>
      <x:c r="J219" s="384" t="str">
        <x:f>IF(A219="","",IF(D219="MAPPING_HOLD","QUARANTINED",IF(AND(E219="Yes",F219="Yes",G219="Yes",H219="Yes",I219="Yes"),"PASS","FAIL")))</x:f>
        <x:v>PASS</x:v>
      </x:c>
      <x:c r="K219"/>
      <x:c r="L219"/>
      <x:c r="M219"/>
      <x:c r="N219"/>
      <x:c r="O219"/>
      <x:c r="P219"/>
      <x:c r="Q219"/>
      <x:c r="R219"/>
      <x:c r="S219"/>
      <x:c r="T219"/>
      <x:c r="U219"/>
      <x:c r="V219"/>
      <x:c r="X219"/>
      <x:c r="Y219"/>
      <x:c r="Z219"/>
      <x:c r="AA219"/>
      <x:c r="AB219"/>
      <x:c r="AC219"/>
      <x:c r="AD219"/>
      <x:c r="AE219"/>
      <x:c r="AF219"/>
      <x:c r="AG219"/>
      <x:c r="AH219"/>
      <x:c r="AI219"/>
      <x:c r="AJ219"/>
      <x:c r="AK219"/>
      <x:c r="AL219"/>
      <x:c r="AM219"/>
      <x:c r="AN219"/>
      <x:c r="AO219"/>
      <x:c r="AP219"/>
      <x:c r="AQ219"/>
      <x:c r="AR219"/>
      <x:c r="AS219"/>
    </x:row>
    <x:row r="220" ht="15" hidden="0" customHeight="1">
      <x:c r="A220" s="384" t="str">
        <x:f>IFERROR(INDEX(tblLedger[Ledger Record ID],ROWS($A$202:A220)),"")</x:f>
        <x:v>LED-0019</x:v>
      </x:c>
      <x:c r="B220" s="384" t="str">
        <x:f>IFERROR(INDEX(tblLedger[Work Order #],ROWS($A$202:A220)),"")</x:f>
        <x:v>5889356-D2</x:v>
      </x:c>
      <x:c r="C220" s="384" t="n">
        <x:f>IFERROR(INDEX(tblLedger[Event #],ROWS($A$202:A220)),"")</x:f>
        <x:v>19</x:v>
      </x:c>
      <x:c r="D220" s="384" t="str">
        <x:f>IFERROR(INDEX(tblLedger[Mapping Status],ROWS($A$202:A220)),"")</x:f>
        <x:v>Unique</x:v>
      </x:c>
      <x:c r="E220" s="384" t="str">
        <x:f>IF(A220="","",IF(D220="MAPPING_HOLD","QUARANTINED",IF(COUNTIF(tblServiceEvents[Event #],C220)=1,"Yes","No")))</x:f>
        <x:v>Yes</x:v>
      </x:c>
      <x:c r="F220" s="384" t="str">
        <x:f>IF(A220="","",IF(E220&lt;&gt;"Yes","N/A",IF(INDEX(tblServiceEvents[Client ID],MATCH(C220,tblServiceEvents[Event #],0))=INDEX(tblLedger[Client ID],ROWS($A$202:A220)),"Yes","No")))</x:f>
        <x:v>Yes</x:v>
      </x:c>
      <x:c r="G220" s="384" t="str">
        <x:f>IF(A220="","",IF(E220&lt;&gt;"Yes","N/A",IF(INDEX(tblServiceEvents[Location Key],MATCH(C220,tblServiceEvents[Event #],0))=INDEX(tblLedger[Location Key],ROWS($A$202:A220)),"Yes","No")))</x:f>
        <x:v>Yes</x:v>
      </x:c>
      <x:c r="H220" s="384" t="str">
        <x:f>IF(A220="","",IF(E220&lt;&gt;"Yes","N/A",IF(INDEX(tblServiceEvents[Service Date],MATCH(C220,tblServiceEvents[Event #],0))=INDEX(tblLedger[Service Date],ROWS($A$202:A220)),"Yes","No")))</x:f>
        <x:v>Yes</x:v>
      </x:c>
      <x:c r="I220" s="384" t="str">
        <x:f>IF(A220="","",IF(E220&lt;&gt;"Yes","N/A",IF(D220="MULTI-WO VISIT","Yes",IF(B220=INDEX(tblServiceEvents[Work Orders],MATCH(C220,tblServiceEvents[Event #],0)),"Yes","No"))))</x:f>
        <x:v>Yes</x:v>
      </x:c>
      <x:c r="J220" s="384" t="str">
        <x:f>IF(A220="","",IF(D220="MAPPING_HOLD","QUARANTINED",IF(AND(E220="Yes",F220="Yes",G220="Yes",H220="Yes",I220="Yes"),"PASS","FAIL")))</x:f>
        <x:v>PASS</x:v>
      </x:c>
      <x:c r="K220"/>
      <x:c r="L220"/>
      <x:c r="M220"/>
      <x:c r="N220"/>
      <x:c r="O220"/>
      <x:c r="P220"/>
      <x:c r="Q220"/>
      <x:c r="R220"/>
      <x:c r="S220"/>
      <x:c r="T220"/>
      <x:c r="U220"/>
      <x:c r="V220"/>
      <x:c r="X220"/>
      <x:c r="Y220"/>
      <x:c r="Z220"/>
      <x:c r="AA220"/>
      <x:c r="AB220"/>
      <x:c r="AC220"/>
      <x:c r="AD220"/>
      <x:c r="AE220"/>
      <x:c r="AF220"/>
      <x:c r="AG220"/>
      <x:c r="AH220"/>
      <x:c r="AI220"/>
      <x:c r="AJ220"/>
      <x:c r="AK220"/>
      <x:c r="AL220"/>
      <x:c r="AM220"/>
      <x:c r="AN220"/>
      <x:c r="AO220"/>
      <x:c r="AP220"/>
      <x:c r="AQ220"/>
      <x:c r="AR220"/>
      <x:c r="AS220"/>
    </x:row>
    <x:row r="221" ht="15" hidden="0" customHeight="1">
      <x:c r="A221" s="384" t="str">
        <x:f>IFERROR(INDEX(tblLedger[Ledger Record ID],ROWS($A$202:A221)),"")</x:f>
        <x:v>LED-0020</x:v>
      </x:c>
      <x:c r="B221" s="384" t="n">
        <x:f>IFERROR(INDEX(tblLedger[Work Order #],ROWS($A$202:A221)),"")</x:f>
        <x:v>5890220</x:v>
      </x:c>
      <x:c r="C221" s="384" t="n">
        <x:f>IFERROR(INDEX(tblLedger[Event #],ROWS($A$202:A221)),"")</x:f>
        <x:v>20</x:v>
      </x:c>
      <x:c r="D221" s="384" t="str">
        <x:f>IFERROR(INDEX(tblLedger[Mapping Status],ROWS($A$202:A221)),"")</x:f>
        <x:v>Unique</x:v>
      </x:c>
      <x:c r="E221" s="384" t="str">
        <x:f>IF(A221="","",IF(D221="MAPPING_HOLD","QUARANTINED",IF(COUNTIF(tblServiceEvents[Event #],C221)=1,"Yes","No")))</x:f>
        <x:v>Yes</x:v>
      </x:c>
      <x:c r="F221" s="384" t="str">
        <x:f>IF(A221="","",IF(E221&lt;&gt;"Yes","N/A",IF(INDEX(tblServiceEvents[Client ID],MATCH(C221,tblServiceEvents[Event #],0))=INDEX(tblLedger[Client ID],ROWS($A$202:A221)),"Yes","No")))</x:f>
        <x:v>Yes</x:v>
      </x:c>
      <x:c r="G221" s="384" t="str">
        <x:f>IF(A221="","",IF(E221&lt;&gt;"Yes","N/A",IF(INDEX(tblServiceEvents[Location Key],MATCH(C221,tblServiceEvents[Event #],0))=INDEX(tblLedger[Location Key],ROWS($A$202:A221)),"Yes","No")))</x:f>
        <x:v>Yes</x:v>
      </x:c>
      <x:c r="H221" s="384" t="str">
        <x:f>IF(A221="","",IF(E221&lt;&gt;"Yes","N/A",IF(INDEX(tblServiceEvents[Service Date],MATCH(C221,tblServiceEvents[Event #],0))=INDEX(tblLedger[Service Date],ROWS($A$202:A221)),"Yes","No")))</x:f>
        <x:v>Yes</x:v>
      </x:c>
      <x:c r="I221" s="384" t="str">
        <x:f>IF(A221="","",IF(E221&lt;&gt;"Yes","N/A",IF(D221="MULTI-WO VISIT","Yes",IF(B221=INDEX(tblServiceEvents[Work Orders],MATCH(C221,tblServiceEvents[Event #],0)),"Yes","No"))))</x:f>
        <x:v>Yes</x:v>
      </x:c>
      <x:c r="J221" s="384" t="str">
        <x:f>IF(A221="","",IF(D221="MAPPING_HOLD","QUARANTINED",IF(AND(E221="Yes",F221="Yes",G221="Yes",H221="Yes",I221="Yes"),"PASS","FAIL")))</x:f>
        <x:v>PASS</x:v>
      </x:c>
      <x:c r="K221"/>
      <x:c r="L221"/>
      <x:c r="M221"/>
      <x:c r="N221"/>
      <x:c r="O221"/>
      <x:c r="P221"/>
      <x:c r="Q221"/>
      <x:c r="R221"/>
      <x:c r="S221"/>
      <x:c r="T221"/>
      <x:c r="U221"/>
      <x:c r="V221"/>
      <x:c r="X221"/>
      <x:c r="Y221"/>
      <x:c r="Z221"/>
      <x:c r="AA221"/>
      <x:c r="AB221"/>
      <x:c r="AC221"/>
      <x:c r="AD221"/>
      <x:c r="AE221"/>
      <x:c r="AF221"/>
      <x:c r="AG221"/>
      <x:c r="AH221"/>
      <x:c r="AI221"/>
      <x:c r="AJ221"/>
      <x:c r="AK221"/>
      <x:c r="AL221"/>
      <x:c r="AM221"/>
      <x:c r="AN221"/>
      <x:c r="AO221"/>
      <x:c r="AP221"/>
      <x:c r="AQ221"/>
      <x:c r="AR221"/>
      <x:c r="AS221"/>
    </x:row>
    <x:row r="222" ht="15" hidden="0" customHeight="1">
      <x:c r="A222" s="384" t="str">
        <x:f>IFERROR(INDEX(tblLedger[Ledger Record ID],ROWS($A$202:A222)),"")</x:f>
        <x:v>LED-0021</x:v>
      </x:c>
      <x:c r="B222" s="384" t="n">
        <x:f>IFERROR(INDEX(tblLedger[Work Order #],ROWS($A$202:A222)),"")</x:f>
        <x:v>5892123</x:v>
      </x:c>
      <x:c r="C222" s="384" t="n">
        <x:f>IFERROR(INDEX(tblLedger[Event #],ROWS($A$202:A222)),"")</x:f>
        <x:v>21</x:v>
      </x:c>
      <x:c r="D222" s="384" t="str">
        <x:f>IFERROR(INDEX(tblLedger[Mapping Status],ROWS($A$202:A222)),"")</x:f>
        <x:v>Unique</x:v>
      </x:c>
      <x:c r="E222" s="384" t="str">
        <x:f>IF(A222="","",IF(D222="MAPPING_HOLD","QUARANTINED",IF(COUNTIF(tblServiceEvents[Event #],C222)=1,"Yes","No")))</x:f>
        <x:v>Yes</x:v>
      </x:c>
      <x:c r="F222" s="384" t="str">
        <x:f>IF(A222="","",IF(E222&lt;&gt;"Yes","N/A",IF(INDEX(tblServiceEvents[Client ID],MATCH(C222,tblServiceEvents[Event #],0))=INDEX(tblLedger[Client ID],ROWS($A$202:A222)),"Yes","No")))</x:f>
        <x:v>Yes</x:v>
      </x:c>
      <x:c r="G222" s="384" t="str">
        <x:f>IF(A222="","",IF(E222&lt;&gt;"Yes","N/A",IF(INDEX(tblServiceEvents[Location Key],MATCH(C222,tblServiceEvents[Event #],0))=INDEX(tblLedger[Location Key],ROWS($A$202:A222)),"Yes","No")))</x:f>
        <x:v>Yes</x:v>
      </x:c>
      <x:c r="H222" s="384" t="str">
        <x:f>IF(A222="","",IF(E222&lt;&gt;"Yes","N/A",IF(INDEX(tblServiceEvents[Service Date],MATCH(C222,tblServiceEvents[Event #],0))=INDEX(tblLedger[Service Date],ROWS($A$202:A222)),"Yes","No")))</x:f>
        <x:v>Yes</x:v>
      </x:c>
      <x:c r="I222" s="384" t="str">
        <x:f>IF(A222="","",IF(E222&lt;&gt;"Yes","N/A",IF(D222="MULTI-WO VISIT","Yes",IF(B222=INDEX(tblServiceEvents[Work Orders],MATCH(C222,tblServiceEvents[Event #],0)),"Yes","No"))))</x:f>
        <x:v>Yes</x:v>
      </x:c>
      <x:c r="J222" s="384" t="str">
        <x:f>IF(A222="","",IF(D222="MAPPING_HOLD","QUARANTINED",IF(AND(E222="Yes",F222="Yes",G222="Yes",H222="Yes",I222="Yes"),"PASS","FAIL")))</x:f>
        <x:v>PASS</x:v>
      </x:c>
      <x:c r="K222"/>
      <x:c r="L222"/>
      <x:c r="M222"/>
      <x:c r="N222"/>
      <x:c r="O222"/>
      <x:c r="P222"/>
      <x:c r="Q222"/>
      <x:c r="R222"/>
      <x:c r="S222"/>
      <x:c r="T222"/>
      <x:c r="U222"/>
      <x:c r="V222"/>
      <x:c r="X222"/>
      <x:c r="Y222"/>
      <x:c r="Z222"/>
      <x:c r="AA222"/>
      <x:c r="AB222"/>
      <x:c r="AC222"/>
      <x:c r="AD222"/>
      <x:c r="AE222"/>
      <x:c r="AF222"/>
      <x:c r="AG222"/>
      <x:c r="AH222"/>
      <x:c r="AI222"/>
      <x:c r="AJ222"/>
      <x:c r="AK222"/>
      <x:c r="AL222"/>
      <x:c r="AM222"/>
      <x:c r="AN222"/>
      <x:c r="AO222"/>
      <x:c r="AP222"/>
      <x:c r="AQ222"/>
      <x:c r="AR222"/>
      <x:c r="AS222"/>
    </x:row>
    <x:row r="223" ht="15" hidden="0" customHeight="1">
      <x:c r="A223" s="384" t="str">
        <x:f>IFERROR(INDEX(tblLedger[Ledger Record ID],ROWS($A$202:A223)),"")</x:f>
        <x:v>LED-0022</x:v>
      </x:c>
      <x:c r="B223" s="384" t="n">
        <x:f>IFERROR(INDEX(tblLedger[Work Order #],ROWS($A$202:A223)),"")</x:f>
        <x:v>5889718</x:v>
      </x:c>
      <x:c r="C223" s="384" t="n">
        <x:f>IFERROR(INDEX(tblLedger[Event #],ROWS($A$202:A223)),"")</x:f>
        <x:v>22</x:v>
      </x:c>
      <x:c r="D223" s="384" t="str">
        <x:f>IFERROR(INDEX(tblLedger[Mapping Status],ROWS($A$202:A223)),"")</x:f>
        <x:v>Unique</x:v>
      </x:c>
      <x:c r="E223" s="384" t="str">
        <x:f>IF(A223="","",IF(D223="MAPPING_HOLD","QUARANTINED",IF(COUNTIF(tblServiceEvents[Event #],C223)=1,"Yes","No")))</x:f>
        <x:v>Yes</x:v>
      </x:c>
      <x:c r="F223" s="384" t="str">
        <x:f>IF(A223="","",IF(E223&lt;&gt;"Yes","N/A",IF(INDEX(tblServiceEvents[Client ID],MATCH(C223,tblServiceEvents[Event #],0))=INDEX(tblLedger[Client ID],ROWS($A$202:A223)),"Yes","No")))</x:f>
        <x:v>Yes</x:v>
      </x:c>
      <x:c r="G223" s="384" t="str">
        <x:f>IF(A223="","",IF(E223&lt;&gt;"Yes","N/A",IF(INDEX(tblServiceEvents[Location Key],MATCH(C223,tblServiceEvents[Event #],0))=INDEX(tblLedger[Location Key],ROWS($A$202:A223)),"Yes","No")))</x:f>
        <x:v>Yes</x:v>
      </x:c>
      <x:c r="H223" s="384" t="str">
        <x:f>IF(A223="","",IF(E223&lt;&gt;"Yes","N/A",IF(INDEX(tblServiceEvents[Service Date],MATCH(C223,tblServiceEvents[Event #],0))=INDEX(tblLedger[Service Date],ROWS($A$202:A223)),"Yes","No")))</x:f>
        <x:v>Yes</x:v>
      </x:c>
      <x:c r="I223" s="384" t="str">
        <x:f>IF(A223="","",IF(E223&lt;&gt;"Yes","N/A",IF(D223="MULTI-WO VISIT","Yes",IF(B223=INDEX(tblServiceEvents[Work Orders],MATCH(C223,tblServiceEvents[Event #],0)),"Yes","No"))))</x:f>
        <x:v>Yes</x:v>
      </x:c>
      <x:c r="J223" s="384" t="str">
        <x:f>IF(A223="","",IF(D223="MAPPING_HOLD","QUARANTINED",IF(AND(E223="Yes",F223="Yes",G223="Yes",H223="Yes",I223="Yes"),"PASS","FAIL")))</x:f>
        <x:v>PASS</x:v>
      </x:c>
      <x:c r="K223"/>
      <x:c r="L223"/>
      <x:c r="M223"/>
      <x:c r="N223"/>
      <x:c r="O223"/>
      <x:c r="P223"/>
      <x:c r="Q223"/>
      <x:c r="R223"/>
      <x:c r="S223"/>
      <x:c r="T223"/>
      <x:c r="U223"/>
      <x:c r="V223"/>
      <x:c r="X223"/>
      <x:c r="Y223"/>
      <x:c r="Z223"/>
      <x:c r="AA223"/>
      <x:c r="AB223"/>
      <x:c r="AC223"/>
      <x:c r="AD223"/>
      <x:c r="AE223"/>
      <x:c r="AF223"/>
      <x:c r="AG223"/>
      <x:c r="AH223"/>
      <x:c r="AI223"/>
      <x:c r="AJ223"/>
      <x:c r="AK223"/>
      <x:c r="AL223"/>
      <x:c r="AM223"/>
      <x:c r="AN223"/>
      <x:c r="AO223"/>
      <x:c r="AP223"/>
      <x:c r="AQ223"/>
      <x:c r="AR223"/>
      <x:c r="AS223"/>
    </x:row>
    <x:row r="224" ht="15" hidden="0" customHeight="1">
      <x:c r="A224" s="384" t="str">
        <x:f>IFERROR(INDEX(tblLedger[Ledger Record ID],ROWS($A$202:A224)),"")</x:f>
        <x:v>LED-0023</x:v>
      </x:c>
      <x:c r="B224" s="384" t="str">
        <x:f>IFERROR(INDEX(tblLedger[Work Order #],ROWS($A$202:A224)),"")</x:f>
        <x:v>UNRESOLVED-E023</x:v>
      </x:c>
      <x:c r="C224" s="384" t="n">
        <x:f>IFERROR(INDEX(tblLedger[Event #],ROWS($A$202:A224)),"")</x:f>
        <x:v>23</x:v>
      </x:c>
      <x:c r="D224" s="384" t="str">
        <x:f>IFERROR(INDEX(tblLedger[Mapping Status],ROWS($A$202:A224)),"")</x:f>
        <x:v>Unique</x:v>
      </x:c>
      <x:c r="E224" s="384" t="str">
        <x:f>IF(A224="","",IF(D224="MAPPING_HOLD","QUARANTINED",IF(COUNTIF(tblServiceEvents[Event #],C224)=1,"Yes","No")))</x:f>
        <x:v>Yes</x:v>
      </x:c>
      <x:c r="F224" s="384" t="str">
        <x:f>IF(A224="","",IF(E224&lt;&gt;"Yes","N/A",IF(INDEX(tblServiceEvents[Client ID],MATCH(C224,tblServiceEvents[Event #],0))=INDEX(tblLedger[Client ID],ROWS($A$202:A224)),"Yes","No")))</x:f>
        <x:v>Yes</x:v>
      </x:c>
      <x:c r="G224" s="384" t="str">
        <x:f>IF(A224="","",IF(E224&lt;&gt;"Yes","N/A",IF(INDEX(tblServiceEvents[Location Key],MATCH(C224,tblServiceEvents[Event #],0))=INDEX(tblLedger[Location Key],ROWS($A$202:A224)),"Yes","No")))</x:f>
        <x:v>Yes</x:v>
      </x:c>
      <x:c r="H224" s="384" t="str">
        <x:f>IF(A224="","",IF(E224&lt;&gt;"Yes","N/A",IF(INDEX(tblServiceEvents[Service Date],MATCH(C224,tblServiceEvents[Event #],0))=INDEX(tblLedger[Service Date],ROWS($A$202:A224)),"Yes","No")))</x:f>
        <x:v>Yes</x:v>
      </x:c>
      <x:c r="I224" s="384" t="str">
        <x:f>IF(A224="","",IF(E224&lt;&gt;"Yes","N/A",IF(D224="MULTI-WO VISIT","Yes",IF(B224=INDEX(tblServiceEvents[Work Orders],MATCH(C224,tblServiceEvents[Event #],0)),"Yes","No"))))</x:f>
        <x:v>Yes</x:v>
      </x:c>
      <x:c r="J224" s="384" t="str">
        <x:f>IF(A224="","",IF(D224="MAPPING_HOLD","QUARANTINED",IF(AND(E224="Yes",F224="Yes",G224="Yes",H224="Yes",I224="Yes"),"PASS","FAIL")))</x:f>
        <x:v>PASS</x:v>
      </x:c>
      <x:c r="K224"/>
      <x:c r="L224"/>
      <x:c r="M224"/>
      <x:c r="N224"/>
      <x:c r="O224"/>
      <x:c r="P224"/>
      <x:c r="Q224"/>
      <x:c r="R224"/>
      <x:c r="S224"/>
      <x:c r="T224"/>
      <x:c r="U224"/>
      <x:c r="V224"/>
      <x:c r="X224"/>
      <x:c r="Y224"/>
      <x:c r="Z224"/>
      <x:c r="AA224"/>
      <x:c r="AB224"/>
      <x:c r="AC224"/>
      <x:c r="AD224"/>
      <x:c r="AE224"/>
      <x:c r="AF224"/>
      <x:c r="AG224"/>
      <x:c r="AH224"/>
      <x:c r="AI224"/>
      <x:c r="AJ224"/>
      <x:c r="AK224"/>
      <x:c r="AL224"/>
      <x:c r="AM224"/>
      <x:c r="AN224"/>
      <x:c r="AO224"/>
      <x:c r="AP224"/>
      <x:c r="AQ224"/>
      <x:c r="AR224"/>
      <x:c r="AS224"/>
    </x:row>
    <x:row r="225" ht="15" hidden="0" customHeight="1">
      <x:c r="A225" s="384" t="str">
        <x:f>IFERROR(INDEX(tblLedger[Ledger Record ID],ROWS($A$202:A225)),"")</x:f>
        <x:v>LED-0024</x:v>
      </x:c>
      <x:c r="B225" s="384" t="str">
        <x:f>IFERROR(INDEX(tblLedger[Work Order #],ROWS($A$202:A225)),"")</x:f>
        <x:v>USDA-SPECIAL-E024</x:v>
      </x:c>
      <x:c r="C225" s="384" t="n">
        <x:f>IFERROR(INDEX(tblLedger[Event #],ROWS($A$202:A225)),"")</x:f>
        <x:v>24</x:v>
      </x:c>
      <x:c r="D225" s="384" t="str">
        <x:f>IFERROR(INDEX(tblLedger[Mapping Status],ROWS($A$202:A225)),"")</x:f>
        <x:v>DUPLICATE / REVIEW</x:v>
      </x:c>
      <x:c r="E225" s="384" t="str">
        <x:f>IF(A225="","",IF(D225="MAPPING_HOLD","QUARANTINED",IF(COUNTIF(tblServiceEvents[Event #],C225)=1,"Yes","No")))</x:f>
        <x:v>Yes</x:v>
      </x:c>
      <x:c r="F225" s="384" t="str">
        <x:f>IF(A225="","",IF(E225&lt;&gt;"Yes","N/A",IF(INDEX(tblServiceEvents[Client ID],MATCH(C225,tblServiceEvents[Event #],0))=INDEX(tblLedger[Client ID],ROWS($A$202:A225)),"Yes","No")))</x:f>
        <x:v>Yes</x:v>
      </x:c>
      <x:c r="G225" s="384" t="str">
        <x:f>IF(A225="","",IF(E225&lt;&gt;"Yes","N/A",IF(INDEX(tblServiceEvents[Location Key],MATCH(C225,tblServiceEvents[Event #],0))=INDEX(tblLedger[Location Key],ROWS($A$202:A225)),"Yes","No")))</x:f>
        <x:v>Yes</x:v>
      </x:c>
      <x:c r="H225" s="384" t="str">
        <x:f>IF(A225="","",IF(E225&lt;&gt;"Yes","N/A",IF(INDEX(tblServiceEvents[Service Date],MATCH(C225,tblServiceEvents[Event #],0))=INDEX(tblLedger[Service Date],ROWS($A$202:A225)),"Yes","No")))</x:f>
        <x:v>Yes</x:v>
      </x:c>
      <x:c r="I225" s="384" t="str">
        <x:f>IF(A225="","",IF(E225&lt;&gt;"Yes","N/A",IF(D225="MULTI-WO VISIT","Yes",IF(B225=INDEX(tblServiceEvents[Work Orders],MATCH(C225,tblServiceEvents[Event #],0)),"Yes","No"))))</x:f>
        <x:v>Yes</x:v>
      </x:c>
      <x:c r="J225" s="384" t="str">
        <x:f>IF(A225="","",IF(D225="MAPPING_HOLD","QUARANTINED",IF(AND(E225="Yes",F225="Yes",G225="Yes",H225="Yes",I225="Yes"),"PASS","FAIL")))</x:f>
        <x:v>PASS</x:v>
      </x:c>
      <x:c r="K225"/>
      <x:c r="L225"/>
      <x:c r="M225"/>
      <x:c r="N225"/>
      <x:c r="O225"/>
      <x:c r="P225"/>
      <x:c r="Q225"/>
      <x:c r="R225"/>
      <x:c r="S225"/>
      <x:c r="T225"/>
      <x:c r="U225"/>
      <x:c r="V225"/>
      <x:c r="X225"/>
      <x:c r="Y225"/>
      <x:c r="Z225"/>
      <x:c r="AA225"/>
      <x:c r="AB225"/>
      <x:c r="AC225"/>
      <x:c r="AD225"/>
      <x:c r="AE225"/>
      <x:c r="AF225"/>
      <x:c r="AG225"/>
      <x:c r="AH225"/>
      <x:c r="AI225"/>
      <x:c r="AJ225"/>
      <x:c r="AK225"/>
      <x:c r="AL225"/>
      <x:c r="AM225"/>
      <x:c r="AN225"/>
      <x:c r="AO225"/>
      <x:c r="AP225"/>
      <x:c r="AQ225"/>
      <x:c r="AR225"/>
      <x:c r="AS225"/>
    </x:row>
    <x:row r="226" ht="15" hidden="0" customHeight="1">
      <x:c r="A226" s="384" t="str">
        <x:f>IFERROR(INDEX(tblLedger[Ledger Record ID],ROWS($A$202:A226)),"")</x:f>
        <x:v>LED-0025</x:v>
      </x:c>
      <x:c r="B226" s="384" t="str">
        <x:f>IFERROR(INDEX(tblLedger[Work Order #],ROWS($A$202:A226)),"")</x:f>
        <x:v>UNRESOLVED-E025</x:v>
      </x:c>
      <x:c r="C226" s="384" t="n">
        <x:f>IFERROR(INDEX(tblLedger[Event #],ROWS($A$202:A226)),"")</x:f>
        <x:v>25</x:v>
      </x:c>
      <x:c r="D226" s="384" t="str">
        <x:f>IFERROR(INDEX(tblLedger[Mapping Status],ROWS($A$202:A226)),"")</x:f>
        <x:v>Unique</x:v>
      </x:c>
      <x:c r="E226" s="384" t="str">
        <x:f>IF(A226="","",IF(D226="MAPPING_HOLD","QUARANTINED",IF(COUNTIF(tblServiceEvents[Event #],C226)=1,"Yes","No")))</x:f>
        <x:v>Yes</x:v>
      </x:c>
      <x:c r="F226" s="384" t="str">
        <x:f>IF(A226="","",IF(E226&lt;&gt;"Yes","N/A",IF(INDEX(tblServiceEvents[Client ID],MATCH(C226,tblServiceEvents[Event #],0))=INDEX(tblLedger[Client ID],ROWS($A$202:A226)),"Yes","No")))</x:f>
        <x:v>Yes</x:v>
      </x:c>
      <x:c r="G226" s="384" t="str">
        <x:f>IF(A226="","",IF(E226&lt;&gt;"Yes","N/A",IF(INDEX(tblServiceEvents[Location Key],MATCH(C226,tblServiceEvents[Event #],0))=INDEX(tblLedger[Location Key],ROWS($A$202:A226)),"Yes","No")))</x:f>
        <x:v>Yes</x:v>
      </x:c>
      <x:c r="H226" s="384" t="str">
        <x:f>IF(A226="","",IF(E226&lt;&gt;"Yes","N/A",IF(INDEX(tblServiceEvents[Service Date],MATCH(C226,tblServiceEvents[Event #],0))=INDEX(tblLedger[Service Date],ROWS($A$202:A226)),"Yes","No")))</x:f>
        <x:v>Yes</x:v>
      </x:c>
      <x:c r="I226" s="384" t="str">
        <x:f>IF(A226="","",IF(E226&lt;&gt;"Yes","N/A",IF(D226="MULTI-WO VISIT","Yes",IF(B226=INDEX(tblServiceEvents[Work Orders],MATCH(C226,tblServiceEvents[Event #],0)),"Yes","No"))))</x:f>
        <x:v>Yes</x:v>
      </x:c>
      <x:c r="J226" s="384" t="str">
        <x:f>IF(A226="","",IF(D226="MAPPING_HOLD","QUARANTINED",IF(AND(E226="Yes",F226="Yes",G226="Yes",H226="Yes",I226="Yes"),"PASS","FAIL")))</x:f>
        <x:v>PASS</x:v>
      </x:c>
      <x:c r="K226"/>
      <x:c r="L226"/>
      <x:c r="M226"/>
      <x:c r="N226"/>
      <x:c r="O226"/>
      <x:c r="P226"/>
      <x:c r="Q226"/>
      <x:c r="R226"/>
      <x:c r="S226"/>
      <x:c r="T226"/>
      <x:c r="U226"/>
      <x:c r="V226"/>
      <x:c r="X226"/>
      <x:c r="Y226"/>
      <x:c r="Z226"/>
      <x:c r="AA226"/>
      <x:c r="AB226"/>
      <x:c r="AC226"/>
      <x:c r="AD226"/>
      <x:c r="AE226"/>
      <x:c r="AF226"/>
      <x:c r="AG226"/>
      <x:c r="AH226"/>
      <x:c r="AI226"/>
      <x:c r="AJ226"/>
      <x:c r="AK226"/>
      <x:c r="AL226"/>
      <x:c r="AM226"/>
      <x:c r="AN226"/>
      <x:c r="AO226"/>
      <x:c r="AP226"/>
      <x:c r="AQ226"/>
      <x:c r="AR226"/>
      <x:c r="AS226"/>
    </x:row>
    <x:row r="227" ht="15" hidden="0" customHeight="1">
      <x:c r="A227" s="384" t="str">
        <x:f>IFERROR(INDEX(tblLedger[Ledger Record ID],ROWS($A$202:A227)),"")</x:f>
        <x:v>LED-0026</x:v>
      </x:c>
      <x:c r="B227" s="384" t="str">
        <x:f>IFERROR(INDEX(tblLedger[Work Order #],ROWS($A$202:A227)),"")</x:f>
        <x:v>USDA-SPECIAL-E026</x:v>
      </x:c>
      <x:c r="C227" s="384" t="n">
        <x:f>IFERROR(INDEX(tblLedger[Event #],ROWS($A$202:A227)),"")</x:f>
        <x:v>26</x:v>
      </x:c>
      <x:c r="D227" s="384" t="str">
        <x:f>IFERROR(INDEX(tblLedger[Mapping Status],ROWS($A$202:A227)),"")</x:f>
        <x:v>DUPLICATE / REVIEW</x:v>
      </x:c>
      <x:c r="E227" s="384" t="str">
        <x:f>IF(A227="","",IF(D227="MAPPING_HOLD","QUARANTINED",IF(COUNTIF(tblServiceEvents[Event #],C227)=1,"Yes","No")))</x:f>
        <x:v>Yes</x:v>
      </x:c>
      <x:c r="F227" s="384" t="str">
        <x:f>IF(A227="","",IF(E227&lt;&gt;"Yes","N/A",IF(INDEX(tblServiceEvents[Client ID],MATCH(C227,tblServiceEvents[Event #],0))=INDEX(tblLedger[Client ID],ROWS($A$202:A227)),"Yes","No")))</x:f>
        <x:v>Yes</x:v>
      </x:c>
      <x:c r="G227" s="384" t="str">
        <x:f>IF(A227="","",IF(E227&lt;&gt;"Yes","N/A",IF(INDEX(tblServiceEvents[Location Key],MATCH(C227,tblServiceEvents[Event #],0))=INDEX(tblLedger[Location Key],ROWS($A$202:A227)),"Yes","No")))</x:f>
        <x:v>Yes</x:v>
      </x:c>
      <x:c r="H227" s="384" t="str">
        <x:f>IF(A227="","",IF(E227&lt;&gt;"Yes","N/A",IF(INDEX(tblServiceEvents[Service Date],MATCH(C227,tblServiceEvents[Event #],0))=INDEX(tblLedger[Service Date],ROWS($A$202:A227)),"Yes","No")))</x:f>
        <x:v>Yes</x:v>
      </x:c>
      <x:c r="I227" s="384" t="str">
        <x:f>IF(A227="","",IF(E227&lt;&gt;"Yes","N/A",IF(D227="MULTI-WO VISIT","Yes",IF(B227=INDEX(tblServiceEvents[Work Orders],MATCH(C227,tblServiceEvents[Event #],0)),"Yes","No"))))</x:f>
        <x:v>Yes</x:v>
      </x:c>
      <x:c r="J227" s="384" t="str">
        <x:f>IF(A227="","",IF(D227="MAPPING_HOLD","QUARANTINED",IF(AND(E227="Yes",F227="Yes",G227="Yes",H227="Yes",I227="Yes"),"PASS","FAIL")))</x:f>
        <x:v>PASS</x:v>
      </x:c>
      <x:c r="K227"/>
      <x:c r="L227"/>
      <x:c r="M227"/>
      <x:c r="N227"/>
      <x:c r="O227"/>
      <x:c r="P227"/>
      <x:c r="Q227"/>
      <x:c r="R227"/>
      <x:c r="S227"/>
      <x:c r="T227"/>
      <x:c r="U227"/>
      <x:c r="V227"/>
      <x:c r="X227"/>
      <x:c r="Y227"/>
      <x:c r="Z227"/>
      <x:c r="AA227"/>
      <x:c r="AB227"/>
      <x:c r="AC227"/>
      <x:c r="AD227"/>
      <x:c r="AE227"/>
      <x:c r="AF227"/>
      <x:c r="AG227"/>
      <x:c r="AH227"/>
      <x:c r="AI227"/>
      <x:c r="AJ227"/>
      <x:c r="AK227"/>
      <x:c r="AL227"/>
      <x:c r="AM227"/>
      <x:c r="AN227"/>
      <x:c r="AO227"/>
      <x:c r="AP227"/>
      <x:c r="AQ227"/>
      <x:c r="AR227"/>
      <x:c r="AS227"/>
    </x:row>
    <x:row r="228" ht="15" hidden="0" customHeight="1">
      <x:c r="A228" s="384" t="str">
        <x:f>IFERROR(INDEX(tblLedger[Ledger Record ID],ROWS($A$202:A228)),"")</x:f>
        <x:v>LED-0027</x:v>
      </x:c>
      <x:c r="B228" s="384" t="str">
        <x:f>IFERROR(INDEX(tblLedger[Work Order #],ROWS($A$202:A228)),"")</x:f>
        <x:v>USDA-SPECIAL-E027</x:v>
      </x:c>
      <x:c r="C228" s="384" t="n">
        <x:f>IFERROR(INDEX(tblLedger[Event #],ROWS($A$202:A228)),"")</x:f>
        <x:v>27</x:v>
      </x:c>
      <x:c r="D228" s="384" t="str">
        <x:f>IFERROR(INDEX(tblLedger[Mapping Status],ROWS($A$202:A228)),"")</x:f>
        <x:v>DUPLICATE / REVIEW</x:v>
      </x:c>
      <x:c r="E228" s="384" t="str">
        <x:f>IF(A228="","",IF(D228="MAPPING_HOLD","QUARANTINED",IF(COUNTIF(tblServiceEvents[Event #],C228)=1,"Yes","No")))</x:f>
        <x:v>Yes</x:v>
      </x:c>
      <x:c r="F228" s="384" t="str">
        <x:f>IF(A228="","",IF(E228&lt;&gt;"Yes","N/A",IF(INDEX(tblServiceEvents[Client ID],MATCH(C228,tblServiceEvents[Event #],0))=INDEX(tblLedger[Client ID],ROWS($A$202:A228)),"Yes","No")))</x:f>
        <x:v>Yes</x:v>
      </x:c>
      <x:c r="G228" s="384" t="str">
        <x:f>IF(A228="","",IF(E228&lt;&gt;"Yes","N/A",IF(INDEX(tblServiceEvents[Location Key],MATCH(C228,tblServiceEvents[Event #],0))=INDEX(tblLedger[Location Key],ROWS($A$202:A228)),"Yes","No")))</x:f>
        <x:v>Yes</x:v>
      </x:c>
      <x:c r="H228" s="384" t="str">
        <x:f>IF(A228="","",IF(E228&lt;&gt;"Yes","N/A",IF(INDEX(tblServiceEvents[Service Date],MATCH(C228,tblServiceEvents[Event #],0))=INDEX(tblLedger[Service Date],ROWS($A$202:A228)),"Yes","No")))</x:f>
        <x:v>Yes</x:v>
      </x:c>
      <x:c r="I228" s="384" t="str">
        <x:f>IF(A228="","",IF(E228&lt;&gt;"Yes","N/A",IF(D228="MULTI-WO VISIT","Yes",IF(B228=INDEX(tblServiceEvents[Work Orders],MATCH(C228,tblServiceEvents[Event #],0)),"Yes","No"))))</x:f>
        <x:v>Yes</x:v>
      </x:c>
      <x:c r="J228" s="384" t="str">
        <x:f>IF(A228="","",IF(D228="MAPPING_HOLD","QUARANTINED",IF(AND(E228="Yes",F228="Yes",G228="Yes",H228="Yes",I228="Yes"),"PASS","FAIL")))</x:f>
        <x:v>PASS</x:v>
      </x:c>
      <x:c r="K228"/>
      <x:c r="L228"/>
      <x:c r="M228"/>
      <x:c r="N228"/>
      <x:c r="O228"/>
      <x:c r="P228"/>
      <x:c r="Q228"/>
      <x:c r="R228"/>
      <x:c r="S228"/>
      <x:c r="T228"/>
      <x:c r="U228"/>
      <x:c r="V228"/>
      <x:c r="X228"/>
      <x:c r="Y228"/>
      <x:c r="Z228"/>
      <x:c r="AA228"/>
      <x:c r="AB228"/>
      <x:c r="AC228"/>
      <x:c r="AD228"/>
      <x:c r="AE228"/>
      <x:c r="AF228"/>
      <x:c r="AG228"/>
      <x:c r="AH228"/>
      <x:c r="AI228"/>
      <x:c r="AJ228"/>
      <x:c r="AK228"/>
      <x:c r="AL228"/>
      <x:c r="AM228"/>
      <x:c r="AN228"/>
      <x:c r="AO228"/>
      <x:c r="AP228"/>
      <x:c r="AQ228"/>
      <x:c r="AR228"/>
      <x:c r="AS228"/>
    </x:row>
    <x:row r="229" ht="15" hidden="0" customHeight="1">
      <x:c r="A229" s="384" t="str">
        <x:f>IFERROR(INDEX(tblLedger[Ledger Record ID],ROWS($A$202:A229)),"")</x:f>
        <x:v>LED-0028</x:v>
      </x:c>
      <x:c r="B229" s="384" t="str">
        <x:f>IFERROR(INDEX(tblLedger[Work Order #],ROWS($A$202:A229)),"")</x:f>
        <x:v>USDA-SPECIAL-E028</x:v>
      </x:c>
      <x:c r="C229" s="384" t="n">
        <x:f>IFERROR(INDEX(tblLedger[Event #],ROWS($A$202:A229)),"")</x:f>
        <x:v>28</x:v>
      </x:c>
      <x:c r="D229" s="384" t="str">
        <x:f>IFERROR(INDEX(tblLedger[Mapping Status],ROWS($A$202:A229)),"")</x:f>
        <x:v>DUPLICATE / REVIEW</x:v>
      </x:c>
      <x:c r="E229" s="384" t="str">
        <x:f>IF(A229="","",IF(D229="MAPPING_HOLD","QUARANTINED",IF(COUNTIF(tblServiceEvents[Event #],C229)=1,"Yes","No")))</x:f>
        <x:v>Yes</x:v>
      </x:c>
      <x:c r="F229" s="384" t="str">
        <x:f>IF(A229="","",IF(E229&lt;&gt;"Yes","N/A",IF(INDEX(tblServiceEvents[Client ID],MATCH(C229,tblServiceEvents[Event #],0))=INDEX(tblLedger[Client ID],ROWS($A$202:A229)),"Yes","No")))</x:f>
        <x:v>Yes</x:v>
      </x:c>
      <x:c r="G229" s="384" t="str">
        <x:f>IF(A229="","",IF(E229&lt;&gt;"Yes","N/A",IF(INDEX(tblServiceEvents[Location Key],MATCH(C229,tblServiceEvents[Event #],0))=INDEX(tblLedger[Location Key],ROWS($A$202:A229)),"Yes","No")))</x:f>
        <x:v>Yes</x:v>
      </x:c>
      <x:c r="H229" s="384" t="str">
        <x:f>IF(A229="","",IF(E229&lt;&gt;"Yes","N/A",IF(INDEX(tblServiceEvents[Service Date],MATCH(C229,tblServiceEvents[Event #],0))=INDEX(tblLedger[Service Date],ROWS($A$202:A229)),"Yes","No")))</x:f>
        <x:v>Yes</x:v>
      </x:c>
      <x:c r="I229" s="384" t="str">
        <x:f>IF(A229="","",IF(E229&lt;&gt;"Yes","N/A",IF(D229="MULTI-WO VISIT","Yes",IF(B229=INDEX(tblServiceEvents[Work Orders],MATCH(C229,tblServiceEvents[Event #],0)),"Yes","No"))))</x:f>
        <x:v>Yes</x:v>
      </x:c>
      <x:c r="J229" s="384" t="str">
        <x:f>IF(A229="","",IF(D229="MAPPING_HOLD","QUARANTINED",IF(AND(E229="Yes",F229="Yes",G229="Yes",H229="Yes",I229="Yes"),"PASS","FAIL")))</x:f>
        <x:v>PASS</x:v>
      </x:c>
      <x:c r="K229"/>
      <x:c r="L229"/>
      <x:c r="M229"/>
      <x:c r="N229"/>
      <x:c r="O229"/>
      <x:c r="P229"/>
      <x:c r="Q229"/>
      <x:c r="R229"/>
      <x:c r="S229"/>
      <x:c r="T229"/>
      <x:c r="U229"/>
      <x:c r="V229"/>
      <x:c r="X229"/>
      <x:c r="Y229"/>
      <x:c r="Z229"/>
      <x:c r="AA229"/>
      <x:c r="AB229"/>
      <x:c r="AC229"/>
      <x:c r="AD229"/>
      <x:c r="AE229"/>
      <x:c r="AF229"/>
      <x:c r="AG229"/>
      <x:c r="AH229"/>
      <x:c r="AI229"/>
      <x:c r="AJ229"/>
      <x:c r="AK229"/>
      <x:c r="AL229"/>
      <x:c r="AM229"/>
      <x:c r="AN229"/>
      <x:c r="AO229"/>
      <x:c r="AP229"/>
      <x:c r="AQ229"/>
      <x:c r="AR229"/>
      <x:c r="AS229"/>
    </x:row>
    <x:row r="230" ht="15" hidden="0" customHeight="1">
      <x:c r="A230" s="384" t="str">
        <x:f>IFERROR(INDEX(tblLedger[Ledger Record ID],ROWS($A$202:A230)),"")</x:f>
        <x:v>LED-0029</x:v>
      </x:c>
      <x:c r="B230" s="384" t="str">
        <x:f>IFERROR(INDEX(tblLedger[Work Order #],ROWS($A$202:A230)),"")</x:f>
        <x:v>USDA-SPECIAL-E029</x:v>
      </x:c>
      <x:c r="C230" s="384" t="n">
        <x:f>IFERROR(INDEX(tblLedger[Event #],ROWS($A$202:A230)),"")</x:f>
        <x:v>29</x:v>
      </x:c>
      <x:c r="D230" s="384" t="str">
        <x:f>IFERROR(INDEX(tblLedger[Mapping Status],ROWS($A$202:A230)),"")</x:f>
        <x:v>DUPLICATE / REVIEW</x:v>
      </x:c>
      <x:c r="E230" s="384" t="str">
        <x:f>IF(A230="","",IF(D230="MAPPING_HOLD","QUARANTINED",IF(COUNTIF(tblServiceEvents[Event #],C230)=1,"Yes","No")))</x:f>
        <x:v>Yes</x:v>
      </x:c>
      <x:c r="F230" s="384" t="str">
        <x:f>IF(A230="","",IF(E230&lt;&gt;"Yes","N/A",IF(INDEX(tblServiceEvents[Client ID],MATCH(C230,tblServiceEvents[Event #],0))=INDEX(tblLedger[Client ID],ROWS($A$202:A230)),"Yes","No")))</x:f>
        <x:v>Yes</x:v>
      </x:c>
      <x:c r="G230" s="384" t="str">
        <x:f>IF(A230="","",IF(E230&lt;&gt;"Yes","N/A",IF(INDEX(tblServiceEvents[Location Key],MATCH(C230,tblServiceEvents[Event #],0))=INDEX(tblLedger[Location Key],ROWS($A$202:A230)),"Yes","No")))</x:f>
        <x:v>Yes</x:v>
      </x:c>
      <x:c r="H230" s="384" t="str">
        <x:f>IF(A230="","",IF(E230&lt;&gt;"Yes","N/A",IF(INDEX(tblServiceEvents[Service Date],MATCH(C230,tblServiceEvents[Event #],0))=INDEX(tblLedger[Service Date],ROWS($A$202:A230)),"Yes","No")))</x:f>
        <x:v>Yes</x:v>
      </x:c>
      <x:c r="I230" s="384" t="str">
        <x:f>IF(A230="","",IF(E230&lt;&gt;"Yes","N/A",IF(D230="MULTI-WO VISIT","Yes",IF(B230=INDEX(tblServiceEvents[Work Orders],MATCH(C230,tblServiceEvents[Event #],0)),"Yes","No"))))</x:f>
        <x:v>Yes</x:v>
      </x:c>
      <x:c r="J230" s="384" t="str">
        <x:f>IF(A230="","",IF(D230="MAPPING_HOLD","QUARANTINED",IF(AND(E230="Yes",F230="Yes",G230="Yes",H230="Yes",I230="Yes"),"PASS","FAIL")))</x:f>
        <x:v>PASS</x:v>
      </x:c>
      <x:c r="K230"/>
      <x:c r="L230"/>
      <x:c r="M230"/>
      <x:c r="N230"/>
      <x:c r="O230"/>
      <x:c r="P230"/>
      <x:c r="Q230"/>
      <x:c r="R230"/>
      <x:c r="S230"/>
      <x:c r="T230"/>
      <x:c r="U230"/>
      <x:c r="V230"/>
      <x:c r="X230"/>
      <x:c r="Y230"/>
      <x:c r="Z230"/>
      <x:c r="AA230"/>
      <x:c r="AB230"/>
      <x:c r="AC230"/>
      <x:c r="AD230"/>
      <x:c r="AE230"/>
      <x:c r="AF230"/>
      <x:c r="AG230"/>
      <x:c r="AH230"/>
      <x:c r="AI230"/>
      <x:c r="AJ230"/>
      <x:c r="AK230"/>
      <x:c r="AL230"/>
      <x:c r="AM230"/>
      <x:c r="AN230"/>
      <x:c r="AO230"/>
      <x:c r="AP230"/>
      <x:c r="AQ230"/>
      <x:c r="AR230"/>
      <x:c r="AS230"/>
    </x:row>
    <x:row r="231" ht="15" hidden="0" customHeight="1">
      <x:c r="A231" s="384" t="str">
        <x:f>IFERROR(INDEX(tblLedger[Ledger Record ID],ROWS($A$202:A231)),"")</x:f>
        <x:v>LED-0030</x:v>
      </x:c>
      <x:c r="B231" s="384" t="n">
        <x:f>IFERROR(INDEX(tblLedger[Work Order #],ROWS($A$202:A231)),"")</x:f>
        <x:v>5896733</x:v>
      </x:c>
      <x:c r="C231" s="384" t="n">
        <x:f>IFERROR(INDEX(tblLedger[Event #],ROWS($A$202:A231)),"")</x:f>
        <x:v>30</x:v>
      </x:c>
      <x:c r="D231" s="384" t="str">
        <x:f>IFERROR(INDEX(tblLedger[Mapping Status],ROWS($A$202:A231)),"")</x:f>
        <x:v>Unique</x:v>
      </x:c>
      <x:c r="E231" s="384" t="str">
        <x:f>IF(A231="","",IF(D231="MAPPING_HOLD","QUARANTINED",IF(COUNTIF(tblServiceEvents[Event #],C231)=1,"Yes","No")))</x:f>
        <x:v>Yes</x:v>
      </x:c>
      <x:c r="F231" s="384" t="str">
        <x:f>IF(A231="","",IF(E231&lt;&gt;"Yes","N/A",IF(INDEX(tblServiceEvents[Client ID],MATCH(C231,tblServiceEvents[Event #],0))=INDEX(tblLedger[Client ID],ROWS($A$202:A231)),"Yes","No")))</x:f>
        <x:v>Yes</x:v>
      </x:c>
      <x:c r="G231" s="384" t="str">
        <x:f>IF(A231="","",IF(E231&lt;&gt;"Yes","N/A",IF(INDEX(tblServiceEvents[Location Key],MATCH(C231,tblServiceEvents[Event #],0))=INDEX(tblLedger[Location Key],ROWS($A$202:A231)),"Yes","No")))</x:f>
        <x:v>Yes</x:v>
      </x:c>
      <x:c r="H231" s="384" t="str">
        <x:f>IF(A231="","",IF(E231&lt;&gt;"Yes","N/A",IF(INDEX(tblServiceEvents[Service Date],MATCH(C231,tblServiceEvents[Event #],0))=INDEX(tblLedger[Service Date],ROWS($A$202:A231)),"Yes","No")))</x:f>
        <x:v>Yes</x:v>
      </x:c>
      <x:c r="I231" s="384" t="str">
        <x:f>IF(A231="","",IF(E231&lt;&gt;"Yes","N/A",IF(D231="MULTI-WO VISIT","Yes",IF(B231=INDEX(tblServiceEvents[Work Orders],MATCH(C231,tblServiceEvents[Event #],0)),"Yes","No"))))</x:f>
        <x:v>Yes</x:v>
      </x:c>
      <x:c r="J231" s="384" t="str">
        <x:f>IF(A231="","",IF(D231="MAPPING_HOLD","QUARANTINED",IF(AND(E231="Yes",F231="Yes",G231="Yes",H231="Yes",I231="Yes"),"PASS","FAIL")))</x:f>
        <x:v>PASS</x:v>
      </x:c>
      <x:c r="K231"/>
      <x:c r="L231"/>
      <x:c r="M231"/>
      <x:c r="N231"/>
      <x:c r="O231"/>
      <x:c r="P231"/>
      <x:c r="Q231"/>
      <x:c r="R231"/>
      <x:c r="S231"/>
      <x:c r="T231"/>
      <x:c r="U231"/>
      <x:c r="V231"/>
      <x:c r="X231"/>
      <x:c r="Y231"/>
      <x:c r="Z231"/>
      <x:c r="AA231"/>
      <x:c r="AB231"/>
      <x:c r="AC231"/>
      <x:c r="AD231"/>
      <x:c r="AE231"/>
      <x:c r="AF231"/>
      <x:c r="AG231"/>
      <x:c r="AH231"/>
      <x:c r="AI231"/>
      <x:c r="AJ231"/>
      <x:c r="AK231"/>
      <x:c r="AL231"/>
      <x:c r="AM231"/>
      <x:c r="AN231"/>
      <x:c r="AO231"/>
      <x:c r="AP231"/>
      <x:c r="AQ231"/>
      <x:c r="AR231"/>
      <x:c r="AS231"/>
    </x:row>
    <x:row r="232" ht="15" hidden="0" customHeight="1">
      <x:c r="A232" s="384" t="str">
        <x:f>IFERROR(INDEX(tblLedger[Ledger Record ID],ROWS($A$202:A232)),"")</x:f>
        <x:v>LED-0031</x:v>
      </x:c>
      <x:c r="B232" s="384" t="str">
        <x:f>IFERROR(INDEX(tblLedger[Work Order #],ROWS($A$202:A232)),"")</x:f>
        <x:v>USDA-SPECIAL-E031</x:v>
      </x:c>
      <x:c r="C232" s="384" t="n">
        <x:f>IFERROR(INDEX(tblLedger[Event #],ROWS($A$202:A232)),"")</x:f>
        <x:v>31</x:v>
      </x:c>
      <x:c r="D232" s="384" t="str">
        <x:f>IFERROR(INDEX(tblLedger[Mapping Status],ROWS($A$202:A232)),"")</x:f>
        <x:v>DUPLICATE / REVIEW</x:v>
      </x:c>
      <x:c r="E232" s="384" t="str">
        <x:f>IF(A232="","",IF(D232="MAPPING_HOLD","QUARANTINED",IF(COUNTIF(tblServiceEvents[Event #],C232)=1,"Yes","No")))</x:f>
        <x:v>Yes</x:v>
      </x:c>
      <x:c r="F232" s="384" t="str">
        <x:f>IF(A232="","",IF(E232&lt;&gt;"Yes","N/A",IF(INDEX(tblServiceEvents[Client ID],MATCH(C232,tblServiceEvents[Event #],0))=INDEX(tblLedger[Client ID],ROWS($A$202:A232)),"Yes","No")))</x:f>
        <x:v>Yes</x:v>
      </x:c>
      <x:c r="G232" s="384" t="str">
        <x:f>IF(A232="","",IF(E232&lt;&gt;"Yes","N/A",IF(INDEX(tblServiceEvents[Location Key],MATCH(C232,tblServiceEvents[Event #],0))=INDEX(tblLedger[Location Key],ROWS($A$202:A232)),"Yes","No")))</x:f>
        <x:v>Yes</x:v>
      </x:c>
      <x:c r="H232" s="384" t="str">
        <x:f>IF(A232="","",IF(E232&lt;&gt;"Yes","N/A",IF(INDEX(tblServiceEvents[Service Date],MATCH(C232,tblServiceEvents[Event #],0))=INDEX(tblLedger[Service Date],ROWS($A$202:A232)),"Yes","No")))</x:f>
        <x:v>Yes</x:v>
      </x:c>
      <x:c r="I232" s="384" t="str">
        <x:f>IF(A232="","",IF(E232&lt;&gt;"Yes","N/A",IF(D232="MULTI-WO VISIT","Yes",IF(B232=INDEX(tblServiceEvents[Work Orders],MATCH(C232,tblServiceEvents[Event #],0)),"Yes","No"))))</x:f>
        <x:v>Yes</x:v>
      </x:c>
      <x:c r="J232" s="384" t="str">
        <x:f>IF(A232="","",IF(D232="MAPPING_HOLD","QUARANTINED",IF(AND(E232="Yes",F232="Yes",G232="Yes",H232="Yes",I232="Yes"),"PASS","FAIL")))</x:f>
        <x:v>PASS</x:v>
      </x:c>
      <x:c r="K232"/>
      <x:c r="L232"/>
      <x:c r="M232"/>
      <x:c r="N232"/>
      <x:c r="O232"/>
      <x:c r="P232"/>
      <x:c r="Q232"/>
      <x:c r="R232"/>
      <x:c r="S232"/>
      <x:c r="T232"/>
      <x:c r="U232"/>
      <x:c r="V232"/>
      <x:c r="X232"/>
      <x:c r="Y232"/>
      <x:c r="Z232"/>
      <x:c r="AA232"/>
      <x:c r="AB232"/>
      <x:c r="AC232"/>
      <x:c r="AD232"/>
      <x:c r="AE232"/>
      <x:c r="AF232"/>
      <x:c r="AG232"/>
      <x:c r="AH232"/>
      <x:c r="AI232"/>
      <x:c r="AJ232"/>
      <x:c r="AK232"/>
      <x:c r="AL232"/>
      <x:c r="AM232"/>
      <x:c r="AN232"/>
      <x:c r="AO232"/>
      <x:c r="AP232"/>
      <x:c r="AQ232"/>
      <x:c r="AR232"/>
      <x:c r="AS232"/>
    </x:row>
    <x:row r="233" ht="15" hidden="0" customHeight="1">
      <x:c r="A233" s="384" t="str">
        <x:f>IFERROR(INDEX(tblLedger[Ledger Record ID],ROWS($A$202:A233)),"")</x:f>
        <x:v>LED-0032</x:v>
      </x:c>
      <x:c r="B233" s="384" t="n">
        <x:f>IFERROR(INDEX(tblLedger[Work Order #],ROWS($A$202:A233)),"")</x:f>
        <x:v>5898007</x:v>
      </x:c>
      <x:c r="C233" s="384" t="n">
        <x:f>IFERROR(INDEX(tblLedger[Event #],ROWS($A$202:A233)),"")</x:f>
        <x:v>32</x:v>
      </x:c>
      <x:c r="D233" s="384" t="str">
        <x:f>IFERROR(INDEX(tblLedger[Mapping Status],ROWS($A$202:A233)),"")</x:f>
        <x:v>Unique</x:v>
      </x:c>
      <x:c r="E233" s="384" t="str">
        <x:f>IF(A233="","",IF(D233="MAPPING_HOLD","QUARANTINED",IF(COUNTIF(tblServiceEvents[Event #],C233)=1,"Yes","No")))</x:f>
        <x:v>Yes</x:v>
      </x:c>
      <x:c r="F233" s="384" t="str">
        <x:f>IF(A233="","",IF(E233&lt;&gt;"Yes","N/A",IF(INDEX(tblServiceEvents[Client ID],MATCH(C233,tblServiceEvents[Event #],0))=INDEX(tblLedger[Client ID],ROWS($A$202:A233)),"Yes","No")))</x:f>
        <x:v>Yes</x:v>
      </x:c>
      <x:c r="G233" s="384" t="str">
        <x:f>IF(A233="","",IF(E233&lt;&gt;"Yes","N/A",IF(INDEX(tblServiceEvents[Location Key],MATCH(C233,tblServiceEvents[Event #],0))=INDEX(tblLedger[Location Key],ROWS($A$202:A233)),"Yes","No")))</x:f>
        <x:v>Yes</x:v>
      </x:c>
      <x:c r="H233" s="384" t="str">
        <x:f>IF(A233="","",IF(E233&lt;&gt;"Yes","N/A",IF(INDEX(tblServiceEvents[Service Date],MATCH(C233,tblServiceEvents[Event #],0))=INDEX(tblLedger[Service Date],ROWS($A$202:A233)),"Yes","No")))</x:f>
        <x:v>Yes</x:v>
      </x:c>
      <x:c r="I233" s="384" t="str">
        <x:f>IF(A233="","",IF(E233&lt;&gt;"Yes","N/A",IF(D233="MULTI-WO VISIT","Yes",IF(B233=INDEX(tblServiceEvents[Work Orders],MATCH(C233,tblServiceEvents[Event #],0)),"Yes","No"))))</x:f>
        <x:v>Yes</x:v>
      </x:c>
      <x:c r="J233" s="384" t="str">
        <x:f>IF(A233="","",IF(D233="MAPPING_HOLD","QUARANTINED",IF(AND(E233="Yes",F233="Yes",G233="Yes",H233="Yes",I233="Yes"),"PASS","FAIL")))</x:f>
        <x:v>PASS</x:v>
      </x:c>
      <x:c r="K233"/>
      <x:c r="L233"/>
      <x:c r="M233"/>
      <x:c r="N233"/>
      <x:c r="O233"/>
      <x:c r="P233"/>
      <x:c r="Q233"/>
      <x:c r="R233"/>
      <x:c r="S233"/>
      <x:c r="T233"/>
      <x:c r="U233"/>
      <x:c r="V233"/>
      <x:c r="X233"/>
      <x:c r="Y233"/>
      <x:c r="Z233"/>
      <x:c r="AA233"/>
      <x:c r="AB233"/>
      <x:c r="AC233"/>
      <x:c r="AD233"/>
      <x:c r="AE233"/>
      <x:c r="AF233"/>
      <x:c r="AG233"/>
      <x:c r="AH233"/>
      <x:c r="AI233"/>
      <x:c r="AJ233"/>
      <x:c r="AK233"/>
      <x:c r="AL233"/>
      <x:c r="AM233"/>
      <x:c r="AN233"/>
      <x:c r="AO233"/>
      <x:c r="AP233"/>
      <x:c r="AQ233"/>
      <x:c r="AR233"/>
      <x:c r="AS233"/>
    </x:row>
    <x:row r="234" ht="15" hidden="0" customHeight="1">
      <x:c r="A234" s="384" t="str">
        <x:f>IFERROR(INDEX(tblLedger[Ledger Record ID],ROWS($A$202:A234)),"")</x:f>
        <x:v>LED-0033</x:v>
      </x:c>
      <x:c r="B234" s="384" t="n">
        <x:f>IFERROR(INDEX(tblLedger[Work Order #],ROWS($A$202:A234)),"")</x:f>
        <x:v>5896039</x:v>
      </x:c>
      <x:c r="C234" s="384" t="n">
        <x:f>IFERROR(INDEX(tblLedger[Event #],ROWS($A$202:A234)),"")</x:f>
        <x:v>33</x:v>
      </x:c>
      <x:c r="D234" s="384" t="str">
        <x:f>IFERROR(INDEX(tblLedger[Mapping Status],ROWS($A$202:A234)),"")</x:f>
        <x:v>Unique</x:v>
      </x:c>
      <x:c r="E234" s="384" t="str">
        <x:f>IF(A234="","",IF(D234="MAPPING_HOLD","QUARANTINED",IF(COUNTIF(tblServiceEvents[Event #],C234)=1,"Yes","No")))</x:f>
        <x:v>Yes</x:v>
      </x:c>
      <x:c r="F234" s="384" t="str">
        <x:f>IF(A234="","",IF(E234&lt;&gt;"Yes","N/A",IF(INDEX(tblServiceEvents[Client ID],MATCH(C234,tblServiceEvents[Event #],0))=INDEX(tblLedger[Client ID],ROWS($A$202:A234)),"Yes","No")))</x:f>
        <x:v>Yes</x:v>
      </x:c>
      <x:c r="G234" s="384" t="str">
        <x:f>IF(A234="","",IF(E234&lt;&gt;"Yes","N/A",IF(INDEX(tblServiceEvents[Location Key],MATCH(C234,tblServiceEvents[Event #],0))=INDEX(tblLedger[Location Key],ROWS($A$202:A234)),"Yes","No")))</x:f>
        <x:v>Yes</x:v>
      </x:c>
      <x:c r="H234" s="384" t="str">
        <x:f>IF(A234="","",IF(E234&lt;&gt;"Yes","N/A",IF(INDEX(tblServiceEvents[Service Date],MATCH(C234,tblServiceEvents[Event #],0))=INDEX(tblLedger[Service Date],ROWS($A$202:A234)),"Yes","No")))</x:f>
        <x:v>Yes</x:v>
      </x:c>
      <x:c r="I234" s="384" t="str">
        <x:f>IF(A234="","",IF(E234&lt;&gt;"Yes","N/A",IF(D234="MULTI-WO VISIT","Yes",IF(B234=INDEX(tblServiceEvents[Work Orders],MATCH(C234,tblServiceEvents[Event #],0)),"Yes","No"))))</x:f>
        <x:v>Yes</x:v>
      </x:c>
      <x:c r="J234" s="384" t="str">
        <x:f>IF(A234="","",IF(D234="MAPPING_HOLD","QUARANTINED",IF(AND(E234="Yes",F234="Yes",G234="Yes",H234="Yes",I234="Yes"),"PASS","FAIL")))</x:f>
        <x:v>PASS</x:v>
      </x:c>
      <x:c r="K234"/>
      <x:c r="L234"/>
      <x:c r="M234"/>
      <x:c r="N234"/>
      <x:c r="O234"/>
      <x:c r="P234"/>
      <x:c r="Q234"/>
      <x:c r="R234"/>
      <x:c r="S234"/>
      <x:c r="T234"/>
      <x:c r="U234"/>
      <x:c r="V234"/>
      <x:c r="X234"/>
      <x:c r="Y234"/>
      <x:c r="Z234"/>
      <x:c r="AA234"/>
      <x:c r="AB234"/>
      <x:c r="AC234"/>
      <x:c r="AD234"/>
      <x:c r="AE234"/>
      <x:c r="AF234"/>
      <x:c r="AG234"/>
      <x:c r="AH234"/>
      <x:c r="AI234"/>
      <x:c r="AJ234"/>
      <x:c r="AK234"/>
      <x:c r="AL234"/>
      <x:c r="AM234"/>
      <x:c r="AN234"/>
      <x:c r="AO234"/>
      <x:c r="AP234"/>
      <x:c r="AQ234"/>
      <x:c r="AR234"/>
      <x:c r="AS234"/>
    </x:row>
    <x:row r="235" ht="15" hidden="0" customHeight="1">
      <x:c r="A235" s="384" t="str">
        <x:f>IFERROR(INDEX(tblLedger[Ledger Record ID],ROWS($A$202:A235)),"")</x:f>
        <x:v>LED-0034</x:v>
      </x:c>
      <x:c r="B235" s="384" t="n">
        <x:f>IFERROR(INDEX(tblLedger[Work Order #],ROWS($A$202:A235)),"")</x:f>
        <x:v>5898904</x:v>
      </x:c>
      <x:c r="C235" s="384" t="n">
        <x:f>IFERROR(INDEX(tblLedger[Event #],ROWS($A$202:A235)),"")</x:f>
        <x:v>34</x:v>
      </x:c>
      <x:c r="D235" s="384" t="str">
        <x:f>IFERROR(INDEX(tblLedger[Mapping Status],ROWS($A$202:A235)),"")</x:f>
        <x:v>Unique</x:v>
      </x:c>
      <x:c r="E235" s="384" t="str">
        <x:f>IF(A235="","",IF(D235="MAPPING_HOLD","QUARANTINED",IF(COUNTIF(tblServiceEvents[Event #],C235)=1,"Yes","No")))</x:f>
        <x:v>Yes</x:v>
      </x:c>
      <x:c r="F235" s="384" t="str">
        <x:f>IF(A235="","",IF(E235&lt;&gt;"Yes","N/A",IF(INDEX(tblServiceEvents[Client ID],MATCH(C235,tblServiceEvents[Event #],0))=INDEX(tblLedger[Client ID],ROWS($A$202:A235)),"Yes","No")))</x:f>
        <x:v>Yes</x:v>
      </x:c>
      <x:c r="G235" s="384" t="str">
        <x:f>IF(A235="","",IF(E235&lt;&gt;"Yes","N/A",IF(INDEX(tblServiceEvents[Location Key],MATCH(C235,tblServiceEvents[Event #],0))=INDEX(tblLedger[Location Key],ROWS($A$202:A235)),"Yes","No")))</x:f>
        <x:v>Yes</x:v>
      </x:c>
      <x:c r="H235" s="384" t="str">
        <x:f>IF(A235="","",IF(E235&lt;&gt;"Yes","N/A",IF(INDEX(tblServiceEvents[Service Date],MATCH(C235,tblServiceEvents[Event #],0))=INDEX(tblLedger[Service Date],ROWS($A$202:A235)),"Yes","No")))</x:f>
        <x:v>Yes</x:v>
      </x:c>
      <x:c r="I235" s="384" t="str">
        <x:f>IF(A235="","",IF(E235&lt;&gt;"Yes","N/A",IF(D235="MULTI-WO VISIT","Yes",IF(B235=INDEX(tblServiceEvents[Work Orders],MATCH(C235,tblServiceEvents[Event #],0)),"Yes","No"))))</x:f>
        <x:v>Yes</x:v>
      </x:c>
      <x:c r="J235" s="384" t="str">
        <x:f>IF(A235="","",IF(D235="MAPPING_HOLD","QUARANTINED",IF(AND(E235="Yes",F235="Yes",G235="Yes",H235="Yes",I235="Yes"),"PASS","FAIL")))</x:f>
        <x:v>PASS</x:v>
      </x:c>
      <x:c r="K235"/>
      <x:c r="L235"/>
      <x:c r="M235"/>
      <x:c r="N235"/>
      <x:c r="O235"/>
      <x:c r="P235"/>
      <x:c r="Q235"/>
      <x:c r="R235"/>
      <x:c r="S235"/>
      <x:c r="T235"/>
      <x:c r="U235"/>
      <x:c r="V235"/>
      <x:c r="X235"/>
      <x:c r="Y235"/>
      <x:c r="Z235"/>
      <x:c r="AA235"/>
      <x:c r="AB235"/>
      <x:c r="AC235"/>
      <x:c r="AD235"/>
      <x:c r="AE235"/>
      <x:c r="AF235"/>
      <x:c r="AG235"/>
      <x:c r="AH235"/>
      <x:c r="AI235"/>
      <x:c r="AJ235"/>
      <x:c r="AK235"/>
      <x:c r="AL235"/>
      <x:c r="AM235"/>
      <x:c r="AN235"/>
      <x:c r="AO235"/>
      <x:c r="AP235"/>
      <x:c r="AQ235"/>
      <x:c r="AR235"/>
      <x:c r="AS235"/>
    </x:row>
    <x:row r="236" ht="15" hidden="0" customHeight="1">
      <x:c r="A236" s="384" t="str">
        <x:f>IFERROR(INDEX(tblLedger[Ledger Record ID],ROWS($A$202:A236)),"")</x:f>
        <x:v>LED-0035</x:v>
      </x:c>
      <x:c r="B236" s="384" t="n">
        <x:f>IFERROR(INDEX(tblLedger[Work Order #],ROWS($A$202:A236)),"")</x:f>
        <x:v>5899056</x:v>
      </x:c>
      <x:c r="C236" s="384" t="n">
        <x:f>IFERROR(INDEX(tblLedger[Event #],ROWS($A$202:A236)),"")</x:f>
        <x:v>35</x:v>
      </x:c>
      <x:c r="D236" s="384" t="str">
        <x:f>IFERROR(INDEX(tblLedger[Mapping Status],ROWS($A$202:A236)),"")</x:f>
        <x:v>Unique</x:v>
      </x:c>
      <x:c r="E236" s="384" t="str">
        <x:f>IF(A236="","",IF(D236="MAPPING_HOLD","QUARANTINED",IF(COUNTIF(tblServiceEvents[Event #],C236)=1,"Yes","No")))</x:f>
        <x:v>Yes</x:v>
      </x:c>
      <x:c r="F236" s="384" t="str">
        <x:f>IF(A236="","",IF(E236&lt;&gt;"Yes","N/A",IF(INDEX(tblServiceEvents[Client ID],MATCH(C236,tblServiceEvents[Event #],0))=INDEX(tblLedger[Client ID],ROWS($A$202:A236)),"Yes","No")))</x:f>
        <x:v>Yes</x:v>
      </x:c>
      <x:c r="G236" s="384" t="str">
        <x:f>IF(A236="","",IF(E236&lt;&gt;"Yes","N/A",IF(INDEX(tblServiceEvents[Location Key],MATCH(C236,tblServiceEvents[Event #],0))=INDEX(tblLedger[Location Key],ROWS($A$202:A236)),"Yes","No")))</x:f>
        <x:v>Yes</x:v>
      </x:c>
      <x:c r="H236" s="384" t="str">
        <x:f>IF(A236="","",IF(E236&lt;&gt;"Yes","N/A",IF(INDEX(tblServiceEvents[Service Date],MATCH(C236,tblServiceEvents[Event #],0))=INDEX(tblLedger[Service Date],ROWS($A$202:A236)),"Yes","No")))</x:f>
        <x:v>Yes</x:v>
      </x:c>
      <x:c r="I236" s="384" t="str">
        <x:f>IF(A236="","",IF(E236&lt;&gt;"Yes","N/A",IF(D236="MULTI-WO VISIT","Yes",IF(B236=INDEX(tblServiceEvents[Work Orders],MATCH(C236,tblServiceEvents[Event #],0)),"Yes","No"))))</x:f>
        <x:v>Yes</x:v>
      </x:c>
      <x:c r="J236" s="384" t="str">
        <x:f>IF(A236="","",IF(D236="MAPPING_HOLD","QUARANTINED",IF(AND(E236="Yes",F236="Yes",G236="Yes",H236="Yes",I236="Yes"),"PASS","FAIL")))</x:f>
        <x:v>PASS</x:v>
      </x:c>
      <x:c r="K236"/>
      <x:c r="L236"/>
      <x:c r="M236"/>
      <x:c r="N236"/>
      <x:c r="O236"/>
      <x:c r="P236"/>
      <x:c r="Q236"/>
      <x:c r="R236"/>
      <x:c r="S236"/>
      <x:c r="T236"/>
      <x:c r="U236"/>
      <x:c r="V236"/>
      <x:c r="X236"/>
      <x:c r="Y236"/>
      <x:c r="Z236"/>
      <x:c r="AA236"/>
      <x:c r="AB236"/>
      <x:c r="AC236"/>
      <x:c r="AD236"/>
      <x:c r="AE236"/>
      <x:c r="AF236"/>
      <x:c r="AG236"/>
      <x:c r="AH236"/>
      <x:c r="AI236"/>
      <x:c r="AJ236"/>
      <x:c r="AK236"/>
      <x:c r="AL236"/>
      <x:c r="AM236"/>
      <x:c r="AN236"/>
      <x:c r="AO236"/>
      <x:c r="AP236"/>
      <x:c r="AQ236"/>
      <x:c r="AR236"/>
      <x:c r="AS236"/>
    </x:row>
    <x:row r="237" ht="15" hidden="0" customHeight="1">
      <x:c r="A237" s="384" t="str">
        <x:f>IFERROR(INDEX(tblLedger[Ledger Record ID],ROWS($A$202:A237)),"")</x:f>
        <x:v>LED-0036</x:v>
      </x:c>
      <x:c r="B237" s="384" t="n">
        <x:f>IFERROR(INDEX(tblLedger[Work Order #],ROWS($A$202:A237)),"")</x:f>
        <x:v>5899295</x:v>
      </x:c>
      <x:c r="C237" s="384" t="n">
        <x:f>IFERROR(INDEX(tblLedger[Event #],ROWS($A$202:A237)),"")</x:f>
        <x:v>36</x:v>
      </x:c>
      <x:c r="D237" s="384" t="str">
        <x:f>IFERROR(INDEX(tblLedger[Mapping Status],ROWS($A$202:A237)),"")</x:f>
        <x:v>Unique</x:v>
      </x:c>
      <x:c r="E237" s="384" t="str">
        <x:f>IF(A237="","",IF(D237="MAPPING_HOLD","QUARANTINED",IF(COUNTIF(tblServiceEvents[Event #],C237)=1,"Yes","No")))</x:f>
        <x:v>Yes</x:v>
      </x:c>
      <x:c r="F237" s="384" t="str">
        <x:f>IF(A237="","",IF(E237&lt;&gt;"Yes","N/A",IF(INDEX(tblServiceEvents[Client ID],MATCH(C237,tblServiceEvents[Event #],0))=INDEX(tblLedger[Client ID],ROWS($A$202:A237)),"Yes","No")))</x:f>
        <x:v>Yes</x:v>
      </x:c>
      <x:c r="G237" s="384" t="str">
        <x:f>IF(A237="","",IF(E237&lt;&gt;"Yes","N/A",IF(INDEX(tblServiceEvents[Location Key],MATCH(C237,tblServiceEvents[Event #],0))=INDEX(tblLedger[Location Key],ROWS($A$202:A237)),"Yes","No")))</x:f>
        <x:v>Yes</x:v>
      </x:c>
      <x:c r="H237" s="384" t="str">
        <x:f>IF(A237="","",IF(E237&lt;&gt;"Yes","N/A",IF(INDEX(tblServiceEvents[Service Date],MATCH(C237,tblServiceEvents[Event #],0))=INDEX(tblLedger[Service Date],ROWS($A$202:A237)),"Yes","No")))</x:f>
        <x:v>Yes</x:v>
      </x:c>
      <x:c r="I237" s="384" t="str">
        <x:f>IF(A237="","",IF(E237&lt;&gt;"Yes","N/A",IF(D237="MULTI-WO VISIT","Yes",IF(B237=INDEX(tblServiceEvents[Work Orders],MATCH(C237,tblServiceEvents[Event #],0)),"Yes","No"))))</x:f>
        <x:v>Yes</x:v>
      </x:c>
      <x:c r="J237" s="384" t="str">
        <x:f>IF(A237="","",IF(D237="MAPPING_HOLD","QUARANTINED",IF(AND(E237="Yes",F237="Yes",G237="Yes",H237="Yes",I237="Yes"),"PASS","FAIL")))</x:f>
        <x:v>PASS</x:v>
      </x:c>
      <x:c r="K237"/>
      <x:c r="L237"/>
      <x:c r="M237"/>
      <x:c r="N237"/>
      <x:c r="O237"/>
      <x:c r="P237"/>
      <x:c r="Q237"/>
      <x:c r="R237"/>
      <x:c r="S237"/>
      <x:c r="T237"/>
      <x:c r="U237"/>
      <x:c r="V237"/>
      <x:c r="X237"/>
      <x:c r="Y237"/>
      <x:c r="Z237"/>
      <x:c r="AA237"/>
      <x:c r="AB237"/>
      <x:c r="AC237"/>
      <x:c r="AD237"/>
      <x:c r="AE237"/>
      <x:c r="AF237"/>
      <x:c r="AG237"/>
      <x:c r="AH237"/>
      <x:c r="AI237"/>
      <x:c r="AJ237"/>
      <x:c r="AK237"/>
      <x:c r="AL237"/>
      <x:c r="AM237"/>
      <x:c r="AN237"/>
      <x:c r="AO237"/>
      <x:c r="AP237"/>
      <x:c r="AQ237"/>
      <x:c r="AR237"/>
      <x:c r="AS237"/>
    </x:row>
    <x:row r="238" ht="15" hidden="0" customHeight="1">
      <x:c r="A238" s="384" t="str">
        <x:f>IFERROR(INDEX(tblLedger[Ledger Record ID],ROWS($A$202:A238)),"")</x:f>
        <x:v>LED-0037</x:v>
      </x:c>
      <x:c r="B238" s="384" t="n">
        <x:f>IFERROR(INDEX(tblLedger[Work Order #],ROWS($A$202:A238)),"")</x:f>
        <x:v>5899715</x:v>
      </x:c>
      <x:c r="C238" s="384" t="n">
        <x:f>IFERROR(INDEX(tblLedger[Event #],ROWS($A$202:A238)),"")</x:f>
        <x:v>37</x:v>
      </x:c>
      <x:c r="D238" s="384" t="str">
        <x:f>IFERROR(INDEX(tblLedger[Mapping Status],ROWS($A$202:A238)),"")</x:f>
        <x:v>Unique</x:v>
      </x:c>
      <x:c r="E238" s="384" t="str">
        <x:f>IF(A238="","",IF(D238="MAPPING_HOLD","QUARANTINED",IF(COUNTIF(tblServiceEvents[Event #],C238)=1,"Yes","No")))</x:f>
        <x:v>Yes</x:v>
      </x:c>
      <x:c r="F238" s="384" t="str">
        <x:f>IF(A238="","",IF(E238&lt;&gt;"Yes","N/A",IF(INDEX(tblServiceEvents[Client ID],MATCH(C238,tblServiceEvents[Event #],0))=INDEX(tblLedger[Client ID],ROWS($A$202:A238)),"Yes","No")))</x:f>
        <x:v>Yes</x:v>
      </x:c>
      <x:c r="G238" s="384" t="str">
        <x:f>IF(A238="","",IF(E238&lt;&gt;"Yes","N/A",IF(INDEX(tblServiceEvents[Location Key],MATCH(C238,tblServiceEvents[Event #],0))=INDEX(tblLedger[Location Key],ROWS($A$202:A238)),"Yes","No")))</x:f>
        <x:v>Yes</x:v>
      </x:c>
      <x:c r="H238" s="384" t="str">
        <x:f>IF(A238="","",IF(E238&lt;&gt;"Yes","N/A",IF(INDEX(tblServiceEvents[Service Date],MATCH(C238,tblServiceEvents[Event #],0))=INDEX(tblLedger[Service Date],ROWS($A$202:A238)),"Yes","No")))</x:f>
        <x:v>Yes</x:v>
      </x:c>
      <x:c r="I238" s="384" t="str">
        <x:f>IF(A238="","",IF(E238&lt;&gt;"Yes","N/A",IF(D238="MULTI-WO VISIT","Yes",IF(B238=INDEX(tblServiceEvents[Work Orders],MATCH(C238,tblServiceEvents[Event #],0)),"Yes","No"))))</x:f>
        <x:v>Yes</x:v>
      </x:c>
      <x:c r="J238" s="384" t="str">
        <x:f>IF(A238="","",IF(D238="MAPPING_HOLD","QUARANTINED",IF(AND(E238="Yes",F238="Yes",G238="Yes",H238="Yes",I238="Yes"),"PASS","FAIL")))</x:f>
        <x:v>PASS</x:v>
      </x:c>
      <x:c r="K238"/>
      <x:c r="L238"/>
      <x:c r="M238"/>
      <x:c r="N238"/>
      <x:c r="O238"/>
      <x:c r="P238"/>
      <x:c r="Q238"/>
      <x:c r="R238"/>
      <x:c r="S238"/>
      <x:c r="T238"/>
      <x:c r="U238"/>
      <x:c r="V238"/>
      <x:c r="X238"/>
      <x:c r="Y238"/>
      <x:c r="Z238"/>
      <x:c r="AA238"/>
      <x:c r="AB238"/>
      <x:c r="AC238"/>
      <x:c r="AD238"/>
      <x:c r="AE238"/>
      <x:c r="AF238"/>
      <x:c r="AG238"/>
      <x:c r="AH238"/>
      <x:c r="AI238"/>
      <x:c r="AJ238"/>
      <x:c r="AK238"/>
      <x:c r="AL238"/>
      <x:c r="AM238"/>
      <x:c r="AN238"/>
      <x:c r="AO238"/>
      <x:c r="AP238"/>
      <x:c r="AQ238"/>
      <x:c r="AR238"/>
      <x:c r="AS238"/>
    </x:row>
    <x:row r="239" ht="15" hidden="0" customHeight="1">
      <x:c r="A239" s="384" t="str">
        <x:f>IFERROR(INDEX(tblLedger[Ledger Record ID],ROWS($A$202:A239)),"")</x:f>
        <x:v>LED-0038</x:v>
      </x:c>
      <x:c r="B239" s="384" t="n">
        <x:f>IFERROR(INDEX(tblLedger[Work Order #],ROWS($A$202:A239)),"")</x:f>
        <x:v>5900102</x:v>
      </x:c>
      <x:c r="C239" s="384" t="n">
        <x:f>IFERROR(INDEX(tblLedger[Event #],ROWS($A$202:A239)),"")</x:f>
        <x:v>38</x:v>
      </x:c>
      <x:c r="D239" s="384" t="str">
        <x:f>IFERROR(INDEX(tblLedger[Mapping Status],ROWS($A$202:A239)),"")</x:f>
        <x:v>Unique</x:v>
      </x:c>
      <x:c r="E239" s="384" t="str">
        <x:f>IF(A239="","",IF(D239="MAPPING_HOLD","QUARANTINED",IF(COUNTIF(tblServiceEvents[Event #],C239)=1,"Yes","No")))</x:f>
        <x:v>Yes</x:v>
      </x:c>
      <x:c r="F239" s="384" t="str">
        <x:f>IF(A239="","",IF(E239&lt;&gt;"Yes","N/A",IF(INDEX(tblServiceEvents[Client ID],MATCH(C239,tblServiceEvents[Event #],0))=INDEX(tblLedger[Client ID],ROWS($A$202:A239)),"Yes","No")))</x:f>
        <x:v>Yes</x:v>
      </x:c>
      <x:c r="G239" s="384" t="str">
        <x:f>IF(A239="","",IF(E239&lt;&gt;"Yes","N/A",IF(INDEX(tblServiceEvents[Location Key],MATCH(C239,tblServiceEvents[Event #],0))=INDEX(tblLedger[Location Key],ROWS($A$202:A239)),"Yes","No")))</x:f>
        <x:v>Yes</x:v>
      </x:c>
      <x:c r="H239" s="384" t="str">
        <x:f>IF(A239="","",IF(E239&lt;&gt;"Yes","N/A",IF(INDEX(tblServiceEvents[Service Date],MATCH(C239,tblServiceEvents[Event #],0))=INDEX(tblLedger[Service Date],ROWS($A$202:A239)),"Yes","No")))</x:f>
        <x:v>Yes</x:v>
      </x:c>
      <x:c r="I239" s="384" t="str">
        <x:f>IF(A239="","",IF(E239&lt;&gt;"Yes","N/A",IF(D239="MULTI-WO VISIT","Yes",IF(B239=INDEX(tblServiceEvents[Work Orders],MATCH(C239,tblServiceEvents[Event #],0)),"Yes","No"))))</x:f>
        <x:v>Yes</x:v>
      </x:c>
      <x:c r="J239" s="384" t="str">
        <x:f>IF(A239="","",IF(D239="MAPPING_HOLD","QUARANTINED",IF(AND(E239="Yes",F239="Yes",G239="Yes",H239="Yes",I239="Yes"),"PASS","FAIL")))</x:f>
        <x:v>PASS</x:v>
      </x:c>
      <x:c r="K239"/>
      <x:c r="L239"/>
      <x:c r="M239"/>
      <x:c r="N239"/>
      <x:c r="O239"/>
      <x:c r="P239"/>
      <x:c r="Q239"/>
      <x:c r="R239"/>
      <x:c r="S239"/>
      <x:c r="T239"/>
      <x:c r="U239"/>
      <x:c r="V239"/>
      <x:c r="X239"/>
      <x:c r="Y239"/>
      <x:c r="Z239"/>
      <x:c r="AA239"/>
      <x:c r="AB239"/>
      <x:c r="AC239"/>
      <x:c r="AD239"/>
      <x:c r="AE239"/>
      <x:c r="AF239"/>
      <x:c r="AG239"/>
      <x:c r="AH239"/>
      <x:c r="AI239"/>
      <x:c r="AJ239"/>
      <x:c r="AK239"/>
      <x:c r="AL239"/>
      <x:c r="AM239"/>
      <x:c r="AN239"/>
      <x:c r="AO239"/>
      <x:c r="AP239"/>
      <x:c r="AQ239"/>
      <x:c r="AR239"/>
      <x:c r="AS239"/>
    </x:row>
    <x:row r="240" ht="15" hidden="0" customHeight="1">
      <x:c r="A240" s="384" t="str">
        <x:f>IFERROR(INDEX(tblLedger[Ledger Record ID],ROWS($A$202:A240)),"")</x:f>
        <x:v>LED-0039</x:v>
      </x:c>
      <x:c r="B240" s="384" t="n">
        <x:f>IFERROR(INDEX(tblLedger[Work Order #],ROWS($A$202:A240)),"")</x:f>
        <x:v>5900492</x:v>
      </x:c>
      <x:c r="C240" s="384" t="n">
        <x:f>IFERROR(INDEX(tblLedger[Event #],ROWS($A$202:A240)),"")</x:f>
        <x:v>39</x:v>
      </x:c>
      <x:c r="D240" s="384" t="str">
        <x:f>IFERROR(INDEX(tblLedger[Mapping Status],ROWS($A$202:A240)),"")</x:f>
        <x:v>Unique</x:v>
      </x:c>
      <x:c r="E240" s="384" t="str">
        <x:f>IF(A240="","",IF(D240="MAPPING_HOLD","QUARANTINED",IF(COUNTIF(tblServiceEvents[Event #],C240)=1,"Yes","No")))</x:f>
        <x:v>Yes</x:v>
      </x:c>
      <x:c r="F240" s="384" t="str">
        <x:f>IF(A240="","",IF(E240&lt;&gt;"Yes","N/A",IF(INDEX(tblServiceEvents[Client ID],MATCH(C240,tblServiceEvents[Event #],0))=INDEX(tblLedger[Client ID],ROWS($A$202:A240)),"Yes","No")))</x:f>
        <x:v>Yes</x:v>
      </x:c>
      <x:c r="G240" s="384" t="str">
        <x:f>IF(A240="","",IF(E240&lt;&gt;"Yes","N/A",IF(INDEX(tblServiceEvents[Location Key],MATCH(C240,tblServiceEvents[Event #],0))=INDEX(tblLedger[Location Key],ROWS($A$202:A240)),"Yes","No")))</x:f>
        <x:v>Yes</x:v>
      </x:c>
      <x:c r="H240" s="384" t="str">
        <x:f>IF(A240="","",IF(E240&lt;&gt;"Yes","N/A",IF(INDEX(tblServiceEvents[Service Date],MATCH(C240,tblServiceEvents[Event #],0))=INDEX(tblLedger[Service Date],ROWS($A$202:A240)),"Yes","No")))</x:f>
        <x:v>Yes</x:v>
      </x:c>
      <x:c r="I240" s="384" t="str">
        <x:f>IF(A240="","",IF(E240&lt;&gt;"Yes","N/A",IF(D240="MULTI-WO VISIT","Yes",IF(B240=INDEX(tblServiceEvents[Work Orders],MATCH(C240,tblServiceEvents[Event #],0)),"Yes","No"))))</x:f>
        <x:v>Yes</x:v>
      </x:c>
      <x:c r="J240" s="384" t="str">
        <x:f>IF(A240="","",IF(D240="MAPPING_HOLD","QUARANTINED",IF(AND(E240="Yes",F240="Yes",G240="Yes",H240="Yes",I240="Yes"),"PASS","FAIL")))</x:f>
        <x:v>PASS</x:v>
      </x:c>
      <x:c r="K240"/>
      <x:c r="L240"/>
      <x:c r="M240"/>
      <x:c r="N240"/>
      <x:c r="O240"/>
      <x:c r="P240"/>
      <x:c r="Q240"/>
      <x:c r="R240"/>
      <x:c r="S240"/>
      <x:c r="T240"/>
      <x:c r="U240"/>
      <x:c r="V240"/>
      <x:c r="X240"/>
      <x:c r="Y240"/>
      <x:c r="Z240"/>
      <x:c r="AA240"/>
      <x:c r="AB240"/>
      <x:c r="AC240"/>
      <x:c r="AD240"/>
      <x:c r="AE240"/>
      <x:c r="AF240"/>
      <x:c r="AG240"/>
      <x:c r="AH240"/>
      <x:c r="AI240"/>
      <x:c r="AJ240"/>
      <x:c r="AK240"/>
      <x:c r="AL240"/>
      <x:c r="AM240"/>
      <x:c r="AN240"/>
      <x:c r="AO240"/>
      <x:c r="AP240"/>
      <x:c r="AQ240"/>
      <x:c r="AR240"/>
      <x:c r="AS240"/>
    </x:row>
    <x:row r="241" ht="15" hidden="0" customHeight="1">
      <x:c r="A241" s="384" t="str">
        <x:f>IFERROR(INDEX(tblLedger[Ledger Record ID],ROWS($A$202:A241)),"")</x:f>
        <x:v>LED-0040</x:v>
      </x:c>
      <x:c r="B241" s="384" t="n">
        <x:f>IFERROR(INDEX(tblLedger[Work Order #],ROWS($A$202:A241)),"")</x:f>
        <x:v>5877236</x:v>
      </x:c>
      <x:c r="C241" s="384" t="n">
        <x:f>IFERROR(INDEX(tblLedger[Event #],ROWS($A$202:A241)),"")</x:f>
        <x:v>40</x:v>
      </x:c>
      <x:c r="D241" s="384" t="str">
        <x:f>IFERROR(INDEX(tblLedger[Mapping Status],ROWS($A$202:A241)),"")</x:f>
        <x:v>Unique</x:v>
      </x:c>
      <x:c r="E241" s="384" t="str">
        <x:f>IF(A241="","",IF(D241="MAPPING_HOLD","QUARANTINED",IF(COUNTIF(tblServiceEvents[Event #],C241)=1,"Yes","No")))</x:f>
        <x:v>Yes</x:v>
      </x:c>
      <x:c r="F241" s="384" t="str">
        <x:f>IF(A241="","",IF(E241&lt;&gt;"Yes","N/A",IF(INDEX(tblServiceEvents[Client ID],MATCH(C241,tblServiceEvents[Event #],0))=INDEX(tblLedger[Client ID],ROWS($A$202:A241)),"Yes","No")))</x:f>
        <x:v>Yes</x:v>
      </x:c>
      <x:c r="G241" s="384" t="str">
        <x:f>IF(A241="","",IF(E241&lt;&gt;"Yes","N/A",IF(INDEX(tblServiceEvents[Location Key],MATCH(C241,tblServiceEvents[Event #],0))=INDEX(tblLedger[Location Key],ROWS($A$202:A241)),"Yes","No")))</x:f>
        <x:v>Yes</x:v>
      </x:c>
      <x:c r="H241" s="384" t="str">
        <x:f>IF(A241="","",IF(E241&lt;&gt;"Yes","N/A",IF(INDEX(tblServiceEvents[Service Date],MATCH(C241,tblServiceEvents[Event #],0))=INDEX(tblLedger[Service Date],ROWS($A$202:A241)),"Yes","No")))</x:f>
        <x:v>Yes</x:v>
      </x:c>
      <x:c r="I241" s="384" t="str">
        <x:f>IF(A241="","",IF(E241&lt;&gt;"Yes","N/A",IF(D241="MULTI-WO VISIT","Yes",IF(B241=INDEX(tblServiceEvents[Work Orders],MATCH(C241,tblServiceEvents[Event #],0)),"Yes","No"))))</x:f>
        <x:v>Yes</x:v>
      </x:c>
      <x:c r="J241" s="384" t="str">
        <x:f>IF(A241="","",IF(D241="MAPPING_HOLD","QUARANTINED",IF(AND(E241="Yes",F241="Yes",G241="Yes",H241="Yes",I241="Yes"),"PASS","FAIL")))</x:f>
        <x:v>PASS</x:v>
      </x:c>
      <x:c r="K241"/>
      <x:c r="L241"/>
      <x:c r="M241"/>
      <x:c r="N241"/>
      <x:c r="O241"/>
      <x:c r="P241"/>
      <x:c r="Q241"/>
      <x:c r="R241"/>
      <x:c r="S241"/>
      <x:c r="T241"/>
      <x:c r="U241"/>
      <x:c r="V241"/>
      <x:c r="X241"/>
      <x:c r="Y241"/>
      <x:c r="Z241"/>
      <x:c r="AA241"/>
      <x:c r="AB241"/>
      <x:c r="AC241"/>
      <x:c r="AD241"/>
      <x:c r="AE241"/>
      <x:c r="AF241"/>
      <x:c r="AG241"/>
      <x:c r="AH241"/>
      <x:c r="AI241"/>
      <x:c r="AJ241"/>
      <x:c r="AK241"/>
      <x:c r="AL241"/>
      <x:c r="AM241"/>
      <x:c r="AN241"/>
      <x:c r="AO241"/>
      <x:c r="AP241"/>
      <x:c r="AQ241"/>
      <x:c r="AR241"/>
      <x:c r="AS241"/>
    </x:row>
    <x:row r="242" ht="15" hidden="0" customHeight="1">
      <x:c r="A242" s="384" t="str">
        <x:f>IFERROR(INDEX(tblLedger[Ledger Record ID],ROWS($A$202:A242)),"")</x:f>
        <x:v>LED-0041</x:v>
      </x:c>
      <x:c r="B242" s="384" t="n">
        <x:f>IFERROR(INDEX(tblLedger[Work Order #],ROWS($A$202:A242)),"")</x:f>
        <x:v>5887374</x:v>
      </x:c>
      <x:c r="C242" s="384" t="n">
        <x:f>IFERROR(INDEX(tblLedger[Event #],ROWS($A$202:A242)),"")</x:f>
        <x:v>41</x:v>
      </x:c>
      <x:c r="D242" s="384" t="str">
        <x:f>IFERROR(INDEX(tblLedger[Mapping Status],ROWS($A$202:A242)),"")</x:f>
        <x:v>Unique</x:v>
      </x:c>
      <x:c r="E242" s="384" t="str">
        <x:f>IF(A242="","",IF(D242="MAPPING_HOLD","QUARANTINED",IF(COUNTIF(tblServiceEvents[Event #],C242)=1,"Yes","No")))</x:f>
        <x:v>Yes</x:v>
      </x:c>
      <x:c r="F242" s="384" t="str">
        <x:f>IF(A242="","",IF(E242&lt;&gt;"Yes","N/A",IF(INDEX(tblServiceEvents[Client ID],MATCH(C242,tblServiceEvents[Event #],0))=INDEX(tblLedger[Client ID],ROWS($A$202:A242)),"Yes","No")))</x:f>
        <x:v>Yes</x:v>
      </x:c>
      <x:c r="G242" s="384" t="str">
        <x:f>IF(A242="","",IF(E242&lt;&gt;"Yes","N/A",IF(INDEX(tblServiceEvents[Location Key],MATCH(C242,tblServiceEvents[Event #],0))=INDEX(tblLedger[Location Key],ROWS($A$202:A242)),"Yes","No")))</x:f>
        <x:v>Yes</x:v>
      </x:c>
      <x:c r="H242" s="384" t="str">
        <x:f>IF(A242="","",IF(E242&lt;&gt;"Yes","N/A",IF(INDEX(tblServiceEvents[Service Date],MATCH(C242,tblServiceEvents[Event #],0))=INDEX(tblLedger[Service Date],ROWS($A$202:A242)),"Yes","No")))</x:f>
        <x:v>Yes</x:v>
      </x:c>
      <x:c r="I242" s="384" t="str">
        <x:f>IF(A242="","",IF(E242&lt;&gt;"Yes","N/A",IF(D242="MULTI-WO VISIT","Yes",IF(B242=INDEX(tblServiceEvents[Work Orders],MATCH(C242,tblServiceEvents[Event #],0)),"Yes","No"))))</x:f>
        <x:v>Yes</x:v>
      </x:c>
      <x:c r="J242" s="384" t="str">
        <x:f>IF(A242="","",IF(D242="MAPPING_HOLD","QUARANTINED",IF(AND(E242="Yes",F242="Yes",G242="Yes",H242="Yes",I242="Yes"),"PASS","FAIL")))</x:f>
        <x:v>PASS</x:v>
      </x:c>
      <x:c r="K242"/>
      <x:c r="L242"/>
      <x:c r="M242"/>
      <x:c r="N242"/>
      <x:c r="O242"/>
      <x:c r="P242"/>
      <x:c r="Q242"/>
      <x:c r="R242"/>
      <x:c r="S242"/>
      <x:c r="T242"/>
      <x:c r="U242"/>
      <x:c r="V242"/>
      <x:c r="X242"/>
      <x:c r="Y242"/>
      <x:c r="Z242"/>
      <x:c r="AA242"/>
      <x:c r="AB242"/>
      <x:c r="AC242"/>
      <x:c r="AD242"/>
      <x:c r="AE242"/>
      <x:c r="AF242"/>
      <x:c r="AG242"/>
      <x:c r="AH242"/>
      <x:c r="AI242"/>
      <x:c r="AJ242"/>
      <x:c r="AK242"/>
      <x:c r="AL242"/>
      <x:c r="AM242"/>
      <x:c r="AN242"/>
      <x:c r="AO242"/>
      <x:c r="AP242"/>
      <x:c r="AQ242"/>
      <x:c r="AR242"/>
      <x:c r="AS242"/>
    </x:row>
    <x:row r="243" ht="15" hidden="0" customHeight="1">
      <x:c r="A243" s="384" t="str">
        <x:f>IFERROR(INDEX(tblLedger[Ledger Record ID],ROWS($A$202:A243)),"")</x:f>
        <x:v>LED-0042</x:v>
      </x:c>
      <x:c r="B243" s="384" t="n">
        <x:f>IFERROR(INDEX(tblLedger[Work Order #],ROWS($A$202:A243)),"")</x:f>
        <x:v>5901061</x:v>
      </x:c>
      <x:c r="C243" s="384" t="n">
        <x:f>IFERROR(INDEX(tblLedger[Event #],ROWS($A$202:A243)),"")</x:f>
        <x:v>42</x:v>
      </x:c>
      <x:c r="D243" s="384" t="str">
        <x:f>IFERROR(INDEX(tblLedger[Mapping Status],ROWS($A$202:A243)),"")</x:f>
        <x:v>Unique</x:v>
      </x:c>
      <x:c r="E243" s="384" t="str">
        <x:f>IF(A243="","",IF(D243="MAPPING_HOLD","QUARANTINED",IF(COUNTIF(tblServiceEvents[Event #],C243)=1,"Yes","No")))</x:f>
        <x:v>Yes</x:v>
      </x:c>
      <x:c r="F243" s="384" t="str">
        <x:f>IF(A243="","",IF(E243&lt;&gt;"Yes","N/A",IF(INDEX(tblServiceEvents[Client ID],MATCH(C243,tblServiceEvents[Event #],0))=INDEX(tblLedger[Client ID],ROWS($A$202:A243)),"Yes","No")))</x:f>
        <x:v>Yes</x:v>
      </x:c>
      <x:c r="G243" s="384" t="str">
        <x:f>IF(A243="","",IF(E243&lt;&gt;"Yes","N/A",IF(INDEX(tblServiceEvents[Location Key],MATCH(C243,tblServiceEvents[Event #],0))=INDEX(tblLedger[Location Key],ROWS($A$202:A243)),"Yes","No")))</x:f>
        <x:v>Yes</x:v>
      </x:c>
      <x:c r="H243" s="384" t="str">
        <x:f>IF(A243="","",IF(E243&lt;&gt;"Yes","N/A",IF(INDEX(tblServiceEvents[Service Date],MATCH(C243,tblServiceEvents[Event #],0))=INDEX(tblLedger[Service Date],ROWS($A$202:A243)),"Yes","No")))</x:f>
        <x:v>Yes</x:v>
      </x:c>
      <x:c r="I243" s="384" t="str">
        <x:f>IF(A243="","",IF(E243&lt;&gt;"Yes","N/A",IF(D243="MULTI-WO VISIT","Yes",IF(B243=INDEX(tblServiceEvents[Work Orders],MATCH(C243,tblServiceEvents[Event #],0)),"Yes","No"))))</x:f>
        <x:v>Yes</x:v>
      </x:c>
      <x:c r="J243" s="384" t="str">
        <x:f>IF(A243="","",IF(D243="MAPPING_HOLD","QUARANTINED",IF(AND(E243="Yes",F243="Yes",G243="Yes",H243="Yes",I243="Yes"),"PASS","FAIL")))</x:f>
        <x:v>PASS</x:v>
      </x:c>
      <x:c r="K243"/>
      <x:c r="L243"/>
      <x:c r="M243"/>
      <x:c r="N243"/>
      <x:c r="O243"/>
      <x:c r="P243"/>
      <x:c r="Q243"/>
      <x:c r="R243"/>
      <x:c r="S243"/>
      <x:c r="T243"/>
      <x:c r="U243"/>
      <x:c r="V243"/>
      <x:c r="X243"/>
      <x:c r="Y243"/>
      <x:c r="Z243"/>
      <x:c r="AA243"/>
      <x:c r="AB243"/>
      <x:c r="AC243"/>
      <x:c r="AD243"/>
      <x:c r="AE243"/>
      <x:c r="AF243"/>
      <x:c r="AG243"/>
      <x:c r="AH243"/>
      <x:c r="AI243"/>
      <x:c r="AJ243"/>
      <x:c r="AK243"/>
      <x:c r="AL243"/>
      <x:c r="AM243"/>
      <x:c r="AN243"/>
      <x:c r="AO243"/>
      <x:c r="AP243"/>
      <x:c r="AQ243"/>
      <x:c r="AR243"/>
      <x:c r="AS243"/>
    </x:row>
    <x:row r="244" ht="15" hidden="0" customHeight="1">
      <x:c r="A244" s="384" t="str">
        <x:f>IFERROR(INDEX(tblLedger[Ledger Record ID],ROWS($A$202:A244)),"")</x:f>
        <x:v>LED-0043</x:v>
      </x:c>
      <x:c r="B244" s="384" t="n">
        <x:f>IFERROR(INDEX(tblLedger[Work Order #],ROWS($A$202:A244)),"")</x:f>
        <x:v>5902689</x:v>
      </x:c>
      <x:c r="C244" s="384" t="n">
        <x:f>IFERROR(INDEX(tblLedger[Event #],ROWS($A$202:A244)),"")</x:f>
        <x:v>43</x:v>
      </x:c>
      <x:c r="D244" s="384" t="str">
        <x:f>IFERROR(INDEX(tblLedger[Mapping Status],ROWS($A$202:A244)),"")</x:f>
        <x:v>Unique</x:v>
      </x:c>
      <x:c r="E244" s="384" t="str">
        <x:f>IF(A244="","",IF(D244="MAPPING_HOLD","QUARANTINED",IF(COUNTIF(tblServiceEvents[Event #],C244)=1,"Yes","No")))</x:f>
        <x:v>Yes</x:v>
      </x:c>
      <x:c r="F244" s="384" t="str">
        <x:f>IF(A244="","",IF(E244&lt;&gt;"Yes","N/A",IF(INDEX(tblServiceEvents[Client ID],MATCH(C244,tblServiceEvents[Event #],0))=INDEX(tblLedger[Client ID],ROWS($A$202:A244)),"Yes","No")))</x:f>
        <x:v>Yes</x:v>
      </x:c>
      <x:c r="G244" s="384" t="str">
        <x:f>IF(A244="","",IF(E244&lt;&gt;"Yes","N/A",IF(INDEX(tblServiceEvents[Location Key],MATCH(C244,tblServiceEvents[Event #],0))=INDEX(tblLedger[Location Key],ROWS($A$202:A244)),"Yes","No")))</x:f>
        <x:v>Yes</x:v>
      </x:c>
      <x:c r="H244" s="384" t="str">
        <x:f>IF(A244="","",IF(E244&lt;&gt;"Yes","N/A",IF(INDEX(tblServiceEvents[Service Date],MATCH(C244,tblServiceEvents[Event #],0))=INDEX(tblLedger[Service Date],ROWS($A$202:A244)),"Yes","No")))</x:f>
        <x:v>Yes</x:v>
      </x:c>
      <x:c r="I244" s="384" t="str">
        <x:f>IF(A244="","",IF(E244&lt;&gt;"Yes","N/A",IF(D244="MULTI-WO VISIT","Yes",IF(B244=INDEX(tblServiceEvents[Work Orders],MATCH(C244,tblServiceEvents[Event #],0)),"Yes","No"))))</x:f>
        <x:v>Yes</x:v>
      </x:c>
      <x:c r="J244" s="384" t="str">
        <x:f>IF(A244="","",IF(D244="MAPPING_HOLD","QUARANTINED",IF(AND(E244="Yes",F244="Yes",G244="Yes",H244="Yes",I244="Yes"),"PASS","FAIL")))</x:f>
        <x:v>PASS</x:v>
      </x:c>
      <x:c r="K244"/>
      <x:c r="L244"/>
      <x:c r="M244"/>
      <x:c r="N244"/>
      <x:c r="O244"/>
      <x:c r="P244"/>
      <x:c r="Q244"/>
      <x:c r="R244"/>
      <x:c r="S244"/>
      <x:c r="T244"/>
      <x:c r="U244"/>
      <x:c r="V244"/>
      <x:c r="X244"/>
      <x:c r="Y244"/>
      <x:c r="Z244"/>
      <x:c r="AA244"/>
      <x:c r="AB244"/>
      <x:c r="AC244"/>
      <x:c r="AD244"/>
      <x:c r="AE244"/>
      <x:c r="AF244"/>
      <x:c r="AG244"/>
      <x:c r="AH244"/>
      <x:c r="AI244"/>
      <x:c r="AJ244"/>
      <x:c r="AK244"/>
      <x:c r="AL244"/>
      <x:c r="AM244"/>
      <x:c r="AN244"/>
      <x:c r="AO244"/>
      <x:c r="AP244"/>
      <x:c r="AQ244"/>
      <x:c r="AR244"/>
      <x:c r="AS244"/>
    </x:row>
    <x:row r="245" ht="15" hidden="0" customHeight="1">
      <x:c r="A245" s="384" t="str">
        <x:f>IFERROR(INDEX(tblLedger[Ledger Record ID],ROWS($A$202:A245)),"")</x:f>
        <x:v>LED-0044</x:v>
      </x:c>
      <x:c r="B245" s="384" t="n">
        <x:f>IFERROR(INDEX(tblLedger[Work Order #],ROWS($A$202:A245)),"")</x:f>
        <x:v>5902930</x:v>
      </x:c>
      <x:c r="C245" s="384" t="n">
        <x:f>IFERROR(INDEX(tblLedger[Event #],ROWS($A$202:A245)),"")</x:f>
        <x:v>44</x:v>
      </x:c>
      <x:c r="D245" s="384" t="str">
        <x:f>IFERROR(INDEX(tblLedger[Mapping Status],ROWS($A$202:A245)),"")</x:f>
        <x:v>Unique</x:v>
      </x:c>
      <x:c r="E245" s="384" t="str">
        <x:f>IF(A245="","",IF(D245="MAPPING_HOLD","QUARANTINED",IF(COUNTIF(tblServiceEvents[Event #],C245)=1,"Yes","No")))</x:f>
        <x:v>Yes</x:v>
      </x:c>
      <x:c r="F245" s="384" t="str">
        <x:f>IF(A245="","",IF(E245&lt;&gt;"Yes","N/A",IF(INDEX(tblServiceEvents[Client ID],MATCH(C245,tblServiceEvents[Event #],0))=INDEX(tblLedger[Client ID],ROWS($A$202:A245)),"Yes","No")))</x:f>
        <x:v>Yes</x:v>
      </x:c>
      <x:c r="G245" s="384" t="str">
        <x:f>IF(A245="","",IF(E245&lt;&gt;"Yes","N/A",IF(INDEX(tblServiceEvents[Location Key],MATCH(C245,tblServiceEvents[Event #],0))=INDEX(tblLedger[Location Key],ROWS($A$202:A245)),"Yes","No")))</x:f>
        <x:v>Yes</x:v>
      </x:c>
      <x:c r="H245" s="384" t="str">
        <x:f>IF(A245="","",IF(E245&lt;&gt;"Yes","N/A",IF(INDEX(tblServiceEvents[Service Date],MATCH(C245,tblServiceEvents[Event #],0))=INDEX(tblLedger[Service Date],ROWS($A$202:A245)),"Yes","No")))</x:f>
        <x:v>Yes</x:v>
      </x:c>
      <x:c r="I245" s="384" t="str">
        <x:f>IF(A245="","",IF(E245&lt;&gt;"Yes","N/A",IF(D245="MULTI-WO VISIT","Yes",IF(B245=INDEX(tblServiceEvents[Work Orders],MATCH(C245,tblServiceEvents[Event #],0)),"Yes","No"))))</x:f>
        <x:v>Yes</x:v>
      </x:c>
      <x:c r="J245" s="384" t="str">
        <x:f>IF(A245="","",IF(D245="MAPPING_HOLD","QUARANTINED",IF(AND(E245="Yes",F245="Yes",G245="Yes",H245="Yes",I245="Yes"),"PASS","FAIL")))</x:f>
        <x:v>PASS</x:v>
      </x:c>
      <x:c r="K245"/>
      <x:c r="L245"/>
      <x:c r="M245"/>
      <x:c r="N245"/>
      <x:c r="O245"/>
      <x:c r="P245"/>
      <x:c r="Q245"/>
      <x:c r="R245"/>
      <x:c r="S245"/>
      <x:c r="T245"/>
      <x:c r="U245"/>
      <x:c r="V245"/>
      <x:c r="X245"/>
      <x:c r="Y245"/>
      <x:c r="Z245"/>
      <x:c r="AA245"/>
      <x:c r="AB245"/>
      <x:c r="AC245"/>
      <x:c r="AD245"/>
      <x:c r="AE245"/>
      <x:c r="AF245"/>
      <x:c r="AG245"/>
      <x:c r="AH245"/>
      <x:c r="AI245"/>
      <x:c r="AJ245"/>
      <x:c r="AK245"/>
      <x:c r="AL245"/>
      <x:c r="AM245"/>
      <x:c r="AN245"/>
      <x:c r="AO245"/>
      <x:c r="AP245"/>
      <x:c r="AQ245"/>
      <x:c r="AR245"/>
      <x:c r="AS245"/>
    </x:row>
    <x:row r="246" ht="15" hidden="0" customHeight="1">
      <x:c r="A246" s="384" t="str">
        <x:f>IFERROR(INDEX(tblLedger[Ledger Record ID],ROWS($A$202:A246)),"")</x:f>
        <x:v>LED-0045</x:v>
      </x:c>
      <x:c r="B246" s="384" t="n">
        <x:f>IFERROR(INDEX(tblLedger[Work Order #],ROWS($A$202:A246)),"")</x:f>
        <x:v>5900963</x:v>
      </x:c>
      <x:c r="C246" s="384" t="n">
        <x:f>IFERROR(INDEX(tblLedger[Event #],ROWS($A$202:A246)),"")</x:f>
        <x:v>45</x:v>
      </x:c>
      <x:c r="D246" s="384" t="str">
        <x:f>IFERROR(INDEX(tblLedger[Mapping Status],ROWS($A$202:A246)),"")</x:f>
        <x:v>Unique</x:v>
      </x:c>
      <x:c r="E246" s="384" t="str">
        <x:f>IF(A246="","",IF(D246="MAPPING_HOLD","QUARANTINED",IF(COUNTIF(tblServiceEvents[Event #],C246)=1,"Yes","No")))</x:f>
        <x:v>Yes</x:v>
      </x:c>
      <x:c r="F246" s="384" t="str">
        <x:f>IF(A246="","",IF(E246&lt;&gt;"Yes","N/A",IF(INDEX(tblServiceEvents[Client ID],MATCH(C246,tblServiceEvents[Event #],0))=INDEX(tblLedger[Client ID],ROWS($A$202:A246)),"Yes","No")))</x:f>
        <x:v>Yes</x:v>
      </x:c>
      <x:c r="G246" s="384" t="str">
        <x:f>IF(A246="","",IF(E246&lt;&gt;"Yes","N/A",IF(INDEX(tblServiceEvents[Location Key],MATCH(C246,tblServiceEvents[Event #],0))=INDEX(tblLedger[Location Key],ROWS($A$202:A246)),"Yes","No")))</x:f>
        <x:v>Yes</x:v>
      </x:c>
      <x:c r="H246" s="384" t="str">
        <x:f>IF(A246="","",IF(E246&lt;&gt;"Yes","N/A",IF(INDEX(tblServiceEvents[Service Date],MATCH(C246,tblServiceEvents[Event #],0))=INDEX(tblLedger[Service Date],ROWS($A$202:A246)),"Yes","No")))</x:f>
        <x:v>Yes</x:v>
      </x:c>
      <x:c r="I246" s="384" t="str">
        <x:f>IF(A246="","",IF(E246&lt;&gt;"Yes","N/A",IF(D246="MULTI-WO VISIT","Yes",IF(B246=INDEX(tblServiceEvents[Work Orders],MATCH(C246,tblServiceEvents[Event #],0)),"Yes","No"))))</x:f>
        <x:v>Yes</x:v>
      </x:c>
      <x:c r="J246" s="384" t="str">
        <x:f>IF(A246="","",IF(D246="MAPPING_HOLD","QUARANTINED",IF(AND(E246="Yes",F246="Yes",G246="Yes",H246="Yes",I246="Yes"),"PASS","FAIL")))</x:f>
        <x:v>PASS</x:v>
      </x:c>
      <x:c r="K246"/>
      <x:c r="L246"/>
      <x:c r="M246"/>
      <x:c r="N246"/>
      <x:c r="O246"/>
      <x:c r="P246"/>
      <x:c r="Q246"/>
      <x:c r="R246"/>
      <x:c r="S246"/>
      <x:c r="T246"/>
      <x:c r="U246"/>
      <x:c r="V246"/>
      <x:c r="X246"/>
      <x:c r="Y246"/>
      <x:c r="Z246"/>
      <x:c r="AA246"/>
      <x:c r="AB246"/>
      <x:c r="AC246"/>
      <x:c r="AD246"/>
      <x:c r="AE246"/>
      <x:c r="AF246"/>
      <x:c r="AG246"/>
      <x:c r="AH246"/>
      <x:c r="AI246"/>
      <x:c r="AJ246"/>
      <x:c r="AK246"/>
      <x:c r="AL246"/>
      <x:c r="AM246"/>
      <x:c r="AN246"/>
      <x:c r="AO246"/>
      <x:c r="AP246"/>
      <x:c r="AQ246"/>
      <x:c r="AR246"/>
      <x:c r="AS246"/>
    </x:row>
    <x:row r="247" ht="15" hidden="0" customHeight="1">
      <x:c r="A247" s="384" t="str">
        <x:f>IFERROR(INDEX(tblLedger[Ledger Record ID],ROWS($A$202:A247)),"")</x:f>
        <x:v>LED-0046</x:v>
      </x:c>
      <x:c r="B247" s="384" t="n">
        <x:f>IFERROR(INDEX(tblLedger[Work Order #],ROWS($A$202:A247)),"")</x:f>
        <x:v>5904843</x:v>
      </x:c>
      <x:c r="C247" s="384" t="n">
        <x:f>IFERROR(INDEX(tblLedger[Event #],ROWS($A$202:A247)),"")</x:f>
        <x:v>46</x:v>
      </x:c>
      <x:c r="D247" s="384" t="str">
        <x:f>IFERROR(INDEX(tblLedger[Mapping Status],ROWS($A$202:A247)),"")</x:f>
        <x:v>Unique</x:v>
      </x:c>
      <x:c r="E247" s="384" t="str">
        <x:f>IF(A247="","",IF(D247="MAPPING_HOLD","QUARANTINED",IF(COUNTIF(tblServiceEvents[Event #],C247)=1,"Yes","No")))</x:f>
        <x:v>Yes</x:v>
      </x:c>
      <x:c r="F247" s="384" t="str">
        <x:f>IF(A247="","",IF(E247&lt;&gt;"Yes","N/A",IF(INDEX(tblServiceEvents[Client ID],MATCH(C247,tblServiceEvents[Event #],0))=INDEX(tblLedger[Client ID],ROWS($A$202:A247)),"Yes","No")))</x:f>
        <x:v>Yes</x:v>
      </x:c>
      <x:c r="G247" s="384" t="str">
        <x:f>IF(A247="","",IF(E247&lt;&gt;"Yes","N/A",IF(INDEX(tblServiceEvents[Location Key],MATCH(C247,tblServiceEvents[Event #],0))=INDEX(tblLedger[Location Key],ROWS($A$202:A247)),"Yes","No")))</x:f>
        <x:v>Yes</x:v>
      </x:c>
      <x:c r="H247" s="384" t="str">
        <x:f>IF(A247="","",IF(E247&lt;&gt;"Yes","N/A",IF(INDEX(tblServiceEvents[Service Date],MATCH(C247,tblServiceEvents[Event #],0))=INDEX(tblLedger[Service Date],ROWS($A$202:A247)),"Yes","No")))</x:f>
        <x:v>Yes</x:v>
      </x:c>
      <x:c r="I247" s="384" t="str">
        <x:f>IF(A247="","",IF(E247&lt;&gt;"Yes","N/A",IF(D247="MULTI-WO VISIT","Yes",IF(B247=INDEX(tblServiceEvents[Work Orders],MATCH(C247,tblServiceEvents[Event #],0)),"Yes","No"))))</x:f>
        <x:v>Yes</x:v>
      </x:c>
      <x:c r="J247" s="384" t="str">
        <x:f>IF(A247="","",IF(D247="MAPPING_HOLD","QUARANTINED",IF(AND(E247="Yes",F247="Yes",G247="Yes",H247="Yes",I247="Yes"),"PASS","FAIL")))</x:f>
        <x:v>PASS</x:v>
      </x:c>
      <x:c r="K247"/>
      <x:c r="L247"/>
      <x:c r="M247"/>
      <x:c r="N247"/>
      <x:c r="O247"/>
      <x:c r="P247"/>
      <x:c r="Q247"/>
      <x:c r="R247"/>
      <x:c r="S247"/>
      <x:c r="T247"/>
      <x:c r="U247"/>
      <x:c r="V247"/>
      <x:c r="X247"/>
      <x:c r="Y247"/>
      <x:c r="Z247"/>
      <x:c r="AA247"/>
      <x:c r="AB247"/>
      <x:c r="AC247"/>
      <x:c r="AD247"/>
      <x:c r="AE247"/>
      <x:c r="AF247"/>
      <x:c r="AG247"/>
      <x:c r="AH247"/>
      <x:c r="AI247"/>
      <x:c r="AJ247"/>
      <x:c r="AK247"/>
      <x:c r="AL247"/>
      <x:c r="AM247"/>
      <x:c r="AN247"/>
      <x:c r="AO247"/>
      <x:c r="AP247"/>
      <x:c r="AQ247"/>
      <x:c r="AR247"/>
      <x:c r="AS247"/>
    </x:row>
    <x:row r="248" ht="15" hidden="0" customHeight="1">
      <x:c r="A248" s="384" t="str">
        <x:f>IFERROR(INDEX(tblLedger[Ledger Record ID],ROWS($A$202:A248)),"")</x:f>
        <x:v>LED-0047</x:v>
      </x:c>
      <x:c r="B248" s="384" t="n">
        <x:f>IFERROR(INDEX(tblLedger[Work Order #],ROWS($A$202:A248)),"")</x:f>
        <x:v>5898644</x:v>
      </x:c>
      <x:c r="C248" s="384" t="n">
        <x:f>IFERROR(INDEX(tblLedger[Event #],ROWS($A$202:A248)),"")</x:f>
        <x:v>47</x:v>
      </x:c>
      <x:c r="D248" s="384" t="str">
        <x:f>IFERROR(INDEX(tblLedger[Mapping Status],ROWS($A$202:A248)),"")</x:f>
        <x:v>Unique</x:v>
      </x:c>
      <x:c r="E248" s="384" t="str">
        <x:f>IF(A248="","",IF(D248="MAPPING_HOLD","QUARANTINED",IF(COUNTIF(tblServiceEvents[Event #],C248)=1,"Yes","No")))</x:f>
        <x:v>Yes</x:v>
      </x:c>
      <x:c r="F248" s="384" t="str">
        <x:f>IF(A248="","",IF(E248&lt;&gt;"Yes","N/A",IF(INDEX(tblServiceEvents[Client ID],MATCH(C248,tblServiceEvents[Event #],0))=INDEX(tblLedger[Client ID],ROWS($A$202:A248)),"Yes","No")))</x:f>
        <x:v>Yes</x:v>
      </x:c>
      <x:c r="G248" s="384" t="str">
        <x:f>IF(A248="","",IF(E248&lt;&gt;"Yes","N/A",IF(INDEX(tblServiceEvents[Location Key],MATCH(C248,tblServiceEvents[Event #],0))=INDEX(tblLedger[Location Key],ROWS($A$202:A248)),"Yes","No")))</x:f>
        <x:v>Yes</x:v>
      </x:c>
      <x:c r="H248" s="384" t="str">
        <x:f>IF(A248="","",IF(E248&lt;&gt;"Yes","N/A",IF(INDEX(tblServiceEvents[Service Date],MATCH(C248,tblServiceEvents[Event #],0))=INDEX(tblLedger[Service Date],ROWS($A$202:A248)),"Yes","No")))</x:f>
        <x:v>Yes</x:v>
      </x:c>
      <x:c r="I248" s="384" t="str">
        <x:f>IF(A248="","",IF(E248&lt;&gt;"Yes","N/A",IF(D248="MULTI-WO VISIT","Yes",IF(B248=INDEX(tblServiceEvents[Work Orders],MATCH(C248,tblServiceEvents[Event #],0)),"Yes","No"))))</x:f>
        <x:v>Yes</x:v>
      </x:c>
      <x:c r="J248" s="384" t="str">
        <x:f>IF(A248="","",IF(D248="MAPPING_HOLD","QUARANTINED",IF(AND(E248="Yes",F248="Yes",G248="Yes",H248="Yes",I248="Yes"),"PASS","FAIL")))</x:f>
        <x:v>PASS</x:v>
      </x:c>
      <x:c r="K248"/>
      <x:c r="L248"/>
      <x:c r="M248"/>
      <x:c r="N248"/>
      <x:c r="O248"/>
      <x:c r="P248"/>
      <x:c r="Q248"/>
      <x:c r="R248"/>
      <x:c r="S248"/>
      <x:c r="T248"/>
      <x:c r="U248"/>
      <x:c r="V248"/>
      <x:c r="X248"/>
      <x:c r="Y248"/>
      <x:c r="Z248"/>
      <x:c r="AA248"/>
      <x:c r="AB248"/>
      <x:c r="AC248"/>
      <x:c r="AD248"/>
      <x:c r="AE248"/>
      <x:c r="AF248"/>
      <x:c r="AG248"/>
      <x:c r="AH248"/>
      <x:c r="AI248"/>
      <x:c r="AJ248"/>
      <x:c r="AK248"/>
      <x:c r="AL248"/>
      <x:c r="AM248"/>
      <x:c r="AN248"/>
      <x:c r="AO248"/>
      <x:c r="AP248"/>
      <x:c r="AQ248"/>
      <x:c r="AR248"/>
      <x:c r="AS248"/>
    </x:row>
    <x:row r="249" ht="15" hidden="0" customHeight="1">
      <x:c r="A249" s="384" t="str">
        <x:f>IFERROR(INDEX(tblLedger[Ledger Record ID],ROWS($A$202:A249)),"")</x:f>
        <x:v>LED-0048</x:v>
      </x:c>
      <x:c r="B249" s="384" t="n">
        <x:f>IFERROR(INDEX(tblLedger[Work Order #],ROWS($A$202:A249)),"")</x:f>
        <x:v>5905576</x:v>
      </x:c>
      <x:c r="C249" s="384" t="n">
        <x:f>IFERROR(INDEX(tblLedger[Event #],ROWS($A$202:A249)),"")</x:f>
        <x:v>48</x:v>
      </x:c>
      <x:c r="D249" s="384" t="str">
        <x:f>IFERROR(INDEX(tblLedger[Mapping Status],ROWS($A$202:A249)),"")</x:f>
        <x:v>Unique</x:v>
      </x:c>
      <x:c r="E249" s="384" t="str">
        <x:f>IF(A249="","",IF(D249="MAPPING_HOLD","QUARANTINED",IF(COUNTIF(tblServiceEvents[Event #],C249)=1,"Yes","No")))</x:f>
        <x:v>Yes</x:v>
      </x:c>
      <x:c r="F249" s="384" t="str">
        <x:f>IF(A249="","",IF(E249&lt;&gt;"Yes","N/A",IF(INDEX(tblServiceEvents[Client ID],MATCH(C249,tblServiceEvents[Event #],0))=INDEX(tblLedger[Client ID],ROWS($A$202:A249)),"Yes","No")))</x:f>
        <x:v>Yes</x:v>
      </x:c>
      <x:c r="G249" s="384" t="str">
        <x:f>IF(A249="","",IF(E249&lt;&gt;"Yes","N/A",IF(INDEX(tblServiceEvents[Location Key],MATCH(C249,tblServiceEvents[Event #],0))=INDEX(tblLedger[Location Key],ROWS($A$202:A249)),"Yes","No")))</x:f>
        <x:v>Yes</x:v>
      </x:c>
      <x:c r="H249" s="384" t="str">
        <x:f>IF(A249="","",IF(E249&lt;&gt;"Yes","N/A",IF(INDEX(tblServiceEvents[Service Date],MATCH(C249,tblServiceEvents[Event #],0))=INDEX(tblLedger[Service Date],ROWS($A$202:A249)),"Yes","No")))</x:f>
        <x:v>Yes</x:v>
      </x:c>
      <x:c r="I249" s="384" t="str">
        <x:f>IF(A249="","",IF(E249&lt;&gt;"Yes","N/A",IF(D249="MULTI-WO VISIT","Yes",IF(B249=INDEX(tblServiceEvents[Work Orders],MATCH(C249,tblServiceEvents[Event #],0)),"Yes","No"))))</x:f>
        <x:v>Yes</x:v>
      </x:c>
      <x:c r="J249" s="384" t="str">
        <x:f>IF(A249="","",IF(D249="MAPPING_HOLD","QUARANTINED",IF(AND(E249="Yes",F249="Yes",G249="Yes",H249="Yes",I249="Yes"),"PASS","FAIL")))</x:f>
        <x:v>PASS</x:v>
      </x:c>
      <x:c r="K249"/>
      <x:c r="L249"/>
      <x:c r="M249"/>
      <x:c r="N249"/>
      <x:c r="O249"/>
      <x:c r="P249"/>
      <x:c r="Q249"/>
      <x:c r="R249"/>
      <x:c r="S249"/>
      <x:c r="T249"/>
      <x:c r="U249"/>
      <x:c r="V249"/>
      <x:c r="X249"/>
      <x:c r="Y249"/>
      <x:c r="Z249"/>
      <x:c r="AA249"/>
      <x:c r="AB249"/>
      <x:c r="AC249"/>
      <x:c r="AD249"/>
      <x:c r="AE249"/>
      <x:c r="AF249"/>
      <x:c r="AG249"/>
      <x:c r="AH249"/>
      <x:c r="AI249"/>
      <x:c r="AJ249"/>
      <x:c r="AK249"/>
      <x:c r="AL249"/>
      <x:c r="AM249"/>
      <x:c r="AN249"/>
      <x:c r="AO249"/>
      <x:c r="AP249"/>
      <x:c r="AQ249"/>
      <x:c r="AR249"/>
      <x:c r="AS249"/>
    </x:row>
    <x:row r="250" ht="15" hidden="0" customHeight="1">
      <x:c r="A250" s="384" t="str">
        <x:f>IFERROR(INDEX(tblLedger[Ledger Record ID],ROWS($A$202:A250)),"")</x:f>
        <x:v>LED-0049</x:v>
      </x:c>
      <x:c r="B250" s="384" t="n">
        <x:f>IFERROR(INDEX(tblLedger[Work Order #],ROWS($A$202:A250)),"")</x:f>
        <x:v>5899546</x:v>
      </x:c>
      <x:c r="C250" s="384" t="n">
        <x:f>IFERROR(INDEX(tblLedger[Event #],ROWS($A$202:A250)),"")</x:f>
        <x:v>49</x:v>
      </x:c>
      <x:c r="D250" s="384" t="str">
        <x:f>IFERROR(INDEX(tblLedger[Mapping Status],ROWS($A$202:A250)),"")</x:f>
        <x:v>Unique</x:v>
      </x:c>
      <x:c r="E250" s="384" t="str">
        <x:f>IF(A250="","",IF(D250="MAPPING_HOLD","QUARANTINED",IF(COUNTIF(tblServiceEvents[Event #],C250)=1,"Yes","No")))</x:f>
        <x:v>Yes</x:v>
      </x:c>
      <x:c r="F250" s="384" t="str">
        <x:f>IF(A250="","",IF(E250&lt;&gt;"Yes","N/A",IF(INDEX(tblServiceEvents[Client ID],MATCH(C250,tblServiceEvents[Event #],0))=INDEX(tblLedger[Client ID],ROWS($A$202:A250)),"Yes","No")))</x:f>
        <x:v>Yes</x:v>
      </x:c>
      <x:c r="G250" s="384" t="str">
        <x:f>IF(A250="","",IF(E250&lt;&gt;"Yes","N/A",IF(INDEX(tblServiceEvents[Location Key],MATCH(C250,tblServiceEvents[Event #],0))=INDEX(tblLedger[Location Key],ROWS($A$202:A250)),"Yes","No")))</x:f>
        <x:v>Yes</x:v>
      </x:c>
      <x:c r="H250" s="384" t="str">
        <x:f>IF(A250="","",IF(E250&lt;&gt;"Yes","N/A",IF(INDEX(tblServiceEvents[Service Date],MATCH(C250,tblServiceEvents[Event #],0))=INDEX(tblLedger[Service Date],ROWS($A$202:A250)),"Yes","No")))</x:f>
        <x:v>Yes</x:v>
      </x:c>
      <x:c r="I250" s="384" t="str">
        <x:f>IF(A250="","",IF(E250&lt;&gt;"Yes","N/A",IF(D250="MULTI-WO VISIT","Yes",IF(B250=INDEX(tblServiceEvents[Work Orders],MATCH(C250,tblServiceEvents[Event #],0)),"Yes","No"))))</x:f>
        <x:v>Yes</x:v>
      </x:c>
      <x:c r="J250" s="384" t="str">
        <x:f>IF(A250="","",IF(D250="MAPPING_HOLD","QUARANTINED",IF(AND(E250="Yes",F250="Yes",G250="Yes",H250="Yes",I250="Yes"),"PASS","FAIL")))</x:f>
        <x:v>PASS</x:v>
      </x:c>
      <x:c r="K250"/>
      <x:c r="L250"/>
      <x:c r="M250"/>
      <x:c r="N250"/>
      <x:c r="O250"/>
      <x:c r="P250"/>
      <x:c r="Q250"/>
      <x:c r="R250"/>
      <x:c r="S250"/>
      <x:c r="T250"/>
      <x:c r="U250"/>
      <x:c r="V250"/>
      <x:c r="X250"/>
      <x:c r="Y250"/>
      <x:c r="Z250"/>
      <x:c r="AA250"/>
      <x:c r="AB250"/>
      <x:c r="AC250"/>
      <x:c r="AD250"/>
      <x:c r="AE250"/>
      <x:c r="AF250"/>
      <x:c r="AG250"/>
      <x:c r="AH250"/>
      <x:c r="AI250"/>
      <x:c r="AJ250"/>
      <x:c r="AK250"/>
      <x:c r="AL250"/>
      <x:c r="AM250"/>
      <x:c r="AN250"/>
      <x:c r="AO250"/>
      <x:c r="AP250"/>
      <x:c r="AQ250"/>
      <x:c r="AR250"/>
      <x:c r="AS250"/>
    </x:row>
    <x:row r="251" ht="15" hidden="0" customHeight="1">
      <x:c r="A251" s="384" t="str">
        <x:f>IFERROR(INDEX(tblLedger[Ledger Record ID],ROWS($A$202:A251)),"")</x:f>
        <x:v>LED-0050</x:v>
      </x:c>
      <x:c r="B251" s="384" t="n">
        <x:f>IFERROR(INDEX(tblLedger[Work Order #],ROWS($A$202:A251)),"")</x:f>
        <x:v>5903036</x:v>
      </x:c>
      <x:c r="C251" s="384" t="n">
        <x:f>IFERROR(INDEX(tblLedger[Event #],ROWS($A$202:A251)),"")</x:f>
        <x:v>50</x:v>
      </x:c>
      <x:c r="D251" s="384" t="str">
        <x:f>IFERROR(INDEX(tblLedger[Mapping Status],ROWS($A$202:A251)),"")</x:f>
        <x:v>Unique</x:v>
      </x:c>
      <x:c r="E251" s="384" t="str">
        <x:f>IF(A251="","",IF(D251="MAPPING_HOLD","QUARANTINED",IF(COUNTIF(tblServiceEvents[Event #],C251)=1,"Yes","No")))</x:f>
        <x:v>Yes</x:v>
      </x:c>
      <x:c r="F251" s="384" t="str">
        <x:f>IF(A251="","",IF(E251&lt;&gt;"Yes","N/A",IF(INDEX(tblServiceEvents[Client ID],MATCH(C251,tblServiceEvents[Event #],0))=INDEX(tblLedger[Client ID],ROWS($A$202:A251)),"Yes","No")))</x:f>
        <x:v>Yes</x:v>
      </x:c>
      <x:c r="G251" s="384" t="str">
        <x:f>IF(A251="","",IF(E251&lt;&gt;"Yes","N/A",IF(INDEX(tblServiceEvents[Location Key],MATCH(C251,tblServiceEvents[Event #],0))=INDEX(tblLedger[Location Key],ROWS($A$202:A251)),"Yes","No")))</x:f>
        <x:v>Yes</x:v>
      </x:c>
      <x:c r="H251" s="384" t="str">
        <x:f>IF(A251="","",IF(E251&lt;&gt;"Yes","N/A",IF(INDEX(tblServiceEvents[Service Date],MATCH(C251,tblServiceEvents[Event #],0))=INDEX(tblLedger[Service Date],ROWS($A$202:A251)),"Yes","No")))</x:f>
        <x:v>Yes</x:v>
      </x:c>
      <x:c r="I251" s="384" t="str">
        <x:f>IF(A251="","",IF(E251&lt;&gt;"Yes","N/A",IF(D251="MULTI-WO VISIT","Yes",IF(B251=INDEX(tblServiceEvents[Work Orders],MATCH(C251,tblServiceEvents[Event #],0)),"Yes","No"))))</x:f>
        <x:v>Yes</x:v>
      </x:c>
      <x:c r="J251" s="384" t="str">
        <x:f>IF(A251="","",IF(D251="MAPPING_HOLD","QUARANTINED",IF(AND(E251="Yes",F251="Yes",G251="Yes",H251="Yes",I251="Yes"),"PASS","FAIL")))</x:f>
        <x:v>PASS</x:v>
      </x:c>
      <x:c r="K251"/>
      <x:c r="L251"/>
      <x:c r="M251"/>
      <x:c r="N251"/>
      <x:c r="O251"/>
      <x:c r="P251"/>
      <x:c r="Q251"/>
      <x:c r="R251"/>
      <x:c r="S251"/>
      <x:c r="T251"/>
      <x:c r="U251"/>
      <x:c r="V251"/>
      <x:c r="X251"/>
      <x:c r="Y251"/>
      <x:c r="Z251"/>
      <x:c r="AA251"/>
      <x:c r="AB251"/>
      <x:c r="AC251"/>
      <x:c r="AD251"/>
      <x:c r="AE251"/>
      <x:c r="AF251"/>
      <x:c r="AG251"/>
      <x:c r="AH251"/>
      <x:c r="AI251"/>
      <x:c r="AJ251"/>
      <x:c r="AK251"/>
      <x:c r="AL251"/>
      <x:c r="AM251"/>
      <x:c r="AN251"/>
      <x:c r="AO251"/>
      <x:c r="AP251"/>
      <x:c r="AQ251"/>
      <x:c r="AR251"/>
      <x:c r="AS251"/>
    </x:row>
    <x:row r="252" ht="15" hidden="0" customHeight="1">
      <x:c r="A252" s="384" t="str">
        <x:f>IFERROR(INDEX(tblLedger[Ledger Record ID],ROWS($A$202:A252)),"")</x:f>
        <x:v>LED-0051</x:v>
      </x:c>
      <x:c r="B252" s="384" t="n">
        <x:f>IFERROR(INDEX(tblLedger[Work Order #],ROWS($A$202:A252)),"")</x:f>
        <x:v>5906380</x:v>
      </x:c>
      <x:c r="C252" s="384" t="n">
        <x:f>IFERROR(INDEX(tblLedger[Event #],ROWS($A$202:A252)),"")</x:f>
        <x:v>52</x:v>
      </x:c>
      <x:c r="D252" s="384" t="str">
        <x:f>IFERROR(INDEX(tblLedger[Mapping Status],ROWS($A$202:A252)),"")</x:f>
        <x:v>Unique</x:v>
      </x:c>
      <x:c r="E252" s="384" t="str">
        <x:f>IF(A252="","",IF(D252="MAPPING_HOLD","QUARANTINED",IF(COUNTIF(tblServiceEvents[Event #],C252)=1,"Yes","No")))</x:f>
        <x:v>Yes</x:v>
      </x:c>
      <x:c r="F252" s="384" t="str">
        <x:f>IF(A252="","",IF(E252&lt;&gt;"Yes","N/A",IF(INDEX(tblServiceEvents[Client ID],MATCH(C252,tblServiceEvents[Event #],0))=INDEX(tblLedger[Client ID],ROWS($A$202:A252)),"Yes","No")))</x:f>
        <x:v>Yes</x:v>
      </x:c>
      <x:c r="G252" s="384" t="str">
        <x:f>IF(A252="","",IF(E252&lt;&gt;"Yes","N/A",IF(INDEX(tblServiceEvents[Location Key],MATCH(C252,tblServiceEvents[Event #],0))=INDEX(tblLedger[Location Key],ROWS($A$202:A252)),"Yes","No")))</x:f>
        <x:v>Yes</x:v>
      </x:c>
      <x:c r="H252" s="384" t="str">
        <x:f>IF(A252="","",IF(E252&lt;&gt;"Yes","N/A",IF(INDEX(tblServiceEvents[Service Date],MATCH(C252,tblServiceEvents[Event #],0))=INDEX(tblLedger[Service Date],ROWS($A$202:A252)),"Yes","No")))</x:f>
        <x:v>Yes</x:v>
      </x:c>
      <x:c r="I252" s="384" t="str">
        <x:f>IF(A252="","",IF(E252&lt;&gt;"Yes","N/A",IF(D252="MULTI-WO VISIT","Yes",IF(B252=INDEX(tblServiceEvents[Work Orders],MATCH(C252,tblServiceEvents[Event #],0)),"Yes","No"))))</x:f>
        <x:v>Yes</x:v>
      </x:c>
      <x:c r="J252" s="384" t="str">
        <x:f>IF(A252="","",IF(D252="MAPPING_HOLD","QUARANTINED",IF(AND(E252="Yes",F252="Yes",G252="Yes",H252="Yes",I252="Yes"),"PASS","FAIL")))</x:f>
        <x:v>PASS</x:v>
      </x:c>
      <x:c r="K252"/>
      <x:c r="L252"/>
      <x:c r="M252"/>
      <x:c r="N252"/>
      <x:c r="O252"/>
      <x:c r="P252"/>
      <x:c r="Q252"/>
      <x:c r="R252"/>
      <x:c r="S252"/>
      <x:c r="T252"/>
      <x:c r="U252"/>
      <x:c r="V252"/>
      <x:c r="X252"/>
      <x:c r="Y252"/>
      <x:c r="Z252"/>
      <x:c r="AA252"/>
      <x:c r="AB252"/>
      <x:c r="AC252"/>
      <x:c r="AD252"/>
      <x:c r="AE252"/>
      <x:c r="AF252"/>
      <x:c r="AG252"/>
      <x:c r="AH252"/>
      <x:c r="AI252"/>
      <x:c r="AJ252"/>
      <x:c r="AK252"/>
      <x:c r="AL252"/>
      <x:c r="AM252"/>
      <x:c r="AN252"/>
      <x:c r="AO252"/>
      <x:c r="AP252"/>
      <x:c r="AQ252"/>
      <x:c r="AR252"/>
      <x:c r="AS252"/>
    </x:row>
    <x:row r="253" ht="15" hidden="0" customHeight="1">
      <x:c r="A253" s="384" t="str">
        <x:f>IFERROR(INDEX(tblLedger[Ledger Record ID],ROWS($A$202:A253)),"")</x:f>
        <x:v>LED-0052</x:v>
      </x:c>
      <x:c r="B253" s="384" t="n">
        <x:f>IFERROR(INDEX(tblLedger[Work Order #],ROWS($A$202:A253)),"")</x:f>
        <x:v>5907571</x:v>
      </x:c>
      <x:c r="C253" s="384" t="n">
        <x:f>IFERROR(INDEX(tblLedger[Event #],ROWS($A$202:A253)),"")</x:f>
        <x:v>53</x:v>
      </x:c>
      <x:c r="D253" s="384" t="str">
        <x:f>IFERROR(INDEX(tblLedger[Mapping Status],ROWS($A$202:A253)),"")</x:f>
        <x:v>Unique</x:v>
      </x:c>
      <x:c r="E253" s="384" t="str">
        <x:f>IF(A253="","",IF(D253="MAPPING_HOLD","QUARANTINED",IF(COUNTIF(tblServiceEvents[Event #],C253)=1,"Yes","No")))</x:f>
        <x:v>Yes</x:v>
      </x:c>
      <x:c r="F253" s="384" t="str">
        <x:f>IF(A253="","",IF(E253&lt;&gt;"Yes","N/A",IF(INDEX(tblServiceEvents[Client ID],MATCH(C253,tblServiceEvents[Event #],0))=INDEX(tblLedger[Client ID],ROWS($A$202:A253)),"Yes","No")))</x:f>
        <x:v>Yes</x:v>
      </x:c>
      <x:c r="G253" s="384" t="str">
        <x:f>IF(A253="","",IF(E253&lt;&gt;"Yes","N/A",IF(INDEX(tblServiceEvents[Location Key],MATCH(C253,tblServiceEvents[Event #],0))=INDEX(tblLedger[Location Key],ROWS($A$202:A253)),"Yes","No")))</x:f>
        <x:v>Yes</x:v>
      </x:c>
      <x:c r="H253" s="384" t="str">
        <x:f>IF(A253="","",IF(E253&lt;&gt;"Yes","N/A",IF(INDEX(tblServiceEvents[Service Date],MATCH(C253,tblServiceEvents[Event #],0))=INDEX(tblLedger[Service Date],ROWS($A$202:A253)),"Yes","No")))</x:f>
        <x:v>Yes</x:v>
      </x:c>
      <x:c r="I253" s="384" t="str">
        <x:f>IF(A253="","",IF(E253&lt;&gt;"Yes","N/A",IF(D253="MULTI-WO VISIT","Yes",IF(B253=INDEX(tblServiceEvents[Work Orders],MATCH(C253,tblServiceEvents[Event #],0)),"Yes","No"))))</x:f>
        <x:v>Yes</x:v>
      </x:c>
      <x:c r="J253" s="384" t="str">
        <x:f>IF(A253="","",IF(D253="MAPPING_HOLD","QUARANTINED",IF(AND(E253="Yes",F253="Yes",G253="Yes",H253="Yes",I253="Yes"),"PASS","FAIL")))</x:f>
        <x:v>PASS</x:v>
      </x:c>
      <x:c r="K253"/>
      <x:c r="L253"/>
      <x:c r="M253"/>
      <x:c r="N253"/>
      <x:c r="O253"/>
      <x:c r="P253"/>
      <x:c r="Q253"/>
      <x:c r="R253"/>
      <x:c r="S253"/>
      <x:c r="T253"/>
      <x:c r="U253"/>
      <x:c r="V253"/>
      <x:c r="X253"/>
      <x:c r="Y253"/>
      <x:c r="Z253"/>
      <x:c r="AA253"/>
      <x:c r="AB253"/>
      <x:c r="AC253"/>
      <x:c r="AD253"/>
      <x:c r="AE253"/>
      <x:c r="AF253"/>
      <x:c r="AG253"/>
      <x:c r="AH253"/>
      <x:c r="AI253"/>
      <x:c r="AJ253"/>
      <x:c r="AK253"/>
      <x:c r="AL253"/>
      <x:c r="AM253"/>
      <x:c r="AN253"/>
      <x:c r="AO253"/>
      <x:c r="AP253"/>
      <x:c r="AQ253"/>
      <x:c r="AR253"/>
      <x:c r="AS253"/>
    </x:row>
    <x:row r="254" ht="15" hidden="0" customHeight="1">
      <x:c r="A254" s="384" t="str">
        <x:f>IFERROR(INDEX(tblLedger[Ledger Record ID],ROWS($A$202:A254)),"")</x:f>
        <x:v>LED-0053</x:v>
      </x:c>
      <x:c r="B254" s="384" t="n">
        <x:f>IFERROR(INDEX(tblLedger[Work Order #],ROWS($A$202:A254)),"")</x:f>
        <x:v>5910094</x:v>
      </x:c>
      <x:c r="C254" s="384" t="n">
        <x:f>IFERROR(INDEX(tblLedger[Event #],ROWS($A$202:A254)),"")</x:f>
        <x:v>54</x:v>
      </x:c>
      <x:c r="D254" s="384" t="str">
        <x:f>IFERROR(INDEX(tblLedger[Mapping Status],ROWS($A$202:A254)),"")</x:f>
        <x:v>Unique</x:v>
      </x:c>
      <x:c r="E254" s="384" t="str">
        <x:f>IF(A254="","",IF(D254="MAPPING_HOLD","QUARANTINED",IF(COUNTIF(tblServiceEvents[Event #],C254)=1,"Yes","No")))</x:f>
        <x:v>Yes</x:v>
      </x:c>
      <x:c r="F254" s="384" t="str">
        <x:f>IF(A254="","",IF(E254&lt;&gt;"Yes","N/A",IF(INDEX(tblServiceEvents[Client ID],MATCH(C254,tblServiceEvents[Event #],0))=INDEX(tblLedger[Client ID],ROWS($A$202:A254)),"Yes","No")))</x:f>
        <x:v>Yes</x:v>
      </x:c>
      <x:c r="G254" s="384" t="str">
        <x:f>IF(A254="","",IF(E254&lt;&gt;"Yes","N/A",IF(INDEX(tblServiceEvents[Location Key],MATCH(C254,tblServiceEvents[Event #],0))=INDEX(tblLedger[Location Key],ROWS($A$202:A254)),"Yes","No")))</x:f>
        <x:v>Yes</x:v>
      </x:c>
      <x:c r="H254" s="384" t="str">
        <x:f>IF(A254="","",IF(E254&lt;&gt;"Yes","N/A",IF(INDEX(tblServiceEvents[Service Date],MATCH(C254,tblServiceEvents[Event #],0))=INDEX(tblLedger[Service Date],ROWS($A$202:A254)),"Yes","No")))</x:f>
        <x:v>Yes</x:v>
      </x:c>
      <x:c r="I254" s="384" t="str">
        <x:f>IF(A254="","",IF(E254&lt;&gt;"Yes","N/A",IF(D254="MULTI-WO VISIT","Yes",IF(B254=INDEX(tblServiceEvents[Work Orders],MATCH(C254,tblServiceEvents[Event #],0)),"Yes","No"))))</x:f>
        <x:v>Yes</x:v>
      </x:c>
      <x:c r="J254" s="384" t="str">
        <x:f>IF(A254="","",IF(D254="MAPPING_HOLD","QUARANTINED",IF(AND(E254="Yes",F254="Yes",G254="Yes",H254="Yes",I254="Yes"),"PASS","FAIL")))</x:f>
        <x:v>PASS</x:v>
      </x:c>
      <x:c r="K254"/>
      <x:c r="L254"/>
      <x:c r="M254"/>
      <x:c r="N254"/>
      <x:c r="O254"/>
      <x:c r="P254"/>
      <x:c r="Q254"/>
      <x:c r="R254"/>
      <x:c r="S254"/>
      <x:c r="T254"/>
      <x:c r="U254"/>
      <x:c r="V254"/>
      <x:c r="X254"/>
      <x:c r="Y254"/>
      <x:c r="Z254"/>
      <x:c r="AA254"/>
      <x:c r="AB254"/>
      <x:c r="AC254"/>
      <x:c r="AD254"/>
      <x:c r="AE254"/>
      <x:c r="AF254"/>
      <x:c r="AG254"/>
      <x:c r="AH254"/>
      <x:c r="AI254"/>
      <x:c r="AJ254"/>
      <x:c r="AK254"/>
      <x:c r="AL254"/>
      <x:c r="AM254"/>
      <x:c r="AN254"/>
      <x:c r="AO254"/>
      <x:c r="AP254"/>
      <x:c r="AQ254"/>
      <x:c r="AR254"/>
      <x:c r="AS254"/>
    </x:row>
    <x:row r="255" ht="15" hidden="0" customHeight="1">
      <x:c r="A255" s="384" t="str">
        <x:f>IFERROR(INDEX(tblLedger[Ledger Record ID],ROWS($A$202:A255)),"")</x:f>
        <x:v>LED-0054</x:v>
      </x:c>
      <x:c r="B255" s="384" t="n">
        <x:f>IFERROR(INDEX(tblLedger[Work Order #],ROWS($A$202:A255)),"")</x:f>
        <x:v>5898645</x:v>
      </x:c>
      <x:c r="C255" s="384" t="n">
        <x:f>IFERROR(INDEX(tblLedger[Event #],ROWS($A$202:A255)),"")</x:f>
        <x:v>55</x:v>
      </x:c>
      <x:c r="D255" s="384" t="str">
        <x:f>IFERROR(INDEX(tblLedger[Mapping Status],ROWS($A$202:A255)),"")</x:f>
        <x:v>Unique</x:v>
      </x:c>
      <x:c r="E255" s="384" t="str">
        <x:f>IF(A255="","",IF(D255="MAPPING_HOLD","QUARANTINED",IF(COUNTIF(tblServiceEvents[Event #],C255)=1,"Yes","No")))</x:f>
        <x:v>Yes</x:v>
      </x:c>
      <x:c r="F255" s="384" t="str">
        <x:f>IF(A255="","",IF(E255&lt;&gt;"Yes","N/A",IF(INDEX(tblServiceEvents[Client ID],MATCH(C255,tblServiceEvents[Event #],0))=INDEX(tblLedger[Client ID],ROWS($A$202:A255)),"Yes","No")))</x:f>
        <x:v>Yes</x:v>
      </x:c>
      <x:c r="G255" s="384" t="str">
        <x:f>IF(A255="","",IF(E255&lt;&gt;"Yes","N/A",IF(INDEX(tblServiceEvents[Location Key],MATCH(C255,tblServiceEvents[Event #],0))=INDEX(tblLedger[Location Key],ROWS($A$202:A255)),"Yes","No")))</x:f>
        <x:v>Yes</x:v>
      </x:c>
      <x:c r="H255" s="384" t="str">
        <x:f>IF(A255="","",IF(E255&lt;&gt;"Yes","N/A",IF(INDEX(tblServiceEvents[Service Date],MATCH(C255,tblServiceEvents[Event #],0))=INDEX(tblLedger[Service Date],ROWS($A$202:A255)),"Yes","No")))</x:f>
        <x:v>Yes</x:v>
      </x:c>
      <x:c r="I255" s="384" t="str">
        <x:f>IF(A255="","",IF(E255&lt;&gt;"Yes","N/A",IF(D255="MULTI-WO VISIT","Yes",IF(B255=INDEX(tblServiceEvents[Work Orders],MATCH(C255,tblServiceEvents[Event #],0)),"Yes","No"))))</x:f>
        <x:v>Yes</x:v>
      </x:c>
      <x:c r="J255" s="384" t="str">
        <x:f>IF(A255="","",IF(D255="MAPPING_HOLD","QUARANTINED",IF(AND(E255="Yes",F255="Yes",G255="Yes",H255="Yes",I255="Yes"),"PASS","FAIL")))</x:f>
        <x:v>PASS</x:v>
      </x:c>
      <x:c r="K255"/>
      <x:c r="L255"/>
      <x:c r="M255"/>
      <x:c r="N255"/>
      <x:c r="O255"/>
      <x:c r="P255"/>
      <x:c r="Q255"/>
      <x:c r="R255"/>
      <x:c r="S255"/>
      <x:c r="T255"/>
      <x:c r="U255"/>
      <x:c r="V255"/>
      <x:c r="X255"/>
      <x:c r="Y255"/>
      <x:c r="Z255"/>
      <x:c r="AA255"/>
      <x:c r="AB255"/>
      <x:c r="AC255"/>
      <x:c r="AD255"/>
      <x:c r="AE255"/>
      <x:c r="AF255"/>
      <x:c r="AG255"/>
      <x:c r="AH255"/>
      <x:c r="AI255"/>
      <x:c r="AJ255"/>
      <x:c r="AK255"/>
      <x:c r="AL255"/>
      <x:c r="AM255"/>
      <x:c r="AN255"/>
      <x:c r="AO255"/>
      <x:c r="AP255"/>
      <x:c r="AQ255"/>
      <x:c r="AR255"/>
      <x:c r="AS255"/>
    </x:row>
    <x:row r="256" ht="15" hidden="0" customHeight="1">
      <x:c r="A256" s="384" t="str">
        <x:f>IFERROR(INDEX(tblLedger[Ledger Record ID],ROWS($A$202:A256)),"")</x:f>
        <x:v>LED-0055</x:v>
      </x:c>
      <x:c r="B256" s="384" t="n">
        <x:f>IFERROR(INDEX(tblLedger[Work Order #],ROWS($A$202:A256)),"")</x:f>
        <x:v>5900784</x:v>
      </x:c>
      <x:c r="C256" s="384" t="n">
        <x:f>IFERROR(INDEX(tblLedger[Event #],ROWS($A$202:A256)),"")</x:f>
        <x:v>56</x:v>
      </x:c>
      <x:c r="D256" s="384" t="str">
        <x:f>IFERROR(INDEX(tblLedger[Mapping Status],ROWS($A$202:A256)),"")</x:f>
        <x:v>Unique</x:v>
      </x:c>
      <x:c r="E256" s="384" t="str">
        <x:f>IF(A256="","",IF(D256="MAPPING_HOLD","QUARANTINED",IF(COUNTIF(tblServiceEvents[Event #],C256)=1,"Yes","No")))</x:f>
        <x:v>Yes</x:v>
      </x:c>
      <x:c r="F256" s="384" t="str">
        <x:f>IF(A256="","",IF(E256&lt;&gt;"Yes","N/A",IF(INDEX(tblServiceEvents[Client ID],MATCH(C256,tblServiceEvents[Event #],0))=INDEX(tblLedger[Client ID],ROWS($A$202:A256)),"Yes","No")))</x:f>
        <x:v>Yes</x:v>
      </x:c>
      <x:c r="G256" s="384" t="str">
        <x:f>IF(A256="","",IF(E256&lt;&gt;"Yes","N/A",IF(INDEX(tblServiceEvents[Location Key],MATCH(C256,tblServiceEvents[Event #],0))=INDEX(tblLedger[Location Key],ROWS($A$202:A256)),"Yes","No")))</x:f>
        <x:v>Yes</x:v>
      </x:c>
      <x:c r="H256" s="384" t="str">
        <x:f>IF(A256="","",IF(E256&lt;&gt;"Yes","N/A",IF(INDEX(tblServiceEvents[Service Date],MATCH(C256,tblServiceEvents[Event #],0))=INDEX(tblLedger[Service Date],ROWS($A$202:A256)),"Yes","No")))</x:f>
        <x:v>Yes</x:v>
      </x:c>
      <x:c r="I256" s="384" t="str">
        <x:f>IF(A256="","",IF(E256&lt;&gt;"Yes","N/A",IF(D256="MULTI-WO VISIT","Yes",IF(B256=INDEX(tblServiceEvents[Work Orders],MATCH(C256,tblServiceEvents[Event #],0)),"Yes","No"))))</x:f>
        <x:v>Yes</x:v>
      </x:c>
      <x:c r="J256" s="384" t="str">
        <x:f>IF(A256="","",IF(D256="MAPPING_HOLD","QUARANTINED",IF(AND(E256="Yes",F256="Yes",G256="Yes",H256="Yes",I256="Yes"),"PASS","FAIL")))</x:f>
        <x:v>PASS</x:v>
      </x:c>
      <x:c r="K256"/>
      <x:c r="L256"/>
      <x:c r="M256"/>
      <x:c r="N256"/>
      <x:c r="O256"/>
      <x:c r="P256"/>
      <x:c r="Q256"/>
      <x:c r="R256"/>
      <x:c r="S256"/>
      <x:c r="T256"/>
      <x:c r="U256"/>
      <x:c r="V256"/>
      <x:c r="X256"/>
      <x:c r="Y256"/>
      <x:c r="Z256"/>
      <x:c r="AA256"/>
      <x:c r="AB256"/>
      <x:c r="AC256"/>
      <x:c r="AD256"/>
      <x:c r="AE256"/>
      <x:c r="AF256"/>
      <x:c r="AG256"/>
      <x:c r="AH256"/>
      <x:c r="AI256"/>
      <x:c r="AJ256"/>
      <x:c r="AK256"/>
      <x:c r="AL256"/>
      <x:c r="AM256"/>
      <x:c r="AN256"/>
      <x:c r="AO256"/>
      <x:c r="AP256"/>
      <x:c r="AQ256"/>
      <x:c r="AR256"/>
      <x:c r="AS256"/>
    </x:row>
    <x:row r="257" ht="15" hidden="0" customHeight="1">
      <x:c r="A257" s="384" t="str">
        <x:f>IFERROR(INDEX(tblLedger[Ledger Record ID],ROWS($A$202:A257)),"")</x:f>
        <x:v>LED-0056</x:v>
      </x:c>
      <x:c r="B257" s="384" t="n">
        <x:f>IFERROR(INDEX(tblLedger[Work Order #],ROWS($A$202:A257)),"")</x:f>
        <x:v>5911577</x:v>
      </x:c>
      <x:c r="C257" s="384" t="n">
        <x:f>IFERROR(INDEX(tblLedger[Event #],ROWS($A$202:A257)),"")</x:f>
        <x:v>57</x:v>
      </x:c>
      <x:c r="D257" s="384" t="str">
        <x:f>IFERROR(INDEX(tblLedger[Mapping Status],ROWS($A$202:A257)),"")</x:f>
        <x:v>Unique</x:v>
      </x:c>
      <x:c r="E257" s="384" t="str">
        <x:f>IF(A257="","",IF(D257="MAPPING_HOLD","QUARANTINED",IF(COUNTIF(tblServiceEvents[Event #],C257)=1,"Yes","No")))</x:f>
        <x:v>Yes</x:v>
      </x:c>
      <x:c r="F257" s="384" t="str">
        <x:f>IF(A257="","",IF(E257&lt;&gt;"Yes","N/A",IF(INDEX(tblServiceEvents[Client ID],MATCH(C257,tblServiceEvents[Event #],0))=INDEX(tblLedger[Client ID],ROWS($A$202:A257)),"Yes","No")))</x:f>
        <x:v>Yes</x:v>
      </x:c>
      <x:c r="G257" s="384" t="str">
        <x:f>IF(A257="","",IF(E257&lt;&gt;"Yes","N/A",IF(INDEX(tblServiceEvents[Location Key],MATCH(C257,tblServiceEvents[Event #],0))=INDEX(tblLedger[Location Key],ROWS($A$202:A257)),"Yes","No")))</x:f>
        <x:v>Yes</x:v>
      </x:c>
      <x:c r="H257" s="384" t="str">
        <x:f>IF(A257="","",IF(E257&lt;&gt;"Yes","N/A",IF(INDEX(tblServiceEvents[Service Date],MATCH(C257,tblServiceEvents[Event #],0))=INDEX(tblLedger[Service Date],ROWS($A$202:A257)),"Yes","No")))</x:f>
        <x:v>Yes</x:v>
      </x:c>
      <x:c r="I257" s="384" t="str">
        <x:f>IF(A257="","",IF(E257&lt;&gt;"Yes","N/A",IF(D257="MULTI-WO VISIT","Yes",IF(B257=INDEX(tblServiceEvents[Work Orders],MATCH(C257,tblServiceEvents[Event #],0)),"Yes","No"))))</x:f>
        <x:v>Yes</x:v>
      </x:c>
      <x:c r="J257" s="384" t="str">
        <x:f>IF(A257="","",IF(D257="MAPPING_HOLD","QUARANTINED",IF(AND(E257="Yes",F257="Yes",G257="Yes",H257="Yes",I257="Yes"),"PASS","FAIL")))</x:f>
        <x:v>PASS</x:v>
      </x:c>
      <x:c r="K257"/>
      <x:c r="L257"/>
      <x:c r="M257"/>
      <x:c r="N257"/>
      <x:c r="O257"/>
      <x:c r="P257"/>
      <x:c r="Q257"/>
      <x:c r="R257"/>
      <x:c r="S257"/>
      <x:c r="T257"/>
      <x:c r="U257"/>
      <x:c r="V257"/>
      <x:c r="X257"/>
      <x:c r="Y257"/>
      <x:c r="Z257"/>
      <x:c r="AA257"/>
      <x:c r="AB257"/>
      <x:c r="AC257"/>
      <x:c r="AD257"/>
      <x:c r="AE257"/>
      <x:c r="AF257"/>
      <x:c r="AG257"/>
      <x:c r="AH257"/>
      <x:c r="AI257"/>
      <x:c r="AJ257"/>
      <x:c r="AK257"/>
      <x:c r="AL257"/>
      <x:c r="AM257"/>
      <x:c r="AN257"/>
      <x:c r="AO257"/>
      <x:c r="AP257"/>
      <x:c r="AQ257"/>
      <x:c r="AR257"/>
      <x:c r="AS257"/>
    </x:row>
    <x:row r="258" ht="15" hidden="0" customHeight="1">
      <x:c r="A258" s="384" t="str">
        <x:f>IFERROR(INDEX(tblLedger[Ledger Record ID],ROWS($A$202:A258)),"")</x:f>
        <x:v>LED-0057</x:v>
      </x:c>
      <x:c r="B258" s="384" t="n">
        <x:f>IFERROR(INDEX(tblLedger[Work Order #],ROWS($A$202:A258)),"")</x:f>
        <x:v>5900780</x:v>
      </x:c>
      <x:c r="C258" s="384" t="n">
        <x:f>IFERROR(INDEX(tblLedger[Event #],ROWS($A$202:A258)),"")</x:f>
        <x:v>58</x:v>
      </x:c>
      <x:c r="D258" s="384" t="str">
        <x:f>IFERROR(INDEX(tblLedger[Mapping Status],ROWS($A$202:A258)),"")</x:f>
        <x:v>Unique</x:v>
      </x:c>
      <x:c r="E258" s="384" t="str">
        <x:f>IF(A258="","",IF(D258="MAPPING_HOLD","QUARANTINED",IF(COUNTIF(tblServiceEvents[Event #],C258)=1,"Yes","No")))</x:f>
        <x:v>Yes</x:v>
      </x:c>
      <x:c r="F258" s="384" t="str">
        <x:f>IF(A258="","",IF(E258&lt;&gt;"Yes","N/A",IF(INDEX(tblServiceEvents[Client ID],MATCH(C258,tblServiceEvents[Event #],0))=INDEX(tblLedger[Client ID],ROWS($A$202:A258)),"Yes","No")))</x:f>
        <x:v>Yes</x:v>
      </x:c>
      <x:c r="G258" s="384" t="str">
        <x:f>IF(A258="","",IF(E258&lt;&gt;"Yes","N/A",IF(INDEX(tblServiceEvents[Location Key],MATCH(C258,tblServiceEvents[Event #],0))=INDEX(tblLedger[Location Key],ROWS($A$202:A258)),"Yes","No")))</x:f>
        <x:v>Yes</x:v>
      </x:c>
      <x:c r="H258" s="384" t="str">
        <x:f>IF(A258="","",IF(E258&lt;&gt;"Yes","N/A",IF(INDEX(tblServiceEvents[Service Date],MATCH(C258,tblServiceEvents[Event #],0))=INDEX(tblLedger[Service Date],ROWS($A$202:A258)),"Yes","No")))</x:f>
        <x:v>Yes</x:v>
      </x:c>
      <x:c r="I258" s="384" t="str">
        <x:f>IF(A258="","",IF(E258&lt;&gt;"Yes","N/A",IF(D258="MULTI-WO VISIT","Yes",IF(B258=INDEX(tblServiceEvents[Work Orders],MATCH(C258,tblServiceEvents[Event #],0)),"Yes","No"))))</x:f>
        <x:v>Yes</x:v>
      </x:c>
      <x:c r="J258" s="384" t="str">
        <x:f>IF(A258="","",IF(D258="MAPPING_HOLD","QUARANTINED",IF(AND(E258="Yes",F258="Yes",G258="Yes",H258="Yes",I258="Yes"),"PASS","FAIL")))</x:f>
        <x:v>PASS</x:v>
      </x:c>
      <x:c r="K258"/>
      <x:c r="L258"/>
      <x:c r="M258"/>
      <x:c r="N258"/>
      <x:c r="O258"/>
      <x:c r="P258"/>
      <x:c r="Q258"/>
      <x:c r="R258"/>
      <x:c r="S258"/>
      <x:c r="T258"/>
      <x:c r="U258"/>
      <x:c r="V258"/>
      <x:c r="X258"/>
      <x:c r="Y258"/>
      <x:c r="Z258"/>
      <x:c r="AA258"/>
      <x:c r="AB258"/>
      <x:c r="AC258"/>
      <x:c r="AD258"/>
      <x:c r="AE258"/>
      <x:c r="AF258"/>
      <x:c r="AG258"/>
      <x:c r="AH258"/>
      <x:c r="AI258"/>
      <x:c r="AJ258"/>
      <x:c r="AK258"/>
      <x:c r="AL258"/>
      <x:c r="AM258"/>
      <x:c r="AN258"/>
      <x:c r="AO258"/>
      <x:c r="AP258"/>
      <x:c r="AQ258"/>
      <x:c r="AR258"/>
      <x:c r="AS258"/>
    </x:row>
    <x:row r="259" ht="15" hidden="0" customHeight="1">
      <x:c r="A259" s="384" t="str">
        <x:f>IFERROR(INDEX(tblLedger[Ledger Record ID],ROWS($A$202:A259)),"")</x:f>
        <x:v>LED-0058</x:v>
      </x:c>
      <x:c r="B259" s="384" t="n">
        <x:f>IFERROR(INDEX(tblLedger[Work Order #],ROWS($A$202:A259)),"")</x:f>
        <x:v>5900830</x:v>
      </x:c>
      <x:c r="C259" s="384" t="n">
        <x:f>IFERROR(INDEX(tblLedger[Event #],ROWS($A$202:A259)),"")</x:f>
        <x:v>59</x:v>
      </x:c>
      <x:c r="D259" s="384" t="str">
        <x:f>IFERROR(INDEX(tblLedger[Mapping Status],ROWS($A$202:A259)),"")</x:f>
        <x:v>Unique</x:v>
      </x:c>
      <x:c r="E259" s="384" t="str">
        <x:f>IF(A259="","",IF(D259="MAPPING_HOLD","QUARANTINED",IF(COUNTIF(tblServiceEvents[Event #],C259)=1,"Yes","No")))</x:f>
        <x:v>Yes</x:v>
      </x:c>
      <x:c r="F259" s="384" t="str">
        <x:f>IF(A259="","",IF(E259&lt;&gt;"Yes","N/A",IF(INDEX(tblServiceEvents[Client ID],MATCH(C259,tblServiceEvents[Event #],0))=INDEX(tblLedger[Client ID],ROWS($A$202:A259)),"Yes","No")))</x:f>
        <x:v>Yes</x:v>
      </x:c>
      <x:c r="G259" s="384" t="str">
        <x:f>IF(A259="","",IF(E259&lt;&gt;"Yes","N/A",IF(INDEX(tblServiceEvents[Location Key],MATCH(C259,tblServiceEvents[Event #],0))=INDEX(tblLedger[Location Key],ROWS($A$202:A259)),"Yes","No")))</x:f>
        <x:v>Yes</x:v>
      </x:c>
      <x:c r="H259" s="384" t="str">
        <x:f>IF(A259="","",IF(E259&lt;&gt;"Yes","N/A",IF(INDEX(tblServiceEvents[Service Date],MATCH(C259,tblServiceEvents[Event #],0))=INDEX(tblLedger[Service Date],ROWS($A$202:A259)),"Yes","No")))</x:f>
        <x:v>Yes</x:v>
      </x:c>
      <x:c r="I259" s="384" t="str">
        <x:f>IF(A259="","",IF(E259&lt;&gt;"Yes","N/A",IF(D259="MULTI-WO VISIT","Yes",IF(B259=INDEX(tblServiceEvents[Work Orders],MATCH(C259,tblServiceEvents[Event #],0)),"Yes","No"))))</x:f>
        <x:v>Yes</x:v>
      </x:c>
      <x:c r="J259" s="384" t="str">
        <x:f>IF(A259="","",IF(D259="MAPPING_HOLD","QUARANTINED",IF(AND(E259="Yes",F259="Yes",G259="Yes",H259="Yes",I259="Yes"),"PASS","FAIL")))</x:f>
        <x:v>PASS</x:v>
      </x:c>
      <x:c r="K259"/>
      <x:c r="L259"/>
      <x:c r="M259"/>
      <x:c r="N259"/>
      <x:c r="O259"/>
      <x:c r="P259"/>
      <x:c r="Q259"/>
      <x:c r="R259"/>
      <x:c r="S259"/>
      <x:c r="T259"/>
      <x:c r="U259"/>
      <x:c r="V259"/>
      <x:c r="X259"/>
      <x:c r="Y259"/>
      <x:c r="Z259"/>
      <x:c r="AA259"/>
      <x:c r="AB259"/>
      <x:c r="AC259"/>
      <x:c r="AD259"/>
      <x:c r="AE259"/>
      <x:c r="AF259"/>
      <x:c r="AG259"/>
      <x:c r="AH259"/>
      <x:c r="AI259"/>
      <x:c r="AJ259"/>
      <x:c r="AK259"/>
      <x:c r="AL259"/>
      <x:c r="AM259"/>
      <x:c r="AN259"/>
      <x:c r="AO259"/>
      <x:c r="AP259"/>
      <x:c r="AQ259"/>
      <x:c r="AR259"/>
      <x:c r="AS259"/>
    </x:row>
    <x:row r="260" ht="15" hidden="0" customHeight="1">
      <x:c r="A260" s="384" t="str">
        <x:f>IFERROR(INDEX(tblLedger[Ledger Record ID],ROWS($A$202:A260)),"")</x:f>
        <x:v>LED-0059</x:v>
      </x:c>
      <x:c r="B260" s="384" t="n">
        <x:f>IFERROR(INDEX(tblLedger[Work Order #],ROWS($A$202:A260)),"")</x:f>
        <x:v>5912364</x:v>
      </x:c>
      <x:c r="C260" s="384" t="n">
        <x:f>IFERROR(INDEX(tblLedger[Event #],ROWS($A$202:A260)),"")</x:f>
        <x:v>60</x:v>
      </x:c>
      <x:c r="D260" s="384" t="str">
        <x:f>IFERROR(INDEX(tblLedger[Mapping Status],ROWS($A$202:A260)),"")</x:f>
        <x:v>MULTI-WO VISIT</x:v>
      </x:c>
      <x:c r="E260" s="384" t="str">
        <x:f>IF(A260="","",IF(D260="MAPPING_HOLD","QUARANTINED",IF(COUNTIF(tblServiceEvents[Event #],C260)=1,"Yes","No")))</x:f>
        <x:v>Yes</x:v>
      </x:c>
      <x:c r="F260" s="384" t="str">
        <x:f>IF(A260="","",IF(E260&lt;&gt;"Yes","N/A",IF(INDEX(tblServiceEvents[Client ID],MATCH(C260,tblServiceEvents[Event #],0))=INDEX(tblLedger[Client ID],ROWS($A$202:A260)),"Yes","No")))</x:f>
        <x:v>Yes</x:v>
      </x:c>
      <x:c r="G260" s="384" t="str">
        <x:f>IF(A260="","",IF(E260&lt;&gt;"Yes","N/A",IF(INDEX(tblServiceEvents[Location Key],MATCH(C260,tblServiceEvents[Event #],0))=INDEX(tblLedger[Location Key],ROWS($A$202:A260)),"Yes","No")))</x:f>
        <x:v>Yes</x:v>
      </x:c>
      <x:c r="H260" s="384" t="str">
        <x:f>IF(A260="","",IF(E260&lt;&gt;"Yes","N/A",IF(INDEX(tblServiceEvents[Service Date],MATCH(C260,tblServiceEvents[Event #],0))=INDEX(tblLedger[Service Date],ROWS($A$202:A260)),"Yes","No")))</x:f>
        <x:v>Yes</x:v>
      </x:c>
      <x:c r="I260" s="384" t="str">
        <x:f>IF(A260="","",IF(E260&lt;&gt;"Yes","N/A",IF(D260="MULTI-WO VISIT","Yes",IF(B260=INDEX(tblServiceEvents[Work Orders],MATCH(C260,tblServiceEvents[Event #],0)),"Yes","No"))))</x:f>
        <x:v>Yes</x:v>
      </x:c>
      <x:c r="J260" s="384" t="str">
        <x:f>IF(A260="","",IF(D260="MAPPING_HOLD","QUARANTINED",IF(AND(E260="Yes",F260="Yes",G260="Yes",H260="Yes",I260="Yes"),"PASS","FAIL")))</x:f>
        <x:v>PASS</x:v>
      </x:c>
      <x:c r="K260"/>
      <x:c r="L260"/>
      <x:c r="M260"/>
      <x:c r="N260"/>
      <x:c r="O260"/>
      <x:c r="P260"/>
      <x:c r="Q260"/>
      <x:c r="R260"/>
      <x:c r="S260"/>
      <x:c r="T260"/>
      <x:c r="U260"/>
      <x:c r="V260"/>
      <x:c r="X260"/>
      <x:c r="Y260"/>
      <x:c r="Z260"/>
      <x:c r="AA260"/>
      <x:c r="AB260"/>
      <x:c r="AC260"/>
      <x:c r="AD260"/>
      <x:c r="AE260"/>
      <x:c r="AF260"/>
      <x:c r="AG260"/>
      <x:c r="AH260"/>
      <x:c r="AI260"/>
      <x:c r="AJ260"/>
      <x:c r="AK260"/>
      <x:c r="AL260"/>
      <x:c r="AM260"/>
      <x:c r="AN260"/>
      <x:c r="AO260"/>
      <x:c r="AP260"/>
      <x:c r="AQ260"/>
      <x:c r="AR260"/>
      <x:c r="AS260"/>
    </x:row>
    <x:row r="261" ht="15" hidden="0" customHeight="1">
      <x:c r="A261" s="384" t="str">
        <x:f>IFERROR(INDEX(tblLedger[Ledger Record ID],ROWS($A$202:A261)),"")</x:f>
        <x:v>LED-0060</x:v>
      </x:c>
      <x:c r="B261" s="384" t="n">
        <x:f>IFERROR(INDEX(tblLedger[Work Order #],ROWS($A$202:A261)),"")</x:f>
        <x:v>5914049</x:v>
      </x:c>
      <x:c r="C261" s="384" t="n">
        <x:f>IFERROR(INDEX(tblLedger[Event #],ROWS($A$202:A261)),"")</x:f>
        <x:v>60</x:v>
      </x:c>
      <x:c r="D261" s="384" t="str">
        <x:f>IFERROR(INDEX(tblLedger[Mapping Status],ROWS($A$202:A261)),"")</x:f>
        <x:v>MULTI-WO VISIT</x:v>
      </x:c>
      <x:c r="E261" s="384" t="str">
        <x:f>IF(A261="","",IF(D261="MAPPING_HOLD","QUARANTINED",IF(COUNTIF(tblServiceEvents[Event #],C261)=1,"Yes","No")))</x:f>
        <x:v>Yes</x:v>
      </x:c>
      <x:c r="F261" s="384" t="str">
        <x:f>IF(A261="","",IF(E261&lt;&gt;"Yes","N/A",IF(INDEX(tblServiceEvents[Client ID],MATCH(C261,tblServiceEvents[Event #],0))=INDEX(tblLedger[Client ID],ROWS($A$202:A261)),"Yes","No")))</x:f>
        <x:v>Yes</x:v>
      </x:c>
      <x:c r="G261" s="384" t="str">
        <x:f>IF(A261="","",IF(E261&lt;&gt;"Yes","N/A",IF(INDEX(tblServiceEvents[Location Key],MATCH(C261,tblServiceEvents[Event #],0))=INDEX(tblLedger[Location Key],ROWS($A$202:A261)),"Yes","No")))</x:f>
        <x:v>Yes</x:v>
      </x:c>
      <x:c r="H261" s="384" t="str">
        <x:f>IF(A261="","",IF(E261&lt;&gt;"Yes","N/A",IF(INDEX(tblServiceEvents[Service Date],MATCH(C261,tblServiceEvents[Event #],0))=INDEX(tblLedger[Service Date],ROWS($A$202:A261)),"Yes","No")))</x:f>
        <x:v>Yes</x:v>
      </x:c>
      <x:c r="I261" s="384" t="str">
        <x:f>IF(A261="","",IF(E261&lt;&gt;"Yes","N/A",IF(D261="MULTI-WO VISIT","Yes",IF(B261=INDEX(tblServiceEvents[Work Orders],MATCH(C261,tblServiceEvents[Event #],0)),"Yes","No"))))</x:f>
        <x:v>Yes</x:v>
      </x:c>
      <x:c r="J261" s="384" t="str">
        <x:f>IF(A261="","",IF(D261="MAPPING_HOLD","QUARANTINED",IF(AND(E261="Yes",F261="Yes",G261="Yes",H261="Yes",I261="Yes"),"PASS","FAIL")))</x:f>
        <x:v>PASS</x:v>
      </x:c>
      <x:c r="K261"/>
      <x:c r="L261"/>
      <x:c r="M261"/>
      <x:c r="N261"/>
      <x:c r="O261"/>
      <x:c r="P261"/>
      <x:c r="Q261"/>
      <x:c r="R261"/>
      <x:c r="S261"/>
      <x:c r="T261"/>
      <x:c r="U261"/>
      <x:c r="V261"/>
      <x:c r="X261"/>
      <x:c r="Y261"/>
      <x:c r="Z261"/>
      <x:c r="AA261"/>
      <x:c r="AB261"/>
      <x:c r="AC261"/>
      <x:c r="AD261"/>
      <x:c r="AE261"/>
      <x:c r="AF261"/>
      <x:c r="AG261"/>
      <x:c r="AH261"/>
      <x:c r="AI261"/>
      <x:c r="AJ261"/>
      <x:c r="AK261"/>
      <x:c r="AL261"/>
      <x:c r="AM261"/>
      <x:c r="AN261"/>
      <x:c r="AO261"/>
      <x:c r="AP261"/>
      <x:c r="AQ261"/>
      <x:c r="AR261"/>
      <x:c r="AS261"/>
    </x:row>
    <x:row r="262" ht="15" hidden="0" customHeight="1">
      <x:c r="A262" s="384" t="str">
        <x:f>IFERROR(INDEX(tblLedger[Ledger Record ID],ROWS($A$202:A262)),"")</x:f>
        <x:v>LED-0061</x:v>
      </x:c>
      <x:c r="B262" s="384" t="n">
        <x:f>IFERROR(INDEX(tblLedger[Work Order #],ROWS($A$202:A262)),"")</x:f>
        <x:v>5909344</x:v>
      </x:c>
      <x:c r="C262" s="384" t="n">
        <x:f>IFERROR(INDEX(tblLedger[Event #],ROWS($A$202:A262)),"")</x:f>
        <x:v>61</x:v>
      </x:c>
      <x:c r="D262" s="384" t="str">
        <x:f>IFERROR(INDEX(tblLedger[Mapping Status],ROWS($A$202:A262)),"")</x:f>
        <x:v>Unique</x:v>
      </x:c>
      <x:c r="E262" s="384" t="str">
        <x:f>IF(A262="","",IF(D262="MAPPING_HOLD","QUARANTINED",IF(COUNTIF(tblServiceEvents[Event #],C262)=1,"Yes","No")))</x:f>
        <x:v>Yes</x:v>
      </x:c>
      <x:c r="F262" s="384" t="str">
        <x:f>IF(A262="","",IF(E262&lt;&gt;"Yes","N/A",IF(INDEX(tblServiceEvents[Client ID],MATCH(C262,tblServiceEvents[Event #],0))=INDEX(tblLedger[Client ID],ROWS($A$202:A262)),"Yes","No")))</x:f>
        <x:v>Yes</x:v>
      </x:c>
      <x:c r="G262" s="384" t="str">
        <x:f>IF(A262="","",IF(E262&lt;&gt;"Yes","N/A",IF(INDEX(tblServiceEvents[Location Key],MATCH(C262,tblServiceEvents[Event #],0))=INDEX(tblLedger[Location Key],ROWS($A$202:A262)),"Yes","No")))</x:f>
        <x:v>Yes</x:v>
      </x:c>
      <x:c r="H262" s="384" t="str">
        <x:f>IF(A262="","",IF(E262&lt;&gt;"Yes","N/A",IF(INDEX(tblServiceEvents[Service Date],MATCH(C262,tblServiceEvents[Event #],0))=INDEX(tblLedger[Service Date],ROWS($A$202:A262)),"Yes","No")))</x:f>
        <x:v>Yes</x:v>
      </x:c>
      <x:c r="I262" s="384" t="str">
        <x:f>IF(A262="","",IF(E262&lt;&gt;"Yes","N/A",IF(D262="MULTI-WO VISIT","Yes",IF(B262=INDEX(tblServiceEvents[Work Orders],MATCH(C262,tblServiceEvents[Event #],0)),"Yes","No"))))</x:f>
        <x:v>Yes</x:v>
      </x:c>
      <x:c r="J262" s="384" t="str">
        <x:f>IF(A262="","",IF(D262="MAPPING_HOLD","QUARANTINED",IF(AND(E262="Yes",F262="Yes",G262="Yes",H262="Yes",I262="Yes"),"PASS","FAIL")))</x:f>
        <x:v>PASS</x:v>
      </x:c>
      <x:c r="K262"/>
      <x:c r="L262"/>
      <x:c r="M262"/>
      <x:c r="N262"/>
      <x:c r="O262"/>
      <x:c r="P262"/>
      <x:c r="Q262"/>
      <x:c r="R262"/>
      <x:c r="S262"/>
      <x:c r="T262"/>
      <x:c r="U262"/>
      <x:c r="V262"/>
      <x:c r="X262"/>
      <x:c r="Y262"/>
      <x:c r="Z262"/>
      <x:c r="AA262"/>
      <x:c r="AB262"/>
      <x:c r="AC262"/>
      <x:c r="AD262"/>
      <x:c r="AE262"/>
      <x:c r="AF262"/>
      <x:c r="AG262"/>
      <x:c r="AH262"/>
      <x:c r="AI262"/>
      <x:c r="AJ262"/>
      <x:c r="AK262"/>
      <x:c r="AL262"/>
      <x:c r="AM262"/>
      <x:c r="AN262"/>
      <x:c r="AO262"/>
      <x:c r="AP262"/>
      <x:c r="AQ262"/>
      <x:c r="AR262"/>
      <x:c r="AS262"/>
    </x:row>
    <x:row r="263" ht="15" hidden="0" customHeight="1">
      <x:c r="A263" s="384" t="str">
        <x:f>IFERROR(INDEX(tblLedger[Ledger Record ID],ROWS($A$202:A263)),"")</x:f>
        <x:v>LED-0062</x:v>
      </x:c>
      <x:c r="B263" s="384" t="n">
        <x:f>IFERROR(INDEX(tblLedger[Work Order #],ROWS($A$202:A263)),"")</x:f>
        <x:v>5913868</x:v>
      </x:c>
      <x:c r="C263" s="384" t="n">
        <x:f>IFERROR(INDEX(tblLedger[Event #],ROWS($A$202:A263)),"")</x:f>
        <x:v>62</x:v>
      </x:c>
      <x:c r="D263" s="384" t="str">
        <x:f>IFERROR(INDEX(tblLedger[Mapping Status],ROWS($A$202:A263)),"")</x:f>
        <x:v>Unique</x:v>
      </x:c>
      <x:c r="E263" s="384" t="str">
        <x:f>IF(A263="","",IF(D263="MAPPING_HOLD","QUARANTINED",IF(COUNTIF(tblServiceEvents[Event #],C263)=1,"Yes","No")))</x:f>
        <x:v>Yes</x:v>
      </x:c>
      <x:c r="F263" s="384" t="str">
        <x:f>IF(A263="","",IF(E263&lt;&gt;"Yes","N/A",IF(INDEX(tblServiceEvents[Client ID],MATCH(C263,tblServiceEvents[Event #],0))=INDEX(tblLedger[Client ID],ROWS($A$202:A263)),"Yes","No")))</x:f>
        <x:v>Yes</x:v>
      </x:c>
      <x:c r="G263" s="384" t="str">
        <x:f>IF(A263="","",IF(E263&lt;&gt;"Yes","N/A",IF(INDEX(tblServiceEvents[Location Key],MATCH(C263,tblServiceEvents[Event #],0))=INDEX(tblLedger[Location Key],ROWS($A$202:A263)),"Yes","No")))</x:f>
        <x:v>Yes</x:v>
      </x:c>
      <x:c r="H263" s="384" t="str">
        <x:f>IF(A263="","",IF(E263&lt;&gt;"Yes","N/A",IF(INDEX(tblServiceEvents[Service Date],MATCH(C263,tblServiceEvents[Event #],0))=INDEX(tblLedger[Service Date],ROWS($A$202:A263)),"Yes","No")))</x:f>
        <x:v>Yes</x:v>
      </x:c>
      <x:c r="I263" s="384" t="str">
        <x:f>IF(A263="","",IF(E263&lt;&gt;"Yes","N/A",IF(D263="MULTI-WO VISIT","Yes",IF(B263=INDEX(tblServiceEvents[Work Orders],MATCH(C263,tblServiceEvents[Event #],0)),"Yes","No"))))</x:f>
        <x:v>Yes</x:v>
      </x:c>
      <x:c r="J263" s="384" t="str">
        <x:f>IF(A263="","",IF(D263="MAPPING_HOLD","QUARANTINED",IF(AND(E263="Yes",F263="Yes",G263="Yes",H263="Yes",I263="Yes"),"PASS","FAIL")))</x:f>
        <x:v>PASS</x:v>
      </x:c>
      <x:c r="K263"/>
      <x:c r="L263"/>
      <x:c r="M263"/>
      <x:c r="N263"/>
      <x:c r="O263"/>
      <x:c r="P263"/>
      <x:c r="Q263"/>
      <x:c r="R263"/>
      <x:c r="S263"/>
      <x:c r="T263"/>
      <x:c r="U263"/>
      <x:c r="V263"/>
      <x:c r="X263"/>
      <x:c r="Y263"/>
      <x:c r="Z263"/>
      <x:c r="AA263"/>
      <x:c r="AB263"/>
      <x:c r="AC263"/>
      <x:c r="AD263"/>
      <x:c r="AE263"/>
      <x:c r="AF263"/>
      <x:c r="AG263"/>
      <x:c r="AH263"/>
      <x:c r="AI263"/>
      <x:c r="AJ263"/>
      <x:c r="AK263"/>
      <x:c r="AL263"/>
      <x:c r="AM263"/>
      <x:c r="AN263"/>
      <x:c r="AO263"/>
      <x:c r="AP263"/>
      <x:c r="AQ263"/>
      <x:c r="AR263"/>
      <x:c r="AS263"/>
    </x:row>
    <x:row r="264">
      <x:c r="A264" t="str">
        <x:f>IFERROR(INDEX(tblLedger[Ledger Record ID],ROWS($A$202:A264)),"")</x:f>
        <x:v>LED-0063</x:v>
      </x:c>
      <x:c r="B264" t="n">
        <x:f>IFERROR(INDEX(tblLedger[Work Order #],ROWS($A$202:A264)),"")</x:f>
        <x:v>5905579</x:v>
      </x:c>
      <x:c r="C264" t="str">
        <x:f>IFERROR(INDEX(tblLedger[Event #],ROWS($A$202:A264)),"")</x:f>
      </x:c>
      <x:c r="D264" t="str">
        <x:f>IFERROR(INDEX(tblLedger[Mapping Status],ROWS($A$202:A264)),"")</x:f>
        <x:v>MAPPING_HOLD</x:v>
      </x:c>
      <x:c r="E264" t="str">
        <x:f>IF(A264="","",IF(D264="MAPPING_HOLD","QUARANTINED",IF(COUNTIF(tblServiceEvents[Event #],C264)=1,"Yes","No")))</x:f>
        <x:v>QUARANTINED</x:v>
      </x:c>
      <x:c r="F264" t="str">
        <x:f>IF(A264="","",IF(E264&lt;&gt;"Yes","N/A",IF(INDEX(tblServiceEvents[Client ID],MATCH(C264,tblServiceEvents[Event #],0))=INDEX(tblLedger[Client ID],ROWS($A$202:A264)),"Yes","No")))</x:f>
        <x:v>N/A</x:v>
      </x:c>
      <x:c r="G264" t="str">
        <x:f>IF(A264="","",IF(E264&lt;&gt;"Yes","N/A",IF(INDEX(tblServiceEvents[Location Key],MATCH(C264,tblServiceEvents[Event #],0))=INDEX(tblLedger[Location Key],ROWS($A$202:A264)),"Yes","No")))</x:f>
        <x:v>N/A</x:v>
      </x:c>
      <x:c r="H264" t="str">
        <x:f>IF(A264="","",IF(E264&lt;&gt;"Yes","N/A",IF(INDEX(tblServiceEvents[Service Date],MATCH(C264,tblServiceEvents[Event #],0))=INDEX(tblLedger[Service Date],ROWS($A$202:A264)),"Yes","No")))</x:f>
        <x:v>N/A</x:v>
      </x:c>
      <x:c r="I264" t="str">
        <x:f>IF(A264="","",IF(E264&lt;&gt;"Yes","N/A",IF(D264="MULTI-WO VISIT","Yes",IF(B264=INDEX(tblServiceEvents[Work Orders],MATCH(C264,tblServiceEvents[Event #],0)),"Yes","No"))))</x:f>
        <x:v>N/A</x:v>
      </x:c>
      <x:c r="J264" t="str">
        <x:f>IF(A264="","",IF(D264="MAPPING_HOLD","QUARANTINED",IF(AND(E264="Yes",F264="Yes",G264="Yes",H264="Yes",I264="Yes"),"PASS","FAIL")))</x:f>
        <x:v>QUARANTINED</x:v>
      </x:c>
      <x:c r="K264"/>
      <x:c r="L264"/>
      <x:c r="M264"/>
      <x:c r="N264"/>
      <x:c r="O264"/>
      <x:c r="P264"/>
      <x:c r="Q264"/>
      <x:c r="R264"/>
      <x:c r="S264"/>
      <x:c r="T264"/>
      <x:c r="U264"/>
      <x:c r="V264"/>
    </x:row>
    <x:row r="265">
      <x:c r="A265" t="str">
        <x:f>IFERROR(INDEX(tblLedger[Ledger Record ID],ROWS($A$202:A265)),"")</x:f>
        <x:v>LED-0064</x:v>
      </x:c>
      <x:c r="B265" t="n">
        <x:f>IFERROR(INDEX(tblLedger[Work Order #],ROWS($A$202:A265)),"")</x:f>
        <x:v>5909368</x:v>
      </x:c>
      <x:c r="C265" t="n">
        <x:f>IFERROR(INDEX(tblLedger[Event #],ROWS($A$202:A265)),"")</x:f>
        <x:v>63</x:v>
      </x:c>
      <x:c r="D265" t="str">
        <x:f>IFERROR(INDEX(tblLedger[Mapping Status],ROWS($A$202:A265)),"")</x:f>
        <x:v>Unique</x:v>
      </x:c>
      <x:c r="E265" t="str">
        <x:f>IF(A265="","",IF(D265="MAPPING_HOLD","QUARANTINED",IF(COUNTIF(tblServiceEvents[Event #],C265)=1,"Yes","No")))</x:f>
        <x:v>Yes</x:v>
      </x:c>
      <x:c r="F265" t="str">
        <x:f>IF(A265="","",IF(E265&lt;&gt;"Yes","N/A",IF(INDEX(tblServiceEvents[Client ID],MATCH(C265,tblServiceEvents[Event #],0))=INDEX(tblLedger[Client ID],ROWS($A$202:A265)),"Yes","No")))</x:f>
        <x:v>Yes</x:v>
      </x:c>
      <x:c r="G265" t="str">
        <x:f>IF(A265="","",IF(E265&lt;&gt;"Yes","N/A",IF(INDEX(tblServiceEvents[Location Key],MATCH(C265,tblServiceEvents[Event #],0))=INDEX(tblLedger[Location Key],ROWS($A$202:A265)),"Yes","No")))</x:f>
        <x:v>Yes</x:v>
      </x:c>
      <x:c r="H265" t="str">
        <x:f>IF(A265="","",IF(E265&lt;&gt;"Yes","N/A",IF(INDEX(tblServiceEvents[Service Date],MATCH(C265,tblServiceEvents[Event #],0))=INDEX(tblLedger[Service Date],ROWS($A$202:A265)),"Yes","No")))</x:f>
        <x:v>Yes</x:v>
      </x:c>
      <x:c r="I265" t="str">
        <x:f>IF(A265="","",IF(E265&lt;&gt;"Yes","N/A",IF(D265="MULTI-WO VISIT","Yes",IF(B265=INDEX(tblServiceEvents[Work Orders],MATCH(C265,tblServiceEvents[Event #],0)),"Yes","No"))))</x:f>
        <x:v>Yes</x:v>
      </x:c>
      <x:c r="J265" t="str">
        <x:f>IF(A265="","",IF(D265="MAPPING_HOLD","QUARANTINED",IF(AND(E265="Yes",F265="Yes",G265="Yes",H265="Yes",I265="Yes"),"PASS","FAIL")))</x:f>
        <x:v>PASS</x:v>
      </x:c>
      <x:c r="K265"/>
      <x:c r="L265"/>
      <x:c r="M265"/>
      <x:c r="N265"/>
      <x:c r="O265"/>
      <x:c r="P265"/>
      <x:c r="Q265"/>
      <x:c r="R265"/>
      <x:c r="S265"/>
      <x:c r="T265"/>
      <x:c r="U265"/>
      <x:c r="V265"/>
    </x:row>
    <x:row r="266">
      <x:c r="A266" t="str">
        <x:f>IFERROR(INDEX(tblLedger[Ledger Record ID],ROWS($A$202:A266)),"")</x:f>
        <x:v>LED-0065</x:v>
      </x:c>
      <x:c r="B266" t="n">
        <x:f>IFERROR(INDEX(tblLedger[Work Order #],ROWS($A$202:A266)),"")</x:f>
        <x:v>5916961</x:v>
      </x:c>
      <x:c r="C266" t="n">
        <x:f>IFERROR(INDEX(tblLedger[Event #],ROWS($A$202:A266)),"")</x:f>
        <x:v>64</x:v>
      </x:c>
      <x:c r="D266" t="str">
        <x:f>IFERROR(INDEX(tblLedger[Mapping Status],ROWS($A$202:A266)),"")</x:f>
        <x:v>Unique</x:v>
      </x:c>
      <x:c r="E266" t="str">
        <x:f>IF(A266="","",IF(D266="MAPPING_HOLD","QUARANTINED",IF(COUNTIF(tblServiceEvents[Event #],C266)=1,"Yes","No")))</x:f>
        <x:v>Yes</x:v>
      </x:c>
      <x:c r="F266" t="str">
        <x:f>IF(A266="","",IF(E266&lt;&gt;"Yes","N/A",IF(INDEX(tblServiceEvents[Client ID],MATCH(C266,tblServiceEvents[Event #],0))=INDEX(tblLedger[Client ID],ROWS($A$202:A266)),"Yes","No")))</x:f>
        <x:v>Yes</x:v>
      </x:c>
      <x:c r="G266" t="str">
        <x:f>IF(A266="","",IF(E266&lt;&gt;"Yes","N/A",IF(INDEX(tblServiceEvents[Location Key],MATCH(C266,tblServiceEvents[Event #],0))=INDEX(tblLedger[Location Key],ROWS($A$202:A266)),"Yes","No")))</x:f>
        <x:v>Yes</x:v>
      </x:c>
      <x:c r="H266" t="str">
        <x:f>IF(A266="","",IF(E266&lt;&gt;"Yes","N/A",IF(INDEX(tblServiceEvents[Service Date],MATCH(C266,tblServiceEvents[Event #],0))=INDEX(tblLedger[Service Date],ROWS($A$202:A266)),"Yes","No")))</x:f>
        <x:v>Yes</x:v>
      </x:c>
      <x:c r="I266" t="str">
        <x:f>IF(A266="","",IF(E266&lt;&gt;"Yes","N/A",IF(D266="MULTI-WO VISIT","Yes",IF(B266=INDEX(tblServiceEvents[Work Orders],MATCH(C266,tblServiceEvents[Event #],0)),"Yes","No"))))</x:f>
        <x:v>Yes</x:v>
      </x:c>
      <x:c r="J266" t="str">
        <x:f>IF(A266="","",IF(D266="MAPPING_HOLD","QUARANTINED",IF(AND(E266="Yes",F266="Yes",G266="Yes",H266="Yes",I266="Yes"),"PASS","FAIL")))</x:f>
        <x:v>PASS</x:v>
      </x:c>
      <x:c r="K266"/>
      <x:c r="L266"/>
      <x:c r="M266"/>
      <x:c r="N266"/>
      <x:c r="O266"/>
      <x:c r="P266"/>
      <x:c r="Q266"/>
      <x:c r="R266"/>
      <x:c r="S266"/>
      <x:c r="T266"/>
      <x:c r="U266"/>
      <x:c r="V266"/>
    </x:row>
    <x:row r="267">
      <x:c r="A267" t="str">
        <x:f>IFERROR(INDEX(tblLedger[Ledger Record ID],ROWS($A$202:A267)),"")</x:f>
        <x:v>LED-0066</x:v>
      </x:c>
      <x:c r="B267" t="n">
        <x:f>IFERROR(INDEX(tblLedger[Work Order #],ROWS($A$202:A267)),"")</x:f>
        <x:v>5917407</x:v>
      </x:c>
      <x:c r="C267" t="n">
        <x:f>IFERROR(INDEX(tblLedger[Event #],ROWS($A$202:A267)),"")</x:f>
        <x:v>65</x:v>
      </x:c>
      <x:c r="D267" t="str">
        <x:f>IFERROR(INDEX(tblLedger[Mapping Status],ROWS($A$202:A267)),"")</x:f>
        <x:v>Unique</x:v>
      </x:c>
      <x:c r="E267" t="str">
        <x:f>IF(A267="","",IF(D267="MAPPING_HOLD","QUARANTINED",IF(COUNTIF(tblServiceEvents[Event #],C267)=1,"Yes","No")))</x:f>
        <x:v>Yes</x:v>
      </x:c>
      <x:c r="F267" t="str">
        <x:f>IF(A267="","",IF(E267&lt;&gt;"Yes","N/A",IF(INDEX(tblServiceEvents[Client ID],MATCH(C267,tblServiceEvents[Event #],0))=INDEX(tblLedger[Client ID],ROWS($A$202:A267)),"Yes","No")))</x:f>
        <x:v>Yes</x:v>
      </x:c>
      <x:c r="G267" t="str">
        <x:f>IF(A267="","",IF(E267&lt;&gt;"Yes","N/A",IF(INDEX(tblServiceEvents[Location Key],MATCH(C267,tblServiceEvents[Event #],0))=INDEX(tblLedger[Location Key],ROWS($A$202:A267)),"Yes","No")))</x:f>
        <x:v>Yes</x:v>
      </x:c>
      <x:c r="H267" t="str">
        <x:f>IF(A267="","",IF(E267&lt;&gt;"Yes","N/A",IF(INDEX(tblServiceEvents[Service Date],MATCH(C267,tblServiceEvents[Event #],0))=INDEX(tblLedger[Service Date],ROWS($A$202:A267)),"Yes","No")))</x:f>
        <x:v>Yes</x:v>
      </x:c>
      <x:c r="I267" t="str">
        <x:f>IF(A267="","",IF(E267&lt;&gt;"Yes","N/A",IF(D267="MULTI-WO VISIT","Yes",IF(B267=INDEX(tblServiceEvents[Work Orders],MATCH(C267,tblServiceEvents[Event #],0)),"Yes","No"))))</x:f>
        <x:v>Yes</x:v>
      </x:c>
      <x:c r="J267" t="str">
        <x:f>IF(A267="","",IF(D267="MAPPING_HOLD","QUARANTINED",IF(AND(E267="Yes",F267="Yes",G267="Yes",H267="Yes",I267="Yes"),"PASS","FAIL")))</x:f>
        <x:v>PASS</x:v>
      </x:c>
      <x:c r="K267"/>
      <x:c r="L267"/>
      <x:c r="M267"/>
      <x:c r="N267"/>
      <x:c r="O267"/>
      <x:c r="P267"/>
      <x:c r="Q267"/>
      <x:c r="R267"/>
      <x:c r="S267"/>
      <x:c r="T267"/>
      <x:c r="U267"/>
      <x:c r="V267"/>
    </x:row>
    <x:row r="268">
      <x:c r="A268" t="str">
        <x:f>IFERROR(INDEX(tblLedger[Ledger Record ID],ROWS($A$202:A268)),"")</x:f>
        <x:v>LED-0067</x:v>
      </x:c>
      <x:c r="B268" t="n">
        <x:f>IFERROR(INDEX(tblLedger[Work Order #],ROWS($A$202:A268)),"")</x:f>
        <x:v>5909385</x:v>
      </x:c>
      <x:c r="C268" t="n">
        <x:f>IFERROR(INDEX(tblLedger[Event #],ROWS($A$202:A268)),"")</x:f>
        <x:v>66</x:v>
      </x:c>
      <x:c r="D268" t="str">
        <x:f>IFERROR(INDEX(tblLedger[Mapping Status],ROWS($A$202:A268)),"")</x:f>
        <x:v>Unique</x:v>
      </x:c>
      <x:c r="E268" t="str">
        <x:f>IF(A268="","",IF(D268="MAPPING_HOLD","QUARANTINED",IF(COUNTIF(tblServiceEvents[Event #],C268)=1,"Yes","No")))</x:f>
        <x:v>Yes</x:v>
      </x:c>
      <x:c r="F268" t="str">
        <x:f>IF(A268="","",IF(E268&lt;&gt;"Yes","N/A",IF(INDEX(tblServiceEvents[Client ID],MATCH(C268,tblServiceEvents[Event #],0))=INDEX(tblLedger[Client ID],ROWS($A$202:A268)),"Yes","No")))</x:f>
        <x:v>Yes</x:v>
      </x:c>
      <x:c r="G268" t="str">
        <x:f>IF(A268="","",IF(E268&lt;&gt;"Yes","N/A",IF(INDEX(tblServiceEvents[Location Key],MATCH(C268,tblServiceEvents[Event #],0))=INDEX(tblLedger[Location Key],ROWS($A$202:A268)),"Yes","No")))</x:f>
        <x:v>Yes</x:v>
      </x:c>
      <x:c r="H268" t="str">
        <x:f>IF(A268="","",IF(E268&lt;&gt;"Yes","N/A",IF(INDEX(tblServiceEvents[Service Date],MATCH(C268,tblServiceEvents[Event #],0))=INDEX(tblLedger[Service Date],ROWS($A$202:A268)),"Yes","No")))</x:f>
        <x:v>Yes</x:v>
      </x:c>
      <x:c r="I268" t="str">
        <x:f>IF(A268="","",IF(E268&lt;&gt;"Yes","N/A",IF(D268="MULTI-WO VISIT","Yes",IF(B268=INDEX(tblServiceEvents[Work Orders],MATCH(C268,tblServiceEvents[Event #],0)),"Yes","No"))))</x:f>
        <x:v>Yes</x:v>
      </x:c>
      <x:c r="J268" t="str">
        <x:f>IF(A268="","",IF(D268="MAPPING_HOLD","QUARANTINED",IF(AND(E268="Yes",F268="Yes",G268="Yes",H268="Yes",I268="Yes"),"PASS","FAIL")))</x:f>
        <x:v>PASS</x:v>
      </x:c>
    </x:row>
    <x:row r="269">
      <x:c r="A269" t="str">
        <x:f>IFERROR(INDEX(tblLedger[Ledger Record ID],ROWS($A$202:A269)),"")</x:f>
        <x:v>LED-0068</x:v>
      </x:c>
      <x:c r="B269" t="n">
        <x:f>IFERROR(INDEX(tblLedger[Work Order #],ROWS($A$202:A269)),"")</x:f>
        <x:v>5914898</x:v>
      </x:c>
      <x:c r="C269" t="n">
        <x:f>IFERROR(INDEX(tblLedger[Event #],ROWS($A$202:A269)),"")</x:f>
        <x:v>67</x:v>
      </x:c>
      <x:c r="D269" t="str">
        <x:f>IFERROR(INDEX(tblLedger[Mapping Status],ROWS($A$202:A269)),"")</x:f>
        <x:v>Unique</x:v>
      </x:c>
      <x:c r="E269" t="str">
        <x:f>IF(A269="","",IF(D269="MAPPING_HOLD","QUARANTINED",IF(COUNTIF(tblServiceEvents[Event #],C269)=1,"Yes","No")))</x:f>
        <x:v>Yes</x:v>
      </x:c>
      <x:c r="F269" t="str">
        <x:f>IF(A269="","",IF(E269&lt;&gt;"Yes","N/A",IF(INDEX(tblServiceEvents[Client ID],MATCH(C269,tblServiceEvents[Event #],0))=INDEX(tblLedger[Client ID],ROWS($A$202:A269)),"Yes","No")))</x:f>
        <x:v>Yes</x:v>
      </x:c>
      <x:c r="G269" t="str">
        <x:f>IF(A269="","",IF(E269&lt;&gt;"Yes","N/A",IF(INDEX(tblServiceEvents[Location Key],MATCH(C269,tblServiceEvents[Event #],0))=INDEX(tblLedger[Location Key],ROWS($A$202:A269)),"Yes","No")))</x:f>
        <x:v>Yes</x:v>
      </x:c>
      <x:c r="H269" t="str">
        <x:f>IF(A269="","",IF(E269&lt;&gt;"Yes","N/A",IF(INDEX(tblServiceEvents[Service Date],MATCH(C269,tblServiceEvents[Event #],0))=INDEX(tblLedger[Service Date],ROWS($A$202:A269)),"Yes","No")))</x:f>
        <x:v>Yes</x:v>
      </x:c>
      <x:c r="I269" t="str">
        <x:f>IF(A269="","",IF(E269&lt;&gt;"Yes","N/A",IF(D269="MULTI-WO VISIT","Yes",IF(B269=INDEX(tblServiceEvents[Work Orders],MATCH(C269,tblServiceEvents[Event #],0)),"Yes","No"))))</x:f>
        <x:v>Yes</x:v>
      </x:c>
      <x:c r="J269" t="str">
        <x:f>IF(A269="","",IF(D269="MAPPING_HOLD","QUARANTINED",IF(AND(E269="Yes",F269="Yes",G269="Yes",H269="Yes",I269="Yes"),"PASS","FAIL")))</x:f>
        <x:v>PASS</x:v>
      </x:c>
    </x:row>
  </x:sheetData>
  <x:mergeCells>
    <x:mergeCell ref="A1:V2"/>
    <x:mergeCell ref="A3:V3"/>
    <x:mergeCell ref="A5:C5"/>
    <x:mergeCell ref="A6:C7"/>
    <x:mergeCell ref="D5:F5"/>
    <x:mergeCell ref="D6:F7"/>
    <x:mergeCell ref="G5:I5"/>
    <x:mergeCell ref="G6:I7"/>
    <x:mergeCell ref="J5:L5"/>
    <x:mergeCell ref="J6:L7"/>
    <x:mergeCell ref="M5:O5"/>
    <x:mergeCell ref="M6:O7"/>
    <x:mergeCell ref="P5:R5"/>
    <x:mergeCell ref="P6:R7"/>
    <x:mergeCell ref="S5:V5"/>
    <x:mergeCell ref="S6:V7"/>
    <x:mergeCell ref="A9:L9"/>
    <x:mergeCell ref="A29:V29"/>
    <x:mergeCell ref="A96:R96"/>
  </x:mergeCells>
  <x:conditionalFormatting sqref="A31:V93">
    <x:cfRule type="expression" dxfId="13" priority="1">
      <x:formula>$S31="Critical"</x:formula>
    </x:cfRule>
  </x:conditionalFormatting>
  <x:conditionalFormatting sqref="A98:R159">
    <x:cfRule type="expression" dxfId="14" priority="2">
      <x:formula>$Q98="Critical"</x:formula>
    </x:cfRule>
  </x:conditionalFormatting>
  <x:conditionalFormatting sqref="S31:S93">
    <x:cfRule type="expression" dxfId="15" priority="3">
      <x:formula>S31="Critical"</x:formula>
    </x:cfRule>
    <x:cfRule type="expression" dxfId="16" priority="4">
      <x:formula>S31="Warning"</x:formula>
    </x:cfRule>
    <x:cfRule type="expression" dxfId="17" priority="5">
      <x:formula>S31="Informational"</x:formula>
    </x:cfRule>
  </x:conditionalFormatting>
  <x:conditionalFormatting sqref="Q98:Q159">
    <x:cfRule type="expression" dxfId="18" priority="6">
      <x:formula>Q98="Critical"</x:formula>
    </x:cfRule>
    <x:cfRule type="expression" dxfId="19" priority="7">
      <x:formula>Q98="Warning"</x:formula>
    </x:cfRule>
    <x:cfRule type="expression" dxfId="20" priority="8">
      <x:formula>Q98="Informational"</x:formula>
    </x:cfRule>
  </x:conditionalFormatting>
  <x:conditionalFormatting sqref="A6:C6">
    <x:cfRule type="expression" dxfId="95" priority="9">
      <x:formula>$A$6=0</x:formula>
    </x:cfRule>
    <x:cfRule type="expression" dxfId="96" priority="10">
      <x:formula>$A$6&gt;0</x:formula>
    </x:cfRule>
  </x:conditionalFormatting>
  <x:conditionalFormatting sqref="D6:F6">
    <x:cfRule type="expression" dxfId="97" priority="11">
      <x:formula>$D$6=0</x:formula>
    </x:cfRule>
    <x:cfRule type="expression" dxfId="98" priority="12">
      <x:formula>$D$6&gt;0</x:formula>
    </x:cfRule>
  </x:conditionalFormatting>
  <x:conditionalFormatting sqref="G6:I6">
    <x:cfRule type="expression" dxfId="99" priority="13">
      <x:formula>$G$6=0</x:formula>
    </x:cfRule>
    <x:cfRule type="expression" dxfId="100" priority="14">
      <x:formula>$G$6&gt;0</x:formula>
    </x:cfRule>
  </x:conditionalFormatting>
  <x:conditionalFormatting sqref="J6:L6">
    <x:cfRule type="expression" dxfId="101" priority="15">
      <x:formula>$J$6=0</x:formula>
    </x:cfRule>
    <x:cfRule type="expression" dxfId="102" priority="16">
      <x:formula>$J$6&gt;0</x:formula>
    </x:cfRule>
  </x:conditionalFormatting>
  <x:conditionalFormatting sqref="M6:O6">
    <x:cfRule type="expression" dxfId="103" priority="17">
      <x:formula>$M$6=0</x:formula>
    </x:cfRule>
    <x:cfRule type="expression" dxfId="104" priority="18">
      <x:formula>$M$6&gt;0</x:formula>
    </x:cfRule>
  </x:conditionalFormatting>
  <x:conditionalFormatting sqref="P6:R6">
    <x:cfRule type="expression" dxfId="105" priority="19">
      <x:formula>$P$6=0</x:formula>
    </x:cfRule>
    <x:cfRule type="expression" dxfId="106" priority="20">
      <x:formula>$P$6&gt;0</x:formula>
    </x:cfRule>
  </x:conditionalFormatting>
  <x:conditionalFormatting sqref="S6:V6">
    <x:cfRule type="expression" dxfId="107" priority="21">
      <x:formula>$S$6=0</x:formula>
    </x:cfRule>
    <x:cfRule type="expression" dxfId="108" priority="22">
      <x:formula>$S$6&gt;0</x:formula>
    </x:cfRule>
  </x:conditionalFormatting>
  <x:conditionalFormatting sqref="A11:L25">
    <x:cfRule type="expression" dxfId="109" priority="23">
      <x:formula>$A11="Critical"</x:formula>
    </x:cfRule>
    <x:cfRule type="expression" dxfId="110" priority="24">
      <x:formula>$A11="Warning"</x:formula>
    </x:cfRule>
    <x:cfRule type="expression" dxfId="111" priority="25">
      <x:formula>$A11="Informational"</x:formula>
    </x:cfRule>
  </x:conditionalFormatting>
  <x:conditionalFormatting sqref="H11:H25">
    <x:cfRule type="dataBar" priority="26">
      <x:dataBar>
        <x:cfvo type="min"/>
        <x:cfvo type="max"/>
        <x:color rgb="FFED7D31"/>
      </x:dataBar>
      <x:extLst>
        <x:ext xmlns:x14="http://schemas.microsoft.com/office/spreadsheetml/2009/9/main" uri="{B025F937-C7B1-47D3-B67F-A62EFF666E3E}">
          <x14:id>{48A1F88A-D0BA-ECDF-1718-9A4ADDB9838F}</x14:id>
        </x:ext>
      </x:extLst>
    </x:cfRule>
  </x:conditionalFormatting>
  <x:conditionalFormatting sqref="R31:V96">
    <x:cfRule type="expression" dxfId="112" priority="27">
      <x:formula>$S31="Critical"</x:formula>
    </x:cfRule>
    <x:cfRule type="expression" dxfId="113" priority="28">
      <x:formula>$S31="Warning"</x:formula>
    </x:cfRule>
    <x:cfRule type="expression" dxfId="114" priority="29">
      <x:formula>$S31="Informational"</x:formula>
    </x:cfRule>
    <x:cfRule type="expression" dxfId="115" priority="30">
      <x:formula>$S31="OK"</x:formula>
    </x:cfRule>
  </x:conditionalFormatting>
  <x:conditionalFormatting sqref="V31:V96">
    <x:cfRule type="dataBar" priority="31">
      <x:dataBar>
        <x:cfvo type="min"/>
        <x:cfvo type="max"/>
        <x:color rgb="FFC00000"/>
      </x:dataBar>
      <x:extLst>
        <x:ext xmlns:x14="http://schemas.microsoft.com/office/spreadsheetml/2009/9/main" uri="{B025F937-C7B1-47D3-B67F-A62EFF666E3E}">
          <x14:id>{F4D75A0D-32A7-6E29-5BE8-5A81C508C603}</x14:id>
        </x:ext>
      </x:extLst>
    </x:cfRule>
  </x:conditionalFormatting>
  <x:conditionalFormatting sqref="P98:R162">
    <x:cfRule type="expression" dxfId="116" priority="32">
      <x:formula>$Q98="Critical"</x:formula>
    </x:cfRule>
    <x:cfRule type="expression" dxfId="117" priority="33">
      <x:formula>$Q98="Warning"</x:formula>
    </x:cfRule>
    <x:cfRule type="expression" dxfId="118" priority="34">
      <x:formula>$Q98="Informational"</x:formula>
    </x:cfRule>
    <x:cfRule type="expression" dxfId="119" priority="35">
      <x:formula>$Q98="OK"</x:formula>
    </x:cfRule>
  </x:conditionalFormatting>
  <x:conditionalFormatting sqref="B167:B167">
    <x:cfRule type="expression" dxfId="127" priority="36">
      <x:formula>B167="PASS"</x:formula>
    </x:cfRule>
    <x:cfRule type="expression" dxfId="128" priority="37">
      <x:formula>B167="FAIL"</x:formula>
    </x:cfRule>
  </x:conditionalFormatting>
  <x:conditionalFormatting sqref="E172:E193">
    <x:cfRule type="expression" dxfId="129" priority="38">
      <x:formula>E172="PASS"</x:formula>
    </x:cfRule>
    <x:cfRule type="expression" dxfId="130" priority="39">
      <x:formula>E172="FAIL"</x:formula>
    </x:cfRule>
  </x:conditionalFormatting>
  <x:conditionalFormatting sqref="J198:J263">
    <x:cfRule type="expression" dxfId="131" priority="40">
      <x:formula>J198="PASS"</x:formula>
    </x:cfRule>
    <x:cfRule type="expression" dxfId="132" priority="41">
      <x:formula>J198="FAIL"</x:formula>
    </x:cfRule>
    <x:cfRule type="expression" dxfId="133" priority="42">
      <x:formula>J198="QUARANTINED"</x:formula>
    </x:cfRule>
  </x:conditionalFormatting>
  <x:pageMargins left="0.7" right="0.7" top="0.75" bottom="0.75" header="0.3" footer="0.3"/>
  <x:tableParts count="5">
    <x:tablePart xmlns:r="http://schemas.openxmlformats.org/officeDocument/2006/relationships" r:id="R36f4ddce0e3148de"/>
    <x:tablePart xmlns:r="http://schemas.openxmlformats.org/officeDocument/2006/relationships" r:id="Rc8f0fd1d6ea14f6e"/>
    <x:tablePart xmlns:r="http://schemas.openxmlformats.org/officeDocument/2006/relationships" r:id="R05ce4489ee3d4e11"/>
    <x:tablePart xmlns:r="http://schemas.openxmlformats.org/officeDocument/2006/relationships" r:id="Redada61a94dc4d9e"/>
    <x:tablePart xmlns:r="http://schemas.openxmlformats.org/officeDocument/2006/relationships" r:id="Red1ad07e98384c0f"/>
  </x:tableParts>
  <x:extLst>
    <x:ext xmlns:x14="http://schemas.microsoft.com/office/spreadsheetml/2009/9/main" xmlns:xm="http://schemas.microsoft.com/office/excel/2006/main" uri="{78C0D931-6437-407d-A8EE-F0AAD7539E65}">
      <x14:conditionalFormattings>
        <x14:conditionalFormatting>
          <x14:cfRule type="dataBar" priority="26" id="{48A1F88A-D0BA-ECDF-1718-9A4ADDB9838F}">
            <x14:dataBar gradient="1">
              <x14:cfvo type="min"/>
              <x14:cfvo type="max"/>
              <x14:fillColor rgb="FFED7D31"/>
            </x14:dataBar>
          </x14:cfRule>
          <xm:sqref>H11:H25</xm:sqref>
        </x14:conditionalFormatting>
        <x14:conditionalFormatting>
          <x14:cfRule type="dataBar" priority="31" id="{F4D75A0D-32A7-6E29-5BE8-5A81C508C603}">
            <x14:dataBar gradient="1">
              <x14:cfvo type="min"/>
              <x14:cfvo type="max"/>
              <x14:fillColor rgb="FFC00000"/>
            </x14:dataBar>
          </x14:cfRule>
          <xm:sqref>V31:V96</xm:sqref>
        </x14:conditionalFormatting>
      </x14:conditionalFormattings>
    </x:ext>
  </x:extLst>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42" hidden="0" customWidth="1"/>
    <x:col min="3" max="3" width="42"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s>
  <x:sheetData>
    <x:row r="1">
      <x:c r="A1" s="51" t="str">
        <x:v>Barrister Governance &amp; Migration Record</x:v>
      </x:c>
      <x:c r="B1" s="51"/>
      <x:c r="C1" s="51"/>
      <x:c r="D1" s="51"/>
      <x:c r="E1" s="51"/>
      <x:c r="F1" s="51"/>
      <x:c r="G1" s="52"/>
      <x:c r="H1" s="52"/>
      <x:c r="I1" s="52"/>
      <x:c r="J1" s="52"/>
      <x:c r="K1" s="52"/>
      <x:c r="L1" s="52"/>
      <x:c r="M1" s="52"/>
      <x:c r="N1" s="52"/>
      <x:c r="O1" s="52"/>
      <x:c r="P1" s="52"/>
      <x:c r="Q1" s="52"/>
      <x:c r="R1" s="52"/>
      <x:c r="S1" s="52"/>
      <x:c r="T1" s="52"/>
      <x:c r="U1" s="52"/>
      <x:c r="V1" s="52"/>
      <x:c r="W1" s="52"/>
      <x:c r="X1" s="52"/>
      <x:c r="Y1" s="52"/>
      <x:c r="Z1" s="52"/>
      <x:c r="AA1" s="52"/>
      <x:c r="AB1" s="52"/>
      <x:c r="AC1" s="52"/>
      <x:c r="AD1" s="52"/>
      <x:c r="AE1" s="52"/>
    </x:row>
    <x:row r="2">
      <x:c r="A2" s="587"/>
      <x:c r="B2" s="587"/>
      <x:c r="C2" s="587"/>
      <x:c r="D2" s="587"/>
      <x:c r="E2" s="587"/>
      <x:c r="F2" s="587"/>
      <x:c r="G2" s="329"/>
      <x:c r="H2" s="329"/>
      <x:c r="I2" s="329"/>
      <x:c r="J2" s="329"/>
      <x:c r="K2" s="329"/>
      <x:c r="L2" s="329"/>
      <x:c r="M2" s="329"/>
      <x:c r="N2" s="329"/>
      <x:c r="O2" s="329"/>
      <x:c r="P2" s="329"/>
      <x:c r="Q2" s="329"/>
      <x:c r="R2" s="329"/>
      <x:c r="S2" s="329"/>
      <x:c r="T2" s="329"/>
      <x:c r="U2" s="329"/>
      <x:c r="V2" s="329"/>
      <x:c r="W2" s="329"/>
      <x:c r="X2" s="329"/>
      <x:c r="Y2" s="329"/>
      <x:c r="Z2" s="329"/>
      <x:c r="AA2" s="329"/>
      <x:c r="AB2" s="329"/>
      <x:c r="AC2" s="329"/>
      <x:c r="AD2" s="329"/>
      <x:c r="AE2" s="329"/>
    </x:row>
    <x:row r="3">
      <x:c r="A3" s="329"/>
      <x:c r="B3" s="329"/>
      <x:c r="C3" s="329"/>
      <x:c r="D3" s="329"/>
      <x:c r="E3" s="329"/>
      <x:c r="F3" s="329"/>
      <x:c r="G3" s="329"/>
      <x:c r="H3" s="329"/>
      <x:c r="I3" s="329"/>
      <x:c r="J3" s="329"/>
      <x:c r="K3" s="329"/>
      <x:c r="L3" s="329"/>
      <x:c r="M3" s="329"/>
      <x:c r="N3" s="329"/>
      <x:c r="O3" s="329"/>
      <x:c r="P3" s="329"/>
      <x:c r="Q3" s="329"/>
      <x:c r="R3" s="329"/>
      <x:c r="S3" s="329"/>
      <x:c r="T3" s="329"/>
      <x:c r="U3" s="329"/>
      <x:c r="V3" s="329"/>
      <x:c r="W3" s="329"/>
      <x:c r="X3" s="329"/>
      <x:c r="Y3" s="329"/>
      <x:c r="Z3" s="329"/>
      <x:c r="AA3" s="329"/>
      <x:c r="AB3" s="329"/>
      <x:c r="AC3" s="329"/>
      <x:c r="AD3" s="329"/>
      <x:c r="AE3" s="329"/>
    </x:row>
    <x:row r="4">
      <x:c r="A4" s="588" t="str">
        <x:v>Current Master Summary</x:v>
      </x:c>
      <x:c r="B4" s="588"/>
      <x:c r="C4" s="329"/>
      <x:c r="D4" s="329"/>
      <x:c r="E4" s="329"/>
      <x:c r="F4" s="329"/>
      <x:c r="G4" s="329"/>
      <x:c r="H4" s="329"/>
      <x:c r="I4" s="329"/>
      <x:c r="J4" s="329"/>
      <x:c r="K4" s="329"/>
      <x:c r="L4" s="329"/>
      <x:c r="M4" s="329"/>
      <x:c r="N4" s="329"/>
      <x:c r="O4" s="329"/>
      <x:c r="P4" s="329"/>
      <x:c r="Q4" s="329"/>
      <x:c r="R4" s="329"/>
      <x:c r="S4" s="329"/>
      <x:c r="T4" s="329"/>
      <x:c r="U4" s="329"/>
      <x:c r="V4" s="329"/>
      <x:c r="W4" s="329"/>
      <x:c r="X4" s="329"/>
      <x:c r="Y4" s="329"/>
      <x:c r="Z4" s="329"/>
      <x:c r="AA4" s="329"/>
      <x:c r="AB4" s="329"/>
      <x:c r="AC4" s="329"/>
      <x:c r="AD4" s="329"/>
      <x:c r="AE4" s="329"/>
    </x:row>
    <x:row r="5">
      <x:c r="A5" s="329" t="str">
        <x:v>Purpose</x:v>
      </x:c>
      <x:c r="B5" s="329" t="str">
        <x:v>Barrister Source of Truth — July Master v1</x:v>
      </x:c>
      <x:c r="C5" s="329"/>
      <x:c r="D5" s="329"/>
      <x:c r="E5" s="329"/>
      <x:c r="F5" s="329"/>
      <x:c r="G5" s="329"/>
      <x:c r="H5" s="329"/>
      <x:c r="I5" s="329"/>
      <x:c r="J5" s="329"/>
      <x:c r="K5" s="329"/>
      <x:c r="L5" s="329"/>
      <x:c r="M5" s="329"/>
      <x:c r="N5" s="329"/>
      <x:c r="O5" s="329"/>
      <x:c r="P5" s="329"/>
      <x:c r="Q5" s="329"/>
      <x:c r="R5" s="329"/>
      <x:c r="S5" s="329"/>
      <x:c r="T5" s="329"/>
      <x:c r="U5" s="329"/>
      <x:c r="V5" s="329"/>
      <x:c r="W5" s="329"/>
      <x:c r="X5" s="329"/>
      <x:c r="Y5" s="329"/>
      <x:c r="Z5" s="329"/>
      <x:c r="AA5" s="329"/>
      <x:c r="AB5" s="329"/>
      <x:c r="AC5" s="329"/>
      <x:c r="AD5" s="329"/>
      <x:c r="AE5" s="329"/>
    </x:row>
    <x:row r="6">
      <x:c r="A6" s="329" t="str">
        <x:v>Current Completed Service Events</x:v>
      </x:c>
      <x:c r="B6" s="329" t="n">
        <x:v>65</x:v>
      </x:c>
      <x:c r="C6" s="329"/>
      <x:c r="D6" s="329"/>
      <x:c r="E6" s="329"/>
      <x:c r="F6" s="329"/>
      <x:c r="G6" s="329"/>
      <x:c r="H6" s="329"/>
      <x:c r="I6" s="329"/>
      <x:c r="J6" s="329"/>
      <x:c r="K6" s="329"/>
      <x:c r="L6" s="329"/>
      <x:c r="M6" s="329"/>
      <x:c r="N6" s="329"/>
      <x:c r="O6" s="329"/>
      <x:c r="P6" s="329"/>
      <x:c r="Q6" s="329"/>
      <x:c r="R6" s="329"/>
      <x:c r="S6" s="329"/>
      <x:c r="T6" s="329"/>
      <x:c r="U6" s="329"/>
      <x:c r="V6" s="329"/>
      <x:c r="W6" s="329"/>
      <x:c r="X6" s="329"/>
      <x:c r="Y6" s="329"/>
      <x:c r="Z6" s="329"/>
      <x:c r="AA6" s="329"/>
      <x:c r="AB6" s="329"/>
      <x:c r="AC6" s="329"/>
      <x:c r="AD6" s="329"/>
      <x:c r="AE6" s="329"/>
    </x:row>
    <x:row r="7">
      <x:c r="A7" s="329" t="str">
        <x:v>Current Completed Unique Clients</x:v>
      </x:c>
      <x:c r="B7" s="329" t="n">
        <x:v>27</x:v>
      </x:c>
      <x:c r="C7" s="329"/>
      <x:c r="D7" s="329"/>
      <x:c r="E7" s="329"/>
      <x:c r="F7" s="329"/>
      <x:c r="G7" s="329"/>
      <x:c r="H7" s="329"/>
      <x:c r="I7" s="329"/>
      <x:c r="J7" s="329"/>
      <x:c r="K7" s="329"/>
      <x:c r="L7" s="329"/>
      <x:c r="M7" s="329"/>
      <x:c r="N7" s="329"/>
      <x:c r="O7" s="329"/>
      <x:c r="P7" s="329"/>
      <x:c r="Q7" s="329"/>
      <x:c r="R7" s="329"/>
      <x:c r="S7" s="329"/>
      <x:c r="T7" s="329"/>
      <x:c r="U7" s="329"/>
      <x:c r="V7" s="329"/>
      <x:c r="W7" s="329"/>
      <x:c r="X7" s="329"/>
      <x:c r="Y7" s="329"/>
      <x:c r="Z7" s="329"/>
      <x:c r="AA7" s="329"/>
      <x:c r="AB7" s="329"/>
      <x:c r="AC7" s="329"/>
      <x:c r="AD7" s="329"/>
      <x:c r="AE7" s="329"/>
    </x:row>
    <x:row r="8">
      <x:c r="A8" s="329" t="str">
        <x:v>Scheduled Timeline Positions</x:v>
      </x:c>
      <x:c r="B8" s="329" t="n">
        <x:v>0</x:v>
      </x:c>
      <x:c r="C8" s="329"/>
      <x:c r="D8" s="329"/>
      <x:c r="E8" s="329"/>
      <x:c r="F8" s="329"/>
      <x:c r="G8" s="329"/>
      <x:c r="H8" s="329"/>
      <x:c r="I8" s="329"/>
      <x:c r="J8" s="329"/>
      <x:c r="K8" s="329"/>
      <x:c r="L8" s="329"/>
      <x:c r="M8" s="329"/>
      <x:c r="N8" s="329"/>
      <x:c r="O8" s="329"/>
      <x:c r="P8" s="329"/>
      <x:c r="Q8" s="329"/>
      <x:c r="R8" s="329"/>
      <x:c r="S8" s="329"/>
      <x:c r="T8" s="329"/>
      <x:c r="U8" s="329"/>
      <x:c r="V8" s="329"/>
      <x:c r="W8" s="329"/>
      <x:c r="X8" s="329"/>
      <x:c r="Y8" s="329"/>
      <x:c r="Z8" s="329"/>
      <x:c r="AA8" s="329"/>
      <x:c r="AB8" s="329"/>
      <x:c r="AC8" s="329"/>
      <x:c r="AD8" s="329"/>
      <x:c r="AE8" s="329"/>
    </x:row>
    <x:row r="9">
      <x:c r="A9" s="329" t="str">
        <x:v>Awarded Client Without Timeline Entry</x:v>
      </x:c>
      <x:c r="B9" s="329" t="n">
        <x:v>0</x:v>
      </x:c>
      <x:c r="C9" s="329"/>
      <x:c r="D9" s="329"/>
      <x:c r="E9" s="329"/>
      <x:c r="F9" s="329"/>
      <x:c r="G9" s="329"/>
      <x:c r="H9" s="329"/>
      <x:c r="I9" s="329"/>
      <x:c r="J9" s="329"/>
      <x:c r="K9" s="329"/>
      <x:c r="L9" s="329"/>
      <x:c r="M9" s="329"/>
      <x:c r="N9" s="329"/>
      <x:c r="O9" s="329"/>
      <x:c r="P9" s="329"/>
      <x:c r="Q9" s="329"/>
      <x:c r="R9" s="329"/>
      <x:c r="S9" s="329"/>
      <x:c r="T9" s="329"/>
      <x:c r="U9" s="329"/>
      <x:c r="V9" s="329"/>
      <x:c r="W9" s="329"/>
      <x:c r="X9" s="329"/>
      <x:c r="Y9" s="329"/>
      <x:c r="Z9" s="329"/>
      <x:c r="AA9" s="329"/>
      <x:c r="AB9" s="329"/>
      <x:c r="AC9" s="329"/>
      <x:c r="AD9" s="329"/>
      <x:c r="AE9" s="329"/>
    </x:row>
    <x:row r="10">
      <x:c r="A10" s="329" t="str">
        <x:v>Core Principle</x:v>
      </x:c>
      <x:c r="B10" s="329" t="str">
        <x:v>Update the ledger; do not reconstruct from memory.</x:v>
      </x:c>
      <x:c r="C10" s="329"/>
      <x:c r="D10" s="329"/>
      <x:c r="E10" s="329"/>
      <x:c r="F10" s="329"/>
      <x:c r="G10" s="329"/>
      <x:c r="H10" s="329"/>
      <x:c r="I10" s="329"/>
      <x:c r="J10" s="329"/>
      <x:c r="K10" s="329"/>
      <x:c r="L10" s="329"/>
      <x:c r="M10" s="329"/>
      <x:c r="N10" s="329"/>
      <x:c r="O10" s="329"/>
      <x:c r="P10" s="329"/>
      <x:c r="Q10" s="329"/>
      <x:c r="R10" s="329"/>
      <x:c r="S10" s="329"/>
      <x:c r="T10" s="329"/>
      <x:c r="U10" s="329"/>
      <x:c r="V10" s="329"/>
      <x:c r="W10" s="329"/>
      <x:c r="X10" s="329"/>
      <x:c r="Y10" s="329"/>
      <x:c r="Z10" s="329"/>
      <x:c r="AA10" s="329"/>
      <x:c r="AB10" s="329"/>
      <x:c r="AC10" s="329"/>
      <x:c r="AD10" s="329"/>
      <x:c r="AE10" s="329"/>
    </x:row>
    <x:row r="11">
      <x:c r="A11" s="329" t="str">
        <x:v>Latest Update</x:v>
      </x:c>
      <x:c r="B11" s="329" t="str">
        <x:v>Chronology dated through Event #65; Phase 3G self-healing formulas and Phase 3H structural integrity controls are active.</x:v>
      </x:c>
      <x:c r="C11" s="329"/>
      <x:c r="D11" s="329"/>
      <x:c r="E11" s="329"/>
      <x:c r="F11" s="329"/>
      <x:c r="G11" s="329"/>
      <x:c r="H11" s="329"/>
      <x:c r="I11" s="329"/>
      <x:c r="J11" s="329"/>
      <x:c r="K11" s="329"/>
      <x:c r="L11" s="329"/>
      <x:c r="M11" s="329"/>
      <x:c r="N11" s="329"/>
      <x:c r="O11" s="329"/>
      <x:c r="P11" s="329"/>
      <x:c r="Q11" s="329"/>
      <x:c r="R11" s="329"/>
      <x:c r="S11" s="329"/>
      <x:c r="T11" s="329"/>
      <x:c r="U11" s="329"/>
      <x:c r="V11" s="329"/>
      <x:c r="W11" s="329"/>
      <x:c r="X11" s="329"/>
      <x:c r="Y11" s="329"/>
      <x:c r="Z11" s="329"/>
      <x:c r="AA11" s="329"/>
      <x:c r="AB11" s="329"/>
      <x:c r="AC11" s="329"/>
      <x:c r="AD11" s="329"/>
      <x:c r="AE11" s="329"/>
    </x:row>
    <x:row r="12">
      <x:c r="A12" s="329" t="str">
        <x:v>Integrity Rule</x:v>
      </x:c>
      <x:c r="B12" s="329" t="str">
        <x:v>Timeline tracks physical visits; ledger tracks WOs. Same-site multi-WO visits remain one event.</x:v>
      </x:c>
      <x:c r="C12" s="329"/>
      <x:c r="D12" s="329"/>
      <x:c r="E12" s="329"/>
      <x:c r="F12" s="329"/>
      <x:c r="G12" s="329"/>
      <x:c r="H12" s="329"/>
      <x:c r="I12" s="329"/>
      <x:c r="J12" s="329"/>
      <x:c r="K12" s="329"/>
      <x:c r="L12" s="329"/>
      <x:c r="M12" s="329"/>
      <x:c r="N12" s="329"/>
      <x:c r="O12" s="329"/>
      <x:c r="P12" s="329"/>
      <x:c r="Q12" s="329"/>
      <x:c r="R12" s="329"/>
      <x:c r="S12" s="329"/>
      <x:c r="T12" s="329"/>
      <x:c r="U12" s="329"/>
      <x:c r="V12" s="329"/>
      <x:c r="W12" s="329"/>
      <x:c r="X12" s="329"/>
      <x:c r="Y12" s="329"/>
      <x:c r="Z12" s="329"/>
      <x:c r="AA12" s="329"/>
      <x:c r="AB12" s="329"/>
      <x:c r="AC12" s="329"/>
      <x:c r="AD12" s="329"/>
      <x:c r="AE12" s="329"/>
    </x:row>
    <x:row r="13">
      <x:c r="A13" s="329" t="str">
        <x:v>Metrics Rule</x:v>
      </x:c>
      <x:c r="B13" s="329" t="str">
        <x:v>Career chronology and financial scope are separate populations. Revenue averages use confirmed eligible events; missing-breakdown metrics use Financial Scope + Breakdown Expected.</x:v>
      </x:c>
      <x:c r="C13" s="329"/>
      <x:c r="D13" s="329"/>
      <x:c r="E13" s="329"/>
      <x:c r="F13" s="329"/>
      <x:c r="G13" s="329"/>
      <x:c r="H13" s="329"/>
      <x:c r="I13" s="329"/>
      <x:c r="J13" s="329"/>
      <x:c r="K13" s="329"/>
      <x:c r="L13" s="329"/>
      <x:c r="M13" s="329"/>
      <x:c r="N13" s="329"/>
      <x:c r="O13" s="329"/>
      <x:c r="P13" s="329"/>
      <x:c r="Q13" s="329"/>
      <x:c r="R13" s="329"/>
      <x:c r="S13" s="329"/>
      <x:c r="T13" s="329"/>
      <x:c r="U13" s="329"/>
      <x:c r="V13" s="329"/>
      <x:c r="W13" s="329"/>
      <x:c r="X13" s="329"/>
      <x:c r="Y13" s="329"/>
      <x:c r="Z13" s="329"/>
      <x:c r="AA13" s="329"/>
      <x:c r="AB13" s="329"/>
      <x:c r="AC13" s="329"/>
      <x:c r="AD13" s="329"/>
      <x:c r="AE13" s="329"/>
    </x:row>
    <x:row r="14">
      <x:c r="A14" s="329" t="str">
        <x:v>Version Note</x:v>
      </x:c>
      <x:c r="B14" s="329" t="str">
        <x:v>Authoritative Phase 3G + 3H version generated from Phase 3H; deterministic fields auto-repair without reconstructing chronology.</x:v>
      </x:c>
      <x:c r="C14" s="329"/>
      <x:c r="D14" s="329"/>
      <x:c r="E14" s="329"/>
      <x:c r="F14" s="329"/>
      <x:c r="G14" s="329"/>
      <x:c r="H14" s="329"/>
      <x:c r="I14" s="329"/>
      <x:c r="J14" s="329"/>
      <x:c r="K14" s="329"/>
      <x:c r="L14" s="329"/>
      <x:c r="M14" s="329"/>
      <x:c r="N14" s="329"/>
      <x:c r="O14" s="329"/>
      <x:c r="P14" s="329"/>
      <x:c r="Q14" s="329"/>
      <x:c r="R14" s="329"/>
      <x:c r="S14" s="329"/>
      <x:c r="T14" s="329"/>
      <x:c r="U14" s="329"/>
      <x:c r="V14" s="329"/>
      <x:c r="W14" s="329"/>
      <x:c r="X14" s="329"/>
      <x:c r="Y14" s="329"/>
      <x:c r="Z14" s="329"/>
      <x:c r="AA14" s="329"/>
      <x:c r="AB14" s="329"/>
      <x:c r="AC14" s="329"/>
      <x:c r="AD14" s="329"/>
      <x:c r="AE14" s="329"/>
    </x:row>
    <x:row r="15">
      <x:c r="A15" s="329" t="str">
        <x:v>Phase 0 Canonical Master</x:v>
      </x:c>
      <x:c r="B15" s="329" t="str">
        <x:v>Created from Phase2 base + Compare workbook + July 1/2 deltas.</x:v>
      </x:c>
      <x:c r="C15" s="329"/>
      <x:c r="D15" s="329"/>
      <x:c r="E15" s="329"/>
      <x:c r="F15" s="329"/>
      <x:c r="G15" s="329"/>
      <x:c r="H15" s="329"/>
      <x:c r="I15" s="329"/>
      <x:c r="J15" s="329"/>
      <x:c r="K15" s="329"/>
      <x:c r="L15" s="329"/>
      <x:c r="M15" s="329"/>
      <x:c r="N15" s="329"/>
      <x:c r="O15" s="329"/>
      <x:c r="P15" s="329"/>
      <x:c r="Q15" s="329"/>
      <x:c r="R15" s="329"/>
      <x:c r="S15" s="329"/>
      <x:c r="T15" s="329"/>
      <x:c r="U15" s="329"/>
      <x:c r="V15" s="329"/>
      <x:c r="W15" s="329"/>
      <x:c r="X15" s="329"/>
      <x:c r="Y15" s="329"/>
      <x:c r="Z15" s="329"/>
      <x:c r="AA15" s="329"/>
      <x:c r="AB15" s="329"/>
      <x:c r="AC15" s="329"/>
      <x:c r="AD15" s="329"/>
      <x:c r="AE15" s="329"/>
    </x:row>
    <x:row r="16">
      <x:c r="A16" s="329" t="str">
        <x:v>Authoritative workbook</x:v>
      </x:c>
      <x:c r="B16" s="329" t="str">
        <x:v>Barrister_Master_v2_Phase3G_3H_Complete.xlsx</x:v>
      </x:c>
      <x:c r="C16" s="329"/>
      <x:c r="D16" s="329"/>
      <x:c r="E16" s="329"/>
      <x:c r="F16" s="329"/>
      <x:c r="G16" s="329"/>
      <x:c r="H16" s="329"/>
      <x:c r="I16" s="329"/>
      <x:c r="J16" s="329"/>
      <x:c r="K16" s="329"/>
      <x:c r="L16" s="329"/>
      <x:c r="M16" s="329"/>
      <x:c r="N16" s="329"/>
      <x:c r="O16" s="329"/>
      <x:c r="P16" s="329"/>
      <x:c r="Q16" s="329"/>
      <x:c r="R16" s="329"/>
      <x:c r="S16" s="329"/>
      <x:c r="T16" s="329"/>
      <x:c r="U16" s="329"/>
      <x:c r="V16" s="329"/>
      <x:c r="W16" s="329"/>
      <x:c r="X16" s="329"/>
      <x:c r="Y16" s="329"/>
      <x:c r="Z16" s="329"/>
      <x:c r="AA16" s="329"/>
      <x:c r="AB16" s="329"/>
      <x:c r="AC16" s="329"/>
      <x:c r="AD16" s="329"/>
      <x:c r="AE16" s="329"/>
    </x:row>
    <x:row r="17">
      <x:c r="A17" s="329" t="str">
        <x:v>New authoritative sheets</x:v>
      </x:c>
      <x:c r="B17" s="329" t="str">
        <x:v>Service Calendar, Worked Days, Weekday Metrics</x:v>
      </x:c>
      <x:c r="C17" s="329"/>
      <x:c r="D17" s="329"/>
      <x:c r="E17" s="329"/>
      <x:c r="F17" s="329"/>
      <x:c r="G17" s="329"/>
      <x:c r="H17" s="329"/>
      <x:c r="I17" s="329"/>
      <x:c r="J17" s="329"/>
      <x:c r="K17" s="329"/>
      <x:c r="L17" s="329"/>
      <x:c r="M17" s="329"/>
      <x:c r="N17" s="329"/>
      <x:c r="O17" s="329"/>
      <x:c r="P17" s="329"/>
      <x:c r="Q17" s="329"/>
      <x:c r="R17" s="329"/>
      <x:c r="S17" s="329"/>
      <x:c r="T17" s="329"/>
      <x:c r="U17" s="329"/>
      <x:c r="V17" s="329"/>
      <x:c r="W17" s="329"/>
      <x:c r="X17" s="329"/>
      <x:c r="Y17" s="329"/>
      <x:c r="Z17" s="329"/>
      <x:c r="AA17" s="329"/>
      <x:c r="AB17" s="329"/>
      <x:c r="AC17" s="329"/>
      <x:c r="AD17" s="329"/>
      <x:c r="AE17" s="329"/>
    </x:row>
    <x:row r="18">
      <x:c r="A18" s="329" t="str">
        <x:v>Critical review item</x:v>
      </x:c>
      <x:c r="B18" s="329" t="str">
        <x:v>WO 5905579 duplicate/partial ACH remains flagged; do not clean-close until resolved.</x:v>
      </x:c>
      <x:c r="C18" s="329"/>
      <x:c r="D18" s="329"/>
      <x:c r="E18" s="329"/>
      <x:c r="F18" s="329"/>
      <x:c r="G18" s="329"/>
      <x:c r="H18" s="329"/>
      <x:c r="I18" s="329"/>
      <x:c r="J18" s="329"/>
      <x:c r="K18" s="329"/>
      <x:c r="L18" s="329"/>
      <x:c r="M18" s="329"/>
      <x:c r="N18" s="329"/>
      <x:c r="O18" s="329"/>
      <x:c r="P18" s="329"/>
      <x:c r="Q18" s="329"/>
      <x:c r="R18" s="329"/>
      <x:c r="S18" s="329"/>
      <x:c r="T18" s="329"/>
      <x:c r="U18" s="329"/>
      <x:c r="V18" s="329"/>
      <x:c r="W18" s="329"/>
      <x:c r="X18" s="329"/>
      <x:c r="Y18" s="329"/>
      <x:c r="Z18" s="329"/>
      <x:c r="AA18" s="329"/>
      <x:c r="AB18" s="329"/>
      <x:c r="AC18" s="329"/>
      <x:c r="AD18" s="329"/>
      <x:c r="AE18" s="329"/>
    </x:row>
    <x:row r="19">
      <x:c r="A19" s="329" t="str">
        <x:v>Current operational timeline</x:v>
      </x:c>
      <x:c r="B19" s="329" t="str">
        <x:v>65 completed events</x:v>
      </x:c>
      <x:c r="C19" s="329"/>
      <x:c r="D19" s="329"/>
      <x:c r="E19" s="329"/>
      <x:c r="F19" s="329"/>
      <x:c r="G19" s="329"/>
      <x:c r="H19" s="329"/>
      <x:c r="I19" s="329"/>
      <x:c r="J19" s="329"/>
      <x:c r="K19" s="329"/>
      <x:c r="L19" s="329"/>
      <x:c r="M19" s="329"/>
      <x:c r="N19" s="329"/>
      <x:c r="O19" s="329"/>
      <x:c r="P19" s="329"/>
      <x:c r="Q19" s="329"/>
      <x:c r="R19" s="329"/>
      <x:c r="S19" s="329"/>
      <x:c r="T19" s="329"/>
      <x:c r="U19" s="329"/>
      <x:c r="V19" s="329"/>
      <x:c r="W19" s="329"/>
      <x:c r="X19" s="329"/>
      <x:c r="Y19" s="329"/>
      <x:c r="Z19" s="329"/>
      <x:c r="AA19" s="329"/>
      <x:c r="AB19" s="329"/>
      <x:c r="AC19" s="329"/>
      <x:c r="AD19" s="329"/>
      <x:c r="AE19" s="329"/>
    </x:row>
    <x:row r="20">
      <x:c r="A20" s="329" t="str">
        <x:v>Current financial-scope events</x:v>
      </x:c>
      <x:c r="B20" s="329" t="n">
        <x:v>61</x:v>
      </x:c>
      <x:c r="C20" s="329"/>
      <x:c r="D20" s="329"/>
      <x:c r="E20" s="329"/>
      <x:c r="F20" s="329"/>
      <x:c r="G20" s="329"/>
      <x:c r="H20" s="329"/>
      <x:c r="I20" s="329"/>
      <x:c r="J20" s="329"/>
      <x:c r="K20" s="329"/>
      <x:c r="L20" s="329"/>
      <x:c r="M20" s="329"/>
      <x:c r="N20" s="329"/>
      <x:c r="O20" s="329"/>
      <x:c r="P20" s="329"/>
      <x:c r="Q20" s="329"/>
      <x:c r="R20" s="329"/>
      <x:c r="S20" s="329"/>
      <x:c r="T20" s="329"/>
      <x:c r="U20" s="329"/>
      <x:c r="V20" s="329"/>
      <x:c r="W20" s="329"/>
      <x:c r="X20" s="329"/>
      <x:c r="Y20" s="329"/>
      <x:c r="Z20" s="329"/>
      <x:c r="AA20" s="329"/>
      <x:c r="AB20" s="329"/>
      <x:c r="AC20" s="329"/>
      <x:c r="AD20" s="329"/>
      <x:c r="AE20" s="329"/>
    </x:row>
    <x:row r="21">
      <x:c r="A21" s="329" t="str">
        <x:v>Confirmed-breakdown revenue total</x:v>
      </x:c>
      <x:c r="B21" s="566" t="n">
        <x:v>7050.81</x:v>
      </x:c>
      <x:c r="C21" s="329"/>
      <x:c r="D21" s="329"/>
      <x:c r="E21" s="329"/>
      <x:c r="F21" s="329"/>
      <x:c r="G21" s="329"/>
      <x:c r="H21" s="329"/>
      <x:c r="I21" s="329"/>
      <x:c r="J21" s="329"/>
      <x:c r="K21" s="329"/>
      <x:c r="L21" s="329"/>
      <x:c r="M21" s="329"/>
      <x:c r="N21" s="329"/>
      <x:c r="O21" s="329"/>
      <x:c r="P21" s="329"/>
      <x:c r="Q21" s="329"/>
      <x:c r="R21" s="329"/>
      <x:c r="S21" s="329"/>
      <x:c r="T21" s="329"/>
      <x:c r="U21" s="329"/>
      <x:c r="V21" s="329"/>
      <x:c r="W21" s="329"/>
      <x:c r="X21" s="329"/>
      <x:c r="Y21" s="329"/>
      <x:c r="Z21" s="329"/>
      <x:c r="AA21" s="329"/>
      <x:c r="AB21" s="329"/>
      <x:c r="AC21" s="329"/>
      <x:c r="AD21" s="329"/>
      <x:c r="AE21" s="329"/>
    </x:row>
    <x:row r="22">
      <x:c r="A22" s="329" t="str">
        <x:v>Breakdown-confirmed financial events</x:v>
      </x:c>
      <x:c r="B22" s="329" t="n">
        <x:v>57</x:v>
      </x:c>
      <x:c r="C22" s="329"/>
      <x:c r="D22" s="329"/>
      <x:c r="E22" s="329"/>
      <x:c r="F22" s="329"/>
      <x:c r="G22" s="329"/>
      <x:c r="H22" s="329"/>
      <x:c r="I22" s="329"/>
      <x:c r="J22" s="329"/>
      <x:c r="K22" s="329"/>
      <x:c r="L22" s="329"/>
      <x:c r="M22" s="329"/>
      <x:c r="N22" s="329"/>
      <x:c r="O22" s="329"/>
      <x:c r="P22" s="329"/>
      <x:c r="Q22" s="329"/>
      <x:c r="R22" s="329"/>
      <x:c r="S22" s="329"/>
      <x:c r="T22" s="329"/>
      <x:c r="U22" s="329"/>
      <x:c r="V22" s="329"/>
      <x:c r="W22" s="329"/>
      <x:c r="X22" s="329"/>
      <x:c r="Y22" s="329"/>
      <x:c r="Z22" s="329"/>
      <x:c r="AA22" s="329"/>
      <x:c r="AB22" s="329"/>
      <x:c r="AC22" s="329"/>
      <x:c r="AD22" s="329"/>
      <x:c r="AE22" s="329"/>
    </x:row>
    <x:row r="23">
      <x:c r="A23" s="329"/>
      <x:c r="B23" s="329"/>
      <x:c r="C23" s="329"/>
      <x:c r="D23" s="329"/>
      <x:c r="E23" s="329"/>
      <x:c r="F23" s="329"/>
      <x:c r="G23" s="329"/>
      <x:c r="H23" s="329"/>
      <x:c r="I23" s="329"/>
      <x:c r="J23" s="329"/>
      <x:c r="K23" s="329"/>
      <x:c r="L23" s="329"/>
      <x:c r="M23" s="329"/>
      <x:c r="N23" s="329"/>
      <x:c r="O23" s="329"/>
      <x:c r="P23" s="329"/>
      <x:c r="Q23" s="329"/>
      <x:c r="R23" s="329"/>
      <x:c r="S23" s="329"/>
      <x:c r="T23" s="329"/>
      <x:c r="U23" s="329"/>
      <x:c r="V23" s="329"/>
      <x:c r="W23" s="329"/>
      <x:c r="X23" s="329"/>
      <x:c r="Y23" s="329"/>
      <x:c r="Z23" s="329"/>
      <x:c r="AA23" s="329"/>
      <x:c r="AB23" s="329"/>
      <x:c r="AC23" s="329"/>
      <x:c r="AD23" s="329"/>
      <x:c r="AE23" s="329"/>
    </x:row>
    <x:row r="24">
      <x:c r="A24" s="588" t="str">
        <x:v>Rules &amp; Governance</x:v>
      </x:c>
      <x:c r="B24" s="588"/>
      <x:c r="C24" s="588"/>
      <x:c r="D24" s="329"/>
      <x:c r="E24" s="329"/>
      <x:c r="F24" s="329"/>
      <x:c r="G24" s="329"/>
      <x:c r="H24" s="329"/>
      <x:c r="I24" s="329"/>
      <x:c r="J24" s="329"/>
      <x:c r="K24" s="329"/>
      <x:c r="L24" s="329"/>
      <x:c r="M24" s="329"/>
      <x:c r="N24" s="329"/>
      <x:c r="O24" s="329"/>
      <x:c r="P24" s="329"/>
      <x:c r="Q24" s="329"/>
      <x:c r="R24" s="329"/>
      <x:c r="S24" s="329"/>
      <x:c r="T24" s="329"/>
      <x:c r="U24" s="329"/>
      <x:c r="V24" s="329"/>
      <x:c r="W24" s="329"/>
      <x:c r="X24" s="329"/>
      <x:c r="Y24" s="329"/>
      <x:c r="Z24" s="329"/>
      <x:c r="AA24" s="329"/>
      <x:c r="AB24" s="329"/>
      <x:c r="AC24" s="329"/>
      <x:c r="AD24" s="329"/>
      <x:c r="AE24" s="329"/>
    </x:row>
    <x:row r="25">
      <x:c r="A25" s="399" t="str">
        <x:v>Rule #</x:v>
      </x:c>
      <x:c r="B25" s="399" t="str">
        <x:v>Rule</x:v>
      </x:c>
      <x:c r="C25" s="399" t="str">
        <x:v>Definition</x:v>
      </x:c>
      <x:c r="D25" s="329"/>
      <x:c r="E25" s="329"/>
      <x:c r="F25" s="329"/>
      <x:c r="G25" s="329"/>
      <x:c r="H25" s="329"/>
      <x:c r="I25" s="329"/>
      <x:c r="J25" s="329"/>
      <x:c r="K25" s="329"/>
      <x:c r="L25" s="329"/>
      <x:c r="M25" s="329"/>
      <x:c r="N25" s="329"/>
      <x:c r="O25" s="329"/>
      <x:c r="P25" s="329"/>
      <x:c r="Q25" s="329"/>
      <x:c r="R25" s="329"/>
      <x:c r="S25" s="329"/>
      <x:c r="T25" s="329"/>
      <x:c r="U25" s="329"/>
      <x:c r="V25" s="329"/>
      <x:c r="W25" s="329"/>
      <x:c r="X25" s="329"/>
      <x:c r="Y25" s="329"/>
      <x:c r="Z25" s="329"/>
      <x:c r="AA25" s="329"/>
      <x:c r="AB25" s="329"/>
      <x:c r="AC25" s="329"/>
      <x:c r="AD25" s="329"/>
      <x:c r="AE25" s="329"/>
    </x:row>
    <x:row r="26">
      <x:c r="A26" s="329" t="n">
        <x:v>1</x:v>
      </x:c>
      <x:c r="B26" s="329" t="str">
        <x:v>The Spreadsheet Is The Record</x:v>
      </x:c>
      <x:c r="C26" s="329" t="str">
        <x:v>The spreadsheet is the authoritative record. Conversation is commentary. When a discrepancy exists, update the spreadsheet. Do not recreate the spreadsheet from conversation.</x:v>
      </x:c>
      <x:c r="D26" s="329"/>
      <x:c r="E26" s="329"/>
      <x:c r="F26" s="329"/>
      <x:c r="G26" s="329"/>
      <x:c r="H26" s="329"/>
      <x:c r="I26" s="329"/>
      <x:c r="J26" s="329"/>
      <x:c r="K26" s="329"/>
      <x:c r="L26" s="329"/>
      <x:c r="M26" s="329"/>
      <x:c r="N26" s="329"/>
      <x:c r="O26" s="329"/>
      <x:c r="P26" s="329"/>
      <x:c r="Q26" s="329"/>
      <x:c r="R26" s="329"/>
      <x:c r="S26" s="329"/>
      <x:c r="T26" s="329"/>
      <x:c r="U26" s="329"/>
      <x:c r="V26" s="329"/>
      <x:c r="W26" s="329"/>
      <x:c r="X26" s="329"/>
      <x:c r="Y26" s="329"/>
      <x:c r="Z26" s="329"/>
      <x:c r="AA26" s="329"/>
      <x:c r="AB26" s="329"/>
      <x:c r="AC26" s="329"/>
      <x:c r="AD26" s="329"/>
      <x:c r="AE26" s="329"/>
    </x:row>
    <x:row r="27">
      <x:c r="A27" s="329" t="n">
        <x:v>2</x:v>
      </x:c>
      <x:c r="B27" s="329" t="str">
        <x:v>Update, Never Reconstruct</x:v>
      </x:c>
      <x:c r="C27" s="329" t="str">
        <x:v>At the end of each week, open the latest Source of Truth workbook and apply only new changes. Do not regenerate Timeline, Client List, or Scorecard from memory.</x:v>
      </x:c>
      <x:c r="D27" s="329"/>
      <x:c r="E27" s="329"/>
      <x:c r="F27" s="329"/>
      <x:c r="G27" s="329"/>
      <x:c r="H27" s="329"/>
      <x:c r="I27" s="329"/>
      <x:c r="J27" s="329"/>
      <x:c r="K27" s="329"/>
      <x:c r="L27" s="329"/>
      <x:c r="M27" s="329"/>
      <x:c r="N27" s="329"/>
      <x:c r="O27" s="329"/>
      <x:c r="P27" s="329"/>
      <x:c r="Q27" s="329"/>
      <x:c r="R27" s="329"/>
      <x:c r="S27" s="329"/>
      <x:c r="T27" s="329"/>
      <x:c r="U27" s="329"/>
      <x:c r="V27" s="329"/>
      <x:c r="W27" s="329"/>
      <x:c r="X27" s="329"/>
      <x:c r="Y27" s="329"/>
      <x:c r="Z27" s="329"/>
      <x:c r="AA27" s="329"/>
      <x:c r="AB27" s="329"/>
      <x:c r="AC27" s="329"/>
      <x:c r="AD27" s="329"/>
      <x:c r="AE27" s="329"/>
    </x:row>
    <x:row r="28">
      <x:c r="A28" s="329" t="n">
        <x:v>3</x:v>
      </x:c>
      <x:c r="B28" s="329" t="str">
        <x:v>Delta Update Method</x:v>
      </x:c>
      <x:c r="C28" s="329" t="str">
        <x:v>All updates must be treated as deltas: new visit, new client, location correction, naming correction. Apply changes directly to the existing record. Never rebuild the entire record.</x:v>
      </x:c>
      <x:c r="D28" s="329"/>
      <x:c r="E28" s="329"/>
      <x:c r="F28" s="329"/>
      <x:c r="G28" s="329"/>
      <x:c r="H28" s="329"/>
      <x:c r="I28" s="329"/>
      <x:c r="J28" s="329"/>
      <x:c r="K28" s="329"/>
      <x:c r="L28" s="329"/>
      <x:c r="M28" s="329"/>
      <x:c r="N28" s="329"/>
      <x:c r="O28" s="329"/>
      <x:c r="P28" s="329"/>
      <x:c r="Q28" s="329"/>
      <x:c r="R28" s="329"/>
      <x:c r="S28" s="329"/>
      <x:c r="T28" s="329"/>
      <x:c r="U28" s="329"/>
      <x:c r="V28" s="329"/>
      <x:c r="W28" s="329"/>
      <x:c r="X28" s="329"/>
      <x:c r="Y28" s="329"/>
      <x:c r="Z28" s="329"/>
      <x:c r="AA28" s="329"/>
      <x:c r="AB28" s="329"/>
      <x:c r="AC28" s="329"/>
      <x:c r="AD28" s="329"/>
      <x:c r="AE28" s="329"/>
    </x:row>
    <x:row r="29">
      <x:c r="A29" s="329" t="n">
        <x:v>4</x:v>
      </x:c>
      <x:c r="B29" s="329" t="str">
        <x:v>Chronology Is King</x:v>
      </x:c>
      <x:c r="C29" s="329" t="str">
        <x:v>Timeline order is determined by actual visit sequence, not client name, state, geography, or importance.</x:v>
      </x:c>
      <x:c r="D29" s="329"/>
      <x:c r="E29" s="329"/>
      <x:c r="F29" s="329"/>
      <x:c r="G29" s="329"/>
      <x:c r="H29" s="329"/>
      <x:c r="I29" s="329"/>
      <x:c r="J29" s="329"/>
      <x:c r="K29" s="329"/>
      <x:c r="L29" s="329"/>
      <x:c r="M29" s="329"/>
      <x:c r="N29" s="329"/>
      <x:c r="O29" s="329"/>
      <x:c r="P29" s="329"/>
      <x:c r="Q29" s="329"/>
      <x:c r="R29" s="329"/>
      <x:c r="S29" s="329"/>
      <x:c r="T29" s="329"/>
      <x:c r="U29" s="329"/>
      <x:c r="V29" s="329"/>
      <x:c r="W29" s="329"/>
      <x:c r="X29" s="329"/>
      <x:c r="Y29" s="329"/>
      <x:c r="Z29" s="329"/>
      <x:c r="AA29" s="329"/>
      <x:c r="AB29" s="329"/>
      <x:c r="AC29" s="329"/>
      <x:c r="AD29" s="329"/>
      <x:c r="AE29" s="329"/>
    </x:row>
    <x:row r="30">
      <x:c r="A30" s="329" t="n">
        <x:v>5</x:v>
      </x:c>
      <x:c r="B30" s="329" t="str">
        <x:v>One Visit = One Timeline Entry</x:v>
      </x:c>
      <x:c r="C30" s="329" t="str">
        <x:v>Every completed visit receives its own timeline position. Repeat visits remain separate entries.</x:v>
      </x:c>
      <x:c r="D30" s="329"/>
      <x:c r="E30" s="329"/>
      <x:c r="F30" s="329"/>
      <x:c r="G30" s="329"/>
      <x:c r="H30" s="329"/>
      <x:c r="I30" s="329"/>
      <x:c r="J30" s="329"/>
      <x:c r="K30" s="329"/>
      <x:c r="L30" s="329"/>
      <x:c r="M30" s="329"/>
      <x:c r="N30" s="329"/>
      <x:c r="O30" s="329"/>
      <x:c r="P30" s="329"/>
      <x:c r="Q30" s="329"/>
      <x:c r="R30" s="329"/>
      <x:c r="S30" s="329"/>
      <x:c r="T30" s="329"/>
      <x:c r="U30" s="329"/>
      <x:c r="V30" s="329"/>
      <x:c r="W30" s="329"/>
      <x:c r="X30" s="329"/>
      <x:c r="Y30" s="329"/>
      <x:c r="Z30" s="329"/>
      <x:c r="AA30" s="329"/>
      <x:c r="AB30" s="329"/>
      <x:c r="AC30" s="329"/>
      <x:c r="AD30" s="329"/>
      <x:c r="AE30" s="329"/>
    </x:row>
    <x:row r="31">
      <x:c r="A31" s="329" t="n">
        <x:v>6</x:v>
      </x:c>
      <x:c r="B31" s="329" t="str">
        <x:v>Client List Uses Unique Clients</x:v>
      </x:c>
      <x:c r="C31" s="329" t="str">
        <x:v>Client List is deduplicated. Timeline is not. One client may appear many times on the timeline but only once on the Client List.</x:v>
      </x:c>
      <x:c r="D31" s="329"/>
      <x:c r="E31" s="329"/>
      <x:c r="F31" s="329"/>
      <x:c r="G31" s="329"/>
      <x:c r="H31" s="329"/>
      <x:c r="I31" s="329"/>
      <x:c r="J31" s="329"/>
      <x:c r="K31" s="329"/>
      <x:c r="L31" s="329"/>
      <x:c r="M31" s="329"/>
      <x:c r="N31" s="329"/>
      <x:c r="O31" s="329"/>
      <x:c r="P31" s="329"/>
      <x:c r="Q31" s="329"/>
      <x:c r="R31" s="329"/>
      <x:c r="S31" s="329"/>
      <x:c r="T31" s="329"/>
      <x:c r="U31" s="329"/>
      <x:c r="V31" s="329"/>
      <x:c r="W31" s="329"/>
      <x:c r="X31" s="329"/>
      <x:c r="Y31" s="329"/>
      <x:c r="Z31" s="329"/>
      <x:c r="AA31" s="329"/>
      <x:c r="AB31" s="329"/>
      <x:c r="AC31" s="329"/>
      <x:c r="AD31" s="329"/>
      <x:c r="AE31" s="329"/>
    </x:row>
    <x:row r="32">
      <x:c r="A32" s="329" t="n">
        <x:v>7</x:v>
      </x:c>
      <x:c r="B32" s="329" t="str">
        <x:v>Client Count Derivation</x:v>
      </x:c>
      <x:c r="C32" s="329" t="str">
        <x:v>Unique Client Count is derived from the Client List. Never manually counted, never estimated.</x:v>
      </x:c>
      <x:c r="D32" s="329"/>
      <x:c r="E32" s="329"/>
      <x:c r="F32" s="329"/>
      <x:c r="G32" s="329"/>
      <x:c r="H32" s="329"/>
      <x:c r="I32" s="329"/>
      <x:c r="J32" s="329"/>
      <x:c r="K32" s="329"/>
      <x:c r="L32" s="329"/>
      <x:c r="M32" s="329"/>
      <x:c r="N32" s="329"/>
      <x:c r="O32" s="329"/>
      <x:c r="P32" s="329"/>
      <x:c r="Q32" s="329"/>
      <x:c r="R32" s="329"/>
      <x:c r="S32" s="329"/>
      <x:c r="T32" s="329"/>
      <x:c r="U32" s="329"/>
      <x:c r="V32" s="329"/>
      <x:c r="W32" s="329"/>
      <x:c r="X32" s="329"/>
      <x:c r="Y32" s="329"/>
      <x:c r="Z32" s="329"/>
      <x:c r="AA32" s="329"/>
      <x:c r="AB32" s="329"/>
      <x:c r="AC32" s="329"/>
      <x:c r="AD32" s="329"/>
      <x:c r="AE32" s="329"/>
    </x:row>
    <x:row r="33">
      <x:c r="A33" s="329" t="n">
        <x:v>8</x:v>
      </x:c>
      <x:c r="B33" s="329" t="str">
        <x:v>Service Event Count Derivation</x:v>
      </x:c>
      <x:c r="C33" s="329" t="str">
        <x:v>Service Event Count is derived from the Timeline. The latest completed timeline position equals completed service events.</x:v>
      </x:c>
      <x:c r="D33" s="329"/>
      <x:c r="E33" s="329"/>
      <x:c r="F33" s="329"/>
      <x:c r="G33" s="329"/>
      <x:c r="H33" s="329"/>
      <x:c r="I33" s="329"/>
      <x:c r="J33" s="329"/>
      <x:c r="K33" s="329"/>
      <x:c r="L33" s="329"/>
      <x:c r="M33" s="329"/>
      <x:c r="N33" s="329"/>
      <x:c r="O33" s="329"/>
      <x:c r="P33" s="329"/>
      <x:c r="Q33" s="329"/>
      <x:c r="R33" s="329"/>
      <x:c r="S33" s="329"/>
      <x:c r="T33" s="329"/>
      <x:c r="U33" s="329"/>
      <x:c r="V33" s="329"/>
      <x:c r="W33" s="329"/>
      <x:c r="X33" s="329"/>
      <x:c r="Y33" s="329"/>
      <x:c r="Z33" s="329"/>
      <x:c r="AA33" s="329"/>
      <x:c r="AB33" s="329"/>
      <x:c r="AC33" s="329"/>
      <x:c r="AD33" s="329"/>
      <x:c r="AE33" s="329"/>
    </x:row>
    <x:row r="34">
      <x:c r="A34" s="329" t="n">
        <x:v>9</x:v>
      </x:c>
      <x:c r="B34" s="329" t="str">
        <x:v>Barrister Authoritative Mode</x:v>
      </x:c>
      <x:c r="C34" s="329" t="str">
        <x:v>Within the Barrister project, user-provided Barrister facts are authoritative. When the user states a ticket is closed, it is closed. Do not downgrade to pending, assumed, likely, or probable unless the user explicitly indicates uncertainty.</x:v>
      </x:c>
      <x:c r="D34" s="329"/>
      <x:c r="E34" s="329"/>
      <x:c r="F34" s="329"/>
      <x:c r="G34" s="329"/>
      <x:c r="H34" s="329"/>
      <x:c r="I34" s="329"/>
      <x:c r="J34" s="329"/>
      <x:c r="K34" s="329"/>
      <x:c r="L34" s="329"/>
      <x:c r="M34" s="329"/>
      <x:c r="N34" s="329"/>
      <x:c r="O34" s="329"/>
      <x:c r="P34" s="329"/>
      <x:c r="Q34" s="329"/>
      <x:c r="R34" s="329"/>
      <x:c r="S34" s="329"/>
      <x:c r="T34" s="329"/>
      <x:c r="U34" s="329"/>
      <x:c r="V34" s="329"/>
      <x:c r="W34" s="329"/>
      <x:c r="X34" s="329"/>
      <x:c r="Y34" s="329"/>
      <x:c r="Z34" s="329"/>
      <x:c r="AA34" s="329"/>
      <x:c r="AB34" s="329"/>
      <x:c r="AC34" s="329"/>
      <x:c r="AD34" s="329"/>
      <x:c r="AE34" s="329"/>
    </x:row>
    <x:row r="35">
      <x:c r="A35" s="329" t="n">
        <x:v>10</x:v>
      </x:c>
      <x:c r="B35" s="329" t="str">
        <x:v>Scheduled vs Completed</x:v>
      </x:c>
      <x:c r="C35" s="329" t="str">
        <x:v>Timeline may contain Completed and Scheduled entries. Completed visits affect the completed scorecard. Scheduled visits are labeled and do not count as completed service events until closed.</x:v>
      </x:c>
      <x:c r="D35" s="329"/>
      <x:c r="E35" s="329"/>
      <x:c r="F35" s="329"/>
      <x:c r="G35" s="329"/>
      <x:c r="H35" s="329"/>
      <x:c r="I35" s="329"/>
      <x:c r="J35" s="329"/>
      <x:c r="K35" s="329"/>
      <x:c r="L35" s="329"/>
      <x:c r="M35" s="329"/>
      <x:c r="N35" s="329"/>
      <x:c r="O35" s="329"/>
      <x:c r="P35" s="329"/>
      <x:c r="Q35" s="329"/>
      <x:c r="R35" s="329"/>
      <x:c r="S35" s="329"/>
      <x:c r="T35" s="329"/>
      <x:c r="U35" s="329"/>
      <x:c r="V35" s="329"/>
      <x:c r="W35" s="329"/>
      <x:c r="X35" s="329"/>
      <x:c r="Y35" s="329"/>
      <x:c r="Z35" s="329"/>
      <x:c r="AA35" s="329"/>
      <x:c r="AB35" s="329"/>
      <x:c r="AC35" s="329"/>
      <x:c r="AD35" s="329"/>
      <x:c r="AE35" s="329"/>
    </x:row>
    <x:row r="36">
      <x:c r="A36" s="329" t="n">
        <x:v>11</x:v>
      </x:c>
      <x:c r="B36" s="329" t="str">
        <x:v>Awarded Clients</x:v>
      </x:c>
      <x:c r="C36" s="329" t="str">
        <x:v>A client may exist before the first visit. Awarded clients appear on the Client List, but no timeline entry is created until the first visit occurs.</x:v>
      </x:c>
      <x:c r="D36" s="329"/>
      <x:c r="E36" s="329"/>
      <x:c r="F36" s="329"/>
      <x:c r="G36" s="329"/>
      <x:c r="H36" s="329"/>
      <x:c r="I36" s="329"/>
      <x:c r="J36" s="329"/>
      <x:c r="K36" s="329"/>
      <x:c r="L36" s="329"/>
      <x:c r="M36" s="329"/>
      <x:c r="N36" s="329"/>
      <x:c r="O36" s="329"/>
      <x:c r="P36" s="329"/>
      <x:c r="Q36" s="329"/>
      <x:c r="R36" s="329"/>
      <x:c r="S36" s="329"/>
      <x:c r="T36" s="329"/>
      <x:c r="U36" s="329"/>
      <x:c r="V36" s="329"/>
      <x:c r="W36" s="329"/>
      <x:c r="X36" s="329"/>
      <x:c r="Y36" s="329"/>
      <x:c r="Z36" s="329"/>
      <x:c r="AA36" s="329"/>
      <x:c r="AB36" s="329"/>
      <x:c r="AC36" s="329"/>
      <x:c r="AD36" s="329"/>
      <x:c r="AE36" s="329"/>
    </x:row>
    <x:row r="37">
      <x:c r="A37" s="329" t="n">
        <x:v>12</x:v>
      </x:c>
      <x:c r="B37" s="329" t="str">
        <x:v>Location Standardization</x:v>
      </x:c>
      <x:c r="C37" s="329" t="str">
        <x:v>Use DC directional abbreviation format only: DC, NW / DC, NE / DC, SW / DC, SE. Do not spell out Northwest, Southwest, etc.</x:v>
      </x:c>
      <x:c r="D37" s="329"/>
      <x:c r="E37" s="329"/>
      <x:c r="F37" s="329"/>
      <x:c r="G37" s="329"/>
      <x:c r="H37" s="329"/>
      <x:c r="I37" s="329"/>
      <x:c r="J37" s="329"/>
      <x:c r="K37" s="329"/>
      <x:c r="L37" s="329"/>
      <x:c r="M37" s="329"/>
      <x:c r="N37" s="329"/>
      <x:c r="O37" s="329"/>
      <x:c r="P37" s="329"/>
      <x:c r="Q37" s="329"/>
      <x:c r="R37" s="329"/>
      <x:c r="S37" s="329"/>
      <x:c r="T37" s="329"/>
      <x:c r="U37" s="329"/>
      <x:c r="V37" s="329"/>
      <x:c r="W37" s="329"/>
      <x:c r="X37" s="329"/>
      <x:c r="Y37" s="329"/>
      <x:c r="Z37" s="329"/>
      <x:c r="AA37" s="329"/>
      <x:c r="AB37" s="329"/>
      <x:c r="AC37" s="329"/>
      <x:c r="AD37" s="329"/>
      <x:c r="AE37" s="329"/>
    </x:row>
    <x:row r="38">
      <x:c r="A38" s="329" t="n">
        <x:v>13</x:v>
      </x:c>
      <x:c r="B38" s="329" t="str">
        <x:v>Government Office Naming</x:v>
      </x:c>
      <x:c r="C38" s="329" t="str">
        <x:v>Senatorial offices are individual clients. Use Office of MD Senator Chris Van Hollen and Office of MD Senator Angela Alsobrooks.</x:v>
      </x:c>
      <x:c r="D38" s="329"/>
      <x:c r="E38" s="329"/>
      <x:c r="F38" s="329"/>
      <x:c r="G38" s="329"/>
      <x:c r="H38" s="329"/>
      <x:c r="I38" s="329"/>
      <x:c r="J38" s="329"/>
      <x:c r="K38" s="329"/>
      <x:c r="L38" s="329"/>
      <x:c r="M38" s="329"/>
      <x:c r="N38" s="329"/>
      <x:c r="O38" s="329"/>
      <x:c r="P38" s="329"/>
      <x:c r="Q38" s="329"/>
      <x:c r="R38" s="329"/>
      <x:c r="S38" s="329"/>
      <x:c r="T38" s="329"/>
      <x:c r="U38" s="329"/>
      <x:c r="V38" s="329"/>
      <x:c r="W38" s="329"/>
      <x:c r="X38" s="329"/>
      <x:c r="Y38" s="329"/>
      <x:c r="Z38" s="329"/>
      <x:c r="AA38" s="329"/>
      <x:c r="AB38" s="329"/>
      <x:c r="AC38" s="329"/>
      <x:c r="AD38" s="329"/>
      <x:c r="AE38" s="329"/>
    </x:row>
    <x:row r="39">
      <x:c r="A39" s="329" t="n">
        <x:v>14</x:v>
      </x:c>
      <x:c r="B39" s="329" t="str">
        <x:v>Client vs Technology</x:v>
      </x:c>
      <x:c r="C39" s="329" t="str">
        <x:v>Clients are organizations visited. Technologies, manufacturers, devices, and problem types are not clients.</x:v>
      </x:c>
      <x:c r="D39" s="329"/>
      <x:c r="E39" s="329"/>
      <x:c r="F39" s="329"/>
      <x:c r="G39" s="329"/>
      <x:c r="H39" s="329"/>
      <x:c r="I39" s="329"/>
      <x:c r="J39" s="329"/>
      <x:c r="K39" s="329"/>
      <x:c r="L39" s="329"/>
      <x:c r="M39" s="329"/>
      <x:c r="N39" s="329"/>
      <x:c r="O39" s="329"/>
      <x:c r="P39" s="329"/>
      <x:c r="Q39" s="329"/>
      <x:c r="R39" s="329"/>
      <x:c r="S39" s="329"/>
      <x:c r="T39" s="329"/>
      <x:c r="U39" s="329"/>
      <x:c r="V39" s="329"/>
      <x:c r="W39" s="329"/>
      <x:c r="X39" s="329"/>
      <x:c r="Y39" s="329"/>
      <x:c r="Z39" s="329"/>
      <x:c r="AA39" s="329"/>
      <x:c r="AB39" s="329"/>
      <x:c r="AC39" s="329"/>
      <x:c r="AD39" s="329"/>
      <x:c r="AE39" s="329"/>
    </x:row>
    <x:row r="40">
      <x:c r="A40" s="329" t="n">
        <x:v>15</x:v>
      </x:c>
      <x:c r="B40" s="329" t="str">
        <x:v>Weekly Closeout Procedure</x:v>
      </x:c>
      <x:c r="C40" s="329" t="str">
        <x:v>End of week procedure: update timeline, update client list, update scorecard, apply corrections, verify chronology, save new workbook version, then begin the next week.</x:v>
      </x:c>
      <x:c r="D40" s="329"/>
      <x:c r="E40" s="329"/>
      <x:c r="F40" s="329"/>
      <x:c r="G40" s="329"/>
      <x:c r="H40" s="329"/>
      <x:c r="I40" s="329"/>
      <x:c r="J40" s="329"/>
      <x:c r="K40" s="329"/>
      <x:c r="L40" s="329"/>
      <x:c r="M40" s="329"/>
      <x:c r="N40" s="329"/>
      <x:c r="O40" s="329"/>
      <x:c r="P40" s="329"/>
      <x:c r="Q40" s="329"/>
      <x:c r="R40" s="329"/>
      <x:c r="S40" s="329"/>
      <x:c r="T40" s="329"/>
      <x:c r="U40" s="329"/>
      <x:c r="V40" s="329"/>
      <x:c r="W40" s="329"/>
      <x:c r="X40" s="329"/>
      <x:c r="Y40" s="329"/>
      <x:c r="Z40" s="329"/>
      <x:c r="AA40" s="329"/>
      <x:c r="AB40" s="329"/>
      <x:c r="AC40" s="329"/>
      <x:c r="AD40" s="329"/>
      <x:c r="AE40" s="329"/>
    </x:row>
    <x:row r="41">
      <x:c r="A41" s="329" t="n">
        <x:v>16</x:v>
      </x:c>
      <x:c r="B41" s="329" t="str">
        <x:v>Structured Record System</x:v>
      </x:c>
      <x:c r="C41" s="329" t="str">
        <x:v>Barrister operates as a structured record system with conversations happening around it. The record is primary. The conversation supports the record.</x:v>
      </x:c>
      <x:c r="D41" s="329"/>
      <x:c r="E41" s="329"/>
      <x:c r="F41" s="329"/>
      <x:c r="G41" s="329"/>
      <x:c r="H41" s="329"/>
      <x:c r="I41" s="329"/>
      <x:c r="J41" s="329"/>
      <x:c r="K41" s="329"/>
      <x:c r="L41" s="329"/>
      <x:c r="M41" s="329"/>
      <x:c r="N41" s="329"/>
      <x:c r="O41" s="329"/>
      <x:c r="P41" s="329"/>
      <x:c r="Q41" s="329"/>
      <x:c r="R41" s="329"/>
      <x:c r="S41" s="329"/>
      <x:c r="T41" s="329"/>
      <x:c r="U41" s="329"/>
      <x:c r="V41" s="329"/>
      <x:c r="W41" s="329"/>
      <x:c r="X41" s="329"/>
      <x:c r="Y41" s="329"/>
      <x:c r="Z41" s="329"/>
      <x:c r="AA41" s="329"/>
      <x:c r="AB41" s="329"/>
      <x:c r="AC41" s="329"/>
      <x:c r="AD41" s="329"/>
      <x:c r="AE41" s="329"/>
    </x:row>
    <x:row r="42">
      <x:c r="A42" s="329" t="str">
        <x:v>Financial Status Rule</x:v>
      </x:c>
      <x:c r="B42" s="329" t="str">
        <x:v>Timeline Verified? column uses ☑ / ⚠ / ☐</x:v>
      </x:c>
      <x:c r="C42" s="329" t="str">
        <x:v>☑ = closed, ⚠ = follow-up, ☐ = awaiting confirmation</x:v>
      </x:c>
      <x:c r="D42" s="329"/>
      <x:c r="E42" s="329"/>
      <x:c r="F42" s="329"/>
      <x:c r="G42" s="329"/>
      <x:c r="H42" s="329"/>
      <x:c r="I42" s="329"/>
      <x:c r="J42" s="329"/>
      <x:c r="K42" s="329"/>
      <x:c r="L42" s="329"/>
      <x:c r="M42" s="329"/>
      <x:c r="N42" s="329"/>
      <x:c r="O42" s="329"/>
      <x:c r="P42" s="329"/>
      <x:c r="Q42" s="329"/>
      <x:c r="R42" s="329"/>
      <x:c r="S42" s="329"/>
      <x:c r="T42" s="329"/>
      <x:c r="U42" s="329"/>
      <x:c r="V42" s="329"/>
      <x:c r="W42" s="329"/>
      <x:c r="X42" s="329"/>
      <x:c r="Y42" s="329"/>
      <x:c r="Z42" s="329"/>
      <x:c r="AA42" s="329"/>
      <x:c r="AB42" s="329"/>
      <x:c r="AC42" s="329"/>
      <x:c r="AD42" s="329"/>
      <x:c r="AE42" s="329"/>
    </x:row>
    <x:row r="43">
      <x:c r="A43" s="329" t="str">
        <x:v>ACH Checkbox Rule</x:v>
      </x:c>
      <x:c r="B43" s="329" t="str">
        <x:v>Practical ledger mode</x:v>
      </x:c>
      <x:c r="C43" s="329" t="str">
        <x:v>☑ can reflect financially closed status, not only freshly discovered ACH</x:v>
      </x:c>
      <x:c r="D43" s="329"/>
      <x:c r="E43" s="329"/>
      <x:c r="F43" s="329"/>
      <x:c r="G43" s="329"/>
      <x:c r="H43" s="329"/>
      <x:c r="I43" s="329"/>
      <x:c r="J43" s="329"/>
      <x:c r="K43" s="329"/>
      <x:c r="L43" s="329"/>
      <x:c r="M43" s="329"/>
      <x:c r="N43" s="329"/>
      <x:c r="O43" s="329"/>
      <x:c r="P43" s="329"/>
      <x:c r="Q43" s="329"/>
      <x:c r="R43" s="329"/>
      <x:c r="S43" s="329"/>
      <x:c r="T43" s="329"/>
      <x:c r="U43" s="329"/>
      <x:c r="V43" s="329"/>
      <x:c r="W43" s="329"/>
      <x:c r="X43" s="329"/>
      <x:c r="Y43" s="329"/>
      <x:c r="Z43" s="329"/>
      <x:c r="AA43" s="329"/>
      <x:c r="AB43" s="329"/>
      <x:c r="AC43" s="329"/>
      <x:c r="AD43" s="329"/>
      <x:c r="AE43" s="329"/>
    </x:row>
    <x:row r="44">
      <x:c r="A44" s="329" t="str">
        <x:v>Current Follow-Up Rows</x:v>
      </x:c>
      <x:c r="B44" s="329" t="str">
        <x:v>#1, #11, #38</x:v>
      </x:c>
      <x:c r="C44" s="329" t="str">
        <x:v>Macy's Fairfax, Food Lion Leesburg, 7-Eleven Lanham</x:v>
      </x:c>
      <x:c r="D44" s="329"/>
      <x:c r="E44" s="329"/>
      <x:c r="F44" s="329"/>
      <x:c r="G44" s="329"/>
      <x:c r="H44" s="329"/>
      <x:c r="I44" s="329"/>
      <x:c r="J44" s="329"/>
      <x:c r="K44" s="329"/>
      <x:c r="L44" s="329"/>
      <x:c r="M44" s="329"/>
      <x:c r="N44" s="329"/>
      <x:c r="O44" s="329"/>
      <x:c r="P44" s="329"/>
      <x:c r="Q44" s="329"/>
      <x:c r="R44" s="329"/>
      <x:c r="S44" s="329"/>
      <x:c r="T44" s="329"/>
      <x:c r="U44" s="329"/>
      <x:c r="V44" s="329"/>
      <x:c r="W44" s="329"/>
      <x:c r="X44" s="329"/>
      <x:c r="Y44" s="329"/>
      <x:c r="Z44" s="329"/>
      <x:c r="AA44" s="329"/>
      <x:c r="AB44" s="329"/>
      <x:c r="AC44" s="329"/>
      <x:c r="AD44" s="329"/>
      <x:c r="AE44" s="329"/>
    </x:row>
    <x:row r="45">
      <x:c r="A45" s="329" t="str">
        <x:v>Current Awaiting Rows</x:v>
      </x:c>
      <x:c r="B45" s="329" t="str">
        <x:v>#41-#47</x:v>
      </x:c>
      <x:c r="C45" s="329" t="str">
        <x:v>Baskin Robbins through Alsobrooks</x:v>
      </x:c>
      <x:c r="D45" s="329"/>
      <x:c r="E45" s="329"/>
      <x:c r="F45" s="329"/>
      <x:c r="G45" s="329"/>
      <x:c r="H45" s="329"/>
      <x:c r="I45" s="329"/>
      <x:c r="J45" s="329"/>
      <x:c r="K45" s="329"/>
      <x:c r="L45" s="329"/>
      <x:c r="M45" s="329"/>
      <x:c r="N45" s="329"/>
      <x:c r="O45" s="329"/>
      <x:c r="P45" s="329"/>
      <x:c r="Q45" s="329"/>
      <x:c r="R45" s="329"/>
      <x:c r="S45" s="329"/>
      <x:c r="T45" s="329"/>
      <x:c r="U45" s="329"/>
      <x:c r="V45" s="329"/>
      <x:c r="W45" s="329"/>
      <x:c r="X45" s="329"/>
      <x:c r="Y45" s="329"/>
      <x:c r="Z45" s="329"/>
      <x:c r="AA45" s="329"/>
      <x:c r="AB45" s="329"/>
      <x:c r="AC45" s="329"/>
      <x:c r="AD45" s="329"/>
      <x:c r="AE45" s="329"/>
    </x:row>
    <x:row r="46">
      <x:c r="A46" s="329" t="str">
        <x:v>Accepted Deltas</x:v>
      </x:c>
      <x:c r="B46" s="329" t="str">
        <x:v>#44-#47</x:v>
      </x:c>
      <x:c r="C46" s="329" t="str">
        <x:v>Marshalls Frederick, Montpelier Liquors, Marshalls Laurel, Alsobrooks completed</x:v>
      </x:c>
      <x:c r="D46" s="329"/>
      <x:c r="E46" s="329"/>
      <x:c r="F46" s="329"/>
      <x:c r="G46" s="329"/>
      <x:c r="H46" s="329"/>
      <x:c r="I46" s="329"/>
      <x:c r="J46" s="329"/>
      <x:c r="K46" s="329"/>
      <x:c r="L46" s="329"/>
      <x:c r="M46" s="329"/>
      <x:c r="N46" s="329"/>
      <x:c r="O46" s="329"/>
      <x:c r="P46" s="329"/>
      <x:c r="Q46" s="329"/>
      <x:c r="R46" s="329"/>
      <x:c r="S46" s="329"/>
      <x:c r="T46" s="329"/>
      <x:c r="U46" s="329"/>
      <x:c r="V46" s="329"/>
      <x:c r="W46" s="329"/>
      <x:c r="X46" s="329"/>
      <x:c r="Y46" s="329"/>
      <x:c r="Z46" s="329"/>
      <x:c r="AA46" s="329"/>
      <x:c r="AB46" s="329"/>
      <x:c r="AC46" s="329"/>
      <x:c r="AD46" s="329"/>
      <x:c r="AE46" s="329"/>
    </x:row>
    <x:row r="47">
      <x:c r="A47" s="329" t="str">
        <x:v>Ledger Delta Rule</x:v>
      </x:c>
      <x:c r="B47" s="329" t="str">
        <x:v>Apply accepted financial deltas directly to master workbook</x:v>
      </x:c>
      <x:c r="C47" s="329" t="str">
        <x:v>Do not rebuild chronology; update only affected rows/notes/status.</x:v>
      </x:c>
      <x:c r="D47" s="329"/>
      <x:c r="E47" s="329"/>
      <x:c r="F47" s="329"/>
      <x:c r="G47" s="329"/>
      <x:c r="H47" s="329"/>
      <x:c r="I47" s="329"/>
      <x:c r="J47" s="329"/>
      <x:c r="K47" s="329"/>
      <x:c r="L47" s="329"/>
      <x:c r="M47" s="329"/>
      <x:c r="N47" s="329"/>
      <x:c r="O47" s="329"/>
      <x:c r="P47" s="329"/>
      <x:c r="Q47" s="329"/>
      <x:c r="R47" s="329"/>
      <x:c r="S47" s="329"/>
      <x:c r="T47" s="329"/>
      <x:c r="U47" s="329"/>
      <x:c r="V47" s="329"/>
      <x:c r="W47" s="329"/>
      <x:c r="X47" s="329"/>
      <x:c r="Y47" s="329"/>
      <x:c r="Z47" s="329"/>
      <x:c r="AA47" s="329"/>
      <x:c r="AB47" s="329"/>
      <x:c r="AC47" s="329"/>
      <x:c r="AD47" s="329"/>
      <x:c r="AE47" s="329"/>
    </x:row>
    <x:row r="48">
      <x:c r="A48" s="329" t="str">
        <x:v>Catalina Naming Rule</x:v>
      </x:c>
      <x:c r="B48" s="329" t="str">
        <x:v>Catalina is a program/ticket type, not the client name</x:v>
      </x:c>
      <x:c r="C48" s="329" t="str">
        <x:v>Use actual store as client; #49 is Weis Markets Callaway.</x:v>
      </x:c>
      <x:c r="D48" s="329"/>
      <x:c r="E48" s="329"/>
      <x:c r="F48" s="329"/>
      <x:c r="G48" s="329"/>
      <x:c r="H48" s="329"/>
      <x:c r="I48" s="329"/>
      <x:c r="J48" s="329"/>
      <x:c r="K48" s="329"/>
      <x:c r="L48" s="329"/>
      <x:c r="M48" s="329"/>
      <x:c r="N48" s="329"/>
      <x:c r="O48" s="329"/>
      <x:c r="P48" s="329"/>
      <x:c r="Q48" s="329"/>
      <x:c r="R48" s="329"/>
      <x:c r="S48" s="329"/>
      <x:c r="T48" s="329"/>
      <x:c r="U48" s="329"/>
      <x:c r="V48" s="329"/>
      <x:c r="W48" s="329"/>
      <x:c r="X48" s="329"/>
      <x:c r="Y48" s="329"/>
      <x:c r="Z48" s="329"/>
      <x:c r="AA48" s="329"/>
      <x:c r="AB48" s="329"/>
      <x:c r="AC48" s="329"/>
      <x:c r="AD48" s="329"/>
      <x:c r="AE48" s="329"/>
    </x:row>
    <x:row r="49">
      <x:c r="A49" s="329" t="str">
        <x:v>Hebrew Home 2-WO Rule</x:v>
      </x:c>
      <x:c r="B49" s="329" t="str">
        <x:v>One onsite visit, two work orders</x:v>
      </x:c>
      <x:c r="C49" s="329" t="str">
        <x:v>Timeline counts one visit; audit tracks 5905576 and 5905579 financial disposition.</x:v>
      </x:c>
      <x:c r="D49" s="329"/>
      <x:c r="E49" s="329"/>
      <x:c r="F49" s="329"/>
      <x:c r="G49" s="329"/>
      <x:c r="H49" s="329"/>
      <x:c r="I49" s="329"/>
      <x:c r="J49" s="329"/>
      <x:c r="K49" s="329"/>
      <x:c r="L49" s="329"/>
      <x:c r="M49" s="329"/>
      <x:c r="N49" s="329"/>
      <x:c r="O49" s="329"/>
      <x:c r="P49" s="329"/>
      <x:c r="Q49" s="329"/>
      <x:c r="R49" s="329"/>
      <x:c r="S49" s="329"/>
      <x:c r="T49" s="329"/>
      <x:c r="U49" s="329"/>
      <x:c r="V49" s="329"/>
      <x:c r="W49" s="329"/>
      <x:c r="X49" s="329"/>
      <x:c r="Y49" s="329"/>
      <x:c r="Z49" s="329"/>
      <x:c r="AA49" s="329"/>
      <x:c r="AB49" s="329"/>
      <x:c r="AC49" s="329"/>
      <x:c r="AD49" s="329"/>
      <x:c r="AE49" s="329"/>
    </x:row>
    <x:row r="50">
      <x:c r="A50" s="329" t="str">
        <x:v>Payment Timing Rule</x:v>
      </x:c>
      <x:c r="B50" s="329" t="str">
        <x:v>Most breakdown/ACH updates arrive morning/noon</x:v>
      </x:c>
      <x:c r="C50" s="329" t="str">
        <x:v>After Friday update, wait until Monday unless new evidence appears.</x:v>
      </x:c>
      <x:c r="D50" s="329"/>
      <x:c r="E50" s="329"/>
      <x:c r="F50" s="329"/>
      <x:c r="G50" s="329"/>
      <x:c r="H50" s="329"/>
      <x:c r="I50" s="329"/>
      <x:c r="J50" s="329"/>
      <x:c r="K50" s="329"/>
      <x:c r="L50" s="329"/>
      <x:c r="M50" s="329"/>
      <x:c r="N50" s="329"/>
      <x:c r="O50" s="329"/>
      <x:c r="P50" s="329"/>
      <x:c r="Q50" s="329"/>
      <x:c r="R50" s="329"/>
      <x:c r="S50" s="329"/>
      <x:c r="T50" s="329"/>
      <x:c r="U50" s="329"/>
      <x:c r="V50" s="329"/>
      <x:c r="W50" s="329"/>
      <x:c r="X50" s="329"/>
      <x:c r="Y50" s="329"/>
      <x:c r="Z50" s="329"/>
      <x:c r="AA50" s="329"/>
      <x:c r="AB50" s="329"/>
      <x:c r="AC50" s="329"/>
      <x:c r="AD50" s="329"/>
      <x:c r="AE50" s="329"/>
    </x:row>
    <x:row r="51">
      <x:c r="A51" s="329" t="str">
        <x:v>Practical Verified Rule</x:v>
      </x:c>
      <x:c r="B51" s="329" t="str">
        <x:v>☑ means financially updated/closed enough for current ledger</x:v>
      </x:c>
      <x:c r="C51" s="329" t="str">
        <x:v>⚠ means action/follow-up; ☐ means awaiting normal payment cycle.</x:v>
      </x:c>
      <x:c r="D51" s="329"/>
      <x:c r="E51" s="329"/>
      <x:c r="F51" s="329"/>
      <x:c r="G51" s="329"/>
      <x:c r="H51" s="329"/>
      <x:c r="I51" s="329"/>
      <x:c r="J51" s="329"/>
      <x:c r="K51" s="329"/>
      <x:c r="L51" s="329"/>
      <x:c r="M51" s="329"/>
      <x:c r="N51" s="329"/>
      <x:c r="O51" s="329"/>
      <x:c r="P51" s="329"/>
      <x:c r="Q51" s="329"/>
      <x:c r="R51" s="329"/>
      <x:c r="S51" s="329"/>
      <x:c r="T51" s="329"/>
      <x:c r="U51" s="329"/>
      <x:c r="V51" s="329"/>
      <x:c r="W51" s="329"/>
      <x:c r="X51" s="329"/>
      <x:c r="Y51" s="329"/>
      <x:c r="Z51" s="329"/>
      <x:c r="AA51" s="329"/>
      <x:c r="AB51" s="329"/>
      <x:c r="AC51" s="329"/>
      <x:c r="AD51" s="329"/>
      <x:c r="AE51" s="329"/>
    </x:row>
    <x:row r="52">
      <x:c r="A52" s="329" t="str">
        <x:v>Latest Delta</x:v>
      </x:c>
      <x:c r="B52" s="329" t="str">
        <x:v>#43, #47, #48, #49</x:v>
      </x:c>
      <x:c r="C52" s="329" t="str">
        <x:v>Verizon Lanham $50; Alsobrooks $130; Hebrew warning; Weis Callaway added.</x:v>
      </x:c>
      <x:c r="D52" s="329"/>
      <x:c r="E52" s="329"/>
      <x:c r="F52" s="329"/>
      <x:c r="G52" s="329"/>
      <x:c r="H52" s="329"/>
      <x:c r="I52" s="329"/>
      <x:c r="J52" s="329"/>
      <x:c r="K52" s="329"/>
      <x:c r="L52" s="329"/>
      <x:c r="M52" s="329"/>
      <x:c r="N52" s="329"/>
      <x:c r="O52" s="329"/>
      <x:c r="P52" s="329"/>
      <x:c r="Q52" s="329"/>
      <x:c r="R52" s="329"/>
      <x:c r="S52" s="329"/>
      <x:c r="T52" s="329"/>
      <x:c r="U52" s="329"/>
      <x:c r="V52" s="329"/>
      <x:c r="W52" s="329"/>
      <x:c r="X52" s="329"/>
      <x:c r="Y52" s="329"/>
      <x:c r="Z52" s="329"/>
      <x:c r="AA52" s="329"/>
      <x:c r="AB52" s="329"/>
      <x:c r="AC52" s="329"/>
      <x:c r="AD52" s="329"/>
      <x:c r="AE52" s="329"/>
    </x:row>
    <x:row r="53">
      <x:c r="A53" s="329" t="str">
        <x:v>Rule 0 — Engine Gate</x:v>
      </x:c>
      <x:c r="B53" s="329" t="str">
        <x:v>No ledger update may be applied unless the Work Order uniquely maps to exactly one authoritative Timeline event through the Work Order Index / WO Alias Index.</x:v>
      </x:c>
      <x:c r="C53" s="329" t="str">
        <x:v>If mapping is missing, duplicated, or flagged review, stop and classify as VERIFY / Mapping Review.</x:v>
      </x:c>
      <x:c r="D53" s="329"/>
      <x:c r="E53" s="329"/>
      <x:c r="F53" s="329"/>
      <x:c r="G53" s="329"/>
      <x:c r="H53" s="329"/>
      <x:c r="I53" s="329"/>
      <x:c r="J53" s="329"/>
      <x:c r="K53" s="329"/>
      <x:c r="L53" s="329"/>
      <x:c r="M53" s="329"/>
      <x:c r="N53" s="329"/>
      <x:c r="O53" s="329"/>
      <x:c r="P53" s="329"/>
      <x:c r="Q53" s="329"/>
      <x:c r="R53" s="329"/>
      <x:c r="S53" s="329"/>
      <x:c r="T53" s="329"/>
      <x:c r="U53" s="329"/>
      <x:c r="V53" s="329"/>
      <x:c r="W53" s="329"/>
      <x:c r="X53" s="329"/>
      <x:c r="Y53" s="329"/>
      <x:c r="Z53" s="329"/>
      <x:c r="AA53" s="329"/>
      <x:c r="AB53" s="329"/>
      <x:c r="AC53" s="329"/>
      <x:c r="AD53" s="329"/>
      <x:c r="AE53" s="329"/>
    </x:row>
    <x:row r="54">
      <x:c r="A54" s="329" t="str">
        <x:v>Same-Site Multi-WO Visit Rule</x:v>
      </x:c>
      <x:c r="B54" s="329" t="str">
        <x:v>One physical visit can contain multiple work orders</x:v>
      </x:c>
      <x:c r="C54" s="329" t="str">
        <x:v>One drive / one arrival / one facility / one departure = one chronological event. Multiple WOs completed during that visit roll up to the same event.</x:v>
      </x:c>
      <x:c r="D54" s="329"/>
      <x:c r="E54" s="329"/>
      <x:c r="F54" s="329"/>
      <x:c r="G54" s="329"/>
      <x:c r="H54" s="329"/>
      <x:c r="I54" s="329"/>
      <x:c r="J54" s="329"/>
      <x:c r="K54" s="329"/>
      <x:c r="L54" s="329"/>
      <x:c r="M54" s="329"/>
      <x:c r="N54" s="329"/>
      <x:c r="O54" s="329"/>
      <x:c r="P54" s="329"/>
      <x:c r="Q54" s="329"/>
      <x:c r="R54" s="329"/>
      <x:c r="S54" s="329"/>
      <x:c r="T54" s="329"/>
      <x:c r="U54" s="329"/>
      <x:c r="V54" s="329"/>
      <x:c r="W54" s="329"/>
      <x:c r="X54" s="329"/>
      <x:c r="Y54" s="329"/>
      <x:c r="Z54" s="329"/>
      <x:c r="AA54" s="329"/>
      <x:c r="AB54" s="329"/>
      <x:c r="AC54" s="329"/>
      <x:c r="AD54" s="329"/>
      <x:c r="AE54" s="329"/>
    </x:row>
    <x:row r="55">
      <x:c r="A55" s="329" t="str">
        <x:v>Carvana Application</x:v>
      </x:c>
      <x:c r="B55" s="329" t="str">
        <x:v>Event #60 is one Carvana visit</x:v>
      </x:c>
      <x:c r="C55" s="329" t="str">
        <x:v>WO 5914049 and WO 5912364 are both tracked financially but do not create a second timeline event or repeat-client status.</x:v>
      </x:c>
      <x:c r="D55" s="329"/>
      <x:c r="E55" s="329"/>
      <x:c r="F55" s="329"/>
      <x:c r="G55" s="329"/>
      <x:c r="H55" s="329"/>
      <x:c r="I55" s="329"/>
      <x:c r="J55" s="329"/>
      <x:c r="K55" s="329"/>
      <x:c r="L55" s="329"/>
      <x:c r="M55" s="329"/>
      <x:c r="N55" s="329"/>
      <x:c r="O55" s="329"/>
      <x:c r="P55" s="329"/>
      <x:c r="Q55" s="329"/>
      <x:c r="R55" s="329"/>
      <x:c r="S55" s="329"/>
      <x:c r="T55" s="329"/>
      <x:c r="U55" s="329"/>
      <x:c r="V55" s="329"/>
      <x:c r="W55" s="329"/>
      <x:c r="X55" s="329"/>
      <x:c r="Y55" s="329"/>
      <x:c r="Z55" s="329"/>
      <x:c r="AA55" s="329"/>
      <x:c r="AB55" s="329"/>
      <x:c r="AC55" s="329"/>
      <x:c r="AD55" s="329"/>
      <x:c r="AE55" s="329"/>
    </x:row>
    <x:row r="56">
      <x:c r="A56" s="329" t="str">
        <x:v>Ledger Rollup Rule</x:v>
      </x:c>
      <x:c r="B56" s="329" t="str">
        <x:v>Financial ledger tracks WOs; timeline tracks visits</x:v>
      </x:c>
      <x:c r="C56" s="329" t="str">
        <x:v>For same-site multi-WO visits, keep WO-level aliases for ACH/breakdown matching and roll up confirmed revenue to one timeline event.</x:v>
      </x:c>
      <x:c r="D56" s="329"/>
      <x:c r="E56" s="329"/>
      <x:c r="F56" s="329"/>
      <x:c r="G56" s="329"/>
      <x:c r="H56" s="329"/>
      <x:c r="I56" s="329"/>
      <x:c r="J56" s="329"/>
      <x:c r="K56" s="329"/>
      <x:c r="L56" s="329"/>
      <x:c r="M56" s="329"/>
      <x:c r="N56" s="329"/>
      <x:c r="O56" s="329"/>
      <x:c r="P56" s="329"/>
      <x:c r="Q56" s="329"/>
      <x:c r="R56" s="329"/>
      <x:c r="S56" s="329"/>
      <x:c r="T56" s="329"/>
      <x:c r="U56" s="329"/>
      <x:c r="V56" s="329"/>
      <x:c r="W56" s="329"/>
      <x:c r="X56" s="329"/>
      <x:c r="Y56" s="329"/>
      <x:c r="Z56" s="329"/>
      <x:c r="AA56" s="329"/>
      <x:c r="AB56" s="329"/>
      <x:c r="AC56" s="329"/>
      <x:c r="AD56" s="329"/>
      <x:c r="AE56" s="329"/>
    </x:row>
    <x:row r="57">
      <x:c r="A57" s="329" t="n">
        <x:v>17</x:v>
      </x:c>
      <x:c r="B57" s="329" t="str">
        <x:v>Calendar Date Assignment Rule</x:v>
      </x:c>
      <x:c r="C57" s="329" t="str">
        <x:v>The chronological Timeline fixes event identity and order. Calendar/ICS evidence assigns dates and weekdays to those existing events; it must never reorder, insert, remove, or invent clients.</x:v>
      </x:c>
      <x:c r="D57" s="329"/>
      <x:c r="E57" s="329"/>
      <x:c r="F57" s="329"/>
      <x:c r="G57" s="329"/>
      <x:c r="H57" s="329"/>
      <x:c r="I57" s="329"/>
      <x:c r="J57" s="329"/>
      <x:c r="K57" s="329"/>
      <x:c r="L57" s="329"/>
      <x:c r="M57" s="329"/>
      <x:c r="N57" s="329"/>
      <x:c r="O57" s="329"/>
      <x:c r="P57" s="329"/>
      <x:c r="Q57" s="329"/>
      <x:c r="R57" s="329"/>
      <x:c r="S57" s="329"/>
      <x:c r="T57" s="329"/>
      <x:c r="U57" s="329"/>
      <x:c r="V57" s="329"/>
      <x:c r="W57" s="329"/>
      <x:c r="X57" s="329"/>
      <x:c r="Y57" s="329"/>
      <x:c r="Z57" s="329"/>
      <x:c r="AA57" s="329"/>
      <x:c r="AB57" s="329"/>
      <x:c r="AC57" s="329"/>
      <x:c r="AD57" s="329"/>
      <x:c r="AE57" s="329"/>
    </x:row>
    <x:row r="58">
      <x:c r="A58" s="329" t="n">
        <x:v>18</x:v>
      </x:c>
      <x:c r="B58" s="329" t="str">
        <x:v>Calendar Dot Interpretation Rule</x:v>
      </x:c>
      <x:c r="C58" s="329" t="str">
        <x:v>Calendar marks show work presence and event count. Selected-day work-order listings are direct evidence for dates, locations, and multi-event days.</x:v>
      </x:c>
      <x:c r="D58" s="329"/>
      <x:c r="E58" s="329"/>
      <x:c r="F58" s="329"/>
      <x:c r="G58" s="329"/>
      <x:c r="H58" s="329"/>
      <x:c r="I58" s="329"/>
      <x:c r="J58" s="329"/>
      <x:c r="K58" s="329"/>
      <x:c r="L58" s="329"/>
      <x:c r="M58" s="329"/>
      <x:c r="N58" s="329"/>
      <x:c r="O58" s="329"/>
      <x:c r="P58" s="329"/>
      <x:c r="Q58" s="329"/>
      <x:c r="R58" s="329"/>
      <x:c r="S58" s="329"/>
      <x:c r="T58" s="329"/>
      <x:c r="U58" s="329"/>
      <x:c r="V58" s="329"/>
      <x:c r="W58" s="329"/>
      <x:c r="X58" s="329"/>
      <x:c r="Y58" s="329"/>
      <x:c r="Z58" s="329"/>
      <x:c r="AA58" s="329"/>
      <x:c r="AB58" s="329"/>
      <x:c r="AC58" s="329"/>
      <x:c r="AD58" s="329"/>
      <x:c r="AE58" s="329"/>
    </x:row>
    <x:row r="59">
      <x:c r="A59" s="329" t="n">
        <x:v>19</x:v>
      </x:c>
      <x:c r="B59" s="329" t="str">
        <x:v>Confirmed Revenue Eligibility Rule</x:v>
      </x:c>
      <x:c r="C59" s="329" t="str">
        <x:v>Weekday revenue totals and average revenue per event include only completed events whose Canonical Ledger field Breakdown Confirmed equals Yes and whose Confirmed Revenue is numeric.</x:v>
      </x:c>
      <x:c r="D59" s="329"/>
      <x:c r="E59" s="329"/>
      <x:c r="F59" s="329"/>
      <x:c r="G59" s="329"/>
      <x:c r="H59" s="329"/>
      <x:c r="I59" s="329"/>
      <x:c r="J59" s="329"/>
      <x:c r="K59" s="329"/>
      <x:c r="L59" s="329"/>
      <x:c r="M59" s="329"/>
      <x:c r="N59" s="329"/>
      <x:c r="O59" s="329"/>
      <x:c r="P59" s="329"/>
      <x:c r="Q59" s="329"/>
      <x:c r="R59" s="329"/>
      <x:c r="S59" s="329"/>
      <x:c r="T59" s="329"/>
      <x:c r="U59" s="329"/>
      <x:c r="V59" s="329"/>
      <x:c r="W59" s="329"/>
      <x:c r="X59" s="329"/>
      <x:c r="Y59" s="329"/>
      <x:c r="Z59" s="329"/>
      <x:c r="AA59" s="329"/>
      <x:c r="AB59" s="329"/>
      <x:c r="AC59" s="329"/>
      <x:c r="AD59" s="329"/>
      <x:c r="AE59" s="329"/>
    </x:row>
    <x:row r="60">
      <x:c r="A60" s="329" t="n">
        <x:v>20</x:v>
      </x:c>
      <x:c r="B60" s="329" t="str">
        <x:v>TBD / Partial Exclusion Rule</x:v>
      </x:c>
      <x:c r="C60" s="329" t="str">
        <x:v>Events with breakdown status No, Partial, Pending, TBD, N/A, or missing are excluded from both the numerator and denominator of confirmed-revenue averages.</x:v>
      </x:c>
      <x:c r="D60" s="329"/>
      <x:c r="E60" s="329"/>
      <x:c r="F60" s="329"/>
      <x:c r="G60" s="329"/>
      <x:c r="H60" s="329"/>
      <x:c r="I60" s="329"/>
      <x:c r="J60" s="329"/>
      <x:c r="K60" s="329"/>
      <x:c r="L60" s="329"/>
      <x:c r="M60" s="329"/>
      <x:c r="N60" s="329"/>
      <x:c r="O60" s="329"/>
      <x:c r="P60" s="329"/>
      <x:c r="Q60" s="329"/>
      <x:c r="R60" s="329"/>
      <x:c r="S60" s="329"/>
      <x:c r="T60" s="329"/>
      <x:c r="U60" s="329"/>
      <x:c r="V60" s="329"/>
      <x:c r="W60" s="329"/>
      <x:c r="X60" s="329"/>
      <x:c r="Y60" s="329"/>
      <x:c r="Z60" s="329"/>
      <x:c r="AA60" s="329"/>
      <x:c r="AB60" s="329"/>
      <x:c r="AC60" s="329"/>
      <x:c r="AD60" s="329"/>
      <x:c r="AE60" s="329"/>
    </x:row>
    <x:row r="61">
      <x:c r="A61" s="329" t="n">
        <x:v>21</x:v>
      </x:c>
      <x:c r="B61" s="329" t="str">
        <x:v>Weekday Activity Rule</x:v>
      </x:c>
      <x:c r="C61" s="329" t="str">
        <x:v>Weekday activity measures whether at least one Barrister visit occurred on that weekday in a workweek. Multiple events on the same date count as one active weekday.</x:v>
      </x:c>
      <x:c r="D61" s="329"/>
      <x:c r="E61" s="329"/>
      <x:c r="F61" s="329"/>
      <x:c r="G61" s="329"/>
      <x:c r="H61" s="329"/>
      <x:c r="I61" s="329"/>
      <x:c r="J61" s="329"/>
      <x:c r="K61" s="329"/>
      <x:c r="L61" s="329"/>
      <x:c r="M61" s="329"/>
      <x:c r="N61" s="329"/>
      <x:c r="O61" s="329"/>
      <x:c r="P61" s="329"/>
      <x:c r="Q61" s="329"/>
      <x:c r="R61" s="329"/>
      <x:c r="S61" s="329"/>
      <x:c r="T61" s="329"/>
      <x:c r="U61" s="329"/>
      <x:c r="V61" s="329"/>
      <x:c r="W61" s="329"/>
      <x:c r="X61" s="329"/>
      <x:c r="Y61" s="329"/>
      <x:c r="Z61" s="329"/>
      <x:c r="AA61" s="329"/>
      <x:c r="AB61" s="329"/>
      <x:c r="AC61" s="329"/>
      <x:c r="AD61" s="329"/>
      <x:c r="AE61" s="329"/>
    </x:row>
    <x:row r="62">
      <x:c r="A62" s="329" t="n">
        <x:v>22</x:v>
      </x:c>
      <x:c r="B62" s="329" t="str">
        <x:v>Twelve-Week Baseline</x:v>
      </x:c>
      <x:c r="C62" s="329" t="str">
        <x:v>The initial weekday activity baseline covers 12 complete Monday-through-Friday weeks from 2026-04-20 through 2026-07-10.</x:v>
      </x:c>
      <x:c r="D62" s="329"/>
      <x:c r="E62" s="329"/>
      <x:c r="F62" s="329"/>
      <x:c r="G62" s="329"/>
      <x:c r="H62" s="329"/>
      <x:c r="I62" s="329"/>
      <x:c r="J62" s="329"/>
      <x:c r="K62" s="329"/>
      <x:c r="L62" s="329"/>
      <x:c r="M62" s="329"/>
      <x:c r="N62" s="329"/>
      <x:c r="O62" s="329"/>
      <x:c r="P62" s="329"/>
      <x:c r="Q62" s="329"/>
      <x:c r="R62" s="329"/>
      <x:c r="S62" s="329"/>
      <x:c r="T62" s="329"/>
      <x:c r="U62" s="329"/>
      <x:c r="V62" s="329"/>
      <x:c r="W62" s="329"/>
      <x:c r="X62" s="329"/>
      <x:c r="Y62" s="329"/>
      <x:c r="Z62" s="329"/>
      <x:c r="AA62" s="329"/>
      <x:c r="AB62" s="329"/>
      <x:c r="AC62" s="329"/>
      <x:c r="AD62" s="329"/>
      <x:c r="AE62" s="329"/>
    </x:row>
    <x:row r="63">
      <x:c r="A63" s="329" t="n">
        <x:v>23</x:v>
      </x:c>
      <x:c r="B63" s="329" t="str">
        <x:v>Weekday Metrics Governance</x:v>
      </x:c>
      <x:c r="C63" s="329" t="str">
        <x:v>Keep two separate metrics: confirmed revenue per eligible event, and activity rate based on actual worked weekdays. Payment eligibility never filters the activity-rate calculation.</x:v>
      </x:c>
      <x:c r="D63" s="329"/>
      <x:c r="E63" s="329"/>
      <x:c r="F63" s="329"/>
      <x:c r="G63" s="329"/>
      <x:c r="H63" s="329"/>
      <x:c r="I63" s="329"/>
      <x:c r="J63" s="329"/>
      <x:c r="K63" s="329"/>
      <x:c r="L63" s="329"/>
      <x:c r="M63" s="329"/>
      <x:c r="N63" s="329"/>
      <x:c r="O63" s="329"/>
      <x:c r="P63" s="329"/>
      <x:c r="Q63" s="329"/>
      <x:c r="R63" s="329"/>
      <x:c r="S63" s="329"/>
      <x:c r="T63" s="329"/>
      <x:c r="U63" s="329"/>
      <x:c r="V63" s="329"/>
      <x:c r="W63" s="329"/>
      <x:c r="X63" s="329"/>
      <x:c r="Y63" s="329"/>
      <x:c r="Z63" s="329"/>
      <x:c r="AA63" s="329"/>
      <x:c r="AB63" s="329"/>
      <x:c r="AC63" s="329"/>
      <x:c r="AD63" s="329"/>
      <x:c r="AE63" s="329"/>
    </x:row>
    <x:row r="64">
      <x:c r="A64" s="329"/>
      <x:c r="B64" s="329"/>
      <x:c r="C64" s="329"/>
      <x:c r="D64" s="329"/>
      <x:c r="E64" s="329"/>
      <x:c r="F64" s="329"/>
      <x:c r="G64" s="329"/>
      <x:c r="H64" s="329"/>
      <x:c r="I64" s="329"/>
      <x:c r="J64" s="329"/>
      <x:c r="K64" s="329"/>
      <x:c r="L64" s="329"/>
      <x:c r="M64" s="329"/>
      <x:c r="N64" s="329"/>
      <x:c r="O64" s="329"/>
      <x:c r="P64" s="329"/>
      <x:c r="Q64" s="329"/>
      <x:c r="R64" s="329"/>
      <x:c r="S64" s="329"/>
      <x:c r="T64" s="329"/>
      <x:c r="U64" s="329"/>
      <x:c r="V64" s="329"/>
      <x:c r="W64" s="329"/>
      <x:c r="X64" s="329"/>
      <x:c r="Y64" s="329"/>
      <x:c r="Z64" s="329"/>
      <x:c r="AA64" s="329"/>
      <x:c r="AB64" s="329"/>
      <x:c r="AC64" s="329"/>
      <x:c r="AD64" s="329"/>
      <x:c r="AE64" s="329"/>
    </x:row>
    <x:row r="65">
      <x:c r="A65" s="329"/>
      <x:c r="B65" s="329"/>
      <x:c r="C65" s="329"/>
      <x:c r="D65" s="329"/>
      <x:c r="E65" s="329"/>
      <x:c r="F65" s="329"/>
      <x:c r="G65" s="329"/>
      <x:c r="H65" s="329"/>
      <x:c r="I65" s="329"/>
      <x:c r="J65" s="329"/>
      <x:c r="K65" s="329"/>
      <x:c r="L65" s="329"/>
      <x:c r="M65" s="329"/>
      <x:c r="N65" s="329"/>
      <x:c r="O65" s="329"/>
      <x:c r="P65" s="329"/>
      <x:c r="Q65" s="329"/>
      <x:c r="R65" s="329"/>
      <x:c r="S65" s="329"/>
      <x:c r="T65" s="329"/>
      <x:c r="U65" s="329"/>
      <x:c r="V65" s="329"/>
      <x:c r="W65" s="329"/>
      <x:c r="X65" s="329"/>
      <x:c r="Y65" s="329"/>
      <x:c r="Z65" s="329"/>
      <x:c r="AA65" s="329"/>
      <x:c r="AB65" s="329"/>
      <x:c r="AC65" s="329"/>
      <x:c r="AD65" s="329"/>
      <x:c r="AE65" s="329"/>
    </x:row>
    <x:row r="66">
      <x:c r="A66" s="588" t="str">
        <x:v>Engine Rules</x:v>
      </x:c>
      <x:c r="B66" s="588"/>
      <x:c r="C66" s="588"/>
      <x:c r="D66" s="588"/>
      <x:c r="E66" s="588"/>
      <x:c r="F66" s="329"/>
      <x:c r="G66" s="329"/>
      <x:c r="H66" s="329"/>
      <x:c r="I66" s="329"/>
      <x:c r="J66" s="329"/>
      <x:c r="K66" s="329"/>
      <x:c r="L66" s="329"/>
      <x:c r="M66" s="329"/>
      <x:c r="N66" s="329"/>
      <x:c r="O66" s="329"/>
      <x:c r="P66" s="329"/>
      <x:c r="Q66" s="329"/>
      <x:c r="R66" s="329"/>
      <x:c r="S66" s="329"/>
      <x:c r="T66" s="329"/>
      <x:c r="U66" s="329"/>
      <x:c r="V66" s="329"/>
      <x:c r="W66" s="329"/>
      <x:c r="X66" s="329"/>
      <x:c r="Y66" s="329"/>
      <x:c r="Z66" s="329"/>
      <x:c r="AA66" s="329"/>
      <x:c r="AB66" s="329"/>
      <x:c r="AC66" s="329"/>
      <x:c r="AD66" s="329"/>
      <x:c r="AE66" s="329"/>
    </x:row>
    <x:row r="67">
      <x:c r="A67" s="399" t="str">
        <x:v>Barrister Engine Rules</x:v>
      </x:c>
      <x:c r="B67" s="399"/>
      <x:c r="C67" s="399"/>
      <x:c r="D67" s="399"/>
      <x:c r="E67" s="399"/>
      <x:c r="F67" s="329"/>
      <x:c r="G67" s="329"/>
      <x:c r="H67" s="329"/>
      <x:c r="I67" s="329"/>
      <x:c r="J67" s="329"/>
      <x:c r="K67" s="329"/>
      <x:c r="L67" s="329"/>
      <x:c r="M67" s="329"/>
      <x:c r="N67" s="329"/>
      <x:c r="O67" s="329"/>
      <x:c r="P67" s="329"/>
      <x:c r="Q67" s="329"/>
      <x:c r="R67" s="329"/>
      <x:c r="S67" s="329"/>
      <x:c r="T67" s="329"/>
      <x:c r="U67" s="329"/>
      <x:c r="V67" s="329"/>
      <x:c r="W67" s="329"/>
      <x:c r="X67" s="329"/>
      <x:c r="Y67" s="329"/>
      <x:c r="Z67" s="329"/>
      <x:c r="AA67" s="329"/>
      <x:c r="AB67" s="329"/>
      <x:c r="AC67" s="329"/>
      <x:c r="AD67" s="329"/>
      <x:c r="AE67" s="329"/>
    </x:row>
    <x:row r="68">
      <x:c r="A68" s="329" t="str">
        <x:v>Rule ID</x:v>
      </x:c>
      <x:c r="B68" s="329" t="str">
        <x:v>Rule Name</x:v>
      </x:c>
      <x:c r="C68" s="329" t="str">
        <x:v>Requirement</x:v>
      </x:c>
      <x:c r="D68" s="329" t="str">
        <x:v>Pass Condition</x:v>
      </x:c>
      <x:c r="E68" s="329" t="str">
        <x:v>Fail Action</x:v>
      </x:c>
      <x:c r="F68" s="329"/>
      <x:c r="G68" s="329"/>
      <x:c r="H68" s="329"/>
      <x:c r="I68" s="329"/>
      <x:c r="J68" s="329"/>
      <x:c r="K68" s="329"/>
      <x:c r="L68" s="329"/>
      <x:c r="M68" s="329"/>
      <x:c r="N68" s="329"/>
      <x:c r="O68" s="329"/>
      <x:c r="P68" s="329"/>
      <x:c r="Q68" s="329"/>
      <x:c r="R68" s="329"/>
      <x:c r="S68" s="329"/>
      <x:c r="T68" s="329"/>
      <x:c r="U68" s="329"/>
      <x:c r="V68" s="329"/>
      <x:c r="W68" s="329"/>
      <x:c r="X68" s="329"/>
      <x:c r="Y68" s="329"/>
      <x:c r="Z68" s="329"/>
      <x:c r="AA68" s="329"/>
      <x:c r="AB68" s="329"/>
      <x:c r="AC68" s="329"/>
      <x:c r="AD68" s="329"/>
      <x:c r="AE68" s="329"/>
    </x:row>
    <x:row r="69">
      <x:c r="A69" s="329" t="str">
        <x:v>Rule 0</x:v>
      </x:c>
      <x:c r="B69" s="329" t="str">
        <x:v>Unique Work Order Mapping</x:v>
      </x:c>
      <x:c r="C69" s="329" t="str">
        <x:v>No ledger update may be applied unless the Work Order maps to exactly one authoritative Timeline event through the Work Order Index / WO Alias Index.</x:v>
      </x:c>
      <x:c r="D69" s="329" t="str">
        <x:v>WO appears once, maps to one Event #, and is not flagged as Duplicate / Review / Missing.</x:v>
      </x:c>
      <x:c r="E69" s="329" t="str">
        <x:v>Stop update; classify as VERIFY / Mapping Review; log to Exception Review; do not change ACH/Breakdown status.</x:v>
      </x:c>
      <x:c r="F69" s="329"/>
      <x:c r="G69" s="329"/>
      <x:c r="H69" s="329"/>
      <x:c r="I69" s="329"/>
      <x:c r="J69" s="329"/>
      <x:c r="K69" s="329"/>
      <x:c r="L69" s="329"/>
      <x:c r="M69" s="329"/>
      <x:c r="N69" s="329"/>
      <x:c r="O69" s="329"/>
      <x:c r="P69" s="329"/>
      <x:c r="Q69" s="329"/>
      <x:c r="R69" s="329"/>
      <x:c r="S69" s="329"/>
      <x:c r="T69" s="329"/>
      <x:c r="U69" s="329"/>
      <x:c r="V69" s="329"/>
      <x:c r="W69" s="329"/>
      <x:c r="X69" s="329"/>
      <x:c r="Y69" s="329"/>
      <x:c r="Z69" s="329"/>
      <x:c r="AA69" s="329"/>
      <x:c r="AB69" s="329"/>
      <x:c r="AC69" s="329"/>
      <x:c r="AD69" s="329"/>
      <x:c r="AE69" s="329"/>
    </x:row>
    <x:row r="70">
      <x:c r="A70" s="329" t="str">
        <x:v>Rule 1</x:v>
      </x:c>
      <x:c r="B70" s="329" t="str">
        <x:v>Breakdown Comparison</x:v>
      </x:c>
      <x:c r="C70" s="329" t="str">
        <x:v>A new payment breakdown must be compared against the existing recorded breakdown before updating the ledger.</x:v>
      </x:c>
      <x:c r="D70" s="329" t="str">
        <x:v>New amount matches existing blank or same amount.</x:v>
      </x:c>
      <x:c r="E70" s="329" t="str">
        <x:v>If amount differs: classify as UPDATE; record previous vs new amount.</x:v>
      </x:c>
      <x:c r="F70" s="329"/>
      <x:c r="G70" s="329"/>
      <x:c r="H70" s="329"/>
      <x:c r="I70" s="329"/>
      <x:c r="J70" s="329"/>
      <x:c r="K70" s="329"/>
      <x:c r="L70" s="329"/>
      <x:c r="M70" s="329"/>
      <x:c r="N70" s="329"/>
      <x:c r="O70" s="329"/>
      <x:c r="P70" s="329"/>
      <x:c r="Q70" s="329"/>
      <x:c r="R70" s="329"/>
      <x:c r="S70" s="329"/>
      <x:c r="T70" s="329"/>
      <x:c r="U70" s="329"/>
      <x:c r="V70" s="329"/>
      <x:c r="W70" s="329"/>
      <x:c r="X70" s="329"/>
      <x:c r="Y70" s="329"/>
      <x:c r="Z70" s="329"/>
      <x:c r="AA70" s="329"/>
      <x:c r="AB70" s="329"/>
      <x:c r="AC70" s="329"/>
      <x:c r="AD70" s="329"/>
      <x:c r="AE70" s="329"/>
    </x:row>
    <x:row r="71">
      <x:c r="A71" s="329" t="str">
        <x:v>Rule 2</x:v>
      </x:c>
      <x:c r="B71" s="329" t="str">
        <x:v>ACH Comparison</x:v>
      </x:c>
      <x:c r="C71" s="329" t="str">
        <x:v>Every ACH line item must be compared against the recorded payment breakdown for the mapped Work Order.</x:v>
      </x:c>
      <x:c r="D71" s="329" t="str">
        <x:v>ACH amount equals payment breakdown amount.</x:v>
      </x:c>
      <x:c r="E71" s="329" t="str">
        <x:v>If amount differs: classify as ACH MISMATCH / Partial; log unresolved variance.</x:v>
      </x:c>
      <x:c r="F71" s="329"/>
      <x:c r="G71" s="329"/>
      <x:c r="H71" s="329"/>
      <x:c r="I71" s="329"/>
      <x:c r="J71" s="329"/>
      <x:c r="K71" s="329"/>
      <x:c r="L71" s="329"/>
      <x:c r="M71" s="329"/>
      <x:c r="N71" s="329"/>
      <x:c r="O71" s="329"/>
      <x:c r="P71" s="329"/>
      <x:c r="Q71" s="329"/>
      <x:c r="R71" s="329"/>
      <x:c r="S71" s="329"/>
      <x:c r="T71" s="329"/>
      <x:c r="U71" s="329"/>
      <x:c r="V71" s="329"/>
      <x:c r="W71" s="329"/>
      <x:c r="X71" s="329"/>
      <x:c r="Y71" s="329"/>
      <x:c r="Z71" s="329"/>
      <x:c r="AA71" s="329"/>
      <x:c r="AB71" s="329"/>
      <x:c r="AC71" s="329"/>
      <x:c r="AD71" s="329"/>
      <x:c r="AE71" s="329"/>
    </x:row>
    <x:row r="72">
      <x:c r="A72" s="329" t="str">
        <x:v>Rule 3</x:v>
      </x:c>
      <x:c r="B72" s="329" t="str">
        <x:v>Duplicate Breakdown</x:v>
      </x:c>
      <x:c r="C72" s="329" t="str">
        <x:v>Repeated payment breakdown emails with the same amount are verification notes, not new revenue.</x:v>
      </x:c>
      <x:c r="D72" s="329" t="str">
        <x:v>Previous amount equals new amount.</x:v>
      </x:c>
      <x:c r="E72" s="329" t="str">
        <x:v>Classify as VERIFY; note reissued/verified email date.</x:v>
      </x:c>
      <x:c r="F72" s="329"/>
      <x:c r="G72" s="329"/>
      <x:c r="H72" s="329"/>
      <x:c r="I72" s="329"/>
      <x:c r="J72" s="329"/>
      <x:c r="K72" s="329"/>
      <x:c r="L72" s="329"/>
      <x:c r="M72" s="329"/>
      <x:c r="N72" s="329"/>
      <x:c r="O72" s="329"/>
      <x:c r="P72" s="329"/>
      <x:c r="Q72" s="329"/>
      <x:c r="R72" s="329"/>
      <x:c r="S72" s="329"/>
      <x:c r="T72" s="329"/>
      <x:c r="U72" s="329"/>
      <x:c r="V72" s="329"/>
      <x:c r="W72" s="329"/>
      <x:c r="X72" s="329"/>
      <x:c r="Y72" s="329"/>
      <x:c r="Z72" s="329"/>
      <x:c r="AA72" s="329"/>
      <x:c r="AB72" s="329"/>
      <x:c r="AC72" s="329"/>
      <x:c r="AD72" s="329"/>
      <x:c r="AE72" s="329"/>
    </x:row>
    <x:row r="73">
      <x:c r="A73" s="329" t="str">
        <x:v>Rule 4</x:v>
      </x:c>
      <x:c r="B73" s="329" t="str">
        <x:v>Hold Queue</x:v>
      </x:c>
      <x:c r="C73" s="329" t="str">
        <x:v>$0, missing WO, unmapped WO, or duplicate WO records must not update financial totals.</x:v>
      </x:c>
      <x:c r="D73" s="329" t="str">
        <x:v>WO is valid and uniquely mapped with nonzero relevant amount.</x:v>
      </x:c>
      <x:c r="E73" s="329" t="str">
        <x:v>Classify as HOLD; add to Exception Review.</x:v>
      </x:c>
      <x:c r="F73" s="329"/>
      <x:c r="G73" s="329"/>
      <x:c r="H73" s="329"/>
      <x:c r="I73" s="329"/>
      <x:c r="J73" s="329"/>
      <x:c r="K73" s="329"/>
      <x:c r="L73" s="329"/>
      <x:c r="M73" s="329"/>
      <x:c r="N73" s="329"/>
      <x:c r="O73" s="329"/>
      <x:c r="P73" s="329"/>
      <x:c r="Q73" s="329"/>
      <x:c r="R73" s="329"/>
      <x:c r="S73" s="329"/>
      <x:c r="T73" s="329"/>
      <x:c r="U73" s="329"/>
      <x:c r="V73" s="329"/>
      <x:c r="W73" s="329"/>
      <x:c r="X73" s="329"/>
      <x:c r="Y73" s="329"/>
      <x:c r="Z73" s="329"/>
      <x:c r="AA73" s="329"/>
      <x:c r="AB73" s="329"/>
      <x:c r="AC73" s="329"/>
      <x:c r="AD73" s="329"/>
      <x:c r="AE73" s="329"/>
    </x:row>
    <x:row r="74">
      <x:c r="A74" s="329" t="str">
        <x:v>Rule 5</x:v>
      </x:c>
      <x:c r="B74" s="329" t="str">
        <x:v>Audit Trail</x:v>
      </x:c>
      <x:c r="C74" s="329" t="str">
        <x:v>Every applied update must create an audit-row record describing source, mapping, amount comparison, and action taken.</x:v>
      </x:c>
      <x:c r="D74" s="329" t="str">
        <x:v>Delta Log row is populated with source type, WO, Event #, amount, classification, and note.</x:v>
      </x:c>
      <x:c r="E74" s="329" t="str">
        <x:v>Stop export until audit row is added.</x:v>
      </x:c>
      <x:c r="F74" s="329"/>
      <x:c r="G74" s="329"/>
      <x:c r="H74" s="329"/>
      <x:c r="I74" s="329"/>
      <x:c r="J74" s="329"/>
      <x:c r="K74" s="329"/>
      <x:c r="L74" s="329"/>
      <x:c r="M74" s="329"/>
      <x:c r="N74" s="329"/>
      <x:c r="O74" s="329"/>
      <x:c r="P74" s="329"/>
      <x:c r="Q74" s="329"/>
      <x:c r="R74" s="329"/>
      <x:c r="S74" s="329"/>
      <x:c r="T74" s="329"/>
      <x:c r="U74" s="329"/>
      <x:c r="V74" s="329"/>
      <x:c r="W74" s="329"/>
      <x:c r="X74" s="329"/>
      <x:c r="Y74" s="329"/>
      <x:c r="Z74" s="329"/>
      <x:c r="AA74" s="329"/>
      <x:c r="AB74" s="329"/>
      <x:c r="AC74" s="329"/>
      <x:c r="AD74" s="329"/>
      <x:c r="AE74" s="329"/>
    </x:row>
    <x:row r="75">
      <x:c r="A75" s="329" t="str">
        <x:v>Rule 6</x:v>
      </x:c>
      <x:c r="B75" s="329" t="str">
        <x:v>Workbook Authority</x:v>
      </x:c>
      <x:c r="C75" s="329" t="str">
        <x:v>The workbook, not conversation memory, remains the authoritative record after updates are applied.</x:v>
      </x:c>
      <x:c r="D75" s="329" t="str">
        <x:v>Updated workbook saved as new version with date/version identifier.</x:v>
      </x:c>
      <x:c r="E75" s="329" t="str">
        <x:v>Do not overwrite source silently; output a versioned workbook.</x:v>
      </x:c>
      <x:c r="F75" s="329"/>
      <x:c r="G75" s="329"/>
      <x:c r="H75" s="329"/>
      <x:c r="I75" s="329"/>
      <x:c r="J75" s="329"/>
      <x:c r="K75" s="329"/>
      <x:c r="L75" s="329"/>
      <x:c r="M75" s="329"/>
      <x:c r="N75" s="329"/>
      <x:c r="O75" s="329"/>
      <x:c r="P75" s="329"/>
      <x:c r="Q75" s="329"/>
      <x:c r="R75" s="329"/>
      <x:c r="S75" s="329"/>
      <x:c r="T75" s="329"/>
      <x:c r="U75" s="329"/>
      <x:c r="V75" s="329"/>
      <x:c r="W75" s="329"/>
      <x:c r="X75" s="329"/>
      <x:c r="Y75" s="329"/>
      <x:c r="Z75" s="329"/>
      <x:c r="AA75" s="329"/>
      <x:c r="AB75" s="329"/>
      <x:c r="AC75" s="329"/>
      <x:c r="AD75" s="329"/>
      <x:c r="AE75" s="329"/>
    </x:row>
    <x:row r="76">
      <x:c r="A76" s="329"/>
      <x:c r="B76" s="329"/>
      <x:c r="C76" s="329"/>
      <x:c r="D76" s="329"/>
      <x:c r="E76" s="329"/>
      <x:c r="F76" s="329"/>
      <x:c r="G76" s="329"/>
      <x:c r="H76" s="329"/>
      <x:c r="I76" s="329"/>
      <x:c r="J76" s="329"/>
      <x:c r="K76" s="329"/>
      <x:c r="L76" s="329"/>
      <x:c r="M76" s="329"/>
      <x:c r="N76" s="329"/>
      <x:c r="O76" s="329"/>
      <x:c r="P76" s="329"/>
      <x:c r="Q76" s="329"/>
      <x:c r="R76" s="329"/>
      <x:c r="S76" s="329"/>
      <x:c r="T76" s="329"/>
      <x:c r="U76" s="329"/>
      <x:c r="V76" s="329"/>
      <x:c r="W76" s="329"/>
      <x:c r="X76" s="329"/>
      <x:c r="Y76" s="329"/>
      <x:c r="Z76" s="329"/>
      <x:c r="AA76" s="329"/>
      <x:c r="AB76" s="329"/>
      <x:c r="AC76" s="329"/>
      <x:c r="AD76" s="329"/>
      <x:c r="AE76" s="329"/>
    </x:row>
    <x:row r="77">
      <x:c r="A77" s="329"/>
      <x:c r="B77" s="329"/>
      <x:c r="C77" s="329"/>
      <x:c r="D77" s="329"/>
      <x:c r="E77" s="329"/>
      <x:c r="F77" s="329"/>
      <x:c r="G77" s="329"/>
      <x:c r="H77" s="329"/>
      <x:c r="I77" s="329"/>
      <x:c r="J77" s="329"/>
      <x:c r="K77" s="329"/>
      <x:c r="L77" s="329"/>
      <x:c r="M77" s="329"/>
      <x:c r="N77" s="329"/>
      <x:c r="O77" s="329"/>
      <x:c r="P77" s="329"/>
      <x:c r="Q77" s="329"/>
      <x:c r="R77" s="329"/>
      <x:c r="S77" s="329"/>
      <x:c r="T77" s="329"/>
      <x:c r="U77" s="329"/>
      <x:c r="V77" s="329"/>
      <x:c r="W77" s="329"/>
      <x:c r="X77" s="329"/>
      <x:c r="Y77" s="329"/>
      <x:c r="Z77" s="329"/>
      <x:c r="AA77" s="329"/>
      <x:c r="AB77" s="329"/>
      <x:c r="AC77" s="329"/>
      <x:c r="AD77" s="329"/>
      <x:c r="AE77" s="329"/>
    </x:row>
    <x:row r="78">
      <x:c r="A78" s="588" t="str">
        <x:v>Migration Map — 29 Legacy Tabs to 6 Production Tabs</x:v>
      </x:c>
      <x:c r="B78" s="588"/>
      <x:c r="C78" s="588"/>
      <x:c r="D78" s="329"/>
      <x:c r="E78" s="329"/>
      <x:c r="F78" s="329"/>
      <x:c r="G78" s="329"/>
      <x:c r="H78" s="329"/>
      <x:c r="I78" s="329"/>
      <x:c r="J78" s="329"/>
      <x:c r="K78" s="329"/>
      <x:c r="L78" s="329"/>
      <x:c r="M78" s="329"/>
      <x:c r="N78" s="329"/>
      <x:c r="O78" s="329"/>
      <x:c r="P78" s="329"/>
      <x:c r="Q78" s="329"/>
      <x:c r="R78" s="329"/>
      <x:c r="S78" s="329"/>
      <x:c r="T78" s="329"/>
      <x:c r="U78" s="329"/>
      <x:c r="V78" s="329"/>
      <x:c r="W78" s="329"/>
      <x:c r="X78" s="329"/>
      <x:c r="Y78" s="329"/>
      <x:c r="Z78" s="329"/>
      <x:c r="AA78" s="329"/>
      <x:c r="AB78" s="329"/>
      <x:c r="AC78" s="329"/>
      <x:c r="AD78" s="329"/>
      <x:c r="AE78" s="329"/>
    </x:row>
    <x:row r="79">
      <x:c r="A79" s="399" t="str">
        <x:v>Legacy Tab</x:v>
      </x:c>
      <x:c r="B79" s="399" t="str">
        <x:v>Production Destination</x:v>
      </x:c>
      <x:c r="C79" s="399" t="str">
        <x:v>Treatment</x:v>
      </x:c>
      <x:c r="D79" s="329"/>
      <x:c r="E79" s="329"/>
      <x:c r="F79" s="329"/>
      <x:c r="G79" s="329"/>
      <x:c r="H79" s="329"/>
      <x:c r="I79" s="329"/>
      <x:c r="J79" s="329"/>
      <x:c r="K79" s="329"/>
      <x:c r="L79" s="329"/>
      <x:c r="M79" s="329"/>
      <x:c r="N79" s="329"/>
      <x:c r="O79" s="329"/>
      <x:c r="P79" s="329"/>
      <x:c r="Q79" s="329"/>
      <x:c r="R79" s="329"/>
      <x:c r="S79" s="329"/>
      <x:c r="T79" s="329"/>
      <x:c r="U79" s="329"/>
      <x:c r="V79" s="329"/>
      <x:c r="W79" s="329"/>
      <x:c r="X79" s="329"/>
      <x:c r="Y79" s="329"/>
      <x:c r="Z79" s="329"/>
      <x:c r="AA79" s="329"/>
      <x:c r="AB79" s="329"/>
      <x:c r="AC79" s="329"/>
      <x:c r="AD79" s="329"/>
      <x:c r="AE79" s="329"/>
    </x:row>
    <x:row r="80">
      <x:c r="A80" s="329" t="str">
        <x:v>README</x:v>
      </x:c>
      <x:c r="B80" s="329" t="str">
        <x:v>Governance / Dashboard</x:v>
      </x:c>
      <x:c r="C80" s="329" t="str">
        <x:v>Merged</x:v>
      </x:c>
      <x:c r="D80" s="329"/>
      <x:c r="E80" s="329"/>
      <x:c r="F80" s="329"/>
      <x:c r="G80" s="329"/>
      <x:c r="H80" s="329"/>
      <x:c r="I80" s="329"/>
      <x:c r="J80" s="329"/>
      <x:c r="K80" s="329"/>
      <x:c r="L80" s="329"/>
      <x:c r="M80" s="329"/>
      <x:c r="N80" s="329"/>
      <x:c r="O80" s="329"/>
      <x:c r="P80" s="329"/>
      <x:c r="Q80" s="329"/>
      <x:c r="R80" s="329"/>
      <x:c r="S80" s="329"/>
      <x:c r="T80" s="329"/>
      <x:c r="U80" s="329"/>
      <x:c r="V80" s="329"/>
      <x:c r="W80" s="329"/>
      <x:c r="X80" s="329"/>
      <x:c r="Y80" s="329"/>
      <x:c r="Z80" s="329"/>
      <x:c r="AA80" s="329"/>
      <x:c r="AB80" s="329"/>
      <x:c r="AC80" s="329"/>
      <x:c r="AD80" s="329"/>
      <x:c r="AE80" s="329"/>
    </x:row>
    <x:row r="81">
      <x:c r="A81" s="329" t="str">
        <x:v>Scorecard</x:v>
      </x:c>
      <x:c r="B81" s="329" t="str">
        <x:v>Dashboard</x:v>
      </x:c>
      <x:c r="C81" s="329" t="str">
        <x:v>Merged</x:v>
      </x:c>
      <x:c r="D81" s="329"/>
      <x:c r="E81" s="329"/>
      <x:c r="F81" s="329"/>
      <x:c r="G81" s="329"/>
      <x:c r="H81" s="329"/>
      <x:c r="I81" s="329"/>
      <x:c r="J81" s="329"/>
      <x:c r="K81" s="329"/>
      <x:c r="L81" s="329"/>
      <x:c r="M81" s="329"/>
      <x:c r="N81" s="329"/>
      <x:c r="O81" s="329"/>
      <x:c r="P81" s="329"/>
      <x:c r="Q81" s="329"/>
      <x:c r="R81" s="329"/>
      <x:c r="S81" s="329"/>
      <x:c r="T81" s="329"/>
      <x:c r="U81" s="329"/>
      <x:c r="V81" s="329"/>
      <x:c r="W81" s="329"/>
      <x:c r="X81" s="329"/>
      <x:c r="Y81" s="329"/>
      <x:c r="Z81" s="329"/>
      <x:c r="AA81" s="329"/>
      <x:c r="AB81" s="329"/>
      <x:c r="AC81" s="329"/>
      <x:c r="AD81" s="329"/>
      <x:c r="AE81" s="329"/>
    </x:row>
    <x:row r="82">
      <x:c r="A82" s="329" t="str">
        <x:v>Timeline</x:v>
      </x:c>
      <x:c r="B82" s="329" t="str">
        <x:v>Service Events</x:v>
      </x:c>
      <x:c r="C82" s="329" t="str">
        <x:v>Merged</x:v>
      </x:c>
      <x:c r="D82" s="329"/>
      <x:c r="E82" s="329"/>
      <x:c r="F82" s="329"/>
      <x:c r="G82" s="329"/>
      <x:c r="H82" s="329"/>
      <x:c r="I82" s="329"/>
      <x:c r="J82" s="329"/>
      <x:c r="K82" s="329"/>
      <x:c r="L82" s="329"/>
      <x:c r="M82" s="329"/>
      <x:c r="N82" s="329"/>
      <x:c r="O82" s="329"/>
      <x:c r="P82" s="329"/>
      <x:c r="Q82" s="329"/>
      <x:c r="R82" s="329"/>
      <x:c r="S82" s="329"/>
      <x:c r="T82" s="329"/>
      <x:c r="U82" s="329"/>
      <x:c r="V82" s="329"/>
      <x:c r="W82" s="329"/>
      <x:c r="X82" s="329"/>
      <x:c r="Y82" s="329"/>
      <x:c r="Z82" s="329"/>
      <x:c r="AA82" s="329"/>
      <x:c r="AB82" s="329"/>
      <x:c r="AC82" s="329"/>
      <x:c r="AD82" s="329"/>
      <x:c r="AE82" s="329"/>
    </x:row>
    <x:row r="83">
      <x:c r="A83" s="329" t="str">
        <x:v>Client List</x:v>
      </x:c>
      <x:c r="B83" s="329" t="str">
        <x:v>Analytics</x:v>
      </x:c>
      <x:c r="C83" s="329" t="str">
        <x:v>Derived / migrated snapshot</x:v>
      </x:c>
      <x:c r="D83" s="329"/>
      <x:c r="E83" s="329"/>
      <x:c r="F83" s="329"/>
      <x:c r="G83" s="329"/>
      <x:c r="H83" s="329"/>
      <x:c r="I83" s="329"/>
      <x:c r="J83" s="329"/>
      <x:c r="K83" s="329"/>
      <x:c r="L83" s="329"/>
      <x:c r="M83" s="329"/>
      <x:c r="N83" s="329"/>
      <x:c r="O83" s="329"/>
      <x:c r="P83" s="329"/>
      <x:c r="Q83" s="329"/>
      <x:c r="R83" s="329"/>
      <x:c r="S83" s="329"/>
      <x:c r="T83" s="329"/>
      <x:c r="U83" s="329"/>
      <x:c r="V83" s="329"/>
      <x:c r="W83" s="329"/>
      <x:c r="X83" s="329"/>
      <x:c r="Y83" s="329"/>
      <x:c r="Z83" s="329"/>
      <x:c r="AA83" s="329"/>
      <x:c r="AB83" s="329"/>
      <x:c r="AC83" s="329"/>
      <x:c r="AD83" s="329"/>
      <x:c r="AE83" s="329"/>
    </x:row>
    <x:row r="84">
      <x:c r="A84" s="329" t="str">
        <x:v>Repeat Clients</x:v>
      </x:c>
      <x:c r="B84" s="329" t="str">
        <x:v>Analytics</x:v>
      </x:c>
      <x:c r="C84" s="329" t="str">
        <x:v>Derived / migrated snapshot</x:v>
      </x:c>
      <x:c r="D84" s="329"/>
      <x:c r="E84" s="329"/>
      <x:c r="F84" s="329"/>
      <x:c r="G84" s="329"/>
      <x:c r="H84" s="329"/>
      <x:c r="I84" s="329"/>
      <x:c r="J84" s="329"/>
      <x:c r="K84" s="329"/>
      <x:c r="L84" s="329"/>
      <x:c r="M84" s="329"/>
      <x:c r="N84" s="329"/>
      <x:c r="O84" s="329"/>
      <x:c r="P84" s="329"/>
      <x:c r="Q84" s="329"/>
      <x:c r="R84" s="329"/>
      <x:c r="S84" s="329"/>
      <x:c r="T84" s="329"/>
      <x:c r="U84" s="329"/>
      <x:c r="V84" s="329"/>
      <x:c r="W84" s="329"/>
      <x:c r="X84" s="329"/>
      <x:c r="Y84" s="329"/>
      <x:c r="Z84" s="329"/>
      <x:c r="AA84" s="329"/>
      <x:c r="AB84" s="329"/>
      <x:c r="AC84" s="329"/>
      <x:c r="AD84" s="329"/>
      <x:c r="AE84" s="329"/>
    </x:row>
    <x:row r="85">
      <x:c r="A85" s="329" t="str">
        <x:v>State Coverage</x:v>
      </x:c>
      <x:c r="B85" s="329" t="str">
        <x:v>Analytics</x:v>
      </x:c>
      <x:c r="C85" s="329" t="str">
        <x:v>Derived / migrated snapshot</x:v>
      </x:c>
      <x:c r="D85" s="329"/>
      <x:c r="E85" s="329"/>
      <x:c r="F85" s="329"/>
      <x:c r="G85" s="329"/>
      <x:c r="H85" s="329"/>
      <x:c r="I85" s="329"/>
      <x:c r="J85" s="329"/>
      <x:c r="K85" s="329"/>
      <x:c r="L85" s="329"/>
      <x:c r="M85" s="329"/>
      <x:c r="N85" s="329"/>
      <x:c r="O85" s="329"/>
      <x:c r="P85" s="329"/>
      <x:c r="Q85" s="329"/>
      <x:c r="R85" s="329"/>
      <x:c r="S85" s="329"/>
      <x:c r="T85" s="329"/>
      <x:c r="U85" s="329"/>
      <x:c r="V85" s="329"/>
      <x:c r="W85" s="329"/>
      <x:c r="X85" s="329"/>
      <x:c r="Y85" s="329"/>
      <x:c r="Z85" s="329"/>
      <x:c r="AA85" s="329"/>
      <x:c r="AB85" s="329"/>
      <x:c r="AC85" s="329"/>
      <x:c r="AD85" s="329"/>
      <x:c r="AE85" s="329"/>
    </x:row>
    <x:row r="86">
      <x:c r="A86" s="329" t="str">
        <x:v>Pipeline</x:v>
      </x:c>
      <x:c r="B86" s="329" t="str">
        <x:v>Dashboard / Exceptions &amp; Audit</x:v>
      </x:c>
      <x:c r="C86" s="329" t="str">
        <x:v>Merged</x:v>
      </x:c>
      <x:c r="D86" s="329"/>
      <x:c r="E86" s="329"/>
      <x:c r="F86" s="329"/>
      <x:c r="G86" s="329"/>
      <x:c r="H86" s="329"/>
      <x:c r="I86" s="329"/>
      <x:c r="J86" s="329"/>
      <x:c r="K86" s="329"/>
      <x:c r="L86" s="329"/>
      <x:c r="M86" s="329"/>
      <x:c r="N86" s="329"/>
      <x:c r="O86" s="329"/>
      <x:c r="P86" s="329"/>
      <x:c r="Q86" s="329"/>
      <x:c r="R86" s="329"/>
      <x:c r="S86" s="329"/>
      <x:c r="T86" s="329"/>
      <x:c r="U86" s="329"/>
      <x:c r="V86" s="329"/>
      <x:c r="W86" s="329"/>
      <x:c r="X86" s="329"/>
      <x:c r="Y86" s="329"/>
      <x:c r="Z86" s="329"/>
      <x:c r="AA86" s="329"/>
      <x:c r="AB86" s="329"/>
      <x:c r="AC86" s="329"/>
      <x:c r="AD86" s="329"/>
      <x:c r="AE86" s="329"/>
    </x:row>
    <x:row r="87">
      <x:c r="A87" s="329" t="str">
        <x:v>Rules &amp; Governance</x:v>
      </x:c>
      <x:c r="B87" s="329" t="str">
        <x:v>Governance</x:v>
      </x:c>
      <x:c r="C87" s="329" t="str">
        <x:v>Merged</x:v>
      </x:c>
      <x:c r="D87" s="329"/>
      <x:c r="E87" s="329"/>
      <x:c r="F87" s="329"/>
      <x:c r="G87" s="329"/>
      <x:c r="H87" s="329"/>
      <x:c r="I87" s="329"/>
      <x:c r="J87" s="329"/>
      <x:c r="K87" s="329"/>
      <x:c r="L87" s="329"/>
      <x:c r="M87" s="329"/>
      <x:c r="N87" s="329"/>
      <x:c r="O87" s="329"/>
      <x:c r="P87" s="329"/>
      <x:c r="Q87" s="329"/>
      <x:c r="R87" s="329"/>
      <x:c r="S87" s="329"/>
      <x:c r="T87" s="329"/>
      <x:c r="U87" s="329"/>
      <x:c r="V87" s="329"/>
      <x:c r="W87" s="329"/>
      <x:c r="X87" s="329"/>
      <x:c r="Y87" s="329"/>
      <x:c r="Z87" s="329"/>
      <x:c r="AA87" s="329"/>
      <x:c r="AB87" s="329"/>
      <x:c r="AC87" s="329"/>
      <x:c r="AD87" s="329"/>
      <x:c r="AE87" s="329"/>
    </x:row>
    <x:row r="88">
      <x:c r="A88" s="329" t="str">
        <x:v>Validation</x:v>
      </x:c>
      <x:c r="B88" s="329" t="str">
        <x:v>Exceptions &amp; Audit</x:v>
      </x:c>
      <x:c r="C88" s="329" t="str">
        <x:v>Merged</x:v>
      </x:c>
      <x:c r="D88" s="329"/>
      <x:c r="E88" s="329"/>
      <x:c r="F88" s="329"/>
      <x:c r="G88" s="329"/>
      <x:c r="H88" s="329"/>
      <x:c r="I88" s="329"/>
      <x:c r="J88" s="329"/>
      <x:c r="K88" s="329"/>
      <x:c r="L88" s="329"/>
      <x:c r="M88" s="329"/>
      <x:c r="N88" s="329"/>
      <x:c r="O88" s="329"/>
      <x:c r="P88" s="329"/>
      <x:c r="Q88" s="329"/>
      <x:c r="R88" s="329"/>
      <x:c r="S88" s="329"/>
      <x:c r="T88" s="329"/>
      <x:c r="U88" s="329"/>
      <x:c r="V88" s="329"/>
      <x:c r="W88" s="329"/>
      <x:c r="X88" s="329"/>
      <x:c r="Y88" s="329"/>
      <x:c r="Z88" s="329"/>
      <x:c r="AA88" s="329"/>
      <x:c r="AB88" s="329"/>
      <x:c r="AC88" s="329"/>
      <x:c r="AD88" s="329"/>
      <x:c r="AE88" s="329"/>
    </x:row>
    <x:row r="89">
      <x:c r="A89" s="329" t="str">
        <x:v>Financial Status</x:v>
      </x:c>
      <x:c r="B89" s="329" t="str">
        <x:v>Dashboard / Exceptions &amp; Audit</x:v>
      </x:c>
      <x:c r="C89" s="329" t="str">
        <x:v>Merged</x:v>
      </x:c>
      <x:c r="D89" s="329"/>
      <x:c r="E89" s="329"/>
      <x:c r="F89" s="329"/>
      <x:c r="G89" s="329"/>
      <x:c r="H89" s="329"/>
      <x:c r="I89" s="329"/>
      <x:c r="J89" s="329"/>
      <x:c r="K89" s="329"/>
      <x:c r="L89" s="329"/>
      <x:c r="M89" s="329"/>
      <x:c r="N89" s="329"/>
      <x:c r="O89" s="329"/>
      <x:c r="P89" s="329"/>
      <x:c r="Q89" s="329"/>
      <x:c r="R89" s="329"/>
      <x:c r="S89" s="329"/>
      <x:c r="T89" s="329"/>
      <x:c r="U89" s="329"/>
      <x:c r="V89" s="329"/>
      <x:c r="W89" s="329"/>
      <x:c r="X89" s="329"/>
      <x:c r="Y89" s="329"/>
      <x:c r="Z89" s="329"/>
      <x:c r="AA89" s="329"/>
      <x:c r="AB89" s="329"/>
      <x:c r="AC89" s="329"/>
      <x:c r="AD89" s="329"/>
      <x:c r="AE89" s="329"/>
    </x:row>
    <x:row r="90">
      <x:c r="A90" s="329" t="str">
        <x:v>State Efficiency</x:v>
      </x:c>
      <x:c r="B90" s="329" t="str">
        <x:v>Analytics</x:v>
      </x:c>
      <x:c r="C90" s="329" t="str">
        <x:v>Merged</x:v>
      </x:c>
      <x:c r="D90" s="329"/>
      <x:c r="E90" s="329"/>
      <x:c r="F90" s="329"/>
      <x:c r="G90" s="329"/>
      <x:c r="H90" s="329"/>
      <x:c r="I90" s="329"/>
      <x:c r="J90" s="329"/>
      <x:c r="K90" s="329"/>
      <x:c r="L90" s="329"/>
      <x:c r="M90" s="329"/>
      <x:c r="N90" s="329"/>
      <x:c r="O90" s="329"/>
      <x:c r="P90" s="329"/>
      <x:c r="Q90" s="329"/>
      <x:c r="R90" s="329"/>
      <x:c r="S90" s="329"/>
      <x:c r="T90" s="329"/>
      <x:c r="U90" s="329"/>
      <x:c r="V90" s="329"/>
      <x:c r="W90" s="329"/>
      <x:c r="X90" s="329"/>
      <x:c r="Y90" s="329"/>
      <x:c r="Z90" s="329"/>
      <x:c r="AA90" s="329"/>
      <x:c r="AB90" s="329"/>
      <x:c r="AC90" s="329"/>
      <x:c r="AD90" s="329"/>
      <x:c r="AE90" s="329"/>
    </x:row>
    <x:row r="91">
      <x:c r="A91" s="329" t="str">
        <x:v>Client Financials</x:v>
      </x:c>
      <x:c r="B91" s="329" t="str">
        <x:v>Analytics</x:v>
      </x:c>
      <x:c r="C91" s="329" t="str">
        <x:v>Merged snapshot</x:v>
      </x:c>
      <x:c r="D91" s="329"/>
      <x:c r="E91" s="329"/>
      <x:c r="F91" s="329"/>
      <x:c r="G91" s="329"/>
      <x:c r="H91" s="329"/>
      <x:c r="I91" s="329"/>
      <x:c r="J91" s="329"/>
      <x:c r="K91" s="329"/>
      <x:c r="L91" s="329"/>
      <x:c r="M91" s="329"/>
      <x:c r="N91" s="329"/>
      <x:c r="O91" s="329"/>
      <x:c r="P91" s="329"/>
      <x:c r="Q91" s="329"/>
      <x:c r="R91" s="329"/>
      <x:c r="S91" s="329"/>
      <x:c r="T91" s="329"/>
      <x:c r="U91" s="329"/>
      <x:c r="V91" s="329"/>
      <x:c r="W91" s="329"/>
      <x:c r="X91" s="329"/>
      <x:c r="Y91" s="329"/>
      <x:c r="Z91" s="329"/>
      <x:c r="AA91" s="329"/>
      <x:c r="AB91" s="329"/>
      <x:c r="AC91" s="329"/>
      <x:c r="AD91" s="329"/>
      <x:c r="AE91" s="329"/>
    </x:row>
    <x:row r="92">
      <x:c r="A92" s="329" t="str">
        <x:v>State Rankings</x:v>
      </x:c>
      <x:c r="B92" s="329" t="str">
        <x:v>Analytics</x:v>
      </x:c>
      <x:c r="C92" s="329" t="str">
        <x:v>Merged snapshot</x:v>
      </x:c>
      <x:c r="D92" s="329"/>
      <x:c r="E92" s="329"/>
      <x:c r="F92" s="329"/>
      <x:c r="G92" s="329"/>
      <x:c r="H92" s="329"/>
      <x:c r="I92" s="329"/>
      <x:c r="J92" s="329"/>
      <x:c r="K92" s="329"/>
      <x:c r="L92" s="329"/>
      <x:c r="M92" s="329"/>
      <x:c r="N92" s="329"/>
      <x:c r="O92" s="329"/>
      <x:c r="P92" s="329"/>
      <x:c r="Q92" s="329"/>
      <x:c r="R92" s="329"/>
      <x:c r="S92" s="329"/>
      <x:c r="T92" s="329"/>
      <x:c r="U92" s="329"/>
      <x:c r="V92" s="329"/>
      <x:c r="W92" s="329"/>
      <x:c r="X92" s="329"/>
      <x:c r="Y92" s="329"/>
      <x:c r="Z92" s="329"/>
      <x:c r="AA92" s="329"/>
      <x:c r="AB92" s="329"/>
      <x:c r="AC92" s="329"/>
      <x:c r="AD92" s="329"/>
      <x:c r="AE92" s="329"/>
    </x:row>
    <x:row r="93">
      <x:c r="A93" s="329" t="str">
        <x:v>Hour Analysis</x:v>
      </x:c>
      <x:c r="B93" s="329" t="str">
        <x:v>Analytics</x:v>
      </x:c>
      <x:c r="C93" s="329" t="str">
        <x:v>Reserved for Phase 3 formulas</x:v>
      </x:c>
      <x:c r="D93" s="329"/>
      <x:c r="E93" s="329"/>
      <x:c r="F93" s="329"/>
      <x:c r="G93" s="329"/>
      <x:c r="H93" s="329"/>
      <x:c r="I93" s="329"/>
      <x:c r="J93" s="329"/>
      <x:c r="K93" s="329"/>
      <x:c r="L93" s="329"/>
      <x:c r="M93" s="329"/>
      <x:c r="N93" s="329"/>
      <x:c r="O93" s="329"/>
      <x:c r="P93" s="329"/>
      <x:c r="Q93" s="329"/>
      <x:c r="R93" s="329"/>
      <x:c r="S93" s="329"/>
      <x:c r="T93" s="329"/>
      <x:c r="U93" s="329"/>
      <x:c r="V93" s="329"/>
      <x:c r="W93" s="329"/>
      <x:c r="X93" s="329"/>
      <x:c r="Y93" s="329"/>
      <x:c r="Z93" s="329"/>
      <x:c r="AA93" s="329"/>
      <x:c r="AB93" s="329"/>
      <x:c r="AC93" s="329"/>
      <x:c r="AD93" s="329"/>
      <x:c r="AE93" s="329"/>
    </x:row>
    <x:row r="94">
      <x:c r="A94" s="329" t="str">
        <x:v>Dashboard Feed</x:v>
      </x:c>
      <x:c r="B94" s="329" t="str">
        <x:v>Dashboard</x:v>
      </x:c>
      <x:c r="C94" s="329" t="str">
        <x:v>Merged</x:v>
      </x:c>
      <x:c r="D94" s="329"/>
      <x:c r="E94" s="329"/>
      <x:c r="F94" s="329"/>
      <x:c r="G94" s="329"/>
      <x:c r="H94" s="329"/>
      <x:c r="I94" s="329"/>
      <x:c r="J94" s="329"/>
      <x:c r="K94" s="329"/>
      <x:c r="L94" s="329"/>
      <x:c r="M94" s="329"/>
      <x:c r="N94" s="329"/>
      <x:c r="O94" s="329"/>
      <x:c r="P94" s="329"/>
      <x:c r="Q94" s="329"/>
      <x:c r="R94" s="329"/>
      <x:c r="S94" s="329"/>
      <x:c r="T94" s="329"/>
      <x:c r="U94" s="329"/>
      <x:c r="V94" s="329"/>
      <x:c r="W94" s="329"/>
      <x:c r="X94" s="329"/>
      <x:c r="Y94" s="329"/>
      <x:c r="Z94" s="329"/>
      <x:c r="AA94" s="329"/>
      <x:c r="AB94" s="329"/>
      <x:c r="AC94" s="329"/>
      <x:c r="AD94" s="329"/>
      <x:c r="AE94" s="329"/>
    </x:row>
    <x:row r="95">
      <x:c r="A95" s="329" t="str">
        <x:v>Analytics Input</x:v>
      </x:c>
      <x:c r="B95" s="329" t="str">
        <x:v>Service Events / Analytics</x:v>
      </x:c>
      <x:c r="C95" s="329" t="str">
        <x:v>Normalize in Phase 2</x:v>
      </x:c>
      <x:c r="D95" s="329"/>
      <x:c r="E95" s="329"/>
      <x:c r="F95" s="329"/>
      <x:c r="G95" s="329"/>
      <x:c r="H95" s="329"/>
      <x:c r="I95" s="329"/>
      <x:c r="J95" s="329"/>
      <x:c r="K95" s="329"/>
      <x:c r="L95" s="329"/>
      <x:c r="M95" s="329"/>
      <x:c r="N95" s="329"/>
      <x:c r="O95" s="329"/>
      <x:c r="P95" s="329"/>
      <x:c r="Q95" s="329"/>
      <x:c r="R95" s="329"/>
      <x:c r="S95" s="329"/>
      <x:c r="T95" s="329"/>
      <x:c r="U95" s="329"/>
      <x:c r="V95" s="329"/>
      <x:c r="W95" s="329"/>
      <x:c r="X95" s="329"/>
      <x:c r="Y95" s="329"/>
      <x:c r="Z95" s="329"/>
      <x:c r="AA95" s="329"/>
      <x:c r="AB95" s="329"/>
      <x:c r="AC95" s="329"/>
      <x:c r="AD95" s="329"/>
      <x:c r="AE95" s="329"/>
    </x:row>
    <x:row r="96">
      <x:c r="A96" s="329" t="str">
        <x:v>Canonical Ledger</x:v>
      </x:c>
      <x:c r="B96" s="329" t="str">
        <x:v>Work Orders &amp; Ledger</x:v>
      </x:c>
      <x:c r="C96" s="329" t="str">
        <x:v>Merged</x:v>
      </x:c>
      <x:c r="D96" s="329"/>
      <x:c r="E96" s="329"/>
      <x:c r="F96" s="329"/>
      <x:c r="G96" s="329"/>
      <x:c r="H96" s="329"/>
      <x:c r="I96" s="329"/>
      <x:c r="J96" s="329"/>
      <x:c r="K96" s="329"/>
      <x:c r="L96" s="329"/>
      <x:c r="M96" s="329"/>
      <x:c r="N96" s="329"/>
      <x:c r="O96" s="329"/>
      <x:c r="P96" s="329"/>
      <x:c r="Q96" s="329"/>
      <x:c r="R96" s="329"/>
      <x:c r="S96" s="329"/>
      <x:c r="T96" s="329"/>
      <x:c r="U96" s="329"/>
      <x:c r="V96" s="329"/>
      <x:c r="W96" s="329"/>
      <x:c r="X96" s="329"/>
      <x:c r="Y96" s="329"/>
      <x:c r="Z96" s="329"/>
      <x:c r="AA96" s="329"/>
      <x:c r="AB96" s="329"/>
      <x:c r="AC96" s="329"/>
      <x:c r="AD96" s="329"/>
      <x:c r="AE96" s="329"/>
    </x:row>
    <x:row r="97">
      <x:c r="A97" s="329" t="str">
        <x:v>Delta Log</x:v>
      </x:c>
      <x:c r="B97" s="329" t="str">
        <x:v>Exceptions &amp; Audit</x:v>
      </x:c>
      <x:c r="C97" s="329" t="str">
        <x:v>Merged</x:v>
      </x:c>
      <x:c r="D97" s="329"/>
      <x:c r="E97" s="329"/>
      <x:c r="F97" s="329"/>
      <x:c r="G97" s="329"/>
      <x:c r="H97" s="329"/>
      <x:c r="I97" s="329"/>
      <x:c r="J97" s="329"/>
      <x:c r="K97" s="329"/>
      <x:c r="L97" s="329"/>
      <x:c r="M97" s="329"/>
      <x:c r="N97" s="329"/>
      <x:c r="O97" s="329"/>
      <x:c r="P97" s="329"/>
      <x:c r="Q97" s="329"/>
      <x:c r="R97" s="329"/>
      <x:c r="S97" s="329"/>
      <x:c r="T97" s="329"/>
      <x:c r="U97" s="329"/>
      <x:c r="V97" s="329"/>
      <x:c r="W97" s="329"/>
      <x:c r="X97" s="329"/>
      <x:c r="Y97" s="329"/>
      <x:c r="Z97" s="329"/>
      <x:c r="AA97" s="329"/>
      <x:c r="AB97" s="329"/>
      <x:c r="AC97" s="329"/>
      <x:c r="AD97" s="329"/>
      <x:c r="AE97" s="329"/>
    </x:row>
    <x:row r="98">
      <x:c r="A98" s="329" t="str">
        <x:v>Missing Queues</x:v>
      </x:c>
      <x:c r="B98" s="329" t="str">
        <x:v>Exceptions &amp; Audit</x:v>
      </x:c>
      <x:c r="C98" s="329" t="str">
        <x:v>Merged</x:v>
      </x:c>
      <x:c r="D98" s="329"/>
      <x:c r="E98" s="329"/>
      <x:c r="F98" s="329"/>
      <x:c r="G98" s="329"/>
      <x:c r="H98" s="329"/>
      <x:c r="I98" s="329"/>
      <x:c r="J98" s="329"/>
      <x:c r="K98" s="329"/>
      <x:c r="L98" s="329"/>
      <x:c r="M98" s="329"/>
      <x:c r="N98" s="329"/>
      <x:c r="O98" s="329"/>
      <x:c r="P98" s="329"/>
      <x:c r="Q98" s="329"/>
      <x:c r="R98" s="329"/>
      <x:c r="S98" s="329"/>
      <x:c r="T98" s="329"/>
      <x:c r="U98" s="329"/>
      <x:c r="V98" s="329"/>
      <x:c r="W98" s="329"/>
      <x:c r="X98" s="329"/>
      <x:c r="Y98" s="329"/>
      <x:c r="Z98" s="329"/>
      <x:c r="AA98" s="329"/>
      <x:c r="AB98" s="329"/>
      <x:c r="AC98" s="329"/>
      <x:c r="AD98" s="329"/>
      <x:c r="AE98" s="329"/>
    </x:row>
    <x:row r="99">
      <x:c r="A99" s="329" t="str">
        <x:v>Exception Review</x:v>
      </x:c>
      <x:c r="B99" s="329" t="str">
        <x:v>Exceptions &amp; Audit</x:v>
      </x:c>
      <x:c r="C99" s="329" t="str">
        <x:v>Merged</x:v>
      </x:c>
      <x:c r="D99" s="329"/>
      <x:c r="E99" s="329"/>
      <x:c r="F99" s="329"/>
      <x:c r="G99" s="329"/>
      <x:c r="H99" s="329"/>
      <x:c r="I99" s="329"/>
      <x:c r="J99" s="329"/>
      <x:c r="K99" s="329"/>
      <x:c r="L99" s="329"/>
      <x:c r="M99" s="329"/>
      <x:c r="N99" s="329"/>
      <x:c r="O99" s="329"/>
      <x:c r="P99" s="329"/>
      <x:c r="Q99" s="329"/>
      <x:c r="R99" s="329"/>
      <x:c r="S99" s="329"/>
      <x:c r="T99" s="329"/>
      <x:c r="U99" s="329"/>
      <x:c r="V99" s="329"/>
      <x:c r="W99" s="329"/>
      <x:c r="X99" s="329"/>
      <x:c r="Y99" s="329"/>
      <x:c r="Z99" s="329"/>
      <x:c r="AA99" s="329"/>
      <x:c r="AB99" s="329"/>
      <x:c r="AC99" s="329"/>
      <x:c r="AD99" s="329"/>
      <x:c r="AE99" s="329"/>
    </x:row>
    <x:row r="100">
      <x:c r="A100" s="329" t="str">
        <x:v>Phase0 Merge Report</x:v>
      </x:c>
      <x:c r="B100" s="329" t="str">
        <x:v>Governance</x:v>
      </x:c>
      <x:c r="C100" s="329" t="str">
        <x:v>Archived</x:v>
      </x:c>
      <x:c r="D100" s="329"/>
      <x:c r="E100" s="329"/>
      <x:c r="F100" s="329"/>
      <x:c r="G100" s="329"/>
      <x:c r="H100" s="329"/>
      <x:c r="I100" s="329"/>
      <x:c r="J100" s="329"/>
      <x:c r="K100" s="329"/>
      <x:c r="L100" s="329"/>
      <x:c r="M100" s="329"/>
      <x:c r="N100" s="329"/>
      <x:c r="O100" s="329"/>
      <x:c r="P100" s="329"/>
      <x:c r="Q100" s="329"/>
      <x:c r="R100" s="329"/>
      <x:c r="S100" s="329"/>
      <x:c r="T100" s="329"/>
      <x:c r="U100" s="329"/>
      <x:c r="V100" s="329"/>
      <x:c r="W100" s="329"/>
      <x:c r="X100" s="329"/>
      <x:c r="Y100" s="329"/>
      <x:c r="Z100" s="329"/>
      <x:c r="AA100" s="329"/>
      <x:c r="AB100" s="329"/>
      <x:c r="AC100" s="329"/>
      <x:c r="AD100" s="329"/>
      <x:c r="AE100" s="329"/>
    </x:row>
    <x:row r="101">
      <x:c r="A101" s="329" t="str">
        <x:v>Canonical Summary</x:v>
      </x:c>
      <x:c r="B101" s="329" t="str">
        <x:v>Dashboard</x:v>
      </x:c>
      <x:c r="C101" s="329" t="str">
        <x:v>Merged</x:v>
      </x:c>
      <x:c r="D101" s="329"/>
      <x:c r="E101" s="329"/>
      <x:c r="F101" s="329"/>
      <x:c r="G101" s="329"/>
      <x:c r="H101" s="329"/>
      <x:c r="I101" s="329"/>
      <x:c r="J101" s="329"/>
      <x:c r="K101" s="329"/>
      <x:c r="L101" s="329"/>
      <x:c r="M101" s="329"/>
      <x:c r="N101" s="329"/>
      <x:c r="O101" s="329"/>
      <x:c r="P101" s="329"/>
      <x:c r="Q101" s="329"/>
      <x:c r="R101" s="329"/>
      <x:c r="S101" s="329"/>
      <x:c r="T101" s="329"/>
      <x:c r="U101" s="329"/>
      <x:c r="V101" s="329"/>
      <x:c r="W101" s="329"/>
      <x:c r="X101" s="329"/>
      <x:c r="Y101" s="329"/>
      <x:c r="Z101" s="329"/>
      <x:c r="AA101" s="329"/>
      <x:c r="AB101" s="329"/>
      <x:c r="AC101" s="329"/>
      <x:c r="AD101" s="329"/>
      <x:c r="AE101" s="329"/>
    </x:row>
    <x:row r="102">
      <x:c r="A102" s="329" t="str">
        <x:v>Phase 1 Roadmap</x:v>
      </x:c>
      <x:c r="B102" s="329" t="str">
        <x:v>Governance</x:v>
      </x:c>
      <x:c r="C102" s="329" t="str">
        <x:v>Archived</x:v>
      </x:c>
      <x:c r="D102" s="329"/>
      <x:c r="E102" s="329"/>
      <x:c r="F102" s="329"/>
      <x:c r="G102" s="329"/>
      <x:c r="H102" s="329"/>
      <x:c r="I102" s="329"/>
      <x:c r="J102" s="329"/>
      <x:c r="K102" s="329"/>
      <x:c r="L102" s="329"/>
      <x:c r="M102" s="329"/>
      <x:c r="N102" s="329"/>
      <x:c r="O102" s="329"/>
      <x:c r="P102" s="329"/>
      <x:c r="Q102" s="329"/>
      <x:c r="R102" s="329"/>
      <x:c r="S102" s="329"/>
      <x:c r="T102" s="329"/>
      <x:c r="U102" s="329"/>
      <x:c r="V102" s="329"/>
      <x:c r="W102" s="329"/>
      <x:c r="X102" s="329"/>
      <x:c r="Y102" s="329"/>
      <x:c r="Z102" s="329"/>
      <x:c r="AA102" s="329"/>
      <x:c r="AB102" s="329"/>
      <x:c r="AC102" s="329"/>
      <x:c r="AD102" s="329"/>
      <x:c r="AE102" s="329"/>
    </x:row>
    <x:row r="103">
      <x:c r="A103" s="329" t="str">
        <x:v>Work Order Index</x:v>
      </x:c>
      <x:c r="B103" s="329" t="str">
        <x:v>Work Orders &amp; Ledger</x:v>
      </x:c>
      <x:c r="C103" s="329" t="str">
        <x:v>Merged</x:v>
      </x:c>
      <x:c r="D103" s="329"/>
      <x:c r="E103" s="329"/>
      <x:c r="F103" s="329"/>
      <x:c r="G103" s="329"/>
      <x:c r="H103" s="329"/>
      <x:c r="I103" s="329"/>
      <x:c r="J103" s="329"/>
      <x:c r="K103" s="329"/>
      <x:c r="L103" s="329"/>
      <x:c r="M103" s="329"/>
      <x:c r="N103" s="329"/>
      <x:c r="O103" s="329"/>
      <x:c r="P103" s="329"/>
      <x:c r="Q103" s="329"/>
      <x:c r="R103" s="329"/>
      <x:c r="S103" s="329"/>
      <x:c r="T103" s="329"/>
      <x:c r="U103" s="329"/>
      <x:c r="V103" s="329"/>
      <x:c r="W103" s="329"/>
      <x:c r="X103" s="329"/>
      <x:c r="Y103" s="329"/>
      <x:c r="Z103" s="329"/>
      <x:c r="AA103" s="329"/>
      <x:c r="AB103" s="329"/>
      <x:c r="AC103" s="329"/>
      <x:c r="AD103" s="329"/>
      <x:c r="AE103" s="329"/>
    </x:row>
    <x:row r="104">
      <x:c r="A104" s="329" t="str">
        <x:v>WO Alias Index</x:v>
      </x:c>
      <x:c r="B104" s="329" t="str">
        <x:v>Work Orders &amp; Ledger</x:v>
      </x:c>
      <x:c r="C104" s="329" t="str">
        <x:v>Primary migration source</x:v>
      </x:c>
      <x:c r="D104" s="329"/>
      <x:c r="E104" s="329"/>
      <x:c r="F104" s="329"/>
      <x:c r="G104" s="329"/>
      <x:c r="H104" s="329"/>
      <x:c r="I104" s="329"/>
      <x:c r="J104" s="329"/>
      <x:c r="K104" s="329"/>
      <x:c r="L104" s="329"/>
      <x:c r="M104" s="329"/>
      <x:c r="N104" s="329"/>
      <x:c r="O104" s="329"/>
      <x:c r="P104" s="329"/>
      <x:c r="Q104" s="329"/>
      <x:c r="R104" s="329"/>
      <x:c r="S104" s="329"/>
      <x:c r="T104" s="329"/>
      <x:c r="U104" s="329"/>
      <x:c r="V104" s="329"/>
      <x:c r="W104" s="329"/>
      <x:c r="X104" s="329"/>
      <x:c r="Y104" s="329"/>
      <x:c r="Z104" s="329"/>
      <x:c r="AA104" s="329"/>
      <x:c r="AB104" s="329"/>
      <x:c r="AC104" s="329"/>
      <x:c r="AD104" s="329"/>
      <x:c r="AE104" s="329"/>
    </x:row>
    <x:row r="105">
      <x:c r="A105" s="329" t="str">
        <x:v>Engine Rules</x:v>
      </x:c>
      <x:c r="B105" s="329" t="str">
        <x:v>Governance</x:v>
      </x:c>
      <x:c r="C105" s="329" t="str">
        <x:v>Merged</x:v>
      </x:c>
      <x:c r="D105" s="329"/>
      <x:c r="E105" s="329"/>
      <x:c r="F105" s="329"/>
      <x:c r="G105" s="329"/>
      <x:c r="H105" s="329"/>
      <x:c r="I105" s="329"/>
      <x:c r="J105" s="329"/>
      <x:c r="K105" s="329"/>
      <x:c r="L105" s="329"/>
      <x:c r="M105" s="329"/>
      <x:c r="N105" s="329"/>
      <x:c r="O105" s="329"/>
      <x:c r="P105" s="329"/>
      <x:c r="Q105" s="329"/>
      <x:c r="R105" s="329"/>
      <x:c r="S105" s="329"/>
      <x:c r="T105" s="329"/>
      <x:c r="U105" s="329"/>
      <x:c r="V105" s="329"/>
      <x:c r="W105" s="329"/>
      <x:c r="X105" s="329"/>
      <x:c r="Y105" s="329"/>
      <x:c r="Z105" s="329"/>
      <x:c r="AA105" s="329"/>
      <x:c r="AB105" s="329"/>
      <x:c r="AC105" s="329"/>
      <x:c r="AD105" s="329"/>
      <x:c r="AE105" s="329"/>
    </x:row>
    <x:row r="106">
      <x:c r="A106" s="329" t="str">
        <x:v>Service Calendar</x:v>
      </x:c>
      <x:c r="B106" s="329" t="str">
        <x:v>Service Events</x:v>
      </x:c>
      <x:c r="C106" s="329" t="str">
        <x:v>Merged</x:v>
      </x:c>
      <x:c r="D106" s="329"/>
      <x:c r="E106" s="329"/>
      <x:c r="F106" s="329"/>
      <x:c r="G106" s="329"/>
      <x:c r="H106" s="329"/>
      <x:c r="I106" s="329"/>
      <x:c r="J106" s="329"/>
      <x:c r="K106" s="329"/>
      <x:c r="L106" s="329"/>
      <x:c r="M106" s="329"/>
      <x:c r="N106" s="329"/>
      <x:c r="O106" s="329"/>
      <x:c r="P106" s="329"/>
      <x:c r="Q106" s="329"/>
      <x:c r="R106" s="329"/>
      <x:c r="S106" s="329"/>
      <x:c r="T106" s="329"/>
      <x:c r="U106" s="329"/>
      <x:c r="V106" s="329"/>
      <x:c r="W106" s="329"/>
      <x:c r="X106" s="329"/>
      <x:c r="Y106" s="329"/>
      <x:c r="Z106" s="329"/>
      <x:c r="AA106" s="329"/>
      <x:c r="AB106" s="329"/>
      <x:c r="AC106" s="329"/>
      <x:c r="AD106" s="329"/>
      <x:c r="AE106" s="329"/>
    </x:row>
    <x:row r="107">
      <x:c r="A107" s="329" t="str">
        <x:v>Worked Days</x:v>
      </x:c>
      <x:c r="B107" s="329" t="str">
        <x:v>Analytics</x:v>
      </x:c>
      <x:c r="C107" s="329" t="str">
        <x:v>Derived</x:v>
      </x:c>
      <x:c r="D107" s="329"/>
      <x:c r="E107" s="329"/>
      <x:c r="F107" s="329"/>
      <x:c r="G107" s="329"/>
      <x:c r="H107" s="329"/>
      <x:c r="I107" s="329"/>
      <x:c r="J107" s="329"/>
      <x:c r="K107" s="329"/>
      <x:c r="L107" s="329"/>
      <x:c r="M107" s="329"/>
      <x:c r="N107" s="329"/>
      <x:c r="O107" s="329"/>
      <x:c r="P107" s="329"/>
      <x:c r="Q107" s="329"/>
      <x:c r="R107" s="329"/>
      <x:c r="S107" s="329"/>
      <x:c r="T107" s="329"/>
      <x:c r="U107" s="329"/>
      <x:c r="V107" s="329"/>
      <x:c r="W107" s="329"/>
      <x:c r="X107" s="329"/>
      <x:c r="Y107" s="329"/>
      <x:c r="Z107" s="329"/>
      <x:c r="AA107" s="329"/>
      <x:c r="AB107" s="329"/>
      <x:c r="AC107" s="329"/>
      <x:c r="AD107" s="329"/>
      <x:c r="AE107" s="329"/>
    </x:row>
    <x:row r="108">
      <x:c r="A108" s="329" t="str">
        <x:v>Weekday Metrics</x:v>
      </x:c>
      <x:c r="B108" s="329" t="str">
        <x:v>Dashboard / Analytics</x:v>
      </x:c>
      <x:c r="C108" s="329" t="str">
        <x:v>Merged</x:v>
      </x:c>
      <x:c r="D108" s="329"/>
      <x:c r="E108" s="329"/>
      <x:c r="F108" s="329"/>
      <x:c r="G108" s="329"/>
      <x:c r="H108" s="329"/>
      <x:c r="I108" s="329"/>
      <x:c r="J108" s="329"/>
      <x:c r="K108" s="329"/>
      <x:c r="L108" s="329"/>
      <x:c r="M108" s="329"/>
      <x:c r="N108" s="329"/>
      <x:c r="O108" s="329"/>
      <x:c r="P108" s="329"/>
      <x:c r="Q108" s="329"/>
      <x:c r="R108" s="329"/>
      <x:c r="S108" s="329"/>
      <x:c r="T108" s="329"/>
      <x:c r="U108" s="329"/>
      <x:c r="V108" s="329"/>
      <x:c r="W108" s="329"/>
      <x:c r="X108" s="329"/>
      <x:c r="Y108" s="329"/>
      <x:c r="Z108" s="329"/>
      <x:c r="AA108" s="329"/>
      <x:c r="AB108" s="329"/>
      <x:c r="AC108" s="329"/>
      <x:c r="AD108" s="329"/>
      <x:c r="AE108" s="329"/>
    </x:row>
    <x:row r="109">
      <x:c r="A109" s="329"/>
      <x:c r="B109" s="329"/>
      <x:c r="C109" s="329"/>
      <x:c r="D109" s="329"/>
      <x:c r="E109" s="329"/>
      <x:c r="F109" s="329"/>
      <x:c r="G109" s="329"/>
      <x:c r="H109" s="329"/>
      <x:c r="I109" s="329"/>
      <x:c r="J109" s="329"/>
      <x:c r="K109" s="329"/>
      <x:c r="L109" s="329"/>
      <x:c r="M109" s="329"/>
      <x:c r="N109" s="329"/>
      <x:c r="O109" s="329"/>
      <x:c r="P109" s="329"/>
      <x:c r="Q109" s="329"/>
      <x:c r="R109" s="329"/>
      <x:c r="S109" s="329"/>
      <x:c r="T109" s="329"/>
      <x:c r="U109" s="329"/>
      <x:c r="V109" s="329"/>
      <x:c r="W109" s="329"/>
      <x:c r="X109" s="329"/>
      <x:c r="Y109" s="329"/>
      <x:c r="Z109" s="329"/>
      <x:c r="AA109" s="329"/>
      <x:c r="AB109" s="329"/>
      <x:c r="AC109" s="329"/>
      <x:c r="AD109" s="329"/>
      <x:c r="AE109" s="329"/>
    </x:row>
    <x:row r="110">
      <x:c r="A110" s="329"/>
      <x:c r="B110" s="329"/>
      <x:c r="C110" s="329"/>
      <x:c r="D110" s="329"/>
      <x:c r="E110" s="329"/>
      <x:c r="F110" s="329"/>
      <x:c r="G110" s="329"/>
      <x:c r="H110" s="329"/>
      <x:c r="I110" s="329"/>
      <x:c r="J110" s="329"/>
      <x:c r="K110" s="329"/>
      <x:c r="L110" s="329"/>
      <x:c r="M110" s="329"/>
      <x:c r="N110" s="329"/>
      <x:c r="O110" s="329"/>
      <x:c r="P110" s="329"/>
      <x:c r="Q110" s="329"/>
      <x:c r="R110" s="329"/>
      <x:c r="S110" s="329"/>
      <x:c r="T110" s="329"/>
      <x:c r="U110" s="329"/>
      <x:c r="V110" s="329"/>
      <x:c r="W110" s="329"/>
      <x:c r="X110" s="329"/>
      <x:c r="Y110" s="329"/>
      <x:c r="Z110" s="329"/>
      <x:c r="AA110" s="329"/>
      <x:c r="AB110" s="329"/>
      <x:c r="AC110" s="329"/>
      <x:c r="AD110" s="329"/>
      <x:c r="AE110" s="329"/>
    </x:row>
    <x:row r="111">
      <x:c r="A111" s="588" t="str">
        <x:v>Audit Backup Policy</x:v>
      </x:c>
      <x:c r="B111" s="588"/>
      <x:c r="C111" s="588"/>
      <x:c r="D111" s="588"/>
      <x:c r="E111" s="588"/>
      <x:c r="F111" s="588"/>
      <x:c r="G111" s="329"/>
      <x:c r="H111" s="329"/>
      <x:c r="I111" s="329"/>
      <x:c r="J111" s="329"/>
      <x:c r="K111" s="329"/>
      <x:c r="L111" s="329"/>
      <x:c r="M111" s="329"/>
      <x:c r="N111" s="329"/>
      <x:c r="O111" s="329"/>
      <x:c r="P111" s="329"/>
      <x:c r="Q111" s="329"/>
      <x:c r="R111" s="329"/>
      <x:c r="S111" s="329"/>
      <x:c r="T111" s="329"/>
      <x:c r="U111" s="329"/>
      <x:c r="V111" s="329"/>
      <x:c r="W111" s="329"/>
      <x:c r="X111" s="329"/>
      <x:c r="Y111" s="329"/>
      <x:c r="Z111" s="329"/>
      <x:c r="AA111" s="329"/>
      <x:c r="AB111" s="329"/>
      <x:c r="AC111" s="329"/>
      <x:c r="AD111" s="329"/>
      <x:c r="AE111" s="329"/>
    </x:row>
    <x:row r="112">
      <x:c r="A112" s="329" t="str">
        <x:v>The untouched source workbook Barrister_Master_July_v1.xlsx remains the authoritative legacy backup for Phase 1 validation.</x:v>
      </x:c>
      <x:c r="B112" s="329"/>
      <x:c r="C112" s="329"/>
      <x:c r="D112" s="329"/>
      <x:c r="E112" s="329"/>
      <x:c r="F112" s="329"/>
      <x:c r="G112" s="329"/>
      <x:c r="H112" s="329"/>
      <x:c r="I112" s="329"/>
      <x:c r="J112" s="329"/>
      <x:c r="K112" s="329"/>
      <x:c r="L112" s="329"/>
      <x:c r="M112" s="329"/>
      <x:c r="N112" s="329"/>
      <x:c r="O112" s="329"/>
      <x:c r="P112" s="329"/>
      <x:c r="Q112" s="329"/>
      <x:c r="R112" s="329"/>
      <x:c r="S112" s="329"/>
      <x:c r="T112" s="329"/>
      <x:c r="U112" s="329"/>
      <x:c r="V112" s="329"/>
      <x:c r="W112" s="329"/>
      <x:c r="X112" s="329"/>
      <x:c r="Y112" s="329"/>
      <x:c r="Z112" s="329"/>
      <x:c r="AA112" s="329"/>
      <x:c r="AB112" s="329"/>
      <x:c r="AC112" s="329"/>
      <x:c r="AD112" s="329"/>
      <x:c r="AE112" s="329"/>
    </x:row>
    <x:row r="113">
      <x:c r="A113" s="329" t="str">
        <x:v>The Phase 1 production workbook contains only the six visible production tabs; legacy source data was migrated and documented here.</x:v>
      </x:c>
      <x:c r="B113" s="329"/>
      <x:c r="C113" s="329"/>
      <x:c r="D113" s="329"/>
      <x:c r="E113" s="329"/>
      <x:c r="F113" s="329"/>
      <x:c r="G113" s="329"/>
      <x:c r="H113" s="329"/>
      <x:c r="I113" s="329"/>
      <x:c r="J113" s="329"/>
      <x:c r="K113" s="329"/>
      <x:c r="L113" s="329"/>
      <x:c r="M113" s="329"/>
      <x:c r="N113" s="329"/>
      <x:c r="O113" s="329"/>
      <x:c r="P113" s="329"/>
      <x:c r="Q113" s="329"/>
      <x:c r="R113" s="329"/>
      <x:c r="S113" s="329"/>
      <x:c r="T113" s="329"/>
      <x:c r="U113" s="329"/>
      <x:c r="V113" s="329"/>
      <x:c r="W113" s="329"/>
      <x:c r="X113" s="329"/>
      <x:c r="Y113" s="329"/>
      <x:c r="Z113" s="329"/>
      <x:c r="AA113" s="329"/>
      <x:c r="AB113" s="329"/>
      <x:c r="AC113" s="329"/>
      <x:c r="AD113" s="329"/>
      <x:c r="AE113" s="329"/>
    </x:row>
    <x:row r="114">
      <x:c r="A114" s="329" t="str">
        <x:v>No chronology or client order was reconstructed from memory.</x:v>
      </x:c>
      <x:c r="B114" s="329"/>
      <x:c r="C114" s="329"/>
      <x:c r="D114" s="329"/>
      <x:c r="E114" s="329"/>
      <x:c r="F114" s="329"/>
      <x:c r="G114" s="329"/>
      <x:c r="H114" s="329"/>
      <x:c r="I114" s="329"/>
      <x:c r="J114" s="329"/>
      <x:c r="K114" s="329"/>
      <x:c r="L114" s="329"/>
      <x:c r="M114" s="329"/>
      <x:c r="N114" s="329"/>
      <x:c r="O114" s="329"/>
      <x:c r="P114" s="329"/>
      <x:c r="Q114" s="329"/>
      <x:c r="R114" s="329"/>
      <x:c r="S114" s="329"/>
      <x:c r="T114" s="329"/>
      <x:c r="U114" s="329"/>
      <x:c r="V114" s="329"/>
      <x:c r="W114" s="329"/>
      <x:c r="X114" s="329"/>
      <x:c r="Y114" s="329"/>
      <x:c r="Z114" s="329"/>
      <x:c r="AA114" s="329"/>
      <x:c r="AB114" s="329"/>
      <x:c r="AC114" s="329"/>
      <x:c r="AD114" s="329"/>
      <x:c r="AE114" s="329"/>
    </x:row>
    <x:row r="115">
      <x:c r="A115" s="329"/>
      <x:c r="B115" s="329"/>
      <x:c r="C115" s="329"/>
      <x:c r="D115" s="329"/>
      <x:c r="E115" s="329"/>
      <x:c r="F115" s="329"/>
      <x:c r="G115" s="329"/>
      <x:c r="H115" s="329"/>
      <x:c r="I115" s="329"/>
      <x:c r="J115" s="329"/>
      <x:c r="K115" s="329"/>
      <x:c r="L115" s="329"/>
      <x:c r="M115" s="329"/>
      <x:c r="N115" s="329"/>
      <x:c r="O115" s="329"/>
      <x:c r="P115" s="329"/>
      <x:c r="Q115" s="329"/>
      <x:c r="R115" s="329"/>
      <x:c r="S115" s="329"/>
      <x:c r="T115" s="329"/>
      <x:c r="U115" s="329"/>
      <x:c r="V115" s="329"/>
      <x:c r="W115" s="329"/>
      <x:c r="X115" s="329"/>
      <x:c r="Y115" s="329"/>
      <x:c r="Z115" s="329"/>
      <x:c r="AA115" s="329"/>
      <x:c r="AB115" s="329"/>
      <x:c r="AC115" s="329"/>
      <x:c r="AD115" s="329"/>
      <x:c r="AE115" s="329"/>
    </x:row>
    <x:row r="116">
      <x:c r="A116" s="329"/>
      <x:c r="B116" s="329"/>
      <x:c r="C116" s="329"/>
      <x:c r="D116" s="329"/>
      <x:c r="E116" s="329"/>
      <x:c r="F116" s="329"/>
      <x:c r="G116" s="329"/>
      <x:c r="H116" s="329"/>
      <x:c r="I116" s="329"/>
      <x:c r="J116" s="329"/>
      <x:c r="K116" s="329"/>
      <x:c r="L116" s="329"/>
      <x:c r="M116" s="329"/>
      <x:c r="N116" s="329"/>
      <x:c r="O116" s="329"/>
      <x:c r="P116" s="329"/>
      <x:c r="Q116" s="329"/>
      <x:c r="R116" s="329"/>
      <x:c r="S116" s="329"/>
      <x:c r="T116" s="329"/>
      <x:c r="U116" s="329"/>
      <x:c r="V116" s="329"/>
      <x:c r="W116" s="329"/>
      <x:c r="X116" s="329"/>
      <x:c r="Y116" s="329"/>
      <x:c r="Z116" s="329"/>
      <x:c r="AA116" s="329"/>
      <x:c r="AB116" s="329"/>
      <x:c r="AC116" s="329"/>
      <x:c r="AD116" s="329"/>
      <x:c r="AE116" s="329"/>
    </x:row>
    <x:row r="117">
      <x:c r="A117" s="329"/>
      <x:c r="B117" s="329"/>
      <x:c r="C117" s="329"/>
      <x:c r="D117" s="329"/>
      <x:c r="E117" s="329"/>
      <x:c r="F117" s="329"/>
      <x:c r="G117" s="329"/>
      <x:c r="H117" s="329"/>
      <x:c r="I117" s="329"/>
      <x:c r="J117" s="329"/>
      <x:c r="K117" s="329"/>
      <x:c r="L117" s="329"/>
      <x:c r="M117" s="329"/>
      <x:c r="N117" s="329"/>
      <x:c r="O117" s="329"/>
      <x:c r="P117" s="329"/>
      <x:c r="Q117" s="329"/>
      <x:c r="R117" s="329"/>
      <x:c r="S117" s="329"/>
      <x:c r="T117" s="329"/>
      <x:c r="U117" s="329"/>
      <x:c r="V117" s="329"/>
      <x:c r="W117" s="329"/>
      <x:c r="X117" s="329"/>
      <x:c r="Y117" s="329"/>
      <x:c r="Z117" s="329"/>
      <x:c r="AA117" s="329"/>
      <x:c r="AB117" s="329"/>
      <x:c r="AC117" s="329"/>
      <x:c r="AD117" s="329"/>
      <x:c r="AE117" s="329"/>
    </x:row>
    <x:row r="118">
      <x:c r="A118" s="355" t="str">
        <x:v>Phase 2 Normalization Summary</x:v>
      </x:c>
      <x:c r="B118" s="355"/>
      <x:c r="C118" s="355"/>
      <x:c r="D118" s="355"/>
      <x:c r="E118" s="355"/>
      <x:c r="F118" s="355"/>
      <x:c r="G118" s="329"/>
      <x:c r="H118" s="329"/>
      <x:c r="I118" s="329"/>
      <x:c r="J118" s="329"/>
      <x:c r="K118" s="329"/>
      <x:c r="L118" s="329"/>
      <x:c r="M118" s="329"/>
      <x:c r="N118" s="329"/>
      <x:c r="O118" s="329"/>
      <x:c r="P118" s="329"/>
      <x:c r="Q118" s="329"/>
      <x:c r="R118" s="329"/>
      <x:c r="S118" s="329"/>
      <x:c r="T118" s="329"/>
      <x:c r="U118" s="329"/>
      <x:c r="V118" s="329"/>
      <x:c r="W118" s="329"/>
      <x:c r="X118" s="329"/>
      <x:c r="Y118" s="329"/>
      <x:c r="Z118" s="329"/>
      <x:c r="AA118" s="329"/>
      <x:c r="AB118" s="329"/>
      <x:c r="AC118" s="329"/>
      <x:c r="AD118" s="329"/>
      <x:c r="AE118" s="329"/>
    </x:row>
    <x:row r="119">
      <x:c r="A119" s="329" t="str">
        <x:v>Phase</x:v>
      </x:c>
      <x:c r="B119" s="329" t="str">
        <x:v>2 — Normalize Data</x:v>
      </x:c>
      <x:c r="C119" s="329"/>
      <x:c r="D119" s="329"/>
      <x:c r="E119" s="329"/>
      <x:c r="F119" s="329"/>
      <x:c r="G119" s="329"/>
      <x:c r="H119" s="329"/>
      <x:c r="I119" s="329"/>
      <x:c r="J119" s="329"/>
      <x:c r="K119" s="329"/>
      <x:c r="L119" s="329"/>
      <x:c r="M119" s="329"/>
      <x:c r="N119" s="329"/>
      <x:c r="O119" s="329"/>
      <x:c r="P119" s="329"/>
      <x:c r="Q119" s="329"/>
      <x:c r="R119" s="329"/>
      <x:c r="S119" s="329"/>
      <x:c r="T119" s="329"/>
      <x:c r="U119" s="329"/>
      <x:c r="V119" s="329"/>
      <x:c r="W119" s="329"/>
      <x:c r="X119" s="329"/>
      <x:c r="Y119" s="329"/>
      <x:c r="Z119" s="329"/>
      <x:c r="AA119" s="329"/>
      <x:c r="AB119" s="329"/>
      <x:c r="AC119" s="329"/>
      <x:c r="AD119" s="329"/>
      <x:c r="AE119" s="329"/>
    </x:row>
    <x:row r="120">
      <x:c r="A120" s="329" t="str">
        <x:v>Authoritative tables</x:v>
      </x:c>
      <x:c r="B120" s="329" t="str">
        <x:v>tblServiceEvents and tblLedger</x:v>
      </x:c>
      <x:c r="C120" s="329"/>
      <x:c r="D120" s="329"/>
      <x:c r="E120" s="329"/>
      <x:c r="F120" s="329"/>
      <x:c r="G120" s="329"/>
      <x:c r="H120" s="329"/>
      <x:c r="I120" s="329"/>
      <x:c r="J120" s="329"/>
      <x:c r="K120" s="329"/>
      <x:c r="L120" s="329"/>
      <x:c r="M120" s="329"/>
      <x:c r="N120" s="329"/>
      <x:c r="O120" s="329"/>
      <x:c r="P120" s="329"/>
      <x:c r="Q120" s="329"/>
      <x:c r="R120" s="329"/>
      <x:c r="S120" s="329"/>
      <x:c r="T120" s="329"/>
      <x:c r="U120" s="329"/>
      <x:c r="V120" s="329"/>
      <x:c r="W120" s="329"/>
      <x:c r="X120" s="329"/>
      <x:c r="Y120" s="329"/>
      <x:c r="Z120" s="329"/>
      <x:c r="AA120" s="329"/>
      <x:c r="AB120" s="329"/>
      <x:c r="AC120" s="329"/>
      <x:c r="AD120" s="329"/>
      <x:c r="AE120" s="329"/>
    </x:row>
    <x:row r="121">
      <x:c r="A121" s="329" t="str">
        <x:v>Event key</x:v>
      </x:c>
      <x:c r="B121" s="329" t="str">
        <x:v>Event # / Physical Visit ID</x:v>
      </x:c>
      <x:c r="C121" s="329"/>
      <x:c r="D121" s="329"/>
      <x:c r="E121" s="329"/>
      <x:c r="F121" s="329"/>
      <x:c r="G121" s="329"/>
      <x:c r="H121" s="329"/>
      <x:c r="I121" s="329"/>
      <x:c r="J121" s="329"/>
      <x:c r="K121" s="329"/>
      <x:c r="L121" s="329"/>
      <x:c r="M121" s="329"/>
      <x:c r="N121" s="329"/>
      <x:c r="O121" s="329"/>
      <x:c r="P121" s="329"/>
      <x:c r="Q121" s="329"/>
      <x:c r="R121" s="329"/>
      <x:c r="S121" s="329"/>
      <x:c r="T121" s="329"/>
      <x:c r="U121" s="329"/>
      <x:c r="V121" s="329"/>
      <x:c r="W121" s="329"/>
      <x:c r="X121" s="329"/>
      <x:c r="Y121" s="329"/>
      <x:c r="Z121" s="329"/>
      <x:c r="AA121" s="329"/>
      <x:c r="AB121" s="329"/>
      <x:c r="AC121" s="329"/>
      <x:c r="AD121" s="329"/>
      <x:c r="AE121" s="329"/>
    </x:row>
    <x:row r="122">
      <x:c r="A122" s="329" t="str">
        <x:v>Ledger key</x:v>
      </x:c>
      <x:c r="B122" s="329" t="str">
        <x:v>Ledger Record ID + Work Order #</x:v>
      </x:c>
      <x:c r="C122" s="329"/>
      <x:c r="D122" s="329"/>
      <x:c r="E122" s="329"/>
      <x:c r="F122" s="329"/>
      <x:c r="G122" s="329"/>
      <x:c r="H122" s="329"/>
      <x:c r="I122" s="329"/>
      <x:c r="J122" s="329"/>
      <x:c r="K122" s="329"/>
      <x:c r="L122" s="329"/>
      <x:c r="M122" s="329"/>
      <x:c r="N122" s="329"/>
      <x:c r="O122" s="329"/>
      <x:c r="P122" s="329"/>
      <x:c r="Q122" s="329"/>
      <x:c r="R122" s="329"/>
      <x:c r="S122" s="329"/>
      <x:c r="T122" s="329"/>
      <x:c r="U122" s="329"/>
      <x:c r="V122" s="329"/>
      <x:c r="W122" s="329"/>
      <x:c r="X122" s="329"/>
      <x:c r="Y122" s="329"/>
      <x:c r="Z122" s="329"/>
      <x:c r="AA122" s="329"/>
      <x:c r="AB122" s="329"/>
      <x:c r="AC122" s="329"/>
      <x:c r="AD122" s="329"/>
      <x:c r="AE122" s="329"/>
    </x:row>
    <x:row r="123">
      <x:c r="A123" s="329" t="str">
        <x:v>Placeholder normalization</x:v>
      </x:c>
      <x:c r="B123" s="329" t="str">
        <x:v>TBD and USDA Special converted to unique non-colliding IDs</x:v>
      </x:c>
      <x:c r="C123" s="329"/>
      <x:c r="D123" s="329"/>
      <x:c r="E123" s="329"/>
      <x:c r="F123" s="329"/>
      <x:c r="G123" s="329"/>
      <x:c r="H123" s="329"/>
      <x:c r="I123" s="329"/>
      <x:c r="J123" s="329"/>
      <x:c r="K123" s="329"/>
      <x:c r="L123" s="329"/>
      <x:c r="M123" s="329"/>
      <x:c r="N123" s="329"/>
      <x:c r="O123" s="329"/>
      <x:c r="P123" s="329"/>
      <x:c r="Q123" s="329"/>
      <x:c r="R123" s="329"/>
      <x:c r="S123" s="329"/>
      <x:c r="T123" s="329"/>
      <x:c r="U123" s="329"/>
      <x:c r="V123" s="329"/>
      <x:c r="W123" s="329"/>
      <x:c r="X123" s="329"/>
      <x:c r="Y123" s="329"/>
      <x:c r="Z123" s="329"/>
      <x:c r="AA123" s="329"/>
      <x:c r="AB123" s="329"/>
      <x:c r="AC123" s="329"/>
      <x:c r="AD123" s="329"/>
      <x:c r="AE123" s="329"/>
    </x:row>
    <x:row r="124">
      <x:c r="A124" s="329" t="str">
        <x:v>Duplicate WO rule</x:v>
      </x:c>
      <x:c r="B124" s="329" t="str">
        <x:v>5905579 consolidated into one MAPPING_HOLD row; no guessing</x:v>
      </x:c>
      <x:c r="C124" s="329"/>
      <x:c r="D124" s="329"/>
      <x:c r="E124" s="329"/>
      <x:c r="F124" s="329"/>
      <x:c r="G124" s="329"/>
      <x:c r="H124" s="329"/>
      <x:c r="I124" s="329"/>
      <x:c r="J124" s="329"/>
      <x:c r="K124" s="329"/>
      <x:c r="L124" s="329"/>
      <x:c r="M124" s="329"/>
      <x:c r="N124" s="329"/>
      <x:c r="O124" s="329"/>
      <x:c r="P124" s="329"/>
      <x:c r="Q124" s="329"/>
      <x:c r="R124" s="329"/>
      <x:c r="S124" s="329"/>
      <x:c r="T124" s="329"/>
      <x:c r="U124" s="329"/>
      <x:c r="V124" s="329"/>
      <x:c r="W124" s="329"/>
      <x:c r="X124" s="329"/>
      <x:c r="Y124" s="329"/>
      <x:c r="Z124" s="329"/>
      <x:c r="AA124" s="329"/>
      <x:c r="AB124" s="329"/>
      <x:c r="AC124" s="329"/>
      <x:c r="AD124" s="329"/>
      <x:c r="AE124" s="329"/>
    </x:row>
    <x:row r="125">
      <x:c r="A125" s="329" t="str">
        <x:v>Client normalization</x:v>
      </x:c>
      <x:c r="B125" s="329" t="str">
        <x:v>Canonical Client ID assigned in chronological first-appearance order</x:v>
      </x:c>
      <x:c r="C125" s="329"/>
      <x:c r="D125" s="329"/>
      <x:c r="E125" s="329"/>
      <x:c r="F125" s="329"/>
      <x:c r="G125" s="329"/>
      <x:c r="H125" s="329"/>
      <x:c r="I125" s="329"/>
      <x:c r="J125" s="329"/>
      <x:c r="K125" s="329"/>
      <x:c r="L125" s="329"/>
      <x:c r="M125" s="329"/>
      <x:c r="N125" s="329"/>
      <x:c r="O125" s="329"/>
      <x:c r="P125" s="329"/>
      <x:c r="Q125" s="329"/>
      <x:c r="R125" s="329"/>
      <x:c r="S125" s="329"/>
      <x:c r="T125" s="329"/>
      <x:c r="U125" s="329"/>
      <x:c r="V125" s="329"/>
      <x:c r="W125" s="329"/>
      <x:c r="X125" s="329"/>
      <x:c r="Y125" s="329"/>
      <x:c r="Z125" s="329"/>
      <x:c r="AA125" s="329"/>
      <x:c r="AB125" s="329"/>
      <x:c r="AC125" s="329"/>
      <x:c r="AD125" s="329"/>
      <x:c r="AE125" s="329"/>
    </x:row>
    <x:row r="126">
      <x:c r="A126" s="329" t="str">
        <x:v>Location normalization</x:v>
      </x:c>
      <x:c r="B126" s="329" t="str">
        <x:v>City, State, Jurisdiction, Location Key separated</x:v>
      </x:c>
      <x:c r="C126" s="329"/>
      <x:c r="D126" s="329"/>
      <x:c r="E126" s="329"/>
      <x:c r="F126" s="329"/>
      <x:c r="G126" s="329"/>
      <x:c r="H126" s="329"/>
      <x:c r="I126" s="329"/>
      <x:c r="J126" s="329"/>
      <x:c r="K126" s="329"/>
      <x:c r="L126" s="329"/>
      <x:c r="M126" s="329"/>
      <x:c r="N126" s="329"/>
      <x:c r="O126" s="329"/>
      <x:c r="P126" s="329"/>
      <x:c r="Q126" s="329"/>
      <x:c r="R126" s="329"/>
      <x:c r="S126" s="329"/>
      <x:c r="T126" s="329"/>
      <x:c r="U126" s="329"/>
      <x:c r="V126" s="329"/>
      <x:c r="W126" s="329"/>
      <x:c r="X126" s="329"/>
      <x:c r="Y126" s="329"/>
      <x:c r="Z126" s="329"/>
      <x:c r="AA126" s="329"/>
      <x:c r="AB126" s="329"/>
      <x:c r="AC126" s="329"/>
      <x:c r="AD126" s="329"/>
      <x:c r="AE126" s="329"/>
    </x:row>
    <x:row r="127">
      <x:c r="A127" s="329" t="str">
        <x:v>Latest financial delta</x:v>
      </x:c>
      <x:c r="B127" s="329" t="str">
        <x:v>WO 5913868 breakdown $100.83 vs negotiated $150; variance -$49.17</x:v>
      </x:c>
      <x:c r="C127" s="329"/>
      <x:c r="D127" s="329"/>
      <x:c r="E127" s="329"/>
      <x:c r="F127" s="329"/>
      <x:c r="G127" s="329"/>
      <x:c r="H127" s="329"/>
      <x:c r="I127" s="329"/>
      <x:c r="J127" s="329"/>
      <x:c r="K127" s="329"/>
      <x:c r="L127" s="329"/>
      <x:c r="M127" s="329"/>
      <x:c r="N127" s="329"/>
      <x:c r="O127" s="329"/>
      <x:c r="P127" s="329"/>
      <x:c r="Q127" s="329"/>
      <x:c r="R127" s="329"/>
      <x:c r="S127" s="329"/>
      <x:c r="T127" s="329"/>
      <x:c r="U127" s="329"/>
      <x:c r="V127" s="329"/>
      <x:c r="W127" s="329"/>
      <x:c r="X127" s="329"/>
      <x:c r="Y127" s="329"/>
      <x:c r="Z127" s="329"/>
      <x:c r="AA127" s="329"/>
      <x:c r="AB127" s="329"/>
      <x:c r="AC127" s="329"/>
      <x:c r="AD127" s="329"/>
      <x:c r="AE127" s="329"/>
    </x:row>
    <x:row r="128">
      <x:c r="A128" s="329" t="str">
        <x:v>Phase 2 output</x:v>
      </x:c>
      <x:c r="B128" s="329" t="str">
        <x:v>Barrister_Master_v2_Phase2.xlsx</x:v>
      </x:c>
      <x:c r="C128" s="329"/>
      <x:c r="D128" s="329"/>
      <x:c r="E128" s="329"/>
      <x:c r="F128" s="329"/>
      <x:c r="G128" s="329"/>
      <x:c r="H128" s="329"/>
      <x:c r="I128" s="329"/>
      <x:c r="J128" s="329"/>
      <x:c r="K128" s="329"/>
      <x:c r="L128" s="329"/>
      <x:c r="M128" s="329"/>
      <x:c r="N128" s="329"/>
      <x:c r="O128" s="329"/>
      <x:c r="P128" s="329"/>
      <x:c r="Q128" s="329"/>
      <x:c r="R128" s="329"/>
      <x:c r="S128" s="329"/>
      <x:c r="T128" s="329"/>
      <x:c r="U128" s="329"/>
      <x:c r="V128" s="329"/>
      <x:c r="W128" s="329"/>
      <x:c r="X128" s="329"/>
      <x:c r="Y128" s="329"/>
      <x:c r="Z128" s="329"/>
      <x:c r="AA128" s="329"/>
      <x:c r="AB128" s="329"/>
      <x:c r="AC128" s="329"/>
      <x:c r="AD128" s="329"/>
      <x:c r="AE128" s="329"/>
    </x:row>
    <x:row r="129">
      <x:c r="A129" s="330" t="str">
        <x:v>Metric Eligibility vs ACH Mapping</x:v>
      </x:c>
      <x:c r="B129" s="329" t="str">
        <x:v>A confirmed payment breakdown remains eligible for revenue metrics even when ACH mapping or variance is under review.</x:v>
      </x:c>
      <x:c r="C129" s="329"/>
      <x:c r="D129" s="329"/>
      <x:c r="E129" s="329"/>
      <x:c r="F129" s="329"/>
      <x:c r="G129" s="329"/>
      <x:c r="H129" s="329"/>
      <x:c r="I129" s="329"/>
      <x:c r="J129" s="329"/>
      <x:c r="K129" s="329"/>
      <x:c r="L129" s="329"/>
      <x:c r="M129" s="329"/>
      <x:c r="N129" s="329"/>
      <x:c r="O129" s="329"/>
      <x:c r="P129" s="329"/>
      <x:c r="Q129" s="329"/>
      <x:c r="R129" s="329"/>
      <x:c r="S129" s="329"/>
      <x:c r="T129" s="329"/>
      <x:c r="U129" s="329"/>
      <x:c r="V129" s="329"/>
      <x:c r="W129" s="329"/>
      <x:c r="X129" s="329"/>
      <x:c r="Y129" s="329"/>
      <x:c r="Z129" s="329"/>
      <x:c r="AA129" s="329"/>
      <x:c r="AB129" s="329"/>
      <x:c r="AC129" s="329"/>
      <x:c r="AD129" s="329"/>
      <x:c r="AE129" s="329"/>
    </x:row>
    <x:row r="130">
      <x:c r="A130" s="330" t="str">
        <x:v>Event #51 Application</x:v>
      </x:c>
      <x:c r="B130" s="329" t="str">
        <x:v>Event #51 remains $60 eligible revenue; the $35 ACH and duplicate-WO mapping remain an audit exception.</x:v>
      </x:c>
      <x:c r="C130" s="329"/>
      <x:c r="D130" s="329"/>
      <x:c r="E130" s="329"/>
      <x:c r="F130" s="329"/>
      <x:c r="G130" s="329"/>
      <x:c r="H130" s="329"/>
      <x:c r="I130" s="329"/>
      <x:c r="J130" s="329"/>
      <x:c r="K130" s="329"/>
      <x:c r="L130" s="329"/>
      <x:c r="M130" s="329"/>
      <x:c r="N130" s="329"/>
      <x:c r="O130" s="329"/>
      <x:c r="P130" s="329"/>
      <x:c r="Q130" s="329"/>
      <x:c r="R130" s="329"/>
      <x:c r="S130" s="329"/>
      <x:c r="T130" s="329"/>
      <x:c r="U130" s="329"/>
      <x:c r="V130" s="329"/>
      <x:c r="W130" s="329"/>
      <x:c r="X130" s="329"/>
      <x:c r="Y130" s="329"/>
      <x:c r="Z130" s="329"/>
      <x:c r="AA130" s="329"/>
      <x:c r="AB130" s="329"/>
      <x:c r="AC130" s="329"/>
      <x:c r="AD130" s="329"/>
      <x:c r="AE130" s="329"/>
    </x:row>
    <x:row r="131">
      <x:c r="A131" s="330" t="str">
        <x:v>Client Normalization Rule</x:v>
      </x:c>
      <x:c r="B131" s="329" t="str">
        <x:v>Client identity is canonical; project day/store variants belong in Site Name.</x:v>
      </x:c>
      <x:c r="C131" s="329"/>
      <x:c r="D131" s="329"/>
      <x:c r="E131" s="329"/>
      <x:c r="F131" s="329"/>
      <x:c r="G131" s="329"/>
      <x:c r="H131" s="329"/>
      <x:c r="I131" s="329"/>
      <x:c r="J131" s="329"/>
      <x:c r="K131" s="329"/>
      <x:c r="L131" s="329"/>
      <x:c r="M131" s="329"/>
      <x:c r="N131" s="329"/>
      <x:c r="O131" s="329"/>
      <x:c r="P131" s="329"/>
      <x:c r="Q131" s="329"/>
      <x:c r="R131" s="329"/>
      <x:c r="S131" s="329"/>
      <x:c r="T131" s="329"/>
      <x:c r="U131" s="329"/>
      <x:c r="V131" s="329"/>
      <x:c r="W131" s="329"/>
      <x:c r="X131" s="329"/>
      <x:c r="Y131" s="329"/>
      <x:c r="Z131" s="329"/>
      <x:c r="AA131" s="329"/>
      <x:c r="AB131" s="329"/>
      <x:c r="AC131" s="329"/>
      <x:c r="AD131" s="329"/>
      <x:c r="AE131" s="329"/>
    </x:row>
    <x:row r="132">
      <x:c r="A132" s="330" t="str">
        <x:v>USDA</x:v>
      </x:c>
      <x:c r="B132" s="329" t="str">
        <x:v>USDA Day 1–6 normalized to one client: USDA.</x:v>
      </x:c>
      <x:c r="C132" s="329"/>
      <x:c r="D132" s="329"/>
      <x:c r="E132" s="329"/>
      <x:c r="F132" s="329"/>
      <x:c r="G132" s="329"/>
      <x:c r="H132" s="329"/>
      <x:c r="I132" s="329"/>
      <x:c r="J132" s="329"/>
      <x:c r="K132" s="329"/>
      <x:c r="L132" s="329"/>
      <x:c r="M132" s="329"/>
      <x:c r="N132" s="329"/>
      <x:c r="O132" s="329"/>
      <x:c r="P132" s="329"/>
      <x:c r="Q132" s="329"/>
      <x:c r="R132" s="329"/>
      <x:c r="S132" s="329"/>
      <x:c r="T132" s="329"/>
      <x:c r="U132" s="329"/>
      <x:c r="V132" s="329"/>
      <x:c r="W132" s="329"/>
      <x:c r="X132" s="329"/>
      <x:c r="Y132" s="329"/>
      <x:c r="Z132" s="329"/>
      <x:c r="AA132" s="329"/>
      <x:c r="AB132" s="329"/>
      <x:c r="AC132" s="329"/>
      <x:c r="AD132" s="329"/>
      <x:c r="AE132" s="329"/>
    </x:row>
    <x:row r="133">
      <x:c r="A133" s="330" t="str">
        <x:v>Under Armour</x:v>
      </x:c>
      <x:c r="B133" s="329" t="str">
        <x:v>Under Armour Day 1–2 normalized to one client: Under Armour.</x:v>
      </x:c>
      <x:c r="C133" s="329"/>
      <x:c r="D133" s="329"/>
      <x:c r="E133" s="329"/>
      <x:c r="F133" s="329"/>
      <x:c r="G133" s="329"/>
      <x:c r="H133" s="329"/>
      <x:c r="I133" s="329"/>
      <x:c r="J133" s="329"/>
      <x:c r="K133" s="329"/>
      <x:c r="L133" s="329"/>
      <x:c r="M133" s="329"/>
      <x:c r="N133" s="329"/>
      <x:c r="O133" s="329"/>
      <x:c r="P133" s="329"/>
      <x:c r="Q133" s="329"/>
      <x:c r="R133" s="329"/>
      <x:c r="S133" s="329"/>
      <x:c r="T133" s="329"/>
      <x:c r="U133" s="329"/>
      <x:c r="V133" s="329"/>
      <x:c r="W133" s="329"/>
      <x:c r="X133" s="329"/>
      <x:c r="Y133" s="329"/>
      <x:c r="Z133" s="329"/>
      <x:c r="AA133" s="329"/>
      <x:c r="AB133" s="329"/>
      <x:c r="AC133" s="329"/>
      <x:c r="AD133" s="329"/>
      <x:c r="AE133" s="329"/>
    </x:row>
    <x:row r="134">
      <x:c r="A134" s="330" t="str">
        <x:v>Giant</x:v>
      </x:c>
      <x:c r="B134" s="329" t="str">
        <x:v>Giant / Martin's normalized to Giant Food Stores.</x:v>
      </x:c>
      <x:c r="C134" s="329"/>
      <x:c r="D134" s="329"/>
      <x:c r="E134" s="329"/>
      <x:c r="F134" s="329"/>
      <x:c r="G134" s="329"/>
      <x:c r="H134" s="329"/>
      <x:c r="I134" s="329"/>
      <x:c r="J134" s="329"/>
      <x:c r="K134" s="329"/>
      <x:c r="L134" s="329"/>
      <x:c r="M134" s="329"/>
      <x:c r="N134" s="329"/>
      <x:c r="O134" s="329"/>
      <x:c r="P134" s="329"/>
      <x:c r="Q134" s="329"/>
      <x:c r="R134" s="329"/>
      <x:c r="S134" s="329"/>
      <x:c r="T134" s="329"/>
      <x:c r="U134" s="329"/>
      <x:c r="V134" s="329"/>
      <x:c r="W134" s="329"/>
      <x:c r="X134" s="329"/>
      <x:c r="Y134" s="329"/>
      <x:c r="Z134" s="329"/>
      <x:c r="AA134" s="329"/>
      <x:c r="AB134" s="329"/>
      <x:c r="AC134" s="329"/>
      <x:c r="AD134" s="329"/>
      <x:c r="AE134" s="329"/>
    </x:row>
    <x:row r="135">
      <x:c r="A135" s="330" t="str">
        <x:v>Hilton</x:v>
      </x:c>
      <x:c r="B135" s="329" t="str">
        <x:v>Hilton Garden Inn DC normalized to Hilton Garden Inn.</x:v>
      </x:c>
      <x:c r="C135" s="329"/>
      <x:c r="D135" s="329"/>
      <x:c r="E135" s="329"/>
      <x:c r="F135" s="329"/>
      <x:c r="G135" s="329"/>
      <x:c r="H135" s="329"/>
      <x:c r="I135" s="329"/>
      <x:c r="J135" s="329"/>
      <x:c r="K135" s="329"/>
      <x:c r="L135" s="329"/>
      <x:c r="M135" s="329"/>
      <x:c r="N135" s="329"/>
      <x:c r="O135" s="329"/>
      <x:c r="P135" s="329"/>
      <x:c r="Q135" s="329"/>
      <x:c r="R135" s="329"/>
      <x:c r="S135" s="329"/>
      <x:c r="T135" s="329"/>
      <x:c r="U135" s="329"/>
      <x:c r="V135" s="329"/>
      <x:c r="W135" s="329"/>
      <x:c r="X135" s="329"/>
      <x:c r="Y135" s="329"/>
      <x:c r="Z135" s="329"/>
      <x:c r="AA135" s="329"/>
      <x:c r="AB135" s="329"/>
      <x:c r="AC135" s="329"/>
      <x:c r="AD135" s="329"/>
      <x:c r="AE135" s="329"/>
    </x:row>
    <x:row r="136">
      <x:c r="A136" s="330" t="str">
        <x:v>Canonical Unique Clients</x:v>
      </x:c>
      <x:c r="B136" s="329" t="n">
        <x:v>27</x:v>
      </x:c>
      <x:c r="C136" s="329" t="str">
        <x:v>Derived from first chronological appearance after normalization.</x:v>
      </x:c>
      <x:c r="D136" s="329"/>
      <x:c r="E136" s="329"/>
      <x:c r="F136" s="329"/>
      <x:c r="G136" s="329"/>
      <x:c r="H136" s="329"/>
      <x:c r="I136" s="329"/>
      <x:c r="J136" s="329"/>
      <x:c r="K136" s="329"/>
      <x:c r="L136" s="329"/>
      <x:c r="M136" s="329"/>
      <x:c r="N136" s="329"/>
      <x:c r="O136" s="329"/>
      <x:c r="P136" s="329"/>
      <x:c r="Q136" s="329"/>
      <x:c r="R136" s="329"/>
      <x:c r="S136" s="329"/>
      <x:c r="T136" s="329"/>
      <x:c r="U136" s="329"/>
      <x:c r="V136" s="329"/>
      <x:c r="W136" s="329"/>
      <x:c r="X136" s="329"/>
      <x:c r="Y136" s="329"/>
      <x:c r="Z136" s="329"/>
      <x:c r="AA136" s="329"/>
      <x:c r="AB136" s="329"/>
      <x:c r="AC136" s="329"/>
      <x:c r="AD136" s="329"/>
      <x:c r="AE136" s="329"/>
    </x:row>
    <x:row r="137">
      <x:c r="A137" s="329"/>
      <x:c r="B137" s="329"/>
      <x:c r="C137" s="329"/>
      <x:c r="D137" s="329"/>
      <x:c r="E137" s="329"/>
      <x:c r="F137" s="329"/>
      <x:c r="G137" s="329"/>
      <x:c r="H137" s="329"/>
      <x:c r="I137" s="329"/>
      <x:c r="J137" s="329"/>
      <x:c r="K137" s="329"/>
      <x:c r="L137" s="329"/>
      <x:c r="M137" s="329"/>
      <x:c r="N137" s="329"/>
      <x:c r="O137" s="329"/>
      <x:c r="P137" s="329"/>
      <x:c r="Q137" s="329"/>
      <x:c r="R137" s="329"/>
      <x:c r="S137" s="329"/>
      <x:c r="T137" s="329"/>
      <x:c r="U137" s="329"/>
      <x:c r="V137" s="329"/>
      <x:c r="W137" s="329"/>
      <x:c r="X137" s="329"/>
      <x:c r="Y137" s="329"/>
      <x:c r="Z137" s="329"/>
      <x:c r="AA137" s="329"/>
      <x:c r="AB137" s="329"/>
      <x:c r="AC137" s="329"/>
      <x:c r="AD137" s="329"/>
      <x:c r="AE137" s="329"/>
    </x:row>
    <x:row r="138">
      <x:c r="A138" s="330" t="str">
        <x:v>Phase 3A</x:v>
      </x:c>
      <x:c r="B138" s="329" t="str">
        <x:v>Analytics Tables</x:v>
      </x:c>
      <x:c r="C138" s="329"/>
      <x:c r="D138" s="329"/>
      <x:c r="E138" s="329"/>
      <x:c r="F138" s="329"/>
      <x:c r="G138" s="329"/>
      <x:c r="H138" s="329"/>
      <x:c r="I138" s="329"/>
      <x:c r="J138" s="329"/>
      <x:c r="K138" s="329"/>
      <x:c r="L138" s="329"/>
      <x:c r="M138" s="329"/>
      <x:c r="N138" s="329"/>
      <x:c r="O138" s="329"/>
      <x:c r="P138" s="329"/>
      <x:c r="Q138" s="329"/>
      <x:c r="R138" s="329"/>
      <x:c r="S138" s="329"/>
      <x:c r="T138" s="329"/>
      <x:c r="U138" s="329"/>
      <x:c r="V138" s="329"/>
      <x:c r="W138" s="329"/>
      <x:c r="X138" s="329"/>
      <x:c r="Y138" s="329"/>
      <x:c r="Z138" s="329"/>
      <x:c r="AA138" s="329"/>
      <x:c r="AB138" s="329"/>
      <x:c r="AC138" s="329"/>
      <x:c r="AD138" s="329"/>
      <x:c r="AE138" s="329"/>
    </x:row>
    <x:row r="139">
      <x:c r="A139" s="330" t="str">
        <x:v>Client Summary</x:v>
      </x:c>
      <x:c r="B139" s="329" t="str">
        <x:v>Formula-driven from tblServiceEvents and tblLedger.</x:v>
      </x:c>
      <x:c r="C139" s="329"/>
      <x:c r="D139" s="329"/>
      <x:c r="E139" s="329"/>
      <x:c r="F139" s="329"/>
      <x:c r="G139" s="329"/>
      <x:c r="H139" s="329"/>
      <x:c r="I139" s="329"/>
      <x:c r="J139" s="329"/>
      <x:c r="K139" s="329"/>
      <x:c r="L139" s="329"/>
      <x:c r="M139" s="329"/>
      <x:c r="N139" s="329"/>
      <x:c r="O139" s="329"/>
      <x:c r="P139" s="329"/>
      <x:c r="Q139" s="329"/>
      <x:c r="R139" s="329"/>
      <x:c r="S139" s="329"/>
      <x:c r="T139" s="329"/>
      <x:c r="U139" s="329"/>
      <x:c r="V139" s="329"/>
      <x:c r="W139" s="329"/>
      <x:c r="X139" s="329"/>
      <x:c r="Y139" s="329"/>
      <x:c r="Z139" s="329"/>
      <x:c r="AA139" s="329"/>
      <x:c r="AB139" s="329"/>
      <x:c r="AC139" s="329"/>
      <x:c r="AD139" s="329"/>
      <x:c r="AE139" s="329"/>
    </x:row>
    <x:row r="140">
      <x:c r="A140" s="330" t="str">
        <x:v>State Summary</x:v>
      </x:c>
      <x:c r="B140" s="329" t="str">
        <x:v>Formula-driven event, client, revenue, and share metrics.</x:v>
      </x:c>
      <x:c r="C140" s="329"/>
      <x:c r="D140" s="329"/>
      <x:c r="E140" s="329"/>
      <x:c r="F140" s="329"/>
      <x:c r="G140" s="329"/>
      <x:c r="H140" s="329"/>
      <x:c r="I140" s="329"/>
      <x:c r="J140" s="329"/>
      <x:c r="K140" s="329"/>
      <x:c r="L140" s="329"/>
      <x:c r="M140" s="329"/>
      <x:c r="N140" s="329"/>
      <x:c r="O140" s="329"/>
      <x:c r="P140" s="329"/>
      <x:c r="Q140" s="329"/>
      <x:c r="R140" s="329"/>
      <x:c r="S140" s="329"/>
      <x:c r="T140" s="329"/>
      <x:c r="U140" s="329"/>
      <x:c r="V140" s="329"/>
      <x:c r="W140" s="329"/>
      <x:c r="X140" s="329"/>
      <x:c r="Y140" s="329"/>
      <x:c r="Z140" s="329"/>
      <x:c r="AA140" s="329"/>
      <x:c r="AB140" s="329"/>
      <x:c r="AC140" s="329"/>
      <x:c r="AD140" s="329"/>
      <x:c r="AE140" s="329"/>
    </x:row>
    <x:row r="141">
      <x:c r="A141" s="330" t="str">
        <x:v>Weekday Summary</x:v>
      </x:c>
      <x:c r="B141" s="329" t="str">
        <x:v>Formula-driven revenue, eligibility, activity, high/low event, and rank.</x:v>
      </x:c>
      <x:c r="C141" s="329"/>
      <x:c r="D141" s="329"/>
      <x:c r="E141" s="329"/>
      <x:c r="F141" s="329"/>
      <x:c r="G141" s="329"/>
      <x:c r="H141" s="329"/>
      <x:c r="I141" s="329"/>
      <x:c r="J141" s="329"/>
      <x:c r="K141" s="329"/>
      <x:c r="L141" s="329"/>
      <x:c r="M141" s="329"/>
      <x:c r="N141" s="329"/>
      <x:c r="O141" s="329"/>
      <x:c r="P141" s="329"/>
      <x:c r="Q141" s="329"/>
      <x:c r="R141" s="329"/>
      <x:c r="S141" s="329"/>
      <x:c r="T141" s="329"/>
      <x:c r="U141" s="329"/>
      <x:c r="V141" s="329"/>
      <x:c r="W141" s="329"/>
      <x:c r="X141" s="329"/>
      <x:c r="Y141" s="329"/>
      <x:c r="Z141" s="329"/>
      <x:c r="AA141" s="329"/>
      <x:c r="AB141" s="329"/>
      <x:c r="AC141" s="329"/>
      <x:c r="AD141" s="329"/>
      <x:c r="AE141" s="329"/>
    </x:row>
    <x:row r="142">
      <x:c r="A142" s="330" t="str">
        <x:v>MY_MONTH Summary</x:v>
      </x:c>
      <x:c r="B142" s="329" t="str">
        <x:v>Formula-driven event, client, jurisdiction, and revenue metrics.</x:v>
      </x:c>
      <x:c r="C142" s="329"/>
      <x:c r="D142" s="329"/>
      <x:c r="E142" s="329"/>
      <x:c r="F142" s="329"/>
      <x:c r="G142" s="329"/>
      <x:c r="H142" s="329"/>
      <x:c r="I142" s="329"/>
      <x:c r="J142" s="329"/>
      <x:c r="K142" s="329"/>
      <x:c r="L142" s="329"/>
      <x:c r="M142" s="329"/>
      <x:c r="N142" s="329"/>
      <x:c r="O142" s="329"/>
      <x:c r="P142" s="329"/>
      <x:c r="Q142" s="329"/>
      <x:c r="R142" s="329"/>
      <x:c r="S142" s="329"/>
      <x:c r="T142" s="329"/>
      <x:c r="U142" s="329"/>
      <x:c r="V142" s="329"/>
      <x:c r="W142" s="329"/>
      <x:c r="X142" s="329"/>
      <x:c r="Y142" s="329"/>
      <x:c r="Z142" s="329"/>
      <x:c r="AA142" s="329"/>
      <x:c r="AB142" s="329"/>
      <x:c r="AC142" s="329"/>
      <x:c r="AD142" s="329"/>
      <x:c r="AE142" s="329"/>
    </x:row>
    <x:row r="143">
      <x:c r="A143" s="330" t="str">
        <x:v>Maintenance Rule</x:v>
      </x:c>
      <x:c r="B143" s="329" t="str">
        <x:v>Only tblServiceEvents and tblLedger are editable sources; analytics tables are derived.</x:v>
      </x:c>
      <x:c r="C143" s="329"/>
      <x:c r="D143" s="329"/>
      <x:c r="E143" s="329"/>
      <x:c r="F143" s="329"/>
      <x:c r="G143" s="329"/>
      <x:c r="H143" s="329"/>
      <x:c r="I143" s="329"/>
      <x:c r="J143" s="329"/>
      <x:c r="K143" s="329"/>
      <x:c r="L143" s="329"/>
      <x:c r="M143" s="329"/>
      <x:c r="N143" s="329"/>
      <x:c r="O143" s="329"/>
      <x:c r="P143" s="329"/>
      <x:c r="Q143" s="329"/>
      <x:c r="R143" s="329"/>
      <x:c r="S143" s="329"/>
      <x:c r="T143" s="329"/>
      <x:c r="U143" s="329"/>
      <x:c r="V143" s="329"/>
      <x:c r="W143" s="329"/>
      <x:c r="X143" s="329"/>
      <x:c r="Y143" s="329"/>
      <x:c r="Z143" s="329"/>
      <x:c r="AA143" s="329"/>
      <x:c r="AB143" s="329"/>
      <x:c r="AC143" s="329"/>
      <x:c r="AD143" s="329"/>
      <x:c r="AE143" s="329"/>
    </x:row>
    <x:row r="144">
      <x:c r="A144" s="330" t="str">
        <x:v>Phase 3A Dimensional Counts</x:v>
      </x:c>
      <x:c r="B144" s="329" t="str">
        <x:v>Unique state/city/client/workweek counts are materialized from the authoritative event table during this phase.</x:v>
      </x:c>
      <x:c r="C144" s="329"/>
      <x:c r="D144" s="329"/>
      <x:c r="E144" s="329"/>
      <x:c r="F144" s="329"/>
      <x:c r="G144" s="329"/>
      <x:c r="H144" s="329"/>
      <x:c r="I144" s="329"/>
      <x:c r="J144" s="329"/>
      <x:c r="K144" s="329"/>
      <x:c r="L144" s="329"/>
      <x:c r="M144" s="329"/>
      <x:c r="N144" s="329"/>
      <x:c r="O144" s="329"/>
      <x:c r="P144" s="329"/>
      <x:c r="Q144" s="329"/>
      <x:c r="R144" s="329"/>
      <x:c r="S144" s="329"/>
      <x:c r="T144" s="329"/>
      <x:c r="U144" s="329"/>
      <x:c r="V144" s="329"/>
      <x:c r="W144" s="329"/>
      <x:c r="X144" s="329"/>
      <x:c r="Y144" s="329"/>
      <x:c r="Z144" s="329"/>
      <x:c r="AA144" s="329"/>
      <x:c r="AB144" s="329"/>
      <x:c r="AC144" s="329"/>
      <x:c r="AD144" s="329"/>
      <x:c r="AE144" s="329"/>
    </x:row>
    <x:row r="145">
      <x:c r="A145" s="330" t="str">
        <x:v>Phase 3B Upgrade Path</x:v>
      </x:c>
      <x:c r="B145" s="329" t="str">
        <x:v>Dashboard automation may replace these materialized counts with refreshed helper logic when new event rows are added.</x:v>
      </x:c>
      <x:c r="C145" s="329"/>
      <x:c r="D145" s="329"/>
      <x:c r="E145" s="329"/>
      <x:c r="F145" s="329"/>
      <x:c r="G145" s="329"/>
      <x:c r="H145" s="329"/>
      <x:c r="I145" s="329"/>
      <x:c r="J145" s="329"/>
      <x:c r="K145" s="329"/>
      <x:c r="L145" s="329"/>
      <x:c r="M145" s="329"/>
      <x:c r="N145" s="329"/>
      <x:c r="O145" s="329"/>
      <x:c r="P145" s="329"/>
      <x:c r="Q145" s="329"/>
      <x:c r="R145" s="329"/>
      <x:c r="S145" s="329"/>
      <x:c r="T145" s="329"/>
      <x:c r="U145" s="329"/>
      <x:c r="V145" s="329"/>
      <x:c r="W145" s="329"/>
      <x:c r="X145" s="329"/>
      <x:c r="Y145" s="329"/>
      <x:c r="Z145" s="329"/>
      <x:c r="AA145" s="329"/>
      <x:c r="AB145" s="329"/>
      <x:c r="AC145" s="329"/>
      <x:c r="AD145" s="329"/>
      <x:c r="AE145" s="329"/>
    </x:row>
    <x:row r="146">
      <x:c r="A146" s="329"/>
      <x:c r="B146" s="329"/>
      <x:c r="C146" s="329"/>
      <x:c r="D146" s="329"/>
      <x:c r="E146" s="329"/>
      <x:c r="F146" s="329"/>
      <x:c r="G146" s="329"/>
      <x:c r="H146" s="329"/>
      <x:c r="I146" s="329"/>
      <x:c r="J146" s="329"/>
      <x:c r="K146" s="329"/>
      <x:c r="L146" s="329"/>
      <x:c r="M146" s="329"/>
      <x:c r="N146" s="329"/>
      <x:c r="O146" s="329"/>
      <x:c r="P146" s="329"/>
      <x:c r="Q146" s="329"/>
      <x:c r="R146" s="329"/>
      <x:c r="S146" s="329"/>
      <x:c r="T146" s="329"/>
      <x:c r="U146" s="329"/>
      <x:c r="V146" s="329"/>
      <x:c r="W146" s="329"/>
      <x:c r="X146" s="329"/>
      <x:c r="Y146" s="329"/>
      <x:c r="Z146" s="329"/>
      <x:c r="AA146" s="329"/>
      <x:c r="AB146" s="329"/>
      <x:c r="AC146" s="329"/>
      <x:c r="AD146" s="329"/>
      <x:c r="AE146" s="329"/>
    </x:row>
    <x:row r="147">
      <x:c r="A147" s="330" t="str">
        <x:v>Phase 3B</x:v>
      </x:c>
      <x:c r="B147" s="329" t="str">
        <x:v>Dashboard</x:v>
      </x:c>
      <x:c r="C147" s="329"/>
      <x:c r="D147" s="329"/>
      <x:c r="E147" s="329"/>
      <x:c r="F147" s="329"/>
      <x:c r="G147" s="329"/>
      <x:c r="H147" s="329"/>
      <x:c r="I147" s="329"/>
      <x:c r="J147" s="329"/>
      <x:c r="K147" s="329"/>
      <x:c r="L147" s="329"/>
      <x:c r="M147" s="329"/>
      <x:c r="N147" s="329"/>
      <x:c r="O147" s="329"/>
      <x:c r="P147" s="329"/>
      <x:c r="Q147" s="329"/>
      <x:c r="R147" s="329"/>
      <x:c r="S147" s="329"/>
      <x:c r="T147" s="329"/>
      <x:c r="U147" s="329"/>
      <x:c r="V147" s="329"/>
      <x:c r="W147" s="329"/>
      <x:c r="X147" s="329"/>
      <x:c r="Y147" s="329"/>
      <x:c r="Z147" s="329"/>
      <x:c r="AA147" s="329"/>
      <x:c r="AB147" s="329"/>
      <x:c r="AC147" s="329"/>
      <x:c r="AD147" s="329"/>
      <x:c r="AE147" s="329"/>
    </x:row>
    <x:row r="148">
      <x:c r="A148" s="330" t="str">
        <x:v>Dashboard Source Rule</x:v>
      </x:c>
      <x:c r="B148" s="329" t="str">
        <x:v>All KPI cards reference tblServiceEvents, tblLedger, or Phase 3A summary tables.</x:v>
      </x:c>
      <x:c r="C148" s="329"/>
      <x:c r="D148" s="329"/>
      <x:c r="E148" s="329"/>
      <x:c r="F148" s="329"/>
      <x:c r="G148" s="329"/>
      <x:c r="H148" s="329"/>
      <x:c r="I148" s="329"/>
      <x:c r="J148" s="329"/>
      <x:c r="K148" s="329"/>
      <x:c r="L148" s="329"/>
      <x:c r="M148" s="329"/>
      <x:c r="N148" s="329"/>
      <x:c r="O148" s="329"/>
      <x:c r="P148" s="329"/>
      <x:c r="Q148" s="329"/>
      <x:c r="R148" s="329"/>
      <x:c r="S148" s="329"/>
      <x:c r="T148" s="329"/>
      <x:c r="U148" s="329"/>
      <x:c r="V148" s="329"/>
      <x:c r="W148" s="329"/>
      <x:c r="X148" s="329"/>
      <x:c r="Y148" s="329"/>
      <x:c r="Z148" s="329"/>
      <x:c r="AA148" s="329"/>
      <x:c r="AB148" s="329"/>
      <x:c r="AC148" s="329"/>
      <x:c r="AD148" s="329"/>
      <x:c r="AE148" s="329"/>
    </x:row>
    <x:row r="149">
      <x:c r="A149" s="330" t="str">
        <x:v>Executive KPIs</x:v>
      </x:c>
      <x:c r="B149" s="329" t="str">
        <x:v>Completed events, clients, WOs, confirmed revenue, pending breakdown, pending ACH, and exceptions.</x:v>
      </x:c>
      <x:c r="C149" s="329"/>
      <x:c r="D149" s="329"/>
      <x:c r="E149" s="329"/>
      <x:c r="F149" s="329"/>
      <x:c r="G149" s="329"/>
      <x:c r="H149" s="329"/>
      <x:c r="I149" s="329"/>
      <x:c r="J149" s="329"/>
      <x:c r="K149" s="329"/>
      <x:c r="L149" s="329"/>
      <x:c r="M149" s="329"/>
      <x:c r="N149" s="329"/>
      <x:c r="O149" s="329"/>
      <x:c r="P149" s="329"/>
      <x:c r="Q149" s="329"/>
      <x:c r="R149" s="329"/>
      <x:c r="S149" s="329"/>
      <x:c r="T149" s="329"/>
      <x:c r="U149" s="329"/>
      <x:c r="V149" s="329"/>
      <x:c r="W149" s="329"/>
      <x:c r="X149" s="329"/>
      <x:c r="Y149" s="329"/>
      <x:c r="Z149" s="329"/>
      <x:c r="AA149" s="329"/>
      <x:c r="AB149" s="329"/>
      <x:c r="AC149" s="329"/>
      <x:c r="AD149" s="329"/>
      <x:c r="AE149" s="329"/>
    </x:row>
    <x:row r="150">
      <x:c r="A150" s="330" t="str">
        <x:v>Financial KPIs</x:v>
      </x:c>
      <x:c r="B150" s="329" t="str">
        <x:v>Average/event, average/week, worked days, average/worked day, completion rates, and outstanding confirmed revenue.</x:v>
      </x:c>
      <x:c r="C150" s="329"/>
      <x:c r="D150" s="329"/>
      <x:c r="E150" s="329"/>
      <x:c r="F150" s="329"/>
      <x:c r="G150" s="329"/>
      <x:c r="H150" s="329"/>
      <x:c r="I150" s="329"/>
      <x:c r="J150" s="329"/>
      <x:c r="K150" s="329"/>
      <x:c r="L150" s="329"/>
      <x:c r="M150" s="329"/>
      <x:c r="N150" s="329"/>
      <x:c r="O150" s="329"/>
      <x:c r="P150" s="329"/>
      <x:c r="Q150" s="329"/>
      <x:c r="R150" s="329"/>
      <x:c r="S150" s="329"/>
      <x:c r="T150" s="329"/>
      <x:c r="U150" s="329"/>
      <x:c r="V150" s="329"/>
      <x:c r="W150" s="329"/>
      <x:c r="X150" s="329"/>
      <x:c r="Y150" s="329"/>
      <x:c r="Z150" s="329"/>
      <x:c r="AA150" s="329"/>
      <x:c r="AB150" s="329"/>
      <x:c r="AC150" s="329"/>
      <x:c r="AD150" s="329"/>
      <x:c r="AE150" s="329"/>
    </x:row>
    <x:row r="151">
      <x:c r="A151" s="330" t="str">
        <x:v>Operational KPIs</x:v>
      </x:c>
      <x:c r="B151" s="329" t="str">
        <x:v>Current workweek, current MY_MONTH, utilization, events/week, revenue/week, mapping holds, and variance exposure.</x:v>
      </x:c>
      <x:c r="C151" s="329"/>
      <x:c r="D151" s="329"/>
      <x:c r="E151" s="329"/>
      <x:c r="F151" s="329"/>
      <x:c r="G151" s="329"/>
      <x:c r="H151" s="329"/>
      <x:c r="I151" s="329"/>
      <x:c r="J151" s="329"/>
      <x:c r="K151" s="329"/>
      <x:c r="L151" s="329"/>
      <x:c r="M151" s="329"/>
      <x:c r="N151" s="329"/>
      <x:c r="O151" s="329"/>
      <x:c r="P151" s="329"/>
      <x:c r="Q151" s="329"/>
      <x:c r="R151" s="329"/>
      <x:c r="S151" s="329"/>
      <x:c r="T151" s="329"/>
      <x:c r="U151" s="329"/>
      <x:c r="V151" s="329"/>
      <x:c r="W151" s="329"/>
      <x:c r="X151" s="329"/>
      <x:c r="Y151" s="329"/>
      <x:c r="Z151" s="329"/>
      <x:c r="AA151" s="329"/>
      <x:c r="AB151" s="329"/>
      <x:c r="AC151" s="329"/>
      <x:c r="AD151" s="329"/>
      <x:c r="AE151" s="329"/>
    </x:row>
    <x:row r="152">
      <x:c r="A152" s="330" t="str">
        <x:v>Weekday Panel</x:v>
      </x:c>
      <x:c r="B152" s="329" t="str">
        <x:v>References tblWeekdaySummary.</x:v>
      </x:c>
      <x:c r="C152" s="329"/>
      <x:c r="D152" s="329"/>
      <x:c r="E152" s="329"/>
      <x:c r="F152" s="329"/>
      <x:c r="G152" s="329"/>
      <x:c r="H152" s="329"/>
      <x:c r="I152" s="329"/>
      <x:c r="J152" s="329"/>
      <x:c r="K152" s="329"/>
      <x:c r="L152" s="329"/>
      <x:c r="M152" s="329"/>
      <x:c r="N152" s="329"/>
      <x:c r="O152" s="329"/>
      <x:c r="P152" s="329"/>
      <x:c r="Q152" s="329"/>
      <x:c r="R152" s="329"/>
      <x:c r="S152" s="329"/>
      <x:c r="T152" s="329"/>
      <x:c r="U152" s="329"/>
      <x:c r="V152" s="329"/>
      <x:c r="W152" s="329"/>
      <x:c r="X152" s="329"/>
      <x:c r="Y152" s="329"/>
      <x:c r="Z152" s="329"/>
      <x:c r="AA152" s="329"/>
      <x:c r="AB152" s="329"/>
      <x:c r="AC152" s="329"/>
      <x:c r="AD152" s="329"/>
      <x:c r="AE152" s="329"/>
    </x:row>
    <x:row r="153">
      <x:c r="A153" s="330" t="str">
        <x:v>Client Panel</x:v>
      </x:c>
      <x:c r="B153" s="329" t="str">
        <x:v>Ranks tblClientSummary by confirmed revenue.</x:v>
      </x:c>
      <x:c r="C153" s="329"/>
      <x:c r="D153" s="329"/>
      <x:c r="E153" s="329"/>
      <x:c r="F153" s="329"/>
      <x:c r="G153" s="329"/>
      <x:c r="H153" s="329"/>
      <x:c r="I153" s="329"/>
      <x:c r="J153" s="329"/>
      <x:c r="K153" s="329"/>
      <x:c r="L153" s="329"/>
      <x:c r="M153" s="329"/>
      <x:c r="N153" s="329"/>
      <x:c r="O153" s="329"/>
      <x:c r="P153" s="329"/>
      <x:c r="Q153" s="329"/>
      <x:c r="R153" s="329"/>
      <x:c r="S153" s="329"/>
      <x:c r="T153" s="329"/>
      <x:c r="U153" s="329"/>
      <x:c r="V153" s="329"/>
      <x:c r="W153" s="329"/>
      <x:c r="X153" s="329"/>
      <x:c r="Y153" s="329"/>
      <x:c r="Z153" s="329"/>
      <x:c r="AA153" s="329"/>
      <x:c r="AB153" s="329"/>
      <x:c r="AC153" s="329"/>
      <x:c r="AD153" s="329"/>
      <x:c r="AE153" s="329"/>
    </x:row>
    <x:row r="154">
      <x:c r="A154" s="330" t="str">
        <x:v>Jurisdiction Panel</x:v>
      </x:c>
      <x:c r="B154" s="329" t="str">
        <x:v>References tblStateSummary.</x:v>
      </x:c>
      <x:c r="C154" s="329"/>
      <x:c r="D154" s="329"/>
      <x:c r="E154" s="329"/>
      <x:c r="F154" s="329"/>
      <x:c r="G154" s="329"/>
      <x:c r="H154" s="329"/>
      <x:c r="I154" s="329"/>
      <x:c r="J154" s="329"/>
      <x:c r="K154" s="329"/>
      <x:c r="L154" s="329"/>
      <x:c r="M154" s="329"/>
      <x:c r="N154" s="329"/>
      <x:c r="O154" s="329"/>
      <x:c r="P154" s="329"/>
      <x:c r="Q154" s="329"/>
      <x:c r="R154" s="329"/>
      <x:c r="S154" s="329"/>
      <x:c r="T154" s="329"/>
      <x:c r="U154" s="329"/>
      <x:c r="V154" s="329"/>
      <x:c r="W154" s="329"/>
      <x:c r="X154" s="329"/>
      <x:c r="Y154" s="329"/>
      <x:c r="Z154" s="329"/>
      <x:c r="AA154" s="329"/>
      <x:c r="AB154" s="329"/>
      <x:c r="AC154" s="329"/>
      <x:c r="AD154" s="329"/>
      <x:c r="AE154" s="329"/>
    </x:row>
    <x:row r="155">
      <x:c r="A155" s="330" t="str">
        <x:v>MY_MONTH Panel</x:v>
      </x:c>
      <x:c r="B155" s="329" t="str">
        <x:v>References tblMonthSummary.</x:v>
      </x:c>
      <x:c r="C155" s="329"/>
      <x:c r="D155" s="329"/>
      <x:c r="E155" s="329"/>
      <x:c r="F155" s="329"/>
      <x:c r="G155" s="329"/>
      <x:c r="H155" s="329"/>
      <x:c r="I155" s="329"/>
      <x:c r="J155" s="329"/>
      <x:c r="K155" s="329"/>
      <x:c r="L155" s="329"/>
      <x:c r="M155" s="329"/>
      <x:c r="N155" s="329"/>
      <x:c r="O155" s="329"/>
      <x:c r="P155" s="329"/>
      <x:c r="Q155" s="329"/>
      <x:c r="R155" s="329"/>
      <x:c r="S155" s="329"/>
      <x:c r="T155" s="329"/>
      <x:c r="U155" s="329"/>
      <x:c r="V155" s="329"/>
      <x:c r="W155" s="329"/>
      <x:c r="X155" s="329"/>
      <x:c r="Y155" s="329"/>
      <x:c r="Z155" s="329"/>
      <x:c r="AA155" s="329"/>
      <x:c r="AB155" s="329"/>
      <x:c r="AC155" s="329"/>
      <x:c r="AD155" s="329"/>
      <x:c r="AE155" s="329"/>
    </x:row>
    <x:row r="156">
      <x:c r="A156" s="330" t="str">
        <x:v>Recent Events</x:v>
      </x:c>
      <x:c r="B156" s="329" t="str">
        <x:v>Uses INDEX/MATCH against tblServiceEvents and updates from the latest Event #.</x:v>
      </x:c>
      <x:c r="C156" s="329"/>
      <x:c r="D156" s="329"/>
      <x:c r="E156" s="329"/>
      <x:c r="F156" s="329"/>
      <x:c r="G156" s="329"/>
      <x:c r="H156" s="329"/>
      <x:c r="I156" s="329"/>
      <x:c r="J156" s="329"/>
      <x:c r="K156" s="329"/>
      <x:c r="L156" s="329"/>
      <x:c r="M156" s="329"/>
      <x:c r="N156" s="329"/>
      <x:c r="O156" s="329"/>
      <x:c r="P156" s="329"/>
      <x:c r="Q156" s="329"/>
      <x:c r="R156" s="329"/>
      <x:c r="S156" s="329"/>
      <x:c r="T156" s="329"/>
      <x:c r="U156" s="329"/>
      <x:c r="V156" s="329"/>
      <x:c r="W156" s="329"/>
      <x:c r="X156" s="329"/>
      <x:c r="Y156" s="329"/>
      <x:c r="Z156" s="329"/>
      <x:c r="AA156" s="329"/>
      <x:c r="AB156" s="329"/>
      <x:c r="AC156" s="329"/>
      <x:c r="AD156" s="329"/>
      <x:c r="AE156" s="329"/>
    </x:row>
    <x:row r="157">
      <x:c r="A157" s="330" t="str">
        <x:v>Worked-Day Dashboard Rule</x:v>
      </x:c>
      <x:c r="B157" s="329" t="str">
        <x:v>Worked Days equals the sum of active weekday occurrences in tblWeekdaySummary across the 12 complete weeks.</x:v>
      </x:c>
      <x:c r="C157" s="329"/>
      <x:c r="D157" s="329"/>
      <x:c r="E157" s="329"/>
      <x:c r="F157" s="329"/>
      <x:c r="G157" s="329"/>
      <x:c r="H157" s="329"/>
      <x:c r="I157" s="329"/>
      <x:c r="J157" s="329"/>
      <x:c r="K157" s="329"/>
      <x:c r="L157" s="329"/>
      <x:c r="M157" s="329"/>
      <x:c r="N157" s="329"/>
      <x:c r="O157" s="329"/>
      <x:c r="P157" s="329"/>
      <x:c r="Q157" s="329"/>
      <x:c r="R157" s="329"/>
      <x:c r="S157" s="329"/>
      <x:c r="T157" s="329"/>
      <x:c r="U157" s="329"/>
      <x:c r="V157" s="329"/>
      <x:c r="W157" s="329"/>
      <x:c r="X157" s="329"/>
      <x:c r="Y157" s="329"/>
      <x:c r="Z157" s="329"/>
      <x:c r="AA157" s="329"/>
      <x:c r="AB157" s="329"/>
      <x:c r="AC157" s="329"/>
      <x:c r="AD157" s="329"/>
      <x:c r="AE157" s="329"/>
    </x:row>
    <x:row r="158">
      <x:c r="A158" s="330" t="str">
        <x:v>Current Worked Days</x:v>
      </x:c>
      <x:c r="B158" s="329" t="n">
        <x:v>44</x:v>
      </x:c>
      <x:c r="C158" s="329" t="str">
        <x:v>8 Mondays + 10 Tuesdays + 11 Wednesdays + 10 Thursdays + 5 Fridays.</x:v>
      </x:c>
      <x:c r="D158" s="329"/>
      <x:c r="E158" s="329"/>
      <x:c r="F158" s="329"/>
      <x:c r="G158" s="329"/>
      <x:c r="H158" s="329"/>
      <x:c r="I158" s="329"/>
      <x:c r="J158" s="329"/>
      <x:c r="K158" s="329"/>
      <x:c r="L158" s="329"/>
      <x:c r="M158" s="329"/>
      <x:c r="N158" s="329"/>
      <x:c r="O158" s="329"/>
      <x:c r="P158" s="329"/>
      <x:c r="Q158" s="329"/>
      <x:c r="R158" s="329"/>
      <x:c r="S158" s="329"/>
      <x:c r="T158" s="329"/>
      <x:c r="U158" s="329"/>
      <x:c r="V158" s="329"/>
      <x:c r="W158" s="329"/>
      <x:c r="X158" s="329"/>
      <x:c r="Y158" s="329"/>
      <x:c r="Z158" s="329"/>
      <x:c r="AA158" s="329"/>
      <x:c r="AB158" s="329"/>
      <x:c r="AC158" s="329"/>
      <x:c r="AD158" s="329"/>
      <x:c r="AE158" s="329"/>
    </x:row>
    <x:row r="159">
      <x:c r="A159" s="329"/>
      <x:c r="B159" s="329"/>
      <x:c r="C159" s="329"/>
      <x:c r="D159" s="329"/>
      <x:c r="E159" s="329"/>
      <x:c r="F159" s="329"/>
      <x:c r="G159" s="329"/>
      <x:c r="H159" s="329"/>
      <x:c r="I159" s="329"/>
      <x:c r="J159" s="329"/>
      <x:c r="K159" s="329"/>
      <x:c r="L159" s="329"/>
      <x:c r="M159" s="329"/>
      <x:c r="N159" s="329"/>
      <x:c r="O159" s="329"/>
      <x:c r="P159" s="329"/>
      <x:c r="Q159" s="329"/>
      <x:c r="R159" s="329"/>
      <x:c r="S159" s="329"/>
      <x:c r="T159" s="329"/>
      <x:c r="U159" s="329"/>
      <x:c r="V159" s="329"/>
      <x:c r="W159" s="329"/>
      <x:c r="X159" s="329"/>
      <x:c r="Y159" s="329"/>
      <x:c r="Z159" s="329"/>
      <x:c r="AA159" s="329"/>
      <x:c r="AB159" s="329"/>
      <x:c r="AC159" s="329"/>
      <x:c r="AD159" s="329"/>
      <x:c r="AE159" s="329"/>
    </x:row>
    <x:row r="160">
      <x:c r="A160" s="330" t="str">
        <x:v>Phase 3C</x:v>
      </x:c>
      <x:c r="B160" s="329" t="str">
        <x:v>Leaderboards</x:v>
      </x:c>
      <x:c r="C160" s="329"/>
      <x:c r="D160" s="329"/>
      <x:c r="E160" s="329"/>
      <x:c r="F160" s="329"/>
      <x:c r="G160" s="329"/>
      <x:c r="H160" s="329"/>
      <x:c r="I160" s="329"/>
      <x:c r="J160" s="329"/>
      <x:c r="K160" s="329"/>
      <x:c r="L160" s="329"/>
      <x:c r="M160" s="329"/>
      <x:c r="N160" s="329"/>
      <x:c r="O160" s="329"/>
      <x:c r="P160" s="329"/>
      <x:c r="Q160" s="329"/>
      <x:c r="R160" s="329"/>
      <x:c r="S160" s="329"/>
      <x:c r="T160" s="329"/>
      <x:c r="U160" s="329"/>
      <x:c r="V160" s="329"/>
      <x:c r="W160" s="329"/>
      <x:c r="X160" s="329"/>
      <x:c r="Y160" s="329"/>
      <x:c r="Z160" s="329"/>
      <x:c r="AA160" s="329"/>
      <x:c r="AB160" s="329"/>
      <x:c r="AC160" s="329"/>
      <x:c r="AD160" s="329"/>
      <x:c r="AE160" s="329"/>
    </x:row>
    <x:row r="161">
      <x:c r="A161" s="330" t="str">
        <x:v>Client Revenue</x:v>
      </x:c>
      <x:c r="B161" s="329" t="str">
        <x:v>Top 10 clients ranked by confirmed revenue.</x:v>
      </x:c>
      <x:c r="C161" s="329"/>
      <x:c r="D161" s="329"/>
      <x:c r="E161" s="329"/>
      <x:c r="F161" s="329"/>
      <x:c r="G161" s="329"/>
      <x:c r="H161" s="329"/>
      <x:c r="I161" s="329"/>
      <x:c r="J161" s="329"/>
      <x:c r="K161" s="329"/>
      <x:c r="L161" s="329"/>
      <x:c r="M161" s="329"/>
      <x:c r="N161" s="329"/>
      <x:c r="O161" s="329"/>
      <x:c r="P161" s="329"/>
      <x:c r="Q161" s="329"/>
      <x:c r="R161" s="329"/>
      <x:c r="S161" s="329"/>
      <x:c r="T161" s="329"/>
      <x:c r="U161" s="329"/>
      <x:c r="V161" s="329"/>
      <x:c r="W161" s="329"/>
      <x:c r="X161" s="329"/>
      <x:c r="Y161" s="329"/>
      <x:c r="Z161" s="329"/>
      <x:c r="AA161" s="329"/>
      <x:c r="AB161" s="329"/>
      <x:c r="AC161" s="329"/>
      <x:c r="AD161" s="329"/>
      <x:c r="AE161" s="329"/>
    </x:row>
    <x:row r="162">
      <x:c r="A162" s="330" t="str">
        <x:v>Repeat Clients</x:v>
      </x:c>
      <x:c r="B162" s="329" t="str">
        <x:v>Top clients ranked by completed event count, with revenue tie-break.</x:v>
      </x:c>
      <x:c r="C162" s="329"/>
      <x:c r="D162" s="329"/>
      <x:c r="E162" s="329"/>
      <x:c r="F162" s="329"/>
      <x:c r="G162" s="329"/>
      <x:c r="H162" s="329"/>
      <x:c r="I162" s="329"/>
      <x:c r="J162" s="329"/>
      <x:c r="K162" s="329"/>
      <x:c r="L162" s="329"/>
      <x:c r="M162" s="329"/>
      <x:c r="N162" s="329"/>
      <x:c r="O162" s="329"/>
      <x:c r="P162" s="329"/>
      <x:c r="Q162" s="329"/>
      <x:c r="R162" s="329"/>
      <x:c r="S162" s="329"/>
      <x:c r="T162" s="329"/>
      <x:c r="U162" s="329"/>
      <x:c r="V162" s="329"/>
      <x:c r="W162" s="329"/>
      <x:c r="X162" s="329"/>
      <x:c r="Y162" s="329"/>
      <x:c r="Z162" s="329"/>
      <x:c r="AA162" s="329"/>
      <x:c r="AB162" s="329"/>
      <x:c r="AC162" s="329"/>
      <x:c r="AD162" s="329"/>
      <x:c r="AE162" s="329"/>
    </x:row>
    <x:row r="163">
      <x:c r="A163" s="330" t="str">
        <x:v>Client Average</x:v>
      </x:c>
      <x:c r="B163" s="329" t="str">
        <x:v>Top clients by average revenue per event; requires at least two events.</x:v>
      </x:c>
      <x:c r="C163" s="329"/>
      <x:c r="D163" s="329"/>
      <x:c r="E163" s="329"/>
      <x:c r="F163" s="329"/>
      <x:c r="G163" s="329"/>
      <x:c r="H163" s="329"/>
      <x:c r="I163" s="329"/>
      <x:c r="J163" s="329"/>
      <x:c r="K163" s="329"/>
      <x:c r="L163" s="329"/>
      <x:c r="M163" s="329"/>
      <x:c r="N163" s="329"/>
      <x:c r="O163" s="329"/>
      <x:c r="P163" s="329"/>
      <x:c r="Q163" s="329"/>
      <x:c r="R163" s="329"/>
      <x:c r="S163" s="329"/>
      <x:c r="T163" s="329"/>
      <x:c r="U163" s="329"/>
      <x:c r="V163" s="329"/>
      <x:c r="W163" s="329"/>
      <x:c r="X163" s="329"/>
      <x:c r="Y163" s="329"/>
      <x:c r="Z163" s="329"/>
      <x:c r="AA163" s="329"/>
      <x:c r="AB163" s="329"/>
      <x:c r="AC163" s="329"/>
      <x:c r="AD163" s="329"/>
      <x:c r="AE163" s="329"/>
    </x:row>
    <x:row r="164">
      <x:c r="A164" s="330" t="str">
        <x:v>Jurisdictions</x:v>
      </x:c>
      <x:c r="B164" s="329" t="str">
        <x:v>All jurisdictions ranked by confirmed revenue.</x:v>
      </x:c>
      <x:c r="C164" s="329"/>
      <x:c r="D164" s="329"/>
      <x:c r="E164" s="329"/>
      <x:c r="F164" s="329"/>
      <x:c r="G164" s="329"/>
      <x:c r="H164" s="329"/>
      <x:c r="I164" s="329"/>
      <x:c r="J164" s="329"/>
      <x:c r="K164" s="329"/>
      <x:c r="L164" s="329"/>
      <x:c r="M164" s="329"/>
      <x:c r="N164" s="329"/>
      <x:c r="O164" s="329"/>
      <x:c r="P164" s="329"/>
      <x:c r="Q164" s="329"/>
      <x:c r="R164" s="329"/>
      <x:c r="S164" s="329"/>
      <x:c r="T164" s="329"/>
      <x:c r="U164" s="329"/>
      <x:c r="V164" s="329"/>
      <x:c r="W164" s="329"/>
      <x:c r="X164" s="329"/>
      <x:c r="Y164" s="329"/>
      <x:c r="Z164" s="329"/>
      <x:c r="AA164" s="329"/>
      <x:c r="AB164" s="329"/>
      <x:c r="AC164" s="329"/>
      <x:c r="AD164" s="329"/>
      <x:c r="AE164" s="329"/>
    </x:row>
    <x:row r="165">
      <x:c r="A165" s="330" t="str">
        <x:v>Cities</x:v>
      </x:c>
      <x:c r="B165" s="329" t="str">
        <x:v>Top 10 service cities by confirmed revenue.</x:v>
      </x:c>
      <x:c r="C165" s="329"/>
      <x:c r="D165" s="329"/>
      <x:c r="E165" s="329"/>
      <x:c r="F165" s="329"/>
      <x:c r="G165" s="329"/>
      <x:c r="H165" s="329"/>
      <x:c r="I165" s="329"/>
      <x:c r="J165" s="329"/>
      <x:c r="K165" s="329"/>
      <x:c r="L165" s="329"/>
      <x:c r="M165" s="329"/>
      <x:c r="N165" s="329"/>
      <x:c r="O165" s="329"/>
      <x:c r="P165" s="329"/>
      <x:c r="Q165" s="329"/>
      <x:c r="R165" s="329"/>
      <x:c r="S165" s="329"/>
      <x:c r="T165" s="329"/>
      <x:c r="U165" s="329"/>
      <x:c r="V165" s="329"/>
      <x:c r="W165" s="329"/>
      <x:c r="X165" s="329"/>
      <x:c r="Y165" s="329"/>
      <x:c r="Z165" s="329"/>
      <x:c r="AA165" s="329"/>
      <x:c r="AB165" s="329"/>
      <x:c r="AC165" s="329"/>
      <x:c r="AD165" s="329"/>
      <x:c r="AE165" s="329"/>
    </x:row>
    <x:row r="166">
      <x:c r="A166" s="330" t="str">
        <x:v>Events</x:v>
      </x:c>
      <x:c r="B166" s="329" t="str">
        <x:v>Top 10 eligible events by confirmed revenue.</x:v>
      </x:c>
      <x:c r="C166" s="329"/>
      <x:c r="D166" s="329"/>
      <x:c r="E166" s="329"/>
      <x:c r="F166" s="329"/>
      <x:c r="G166" s="329"/>
      <x:c r="H166" s="329"/>
      <x:c r="I166" s="329"/>
      <x:c r="J166" s="329"/>
      <x:c r="K166" s="329"/>
      <x:c r="L166" s="329"/>
      <x:c r="M166" s="329"/>
      <x:c r="N166" s="329"/>
      <x:c r="O166" s="329"/>
      <x:c r="P166" s="329"/>
      <x:c r="Q166" s="329"/>
      <x:c r="R166" s="329"/>
      <x:c r="S166" s="329"/>
      <x:c r="T166" s="329"/>
      <x:c r="U166" s="329"/>
      <x:c r="V166" s="329"/>
      <x:c r="W166" s="329"/>
      <x:c r="X166" s="329"/>
      <x:c r="Y166" s="329"/>
      <x:c r="Z166" s="329"/>
      <x:c r="AA166" s="329"/>
      <x:c r="AB166" s="329"/>
      <x:c r="AC166" s="329"/>
      <x:c r="AD166" s="329"/>
      <x:c r="AE166" s="329"/>
    </x:row>
    <x:row r="167">
      <x:c r="A167" s="330" t="str">
        <x:v>Workweeks</x:v>
      </x:c>
      <x:c r="B167" s="329" t="str">
        <x:v>All 12 career workweeks ranked by confirmed revenue.</x:v>
      </x:c>
      <x:c r="C167" s="329"/>
      <x:c r="D167" s="329"/>
      <x:c r="E167" s="329"/>
      <x:c r="F167" s="329"/>
      <x:c r="G167" s="329"/>
      <x:c r="H167" s="329"/>
      <x:c r="I167" s="329"/>
      <x:c r="J167" s="329"/>
      <x:c r="K167" s="329"/>
      <x:c r="L167" s="329"/>
      <x:c r="M167" s="329"/>
      <x:c r="N167" s="329"/>
      <x:c r="O167" s="329"/>
      <x:c r="P167" s="329"/>
      <x:c r="Q167" s="329"/>
      <x:c r="R167" s="329"/>
      <x:c r="S167" s="329"/>
      <x:c r="T167" s="329"/>
      <x:c r="U167" s="329"/>
      <x:c r="V167" s="329"/>
      <x:c r="W167" s="329"/>
      <x:c r="X167" s="329"/>
      <x:c r="Y167" s="329"/>
      <x:c r="Z167" s="329"/>
      <x:c r="AA167" s="329"/>
      <x:c r="AB167" s="329"/>
      <x:c r="AC167" s="329"/>
      <x:c r="AD167" s="329"/>
      <x:c r="AE167" s="329"/>
    </x:row>
    <x:row r="168">
      <x:c r="A168" s="330" t="str">
        <x:v>MY_MONTH</x:v>
      </x:c>
      <x:c r="B168" s="329" t="str">
        <x:v>Three Barrister career months ranked by confirmed revenue.</x:v>
      </x:c>
      <x:c r="C168" s="329"/>
      <x:c r="D168" s="329"/>
      <x:c r="E168" s="329"/>
      <x:c r="F168" s="329"/>
      <x:c r="G168" s="329"/>
      <x:c r="H168" s="329"/>
      <x:c r="I168" s="329"/>
      <x:c r="J168" s="329"/>
      <x:c r="K168" s="329"/>
      <x:c r="L168" s="329"/>
      <x:c r="M168" s="329"/>
      <x:c r="N168" s="329"/>
      <x:c r="O168" s="329"/>
      <x:c r="P168" s="329"/>
      <x:c r="Q168" s="329"/>
      <x:c r="R168" s="329"/>
      <x:c r="S168" s="329"/>
      <x:c r="T168" s="329"/>
      <x:c r="U168" s="329"/>
      <x:c r="V168" s="329"/>
      <x:c r="W168" s="329"/>
      <x:c r="X168" s="329"/>
      <x:c r="Y168" s="329"/>
      <x:c r="Z168" s="329"/>
      <x:c r="AA168" s="329"/>
      <x:c r="AB168" s="329"/>
      <x:c r="AC168" s="329"/>
      <x:c r="AD168" s="329"/>
      <x:c r="AE168" s="329"/>
    </x:row>
    <x:row r="169">
      <x:c r="A169" s="330" t="str">
        <x:v>Worked Dates</x:v>
      </x:c>
      <x:c r="B169" s="329" t="str">
        <x:v>Top 12 service dates ranked by confirmed revenue.</x:v>
      </x:c>
      <x:c r="C169" s="329"/>
      <x:c r="D169" s="329"/>
      <x:c r="E169" s="329"/>
      <x:c r="F169" s="329"/>
      <x:c r="G169" s="329"/>
      <x:c r="H169" s="329"/>
      <x:c r="I169" s="329"/>
      <x:c r="J169" s="329"/>
      <x:c r="K169" s="329"/>
      <x:c r="L169" s="329"/>
      <x:c r="M169" s="329"/>
      <x:c r="N169" s="329"/>
      <x:c r="O169" s="329"/>
      <x:c r="P169" s="329"/>
      <x:c r="Q169" s="329"/>
      <x:c r="R169" s="329"/>
      <x:c r="S169" s="329"/>
      <x:c r="T169" s="329"/>
      <x:c r="U169" s="329"/>
      <x:c r="V169" s="329"/>
      <x:c r="W169" s="329"/>
      <x:c r="X169" s="329"/>
      <x:c r="Y169" s="329"/>
      <x:c r="Z169" s="329"/>
      <x:c r="AA169" s="329"/>
      <x:c r="AB169" s="329"/>
      <x:c r="AC169" s="329"/>
      <x:c r="AD169" s="329"/>
      <x:c r="AE169" s="329"/>
    </x:row>
    <x:row r="170">
      <x:c r="A170" s="330" t="str">
        <x:v>Leaderboard Source Rule</x:v>
      </x:c>
      <x:c r="B170" s="329" t="str">
        <x:v>All ranking values derive from tblServiceEvents, tblLedger, or Phase 3A summary tables.</x:v>
      </x:c>
      <x:c r="C170" s="329"/>
      <x:c r="D170" s="329"/>
      <x:c r="E170" s="329"/>
      <x:c r="F170" s="329"/>
      <x:c r="G170" s="329"/>
      <x:c r="H170" s="329"/>
      <x:c r="I170" s="329"/>
      <x:c r="J170" s="329"/>
      <x:c r="K170" s="329"/>
      <x:c r="L170" s="329"/>
      <x:c r="M170" s="329"/>
      <x:c r="N170" s="329"/>
      <x:c r="O170" s="329"/>
      <x:c r="P170" s="329"/>
      <x:c r="Q170" s="329"/>
      <x:c r="R170" s="329"/>
      <x:c r="S170" s="329"/>
      <x:c r="T170" s="329"/>
      <x:c r="U170" s="329"/>
      <x:c r="V170" s="329"/>
      <x:c r="W170" s="329"/>
      <x:c r="X170" s="329"/>
      <x:c r="Y170" s="329"/>
      <x:c r="Z170" s="329"/>
      <x:c r="AA170" s="329"/>
      <x:c r="AB170" s="329"/>
      <x:c r="AC170" s="329"/>
      <x:c r="AD170" s="329"/>
      <x:c r="AE170" s="329"/>
    </x:row>
    <x:row r="171">
      <x:c r="A171" s="329"/>
      <x:c r="B171" s="329"/>
      <x:c r="C171" s="329"/>
      <x:c r="D171" s="329"/>
      <x:c r="E171" s="329"/>
      <x:c r="F171" s="329"/>
      <x:c r="G171" s="329"/>
      <x:c r="H171" s="329"/>
      <x:c r="I171" s="329"/>
      <x:c r="J171" s="329"/>
      <x:c r="K171" s="329"/>
      <x:c r="L171" s="329"/>
      <x:c r="M171" s="329"/>
      <x:c r="N171" s="329"/>
      <x:c r="O171" s="329"/>
      <x:c r="P171" s="329"/>
      <x:c r="Q171" s="329"/>
      <x:c r="R171" s="329"/>
      <x:c r="S171" s="329"/>
      <x:c r="T171" s="329"/>
      <x:c r="U171" s="329"/>
      <x:c r="V171" s="329"/>
      <x:c r="W171" s="329"/>
      <x:c r="X171" s="329"/>
      <x:c r="Y171" s="329"/>
      <x:c r="Z171" s="329"/>
      <x:c r="AA171" s="329"/>
      <x:c r="AB171" s="329"/>
      <x:c r="AC171" s="329"/>
      <x:c r="AD171" s="329"/>
      <x:c r="AE171" s="329"/>
    </x:row>
    <x:row r="172">
      <x:c r="A172" s="330" t="str">
        <x:v>Phase 3D</x:v>
      </x:c>
      <x:c r="B172" s="329" t="str">
        <x:v>Exception Engine</x:v>
      </x:c>
      <x:c r="C172" s="329"/>
      <x:c r="D172" s="329"/>
      <x:c r="E172" s="329"/>
      <x:c r="F172" s="329"/>
      <x:c r="G172" s="329"/>
      <x:c r="H172" s="329"/>
      <x:c r="I172" s="329"/>
      <x:c r="J172" s="329"/>
      <x:c r="K172" s="329"/>
      <x:c r="L172" s="329"/>
      <x:c r="M172" s="329"/>
      <x:c r="N172" s="329"/>
      <x:c r="O172" s="329"/>
      <x:c r="P172" s="329"/>
      <x:c r="Q172" s="329"/>
      <x:c r="R172" s="329"/>
      <x:c r="S172" s="329"/>
      <x:c r="T172" s="329"/>
      <x:c r="U172" s="329"/>
      <x:c r="V172" s="329"/>
      <x:c r="W172" s="329"/>
      <x:c r="X172" s="329"/>
      <x:c r="Y172" s="329"/>
      <x:c r="Z172" s="329"/>
      <x:c r="AA172" s="329"/>
      <x:c r="AB172" s="329"/>
      <x:c r="AC172" s="329"/>
      <x:c r="AD172" s="329"/>
      <x:c r="AE172" s="329"/>
    </x:row>
    <x:row r="173">
      <x:c r="A173" s="330" t="str">
        <x:v>Ledger Matrix</x:v>
      </x:c>
      <x:c r="B173" s="329" t="str">
        <x:v>One formula-driven control row per tblLedger record.</x:v>
      </x:c>
      <x:c r="C173" s="329"/>
      <x:c r="D173" s="329"/>
      <x:c r="E173" s="329"/>
      <x:c r="F173" s="329"/>
      <x:c r="G173" s="329"/>
      <x:c r="H173" s="329"/>
      <x:c r="I173" s="329"/>
      <x:c r="J173" s="329"/>
      <x:c r="K173" s="329"/>
      <x:c r="L173" s="329"/>
      <x:c r="M173" s="329"/>
      <x:c r="N173" s="329"/>
      <x:c r="O173" s="329"/>
      <x:c r="P173" s="329"/>
      <x:c r="Q173" s="329"/>
      <x:c r="R173" s="329"/>
      <x:c r="S173" s="329"/>
      <x:c r="T173" s="329"/>
      <x:c r="U173" s="329"/>
      <x:c r="V173" s="329"/>
      <x:c r="W173" s="329"/>
      <x:c r="X173" s="329"/>
      <x:c r="Y173" s="329"/>
      <x:c r="Z173" s="329"/>
      <x:c r="AA173" s="329"/>
      <x:c r="AB173" s="329"/>
      <x:c r="AC173" s="329"/>
      <x:c r="AD173" s="329"/>
      <x:c r="AE173" s="329"/>
    </x:row>
    <x:row r="174">
      <x:c r="A174" s="330" t="str">
        <x:v>Event Matrix</x:v>
      </x:c>
      <x:c r="B174" s="329" t="str">
        <x:v>One formula-driven control row per tblServiceEvents record.</x:v>
      </x:c>
      <x:c r="C174" s="329"/>
      <x:c r="D174" s="329"/>
      <x:c r="E174" s="329"/>
      <x:c r="F174" s="329"/>
      <x:c r="G174" s="329"/>
      <x:c r="H174" s="329"/>
      <x:c r="I174" s="329"/>
      <x:c r="J174" s="329"/>
      <x:c r="K174" s="329"/>
      <x:c r="L174" s="329"/>
      <x:c r="M174" s="329"/>
      <x:c r="N174" s="329"/>
      <x:c r="O174" s="329"/>
      <x:c r="P174" s="329"/>
      <x:c r="Q174" s="329"/>
      <x:c r="R174" s="329"/>
      <x:c r="S174" s="329"/>
      <x:c r="T174" s="329"/>
      <x:c r="U174" s="329"/>
      <x:c r="V174" s="329"/>
      <x:c r="W174" s="329"/>
      <x:c r="X174" s="329"/>
      <x:c r="Y174" s="329"/>
      <x:c r="Z174" s="329"/>
      <x:c r="AA174" s="329"/>
      <x:c r="AB174" s="329"/>
      <x:c r="AC174" s="329"/>
      <x:c r="AD174" s="329"/>
      <x:c r="AE174" s="329"/>
    </x:row>
    <x:row r="175">
      <x:c r="A175" s="330" t="str">
        <x:v>Critical Logic</x:v>
      </x:c>
      <x:c r="B175" s="329" t="str">
        <x:v>Mapping holds, duplicate WOs, duplicate events, and missing event links.</x:v>
      </x:c>
      <x:c r="C175" s="329"/>
      <x:c r="D175" s="329"/>
      <x:c r="E175" s="329"/>
      <x:c r="F175" s="329"/>
      <x:c r="G175" s="329"/>
      <x:c r="H175" s="329"/>
      <x:c r="I175" s="329"/>
      <x:c r="J175" s="329"/>
      <x:c r="K175" s="329"/>
      <x:c r="L175" s="329"/>
      <x:c r="M175" s="329"/>
      <x:c r="N175" s="329"/>
      <x:c r="O175" s="329"/>
      <x:c r="P175" s="329"/>
      <x:c r="Q175" s="329"/>
      <x:c r="R175" s="329"/>
      <x:c r="S175" s="329"/>
      <x:c r="T175" s="329"/>
      <x:c r="U175" s="329"/>
      <x:c r="V175" s="329"/>
      <x:c r="W175" s="329"/>
      <x:c r="X175" s="329"/>
      <x:c r="Y175" s="329"/>
      <x:c r="Z175" s="329"/>
      <x:c r="AA175" s="329"/>
      <x:c r="AB175" s="329"/>
      <x:c r="AC175" s="329"/>
      <x:c r="AD175" s="329"/>
      <x:c r="AE175" s="329"/>
    </x:row>
    <x:row r="176">
      <x:c r="A176" s="330" t="str">
        <x:v>Warning Logic</x:v>
      </x:c>
      <x:c r="B176" s="329" t="str">
        <x:v>Revenue variances, partial breakdowns, missing client/location/date, and invalid dimensions.</x:v>
      </x:c>
      <x:c r="C176" s="329"/>
      <x:c r="D176" s="329"/>
      <x:c r="E176" s="329"/>
      <x:c r="F176" s="329"/>
      <x:c r="G176" s="329"/>
      <x:c r="H176" s="329"/>
      <x:c r="I176" s="329"/>
      <x:c r="J176" s="329"/>
      <x:c r="K176" s="329"/>
      <x:c r="L176" s="329"/>
      <x:c r="M176" s="329"/>
      <x:c r="N176" s="329"/>
      <x:c r="O176" s="329"/>
      <x:c r="P176" s="329"/>
      <x:c r="Q176" s="329"/>
      <x:c r="R176" s="329"/>
      <x:c r="S176" s="329"/>
      <x:c r="T176" s="329"/>
      <x:c r="U176" s="329"/>
      <x:c r="V176" s="329"/>
      <x:c r="W176" s="329"/>
      <x:c r="X176" s="329"/>
      <x:c r="Y176" s="329"/>
      <x:c r="Z176" s="329"/>
      <x:c r="AA176" s="329"/>
      <x:c r="AB176" s="329"/>
      <x:c r="AC176" s="329"/>
      <x:c r="AD176" s="329"/>
      <x:c r="AE176" s="329"/>
    </x:row>
    <x:row r="177">
      <x:c r="A177" s="330" t="str">
        <x:v>Informational Logic</x:v>
      </x:c>
      <x:c r="B177" s="329" t="str">
        <x:v>Pending breakdowns, pending ACHs, and events with no linked WO.</x:v>
      </x:c>
      <x:c r="C177" s="329"/>
      <x:c r="D177" s="329"/>
      <x:c r="E177" s="329"/>
      <x:c r="F177" s="329"/>
      <x:c r="G177" s="329"/>
      <x:c r="H177" s="329"/>
      <x:c r="I177" s="329"/>
      <x:c r="J177" s="329"/>
      <x:c r="K177" s="329"/>
      <x:c r="L177" s="329"/>
      <x:c r="M177" s="329"/>
      <x:c r="N177" s="329"/>
      <x:c r="O177" s="329"/>
      <x:c r="P177" s="329"/>
      <x:c r="Q177" s="329"/>
      <x:c r="R177" s="329"/>
      <x:c r="S177" s="329"/>
      <x:c r="T177" s="329"/>
      <x:c r="U177" s="329"/>
      <x:c r="V177" s="329"/>
      <x:c r="W177" s="329"/>
      <x:c r="X177" s="329"/>
      <x:c r="Y177" s="329"/>
      <x:c r="Z177" s="329"/>
      <x:c r="AA177" s="329"/>
      <x:c r="AB177" s="329"/>
      <x:c r="AC177" s="329"/>
      <x:c r="AD177" s="329"/>
      <x:c r="AE177" s="329"/>
    </x:row>
    <x:row r="178">
      <x:c r="A178" s="330" t="str">
        <x:v>Snapshot</x:v>
      </x:c>
      <x:c r="B178" s="329" t="str">
        <x:v>Current Open Exceptions table provides a readable point-in-time operational queue.</x:v>
      </x:c>
      <x:c r="C178" s="329"/>
      <x:c r="D178" s="329"/>
      <x:c r="E178" s="329"/>
      <x:c r="F178" s="329"/>
      <x:c r="G178" s="329"/>
      <x:c r="H178" s="329"/>
      <x:c r="I178" s="329"/>
      <x:c r="J178" s="329"/>
      <x:c r="K178" s="329"/>
      <x:c r="L178" s="329"/>
      <x:c r="M178" s="329"/>
      <x:c r="N178" s="329"/>
      <x:c r="O178" s="329"/>
      <x:c r="P178" s="329"/>
      <x:c r="Q178" s="329"/>
      <x:c r="R178" s="329"/>
      <x:c r="S178" s="329"/>
      <x:c r="T178" s="329"/>
      <x:c r="U178" s="329"/>
      <x:c r="V178" s="329"/>
      <x:c r="W178" s="329"/>
      <x:c r="X178" s="329"/>
      <x:c r="Y178" s="329"/>
      <x:c r="Z178" s="329"/>
      <x:c r="AA178" s="329"/>
      <x:c r="AB178" s="329"/>
      <x:c r="AC178" s="329"/>
      <x:c r="AD178" s="329"/>
      <x:c r="AE178" s="329"/>
    </x:row>
    <x:row r="179">
      <x:c r="A179" s="330" t="str">
        <x:v>Dynamic KPI Rule</x:v>
      </x:c>
      <x:c r="B179" s="329" t="str">
        <x:v>Exception KPI cards count the two formula-driven matrices.</x:v>
      </x:c>
      <x:c r="C179" s="329"/>
      <x:c r="D179" s="329"/>
      <x:c r="E179" s="329"/>
      <x:c r="F179" s="329"/>
      <x:c r="G179" s="329"/>
      <x:c r="H179" s="329"/>
      <x:c r="I179" s="329"/>
      <x:c r="J179" s="329"/>
      <x:c r="K179" s="329"/>
      <x:c r="L179" s="329"/>
      <x:c r="M179" s="329"/>
      <x:c r="N179" s="329"/>
      <x:c r="O179" s="329"/>
      <x:c r="P179" s="329"/>
      <x:c r="Q179" s="329"/>
      <x:c r="R179" s="329"/>
      <x:c r="S179" s="329"/>
      <x:c r="T179" s="329"/>
      <x:c r="U179" s="329"/>
      <x:c r="V179" s="329"/>
      <x:c r="W179" s="329"/>
      <x:c r="X179" s="329"/>
      <x:c r="Y179" s="329"/>
      <x:c r="Z179" s="329"/>
      <x:c r="AA179" s="329"/>
      <x:c r="AB179" s="329"/>
      <x:c r="AC179" s="329"/>
      <x:c r="AD179" s="329"/>
      <x:c r="AE179" s="329"/>
    </x:row>
    <x:row r="180">
      <x:c r="A180" s="330" t="str">
        <x:v>Dashboard Integration</x:v>
      </x:c>
      <x:c r="B180" s="329" t="str">
        <x:v>Dashboard Open Exceptions now reads from the Phase 3D matrices.</x:v>
      </x:c>
      <x:c r="C180" s="329"/>
      <x:c r="D180" s="329"/>
      <x:c r="E180" s="329"/>
      <x:c r="F180" s="329"/>
      <x:c r="G180" s="329"/>
      <x:c r="H180" s="329"/>
      <x:c r="I180" s="329"/>
      <x:c r="J180" s="329"/>
      <x:c r="K180" s="329"/>
      <x:c r="L180" s="329"/>
      <x:c r="M180" s="329"/>
      <x:c r="N180" s="329"/>
      <x:c r="O180" s="329"/>
      <x:c r="P180" s="329"/>
      <x:c r="Q180" s="329"/>
      <x:c r="R180" s="329"/>
      <x:c r="S180" s="329"/>
      <x:c r="T180" s="329"/>
      <x:c r="U180" s="329"/>
      <x:c r="V180" s="329"/>
      <x:c r="W180" s="329"/>
      <x:c r="X180" s="329"/>
      <x:c r="Y180" s="329"/>
      <x:c r="Z180" s="329"/>
      <x:c r="AA180" s="329"/>
      <x:c r="AB180" s="329"/>
      <x:c r="AC180" s="329"/>
      <x:c r="AD180" s="329"/>
      <x:c r="AE180" s="329"/>
    </x:row>
    <x:row r="181">
      <x:c r="A181" s="330" t="str">
        <x:v>Mapping Hold Rule</x:v>
      </x:c>
      <x:c r="B181" s="329" t="str">
        <x:v>No automatic financial reassignment or closure while Mapping Status = MAPPING_HOLD.</x:v>
      </x:c>
      <x:c r="C181" s="329"/>
      <x:c r="D181" s="329"/>
      <x:c r="E181" s="329"/>
      <x:c r="F181" s="329"/>
      <x:c r="G181" s="329"/>
      <x:c r="H181" s="329"/>
      <x:c r="I181" s="329"/>
      <x:c r="J181" s="329"/>
      <x:c r="K181" s="329"/>
      <x:c r="L181" s="329"/>
      <x:c r="M181" s="329"/>
      <x:c r="N181" s="329"/>
      <x:c r="O181" s="329"/>
      <x:c r="P181" s="329"/>
      <x:c r="Q181" s="329"/>
      <x:c r="R181" s="329"/>
      <x:c r="S181" s="329"/>
      <x:c r="T181" s="329"/>
      <x:c r="U181" s="329"/>
      <x:c r="V181" s="329"/>
      <x:c r="W181" s="329"/>
      <x:c r="X181" s="329"/>
      <x:c r="Y181" s="329"/>
      <x:c r="Z181" s="329"/>
      <x:c r="AA181" s="329"/>
      <x:c r="AB181" s="329"/>
      <x:c r="AC181" s="329"/>
      <x:c r="AD181" s="329"/>
      <x:c r="AE181" s="329"/>
    </x:row>
    <x:row r="182">
      <x:c r="A182" s="330" t="str">
        <x:v>Duplicate Rule</x:v>
      </x:c>
      <x:c r="B182" s="329" t="str">
        <x:v>Duplicate identifiers are surfaced; the engine never resolves them by guessing.</x:v>
      </x:c>
      <x:c r="C182" s="329"/>
      <x:c r="D182" s="329"/>
      <x:c r="E182" s="329"/>
      <x:c r="F182" s="329"/>
      <x:c r="G182" s="329"/>
      <x:c r="H182" s="329"/>
      <x:c r="I182" s="329"/>
      <x:c r="J182" s="329"/>
      <x:c r="K182" s="329"/>
      <x:c r="L182" s="329"/>
      <x:c r="M182" s="329"/>
      <x:c r="N182" s="329"/>
      <x:c r="O182" s="329"/>
      <x:c r="P182" s="329"/>
      <x:c r="Q182" s="329"/>
      <x:c r="R182" s="329"/>
      <x:c r="S182" s="329"/>
      <x:c r="T182" s="329"/>
      <x:c r="U182" s="329"/>
      <x:c r="V182" s="329"/>
      <x:c r="W182" s="329"/>
      <x:c r="X182" s="329"/>
      <x:c r="Y182" s="329"/>
      <x:c r="Z182" s="329"/>
      <x:c r="AA182" s="329"/>
      <x:c r="AB182" s="329"/>
      <x:c r="AC182" s="329"/>
      <x:c r="AD182" s="329"/>
      <x:c r="AE182" s="329"/>
    </x:row>
    <x:row r="183">
      <x:c r="A183" s="330" t="str">
        <x:v>Variance Rule</x:v>
      </x:c>
      <x:c r="B183" s="329" t="str">
        <x:v>Any nonzero variance or mismatch classification remains open until reconciled.</x:v>
      </x:c>
      <x:c r="C183" s="329"/>
      <x:c r="D183" s="329"/>
      <x:c r="E183" s="329"/>
      <x:c r="F183" s="329"/>
      <x:c r="G183" s="329"/>
      <x:c r="H183" s="329"/>
      <x:c r="I183" s="329"/>
      <x:c r="J183" s="329"/>
      <x:c r="K183" s="329"/>
      <x:c r="L183" s="329"/>
      <x:c r="M183" s="329"/>
      <x:c r="N183" s="329"/>
      <x:c r="O183" s="329"/>
      <x:c r="P183" s="329"/>
      <x:c r="Q183" s="329"/>
      <x:c r="R183" s="329"/>
      <x:c r="S183" s="329"/>
      <x:c r="T183" s="329"/>
      <x:c r="U183" s="329"/>
      <x:c r="V183" s="329"/>
      <x:c r="W183" s="329"/>
      <x:c r="X183" s="329"/>
      <x:c r="Y183" s="329"/>
      <x:c r="Z183" s="329"/>
      <x:c r="AA183" s="329"/>
      <x:c r="AB183" s="329"/>
      <x:c r="AC183" s="329"/>
      <x:c r="AD183" s="329"/>
      <x:c r="AE183" s="329"/>
    </x:row>
    <x:row r="184">
      <x:c r="A184" s="330" t="str">
        <x:v>Source Rule</x:v>
      </x:c>
      <x:c r="B184" s="329" t="str">
        <x:v>Exception logic derives only from tblLedger and tblServiceEvents.</x:v>
      </x:c>
      <x:c r="C184" s="329"/>
      <x:c r="D184" s="329"/>
      <x:c r="E184" s="329"/>
      <x:c r="F184" s="329"/>
      <x:c r="G184" s="329"/>
      <x:c r="H184" s="329"/>
      <x:c r="I184" s="329"/>
      <x:c r="J184" s="329"/>
      <x:c r="K184" s="329"/>
      <x:c r="L184" s="329"/>
      <x:c r="M184" s="329"/>
      <x:c r="N184" s="329"/>
      <x:c r="O184" s="329"/>
      <x:c r="P184" s="329"/>
      <x:c r="Q184" s="329"/>
      <x:c r="R184" s="329"/>
      <x:c r="S184" s="329"/>
      <x:c r="T184" s="329"/>
      <x:c r="U184" s="329"/>
      <x:c r="V184" s="329"/>
      <x:c r="W184" s="329"/>
      <x:c r="X184" s="329"/>
      <x:c r="Y184" s="329"/>
      <x:c r="Z184" s="329"/>
      <x:c r="AA184" s="329"/>
      <x:c r="AB184" s="329"/>
      <x:c r="AC184" s="329"/>
      <x:c r="AD184" s="329"/>
      <x:c r="AE184" s="329"/>
    </x:row>
    <x:row r="185">
      <x:c r="A185" s="329"/>
      <x:c r="B185" s="329"/>
      <x:c r="C185" s="329"/>
      <x:c r="D185" s="329"/>
      <x:c r="E185" s="329"/>
      <x:c r="F185" s="329"/>
      <x:c r="G185" s="329"/>
      <x:c r="H185" s="329"/>
      <x:c r="I185" s="329"/>
      <x:c r="J185" s="329"/>
      <x:c r="K185" s="329"/>
      <x:c r="L185" s="329"/>
      <x:c r="M185" s="329"/>
      <x:c r="N185" s="329"/>
      <x:c r="O185" s="329"/>
      <x:c r="P185" s="329"/>
      <x:c r="Q185" s="329"/>
      <x:c r="R185" s="329"/>
      <x:c r="S185" s="329"/>
      <x:c r="T185" s="329"/>
      <x:c r="U185" s="329"/>
      <x:c r="V185" s="329"/>
      <x:c r="W185" s="329"/>
      <x:c r="X185" s="329"/>
      <x:c r="Y185" s="329"/>
      <x:c r="Z185" s="329"/>
      <x:c r="AA185" s="329"/>
      <x:c r="AB185" s="329"/>
      <x:c r="AC185" s="329"/>
      <x:c r="AD185" s="329"/>
      <x:c r="AE185" s="329"/>
    </x:row>
    <x:row r="186">
      <x:c r="A186" s="330" t="str">
        <x:v>Phase 3E</x:v>
      </x:c>
      <x:c r="B186" s="329" t="str">
        <x:v>Charts</x:v>
      </x:c>
      <x:c r="C186" s="329"/>
      <x:c r="D186" s="329"/>
      <x:c r="E186" s="329"/>
      <x:c r="F186" s="329"/>
      <x:c r="G186" s="329"/>
      <x:c r="H186" s="329"/>
      <x:c r="I186" s="329"/>
      <x:c r="J186" s="329"/>
      <x:c r="K186" s="329"/>
      <x:c r="L186" s="329"/>
      <x:c r="M186" s="329"/>
      <x:c r="N186" s="329"/>
      <x:c r="O186" s="329"/>
      <x:c r="P186" s="329"/>
      <x:c r="Q186" s="329"/>
      <x:c r="R186" s="329"/>
      <x:c r="S186" s="329"/>
      <x:c r="T186" s="329"/>
      <x:c r="U186" s="329"/>
      <x:c r="V186" s="329"/>
      <x:c r="W186" s="329"/>
      <x:c r="X186" s="329"/>
      <x:c r="Y186" s="329"/>
      <x:c r="Z186" s="329"/>
      <x:c r="AA186" s="329"/>
      <x:c r="AB186" s="329"/>
      <x:c r="AC186" s="329"/>
      <x:c r="AD186" s="329"/>
      <x:c r="AE186" s="329"/>
    </x:row>
    <x:row r="187">
      <x:c r="A187" s="330" t="str">
        <x:v>Dashboard Charts</x:v>
      </x:c>
      <x:c r="B187" s="329" t="str">
        <x:v>Eight production charts added to the Dashboard.</x:v>
      </x:c>
      <x:c r="C187" s="329"/>
      <x:c r="D187" s="329"/>
      <x:c r="E187" s="329"/>
      <x:c r="F187" s="329"/>
      <x:c r="G187" s="329"/>
      <x:c r="H187" s="329"/>
      <x:c r="I187" s="329"/>
      <x:c r="J187" s="329"/>
      <x:c r="K187" s="329"/>
      <x:c r="L187" s="329"/>
      <x:c r="M187" s="329"/>
      <x:c r="N187" s="329"/>
      <x:c r="O187" s="329"/>
      <x:c r="P187" s="329"/>
      <x:c r="Q187" s="329"/>
      <x:c r="R187" s="329"/>
      <x:c r="S187" s="329"/>
      <x:c r="T187" s="329"/>
      <x:c r="U187" s="329"/>
      <x:c r="V187" s="329"/>
      <x:c r="W187" s="329"/>
      <x:c r="X187" s="329"/>
      <x:c r="Y187" s="329"/>
      <x:c r="Z187" s="329"/>
      <x:c r="AA187" s="329"/>
      <x:c r="AB187" s="329"/>
      <x:c r="AC187" s="329"/>
      <x:c r="AD187" s="329"/>
      <x:c r="AE187" s="329"/>
    </x:row>
    <x:row r="188">
      <x:c r="A188" s="330" t="str">
        <x:v>Weekday Revenue</x:v>
      </x:c>
      <x:c r="B188" s="329" t="str">
        <x:v>Confirmed revenue by weekday.</x:v>
      </x:c>
      <x:c r="C188" s="329"/>
      <x:c r="D188" s="329"/>
      <x:c r="E188" s="329"/>
      <x:c r="F188" s="329"/>
      <x:c r="G188" s="329"/>
      <x:c r="H188" s="329"/>
      <x:c r="I188" s="329"/>
      <x:c r="J188" s="329"/>
      <x:c r="K188" s="329"/>
      <x:c r="L188" s="329"/>
      <x:c r="M188" s="329"/>
      <x:c r="N188" s="329"/>
      <x:c r="O188" s="329"/>
      <x:c r="P188" s="329"/>
      <x:c r="Q188" s="329"/>
      <x:c r="R188" s="329"/>
      <x:c r="S188" s="329"/>
      <x:c r="T188" s="329"/>
      <x:c r="U188" s="329"/>
      <x:c r="V188" s="329"/>
      <x:c r="W188" s="329"/>
      <x:c r="X188" s="329"/>
      <x:c r="Y188" s="329"/>
      <x:c r="Z188" s="329"/>
      <x:c r="AA188" s="329"/>
      <x:c r="AB188" s="329"/>
      <x:c r="AC188" s="329"/>
      <x:c r="AD188" s="329"/>
      <x:c r="AE188" s="329"/>
    </x:row>
    <x:row r="189">
      <x:c r="A189" s="330" t="str">
        <x:v>Jurisdiction Revenue</x:v>
      </x:c>
      <x:c r="B189" s="329" t="str">
        <x:v>Confirmed revenue by jurisdiction.</x:v>
      </x:c>
      <x:c r="C189" s="329"/>
      <x:c r="D189" s="329"/>
      <x:c r="E189" s="329"/>
      <x:c r="F189" s="329"/>
      <x:c r="G189" s="329"/>
      <x:c r="H189" s="329"/>
      <x:c r="I189" s="329"/>
      <x:c r="J189" s="329"/>
      <x:c r="K189" s="329"/>
      <x:c r="L189" s="329"/>
      <x:c r="M189" s="329"/>
      <x:c r="N189" s="329"/>
      <x:c r="O189" s="329"/>
      <x:c r="P189" s="329"/>
      <x:c r="Q189" s="329"/>
      <x:c r="R189" s="329"/>
      <x:c r="S189" s="329"/>
      <x:c r="T189" s="329"/>
      <x:c r="U189" s="329"/>
      <x:c r="V189" s="329"/>
      <x:c r="W189" s="329"/>
      <x:c r="X189" s="329"/>
      <x:c r="Y189" s="329"/>
      <x:c r="Z189" s="329"/>
      <x:c r="AA189" s="329"/>
      <x:c r="AB189" s="329"/>
      <x:c r="AC189" s="329"/>
      <x:c r="AD189" s="329"/>
      <x:c r="AE189" s="329"/>
    </x:row>
    <x:row r="190">
      <x:c r="A190" s="330" t="str">
        <x:v>MY_MONTH Revenue</x:v>
      </x:c>
      <x:c r="B190" s="329" t="str">
        <x:v>Confirmed revenue across the three Barrister career months.</x:v>
      </x:c>
      <x:c r="C190" s="329"/>
      <x:c r="D190" s="329"/>
      <x:c r="E190" s="329"/>
      <x:c r="F190" s="329"/>
      <x:c r="G190" s="329"/>
      <x:c r="H190" s="329"/>
      <x:c r="I190" s="329"/>
      <x:c r="J190" s="329"/>
      <x:c r="K190" s="329"/>
      <x:c r="L190" s="329"/>
      <x:c r="M190" s="329"/>
      <x:c r="N190" s="329"/>
      <x:c r="O190" s="329"/>
      <x:c r="P190" s="329"/>
      <x:c r="Q190" s="329"/>
      <x:c r="R190" s="329"/>
      <x:c r="S190" s="329"/>
      <x:c r="T190" s="329"/>
      <x:c r="U190" s="329"/>
      <x:c r="V190" s="329"/>
      <x:c r="W190" s="329"/>
      <x:c r="X190" s="329"/>
      <x:c r="Y190" s="329"/>
      <x:c r="Z190" s="329"/>
      <x:c r="AA190" s="329"/>
      <x:c r="AB190" s="329"/>
      <x:c r="AC190" s="329"/>
      <x:c r="AD190" s="329"/>
      <x:c r="AE190" s="329"/>
    </x:row>
    <x:row r="191">
      <x:c r="A191" s="330" t="str">
        <x:v>Top Clients</x:v>
      </x:c>
      <x:c r="B191" s="329" t="str">
        <x:v>Top 10 clients by confirmed revenue.</x:v>
      </x:c>
      <x:c r="C191" s="329"/>
      <x:c r="D191" s="329"/>
      <x:c r="E191" s="329"/>
      <x:c r="F191" s="329"/>
      <x:c r="G191" s="329"/>
      <x:c r="H191" s="329"/>
      <x:c r="I191" s="329"/>
      <x:c r="J191" s="329"/>
      <x:c r="K191" s="329"/>
      <x:c r="L191" s="329"/>
      <x:c r="M191" s="329"/>
      <x:c r="N191" s="329"/>
      <x:c r="O191" s="329"/>
      <x:c r="P191" s="329"/>
      <x:c r="Q191" s="329"/>
      <x:c r="R191" s="329"/>
      <x:c r="S191" s="329"/>
      <x:c r="T191" s="329"/>
      <x:c r="U191" s="329"/>
      <x:c r="V191" s="329"/>
      <x:c r="W191" s="329"/>
      <x:c r="X191" s="329"/>
      <x:c r="Y191" s="329"/>
      <x:c r="Z191" s="329"/>
      <x:c r="AA191" s="329"/>
      <x:c r="AB191" s="329"/>
      <x:c r="AC191" s="329"/>
      <x:c r="AD191" s="329"/>
      <x:c r="AE191" s="329"/>
    </x:row>
    <x:row r="192">
      <x:c r="A192" s="330" t="str">
        <x:v>Running Revenue</x:v>
      </x:c>
      <x:c r="B192" s="329" t="str">
        <x:v>Cumulative confirmed revenue across worked dates.</x:v>
      </x:c>
      <x:c r="C192" s="329"/>
      <x:c r="D192" s="329"/>
      <x:c r="E192" s="329"/>
      <x:c r="F192" s="329"/>
      <x:c r="G192" s="329"/>
      <x:c r="H192" s="329"/>
      <x:c r="I192" s="329"/>
      <x:c r="J192" s="329"/>
      <x:c r="K192" s="329"/>
      <x:c r="L192" s="329"/>
      <x:c r="M192" s="329"/>
      <x:c r="N192" s="329"/>
      <x:c r="O192" s="329"/>
      <x:c r="P192" s="329"/>
      <x:c r="Q192" s="329"/>
      <x:c r="R192" s="329"/>
      <x:c r="S192" s="329"/>
      <x:c r="T192" s="329"/>
      <x:c r="U192" s="329"/>
      <x:c r="V192" s="329"/>
      <x:c r="W192" s="329"/>
      <x:c r="X192" s="329"/>
      <x:c r="Y192" s="329"/>
      <x:c r="Z192" s="329"/>
      <x:c r="AA192" s="329"/>
      <x:c r="AB192" s="329"/>
      <x:c r="AC192" s="329"/>
      <x:c r="AD192" s="329"/>
      <x:c r="AE192" s="329"/>
    </x:row>
    <x:row r="193">
      <x:c r="A193" s="330" t="str">
        <x:v>Rolling Trend</x:v>
      </x:c>
      <x:c r="B193" s="329" t="str">
        <x:v>Daily revenue compared with a five-worked-day rolling average.</x:v>
      </x:c>
      <x:c r="C193" s="329"/>
      <x:c r="D193" s="329"/>
      <x:c r="E193" s="329"/>
      <x:c r="F193" s="329"/>
      <x:c r="G193" s="329"/>
      <x:c r="H193" s="329"/>
      <x:c r="I193" s="329"/>
      <x:c r="J193" s="329"/>
      <x:c r="K193" s="329"/>
      <x:c r="L193" s="329"/>
      <x:c r="M193" s="329"/>
      <x:c r="N193" s="329"/>
      <x:c r="O193" s="329"/>
      <x:c r="P193" s="329"/>
      <x:c r="Q193" s="329"/>
      <x:c r="R193" s="329"/>
      <x:c r="S193" s="329"/>
      <x:c r="T193" s="329"/>
      <x:c r="U193" s="329"/>
      <x:c r="V193" s="329"/>
      <x:c r="W193" s="329"/>
      <x:c r="X193" s="329"/>
      <x:c r="Y193" s="329"/>
      <x:c r="Z193" s="329"/>
      <x:c r="AA193" s="329"/>
      <x:c r="AB193" s="329"/>
      <x:c r="AC193" s="329"/>
      <x:c r="AD193" s="329"/>
      <x:c r="AE193" s="329"/>
    </x:row>
    <x:row r="194">
      <x:c r="A194" s="330" t="str">
        <x:v>Weekly Trend</x:v>
      </x:c>
      <x:c r="B194" s="329" t="str">
        <x:v>Confirmed revenue by career workweek.</x:v>
      </x:c>
      <x:c r="C194" s="329"/>
      <x:c r="D194" s="329"/>
      <x:c r="E194" s="329"/>
      <x:c r="F194" s="329"/>
      <x:c r="G194" s="329"/>
      <x:c r="H194" s="329"/>
      <x:c r="I194" s="329"/>
      <x:c r="J194" s="329"/>
      <x:c r="K194" s="329"/>
      <x:c r="L194" s="329"/>
      <x:c r="M194" s="329"/>
      <x:c r="N194" s="329"/>
      <x:c r="O194" s="329"/>
      <x:c r="P194" s="329"/>
      <x:c r="Q194" s="329"/>
      <x:c r="R194" s="329"/>
      <x:c r="S194" s="329"/>
      <x:c r="T194" s="329"/>
      <x:c r="U194" s="329"/>
      <x:c r="V194" s="329"/>
      <x:c r="W194" s="329"/>
      <x:c r="X194" s="329"/>
      <x:c r="Y194" s="329"/>
      <x:c r="Z194" s="329"/>
      <x:c r="AA194" s="329"/>
      <x:c r="AB194" s="329"/>
      <x:c r="AC194" s="329"/>
      <x:c r="AD194" s="329"/>
      <x:c r="AE194" s="329"/>
    </x:row>
    <x:row r="195">
      <x:c r="A195" s="330" t="str">
        <x:v>Client Mix</x:v>
      </x:c>
      <x:c r="B195" s="329" t="str">
        <x:v>Repeat versus one-time client distribution.</x:v>
      </x:c>
      <x:c r="C195" s="329"/>
      <x:c r="D195" s="329"/>
      <x:c r="E195" s="329"/>
      <x:c r="F195" s="329"/>
      <x:c r="G195" s="329"/>
      <x:c r="H195" s="329"/>
      <x:c r="I195" s="329"/>
      <x:c r="J195" s="329"/>
      <x:c r="K195" s="329"/>
      <x:c r="L195" s="329"/>
      <x:c r="M195" s="329"/>
      <x:c r="N195" s="329"/>
      <x:c r="O195" s="329"/>
      <x:c r="P195" s="329"/>
      <x:c r="Q195" s="329"/>
      <x:c r="R195" s="329"/>
      <x:c r="S195" s="329"/>
      <x:c r="T195" s="329"/>
      <x:c r="U195" s="329"/>
      <x:c r="V195" s="329"/>
      <x:c r="W195" s="329"/>
      <x:c r="X195" s="329"/>
      <x:c r="Y195" s="329"/>
      <x:c r="Z195" s="329"/>
      <x:c r="AA195" s="329"/>
      <x:c r="AB195" s="329"/>
      <x:c r="AC195" s="329"/>
      <x:c r="AD195" s="329"/>
      <x:c r="AE195" s="329"/>
    </x:row>
    <x:row r="196">
      <x:c r="A196" s="330" t="str">
        <x:v>Analytics Gallery</x:v>
      </x:c>
      <x:c r="B196" s="329" t="str">
        <x:v>Four additional charts added below the leaderboard tables.</x:v>
      </x:c>
      <x:c r="C196" s="329"/>
      <x:c r="D196" s="329"/>
      <x:c r="E196" s="329"/>
      <x:c r="F196" s="329"/>
      <x:c r="G196" s="329"/>
      <x:c r="H196" s="329"/>
      <x:c r="I196" s="329"/>
      <x:c r="J196" s="329"/>
      <x:c r="K196" s="329"/>
      <x:c r="L196" s="329"/>
      <x:c r="M196" s="329"/>
      <x:c r="N196" s="329"/>
      <x:c r="O196" s="329"/>
      <x:c r="P196" s="329"/>
      <x:c r="Q196" s="329"/>
      <x:c r="R196" s="329"/>
      <x:c r="S196" s="329"/>
      <x:c r="T196" s="329"/>
      <x:c r="U196" s="329"/>
      <x:c r="V196" s="329"/>
      <x:c r="W196" s="329"/>
      <x:c r="X196" s="329"/>
      <x:c r="Y196" s="329"/>
      <x:c r="Z196" s="329"/>
      <x:c r="AA196" s="329"/>
      <x:c r="AB196" s="329"/>
      <x:c r="AC196" s="329"/>
      <x:c r="AD196" s="329"/>
      <x:c r="AE196" s="329"/>
    </x:row>
    <x:row r="197">
      <x:c r="A197" s="330" t="str">
        <x:v>Chart Source Rule</x:v>
      </x:c>
      <x:c r="B197" s="329" t="str">
        <x:v>Charts derive from Phase 3A/3C summaries or helper tables generated from tblServiceEvents.</x:v>
      </x:c>
      <x:c r="C197" s="329"/>
      <x:c r="D197" s="329"/>
      <x:c r="E197" s="329"/>
      <x:c r="F197" s="329"/>
      <x:c r="G197" s="329"/>
      <x:c r="H197" s="329"/>
      <x:c r="I197" s="329"/>
      <x:c r="J197" s="329"/>
      <x:c r="K197" s="329"/>
      <x:c r="L197" s="329"/>
      <x:c r="M197" s="329"/>
      <x:c r="N197" s="329"/>
      <x:c r="O197" s="329"/>
      <x:c r="P197" s="329"/>
      <x:c r="Q197" s="329"/>
      <x:c r="R197" s="329"/>
      <x:c r="S197" s="329"/>
      <x:c r="T197" s="329"/>
      <x:c r="U197" s="329"/>
      <x:c r="V197" s="329"/>
      <x:c r="W197" s="329"/>
      <x:c r="X197" s="329"/>
      <x:c r="Y197" s="329"/>
      <x:c r="Z197" s="329"/>
      <x:c r="AA197" s="329"/>
      <x:c r="AB197" s="329"/>
      <x:c r="AC197" s="329"/>
      <x:c r="AD197" s="329"/>
      <x:c r="AE197" s="329"/>
    </x:row>
    <x:row r="198">
      <x:c r="A198" s="330" t="str">
        <x:v>Chart Maintenance</x:v>
      </x:c>
      <x:c r="B198" s="329" t="str">
        <x:v>Refresh helper trend tables when the authoritative event table receives new dates.</x:v>
      </x:c>
      <x:c r="C198" s="329"/>
      <x:c r="D198" s="329"/>
      <x:c r="E198" s="329"/>
      <x:c r="F198" s="329"/>
      <x:c r="G198" s="329"/>
      <x:c r="H198" s="329"/>
      <x:c r="I198" s="329"/>
      <x:c r="J198" s="329"/>
      <x:c r="K198" s="329"/>
      <x:c r="L198" s="329"/>
      <x:c r="M198" s="329"/>
      <x:c r="N198" s="329"/>
      <x:c r="O198" s="329"/>
      <x:c r="P198" s="329"/>
      <x:c r="Q198" s="329"/>
      <x:c r="R198" s="329"/>
      <x:c r="S198" s="329"/>
      <x:c r="T198" s="329"/>
      <x:c r="U198" s="329"/>
      <x:c r="V198" s="329"/>
      <x:c r="W198" s="329"/>
      <x:c r="X198" s="329"/>
      <x:c r="Y198" s="329"/>
      <x:c r="Z198" s="329"/>
      <x:c r="AA198" s="329"/>
      <x:c r="AB198" s="329"/>
      <x:c r="AC198" s="329"/>
      <x:c r="AD198" s="329"/>
      <x:c r="AE198" s="329"/>
    </x:row>
    <x:row r="199">
      <x:c r="A199" s="329"/>
      <x:c r="B199" s="329"/>
      <x:c r="C199" s="329"/>
      <x:c r="D199" s="329"/>
      <x:c r="E199" s="329"/>
      <x:c r="F199" s="329"/>
      <x:c r="G199" s="329"/>
      <x:c r="H199" s="329"/>
      <x:c r="I199" s="329"/>
      <x:c r="J199" s="329"/>
      <x:c r="K199" s="329"/>
      <x:c r="L199" s="329"/>
      <x:c r="M199" s="329"/>
      <x:c r="N199" s="329"/>
      <x:c r="O199" s="329"/>
      <x:c r="P199" s="329"/>
      <x:c r="Q199" s="329"/>
      <x:c r="R199" s="329"/>
      <x:c r="S199" s="329"/>
      <x:c r="T199" s="329"/>
      <x:c r="U199" s="329"/>
      <x:c r="V199" s="329"/>
      <x:c r="W199" s="329"/>
      <x:c r="X199" s="329"/>
      <x:c r="Y199" s="329"/>
      <x:c r="Z199" s="329"/>
      <x:c r="AA199" s="329"/>
      <x:c r="AB199" s="329"/>
      <x:c r="AC199" s="329"/>
      <x:c r="AD199" s="329"/>
      <x:c r="AE199" s="329"/>
    </x:row>
    <x:row r="200">
      <x:c r="A200" s="330" t="str">
        <x:v>2026-07-13 Ledger Delta</x:v>
      </x:c>
      <x:c r="B200" s="329" t="str">
        <x:v>Authoritative Monday update</x:v>
      </x:c>
      <x:c r="C200" s="329"/>
      <x:c r="D200" s="329"/>
      <x:c r="E200" s="329"/>
      <x:c r="F200" s="329"/>
      <x:c r="G200" s="329"/>
      <x:c r="H200" s="329"/>
      <x:c r="I200" s="329"/>
      <x:c r="J200" s="329"/>
      <x:c r="K200" s="329"/>
      <x:c r="L200" s="329"/>
      <x:c r="M200" s="329"/>
      <x:c r="N200" s="329"/>
      <x:c r="O200" s="329"/>
      <x:c r="P200" s="329"/>
      <x:c r="Q200" s="329"/>
      <x:c r="R200" s="329"/>
      <x:c r="S200" s="329"/>
      <x:c r="T200" s="329"/>
      <x:c r="U200" s="329"/>
      <x:c r="V200" s="329"/>
      <x:c r="W200" s="329"/>
      <x:c r="X200" s="329"/>
      <x:c r="Y200" s="329"/>
      <x:c r="Z200" s="329"/>
      <x:c r="AA200" s="329"/>
      <x:c r="AB200" s="329"/>
      <x:c r="AC200" s="329"/>
      <x:c r="AD200" s="329"/>
      <x:c r="AE200" s="329"/>
    </x:row>
    <x:row r="201">
      <x:c r="A201" s="330" t="str">
        <x:v>Event 63</x:v>
      </x:c>
      <x:c r="B201" s="329" t="str">
        <x:v>Marshalls — Cockeysville</x:v>
      </x:c>
      <x:c r="C201" s="329" t="str">
        <x:v>WO 5909368</x:v>
      </x:c>
      <x:c r="D201" s="329" t="str">
        <x:v>Completed</x:v>
      </x:c>
      <x:c r="E201" s="329" t="str">
        <x:v>$40/hour; breakdown pending</x:v>
      </x:c>
      <x:c r="F201" s="329" t="str">
        <x:v>Added to tblServiceEvents and tblLedger</x:v>
      </x:c>
      <x:c r="G201" s="329"/>
      <x:c r="H201" s="329"/>
      <x:c r="I201" s="329"/>
      <x:c r="J201" s="329"/>
      <x:c r="K201" s="329"/>
      <x:c r="L201" s="329"/>
      <x:c r="M201" s="329"/>
      <x:c r="N201" s="329"/>
      <x:c r="O201" s="329"/>
      <x:c r="P201" s="329"/>
      <x:c r="Q201" s="329"/>
      <x:c r="R201" s="329"/>
      <x:c r="S201" s="329"/>
      <x:c r="T201" s="329"/>
      <x:c r="U201" s="329"/>
      <x:c r="V201" s="329"/>
      <x:c r="W201" s="329"/>
      <x:c r="X201" s="329"/>
      <x:c r="Y201" s="329"/>
      <x:c r="Z201" s="329"/>
      <x:c r="AA201" s="329"/>
      <x:c r="AB201" s="329"/>
      <x:c r="AC201" s="329"/>
      <x:c r="AD201" s="329"/>
      <x:c r="AE201" s="329"/>
    </x:row>
    <x:row r="202">
      <x:c r="A202" s="330" t="str">
        <x:v>Event 64</x:v>
      </x:c>
      <x:c r="B202" s="329" t="str">
        <x:v>Marshalls — Hagerstown</x:v>
      </x:c>
      <x:c r="C202" s="329" t="str">
        <x:v>WO 5916961</x:v>
      </x:c>
      <x:c r="D202" s="329" t="str">
        <x:v>Completed</x:v>
      </x:c>
      <x:c r="E202" s="329" t="str">
        <x:v>$55/hour; breakdown pending</x:v>
      </x:c>
      <x:c r="F202" s="329" t="str">
        <x:v>Added to tblServiceEvents and tblLedger</x:v>
      </x:c>
      <x:c r="G202" s="329"/>
      <x:c r="H202" s="329"/>
      <x:c r="I202" s="329"/>
      <x:c r="J202" s="329"/>
      <x:c r="K202" s="329"/>
      <x:c r="L202" s="329"/>
      <x:c r="M202" s="329"/>
      <x:c r="N202" s="329"/>
      <x:c r="O202" s="329"/>
      <x:c r="P202" s="329"/>
      <x:c r="Q202" s="329"/>
      <x:c r="R202" s="329"/>
      <x:c r="S202" s="329"/>
      <x:c r="T202" s="329"/>
      <x:c r="U202" s="329"/>
      <x:c r="V202" s="329"/>
      <x:c r="W202" s="329"/>
      <x:c r="X202" s="329"/>
      <x:c r="Y202" s="329"/>
      <x:c r="Z202" s="329"/>
      <x:c r="AA202" s="329"/>
      <x:c r="AB202" s="329"/>
      <x:c r="AC202" s="329"/>
      <x:c r="AD202" s="329"/>
      <x:c r="AE202" s="329"/>
    </x:row>
    <x:row r="203">
      <x:c r="A203" s="330" t="str">
        <x:v>Hagerstown Protection</x:v>
      </x:c>
      <x:c r="B203" s="329" t="str">
        <x:v>Extended onsite time documented</x:v>
      </x:c>
      <x:c r="C203" s="329"/>
      <x:c r="D203" s="329" t="str">
        <x:v>Support delay + incorrect ticket IP/gateway</x:v>
      </x:c>
      <x:c r="E203" s="329" t="str">
        <x:v>Barrister guaranteed documented hours</x:v>
      </x:c>
      <x:c r="F203" s="329" t="str">
        <x:v>No agreed total entered; prevents false variance</x:v>
      </x:c>
      <x:c r="G203" s="329"/>
      <x:c r="H203" s="329"/>
      <x:c r="I203" s="329"/>
      <x:c r="J203" s="329"/>
      <x:c r="K203" s="329"/>
      <x:c r="L203" s="329"/>
      <x:c r="M203" s="329"/>
      <x:c r="N203" s="329"/>
      <x:c r="O203" s="329"/>
      <x:c r="P203" s="329"/>
      <x:c r="Q203" s="329"/>
      <x:c r="R203" s="329"/>
      <x:c r="S203" s="329"/>
      <x:c r="T203" s="329"/>
      <x:c r="U203" s="329"/>
      <x:c r="V203" s="329"/>
      <x:c r="W203" s="329"/>
      <x:c r="X203" s="329"/>
      <x:c r="Y203" s="329"/>
      <x:c r="Z203" s="329"/>
      <x:c r="AA203" s="329"/>
      <x:c r="AB203" s="329"/>
      <x:c r="AC203" s="329"/>
      <x:c r="AD203" s="329"/>
      <x:c r="AE203" s="329"/>
    </x:row>
    <x:row r="204">
      <x:c r="A204" s="330" t="str">
        <x:v>Hebrew Home</x:v>
      </x:c>
      <x:c r="B204" s="329" t="str">
        <x:v>WO 5913115</x:v>
      </x:c>
      <x:c r="C204" s="329"/>
      <x:c r="D204" s="329" t="str">
        <x:v>Dispatched/reassigned</x:v>
      </x:c>
      <x:c r="E204" s="329" t="str">
        <x:v>No event created</x:v>
      </x:c>
      <x:c r="F204" s="329" t="str">
        <x:v>Off user's active radar</x:v>
      </x:c>
      <x:c r="G204" s="329"/>
      <x:c r="H204" s="329"/>
      <x:c r="I204" s="329"/>
      <x:c r="J204" s="329"/>
      <x:c r="K204" s="329"/>
      <x:c r="L204" s="329"/>
      <x:c r="M204" s="329"/>
      <x:c r="N204" s="329"/>
      <x:c r="O204" s="329"/>
      <x:c r="P204" s="329"/>
      <x:c r="Q204" s="329"/>
      <x:c r="R204" s="329"/>
      <x:c r="S204" s="329"/>
      <x:c r="T204" s="329"/>
      <x:c r="U204" s="329"/>
      <x:c r="V204" s="329"/>
      <x:c r="W204" s="329"/>
      <x:c r="X204" s="329"/>
      <x:c r="Y204" s="329"/>
      <x:c r="Z204" s="329"/>
      <x:c r="AA204" s="329"/>
      <x:c r="AB204" s="329"/>
      <x:c r="AC204" s="329"/>
      <x:c r="AD204" s="329"/>
      <x:c r="AE204" s="329"/>
    </x:row>
    <x:row r="205">
      <x:c r="A205" s="330" t="str">
        <x:v>Event 65</x:v>
      </x:c>
      <x:c r="B205" s="329" t="str">
        <x:v>HomeGoods — Gaithersburg</x:v>
      </x:c>
      <x:c r="C205" s="329" t="str">
        <x:v>WO 5917407</x:v>
      </x:c>
      <x:c r="D205" s="329" t="str">
        <x:v>Completed</x:v>
      </x:c>
      <x:c r="E205" s="329" t="str">
        <x:v>$50/hour; breakdown pending</x:v>
      </x:c>
      <x:c r="F205" s="329" t="str">
        <x:v>Power cable and pin pad replaced; Verifone delays documented; test transaction passed</x:v>
      </x:c>
      <x:c r="G205" s="329"/>
      <x:c r="H205" s="329"/>
      <x:c r="I205" s="329"/>
      <x:c r="J205" s="329"/>
      <x:c r="K205" s="329"/>
      <x:c r="L205" s="329"/>
      <x:c r="M205" s="329"/>
      <x:c r="N205" s="329"/>
      <x:c r="O205" s="329"/>
      <x:c r="P205" s="329"/>
      <x:c r="Q205" s="329"/>
      <x:c r="R205" s="329"/>
      <x:c r="S205" s="329"/>
      <x:c r="T205" s="329"/>
      <x:c r="U205" s="329"/>
      <x:c r="V205" s="329"/>
      <x:c r="W205" s="329"/>
      <x:c r="X205" s="329"/>
      <x:c r="Y205" s="329"/>
      <x:c r="Z205" s="329"/>
      <x:c r="AA205" s="329"/>
      <x:c r="AB205" s="329"/>
      <x:c r="AC205" s="329"/>
      <x:c r="AD205" s="329"/>
      <x:c r="AE205" s="329"/>
    </x:row>
    <x:row r="206">
      <x:c r="A206" s="330" t="str">
        <x:v>Chronology Rule</x:v>
      </x:c>
      <x:c r="B206" s="329" t="str">
        <x:v>Latest completed physical visit is Event 65</x:v>
      </x:c>
      <x:c r="C206" s="329"/>
      <x:c r="D206" s="329"/>
      <x:c r="E206" s="329"/>
      <x:c r="F206" s="329" t="str">
        <x:v>Next completed physical visit becomes Event 66</x:v>
      </x:c>
      <x:c r="G206" s="329"/>
      <x:c r="H206" s="329"/>
      <x:c r="I206" s="329"/>
      <x:c r="J206" s="329"/>
      <x:c r="K206" s="329"/>
      <x:c r="L206" s="329"/>
      <x:c r="M206" s="329"/>
      <x:c r="N206" s="329"/>
      <x:c r="O206" s="329"/>
      <x:c r="P206" s="329"/>
      <x:c r="Q206" s="329"/>
      <x:c r="R206" s="329"/>
      <x:c r="S206" s="329"/>
      <x:c r="T206" s="329"/>
      <x:c r="U206" s="329"/>
      <x:c r="V206" s="329"/>
      <x:c r="W206" s="329"/>
      <x:c r="X206" s="329"/>
      <x:c r="Y206" s="329"/>
      <x:c r="Z206" s="329"/>
      <x:c r="AA206" s="329"/>
      <x:c r="AB206" s="329"/>
      <x:c r="AC206" s="329"/>
      <x:c r="AD206" s="329"/>
      <x:c r="AE206" s="329"/>
    </x:row>
    <x:row r="207">
      <x:c r="A207" s="330" t="str">
        <x:v>Financial Rule</x:v>
      </x:c>
      <x:c r="B207" s="329" t="str">
        <x:v>Hourly rates remain in Notes until breakdown confirms payable total</x:v>
      </x:c>
      <x:c r="C207" s="329"/>
      <x:c r="D207" s="329"/>
      <x:c r="E207" s="329"/>
      <x:c r="F207" s="329" t="str">
        <x:v>Prevents rate-vs-total variance errors</x:v>
      </x:c>
      <x:c r="G207" s="329"/>
      <x:c r="H207" s="329"/>
      <x:c r="I207" s="329"/>
      <x:c r="J207" s="329"/>
      <x:c r="K207" s="329"/>
      <x:c r="L207" s="329"/>
      <x:c r="M207" s="329"/>
      <x:c r="N207" s="329"/>
      <x:c r="O207" s="329"/>
      <x:c r="P207" s="329"/>
      <x:c r="Q207" s="329"/>
      <x:c r="R207" s="329"/>
      <x:c r="S207" s="329"/>
      <x:c r="T207" s="329"/>
      <x:c r="U207" s="329"/>
      <x:c r="V207" s="329"/>
      <x:c r="W207" s="329"/>
      <x:c r="X207" s="329"/>
      <x:c r="Y207" s="329"/>
      <x:c r="Z207" s="329"/>
      <x:c r="AA207" s="329"/>
      <x:c r="AB207" s="329"/>
      <x:c r="AC207" s="329"/>
      <x:c r="AD207" s="329"/>
      <x:c r="AE207" s="329"/>
    </x:row>
    <x:row r="208">
      <x:c r="A208" s="330" t="str">
        <x:v>Source</x:v>
      </x:c>
      <x:c r="B208" s="329" t="str">
        <x:v>User-authoritative completion statements + ticket documents + Gmail + Slack/photo evidence</x:v>
      </x:c>
      <x:c r="C208" s="329"/>
      <x:c r="D208" s="329"/>
      <x:c r="E208" s="329"/>
      <x:c r="F208" s="329"/>
      <x:c r="G208" s="329"/>
      <x:c r="H208" s="329"/>
      <x:c r="I208" s="329"/>
      <x:c r="J208" s="329"/>
      <x:c r="K208" s="329"/>
      <x:c r="L208" s="329"/>
      <x:c r="M208" s="329"/>
      <x:c r="N208" s="329"/>
      <x:c r="O208" s="329"/>
      <x:c r="P208" s="329"/>
      <x:c r="Q208" s="329"/>
      <x:c r="R208" s="329"/>
      <x:c r="S208" s="329"/>
      <x:c r="T208" s="329"/>
      <x:c r="U208" s="329"/>
      <x:c r="V208" s="329"/>
      <x:c r="W208" s="329"/>
      <x:c r="X208" s="329"/>
      <x:c r="Y208" s="329"/>
      <x:c r="Z208" s="329"/>
      <x:c r="AA208" s="329"/>
      <x:c r="AB208" s="329"/>
      <x:c r="AC208" s="329"/>
      <x:c r="AD208" s="329"/>
      <x:c r="AE208" s="329"/>
    </x:row>
    <x:row r="209">
      <x:c r="A209" s="329"/>
      <x:c r="B209" s="329"/>
      <x:c r="C209" s="329"/>
      <x:c r="D209" s="329"/>
      <x:c r="E209" s="329"/>
      <x:c r="F209" s="329"/>
      <x:c r="G209" s="329"/>
      <x:c r="H209" s="329"/>
      <x:c r="I209" s="329"/>
      <x:c r="J209" s="329"/>
      <x:c r="K209" s="329"/>
      <x:c r="L209" s="329"/>
      <x:c r="M209" s="329"/>
      <x:c r="N209" s="329"/>
      <x:c r="O209" s="329"/>
      <x:c r="P209" s="329"/>
      <x:c r="Q209" s="329"/>
      <x:c r="R209" s="329"/>
      <x:c r="S209" s="329"/>
      <x:c r="T209" s="329"/>
      <x:c r="U209" s="329"/>
      <x:c r="V209" s="329"/>
      <x:c r="W209" s="329"/>
      <x:c r="X209" s="329"/>
      <x:c r="Y209" s="329"/>
      <x:c r="Z209" s="329"/>
      <x:c r="AA209" s="329"/>
      <x:c r="AB209" s="329"/>
      <x:c r="AC209" s="329"/>
      <x:c r="AD209" s="329"/>
      <x:c r="AE209" s="329"/>
    </x:row>
    <x:row r="210">
      <x:c r="A210" s="330" t="str">
        <x:v>2026-07-13 Financial Ledger Update</x:v>
      </x:c>
      <x:c r="B210" s="329" t="str">
        <x:v>Email reconciliation</x:v>
      </x:c>
      <x:c r="C210" s="329"/>
      <x:c r="D210" s="329"/>
      <x:c r="E210" s="329"/>
      <x:c r="F210" s="329"/>
      <x:c r="G210" s="329"/>
      <x:c r="H210" s="329"/>
      <x:c r="I210" s="329"/>
      <x:c r="J210" s="329"/>
      <x:c r="K210" s="329"/>
      <x:c r="L210" s="329"/>
      <x:c r="M210" s="329"/>
      <x:c r="N210" s="329"/>
      <x:c r="O210" s="329"/>
      <x:c r="P210" s="329"/>
      <x:c r="Q210" s="329"/>
      <x:c r="R210" s="329"/>
      <x:c r="S210" s="329"/>
      <x:c r="T210" s="329"/>
      <x:c r="U210" s="329"/>
      <x:c r="V210" s="329"/>
      <x:c r="W210" s="329"/>
      <x:c r="X210" s="329"/>
      <x:c r="Y210" s="329"/>
      <x:c r="Z210" s="329"/>
      <x:c r="AA210" s="329"/>
      <x:c r="AB210" s="329"/>
      <x:c r="AC210" s="329"/>
      <x:c r="AD210" s="329"/>
      <x:c r="AE210" s="329"/>
    </x:row>
    <x:row r="211">
      <x:c r="A211" s="330" t="str">
        <x:v>WO 5909344</x:v>
      </x:c>
      <x:c r="B211" s="329" t="str">
        <x:v>TJ Maxx — Germantown</x:v>
      </x:c>
      <x:c r="C211" s="329" t="str">
        <x:v>Event 61</x:v>
      </x:c>
      <x:c r="D211" s="329" t="str">
        <x:v>$194.99 final breakdown</x:v>
      </x:c>
      <x:c r="E211" s="329" t="str">
        <x:v>Expected 2026-07-23</x:v>
      </x:c>
      <x:c r="F211" s="329" t="str">
        <x:v>ACH pending</x:v>
      </x:c>
      <x:c r="G211" s="329"/>
      <x:c r="H211" s="329"/>
      <x:c r="I211" s="329"/>
      <x:c r="J211" s="329"/>
      <x:c r="K211" s="329"/>
      <x:c r="L211" s="329"/>
      <x:c r="M211" s="329"/>
      <x:c r="N211" s="329"/>
      <x:c r="O211" s="329"/>
      <x:c r="P211" s="329"/>
      <x:c r="Q211" s="329"/>
      <x:c r="R211" s="329"/>
      <x:c r="S211" s="329"/>
      <x:c r="T211" s="329"/>
      <x:c r="U211" s="329"/>
      <x:c r="V211" s="329"/>
      <x:c r="W211" s="329"/>
      <x:c r="X211" s="329"/>
      <x:c r="Y211" s="329"/>
      <x:c r="Z211" s="329"/>
      <x:c r="AA211" s="329"/>
      <x:c r="AB211" s="329"/>
      <x:c r="AC211" s="329"/>
      <x:c r="AD211" s="329"/>
      <x:c r="AE211" s="329"/>
    </x:row>
    <x:row r="212">
      <x:c r="A212" s="330" t="str">
        <x:v>Breakdown Email</x:v>
      </x:c>
      <x:c r="B212" s="329" t="str">
        <x:v>Received 2026-07-11</x:v>
      </x:c>
      <x:c r="C212" s="329" t="str">
        <x:v>$194.99 base</x:v>
      </x:c>
      <x:c r="D212" s="329" t="str">
        <x:v>$0.00 deductions</x:v>
      </x:c>
      <x:c r="E212" s="329" t="str">
        <x:v>$194.99 final</x:v>
      </x:c>
      <x:c r="F212" s="329" t="str">
        <x:v>BAM Alerts</x:v>
      </x:c>
      <x:c r="G212" s="329"/>
      <x:c r="H212" s="329"/>
      <x:c r="I212" s="329"/>
      <x:c r="J212" s="329"/>
      <x:c r="K212" s="329"/>
      <x:c r="L212" s="329"/>
      <x:c r="M212" s="329"/>
      <x:c r="N212" s="329"/>
      <x:c r="O212" s="329"/>
      <x:c r="P212" s="329"/>
      <x:c r="Q212" s="329"/>
      <x:c r="R212" s="329"/>
      <x:c r="S212" s="329"/>
      <x:c r="T212" s="329"/>
      <x:c r="U212" s="329"/>
      <x:c r="V212" s="329"/>
      <x:c r="W212" s="329"/>
      <x:c r="X212" s="329"/>
      <x:c r="Y212" s="329"/>
      <x:c r="Z212" s="329"/>
      <x:c r="AA212" s="329"/>
      <x:c r="AB212" s="329"/>
      <x:c r="AC212" s="329"/>
      <x:c r="AD212" s="329"/>
      <x:c r="AE212" s="329"/>
    </x:row>
    <x:row r="213">
      <x:c r="A213" s="330" t="str">
        <x:v>Financial Effect</x:v>
      </x:c>
      <x:c r="B213" s="329" t="str">
        <x:v>Confirmed eligible revenue +$194.99</x:v>
      </x:c>
      <x:c r="C213" s="329" t="str">
        <x:v>Pending breakdown -1</x:v>
      </x:c>
      <x:c r="D213" s="329" t="str">
        <x:v>Pending ACH +1</x:v>
      </x:c>
      <x:c r="E213" s="329" t="str">
        <x:v>Open exceptions unchanged</x:v>
      </x:c>
      <x:c r="F213" s="329"/>
      <x:c r="G213" s="329"/>
      <x:c r="H213" s="329"/>
      <x:c r="I213" s="329"/>
      <x:c r="J213" s="329"/>
      <x:c r="K213" s="329"/>
      <x:c r="L213" s="329"/>
      <x:c r="M213" s="329"/>
      <x:c r="N213" s="329"/>
      <x:c r="O213" s="329"/>
      <x:c r="P213" s="329"/>
      <x:c r="Q213" s="329"/>
      <x:c r="R213" s="329"/>
      <x:c r="S213" s="329"/>
      <x:c r="T213" s="329"/>
      <x:c r="U213" s="329"/>
      <x:c r="V213" s="329"/>
      <x:c r="W213" s="329"/>
      <x:c r="X213" s="329"/>
      <x:c r="Y213" s="329"/>
      <x:c r="Z213" s="329"/>
      <x:c r="AA213" s="329"/>
      <x:c r="AB213" s="329"/>
      <x:c r="AC213" s="329"/>
      <x:c r="AD213" s="329"/>
      <x:c r="AE213" s="329"/>
    </x:row>
    <x:row r="214">
      <x:c r="A214" s="330" t="str">
        <x:v>No New ACH</x:v>
      </x:c>
      <x:c r="B214" s="329" t="str">
        <x:v>No new Barrister ACH confirmation email found in the reviewed period</x:v>
      </x:c>
      <x:c r="C214" s="329"/>
      <x:c r="D214" s="329"/>
      <x:c r="E214" s="329"/>
      <x:c r="F214" s="329"/>
      <x:c r="G214" s="329"/>
      <x:c r="H214" s="329"/>
      <x:c r="I214" s="329"/>
      <x:c r="J214" s="329"/>
      <x:c r="K214" s="329"/>
      <x:c r="L214" s="329"/>
      <x:c r="M214" s="329"/>
      <x:c r="N214" s="329"/>
      <x:c r="O214" s="329"/>
      <x:c r="P214" s="329"/>
      <x:c r="Q214" s="329"/>
      <x:c r="R214" s="329"/>
      <x:c r="S214" s="329"/>
      <x:c r="T214" s="329"/>
      <x:c r="U214" s="329"/>
      <x:c r="V214" s="329"/>
      <x:c r="W214" s="329"/>
      <x:c r="X214" s="329"/>
      <x:c r="Y214" s="329"/>
      <x:c r="Z214" s="329"/>
      <x:c r="AA214" s="329"/>
      <x:c r="AB214" s="329"/>
      <x:c r="AC214" s="329"/>
      <x:c r="AD214" s="329"/>
      <x:c r="AE214" s="329"/>
    </x:row>
    <x:row r="215">
      <x:c r="A215" s="330" t="str">
        <x:v>Source Rule</x:v>
      </x:c>
      <x:c r="B215" s="329" t="str">
        <x:v>Email payment breakdown controls financial state</x:v>
      </x:c>
      <x:c r="C215" s="329"/>
      <x:c r="D215" s="329"/>
      <x:c r="E215" s="329"/>
      <x:c r="F215" s="329"/>
      <x:c r="G215" s="329"/>
      <x:c r="H215" s="329"/>
      <x:c r="I215" s="329"/>
      <x:c r="J215" s="329"/>
      <x:c r="K215" s="329"/>
      <x:c r="L215" s="329"/>
      <x:c r="M215" s="329"/>
      <x:c r="N215" s="329"/>
      <x:c r="O215" s="329"/>
      <x:c r="P215" s="329"/>
      <x:c r="Q215" s="329"/>
      <x:c r="R215" s="329"/>
      <x:c r="S215" s="329"/>
      <x:c r="T215" s="329"/>
      <x:c r="U215" s="329"/>
      <x:c r="V215" s="329"/>
      <x:c r="W215" s="329"/>
      <x:c r="X215" s="329"/>
      <x:c r="Y215" s="329"/>
      <x:c r="Z215" s="329"/>
      <x:c r="AA215" s="329"/>
      <x:c r="AB215" s="329"/>
      <x:c r="AC215" s="329"/>
      <x:c r="AD215" s="329"/>
      <x:c r="AE215" s="329"/>
    </x:row>
    <x:row r="216">
      <x:c r="A216" s="330" t="str">
        <x:v>Workbook Basis</x:v>
      </x:c>
      <x:c r="B216" s="329" t="str">
        <x:v>Latest Phase 3E operational update retained; this pass performs the financial reconciliation originally requested</x:v>
      </x:c>
      <x:c r="C216" s="329"/>
      <x:c r="D216" s="329"/>
      <x:c r="E216" s="329"/>
      <x:c r="F216" s="329"/>
      <x:c r="G216" s="329"/>
      <x:c r="H216" s="329"/>
      <x:c r="I216" s="329"/>
      <x:c r="J216" s="329"/>
      <x:c r="K216" s="329"/>
      <x:c r="L216" s="329"/>
      <x:c r="M216" s="329"/>
      <x:c r="N216" s="329"/>
      <x:c r="O216" s="329"/>
      <x:c r="P216" s="329"/>
      <x:c r="Q216" s="329"/>
      <x:c r="R216" s="329"/>
      <x:c r="S216" s="329"/>
      <x:c r="T216" s="329"/>
      <x:c r="U216" s="329"/>
      <x:c r="V216" s="329"/>
      <x:c r="W216" s="329"/>
      <x:c r="X216" s="329"/>
      <x:c r="Y216" s="329"/>
      <x:c r="Z216" s="329"/>
      <x:c r="AA216" s="329"/>
      <x:c r="AB216" s="329"/>
      <x:c r="AC216" s="329"/>
      <x:c r="AD216" s="329"/>
      <x:c r="AE216" s="329"/>
    </x:row>
    <x:row r="217">
      <x:c r="A217" s="329"/>
      <x:c r="B217" s="329"/>
      <x:c r="C217" s="329"/>
      <x:c r="D217" s="329"/>
      <x:c r="E217" s="329"/>
      <x:c r="F217" s="329"/>
      <x:c r="G217" s="329"/>
      <x:c r="H217" s="329"/>
      <x:c r="I217" s="329"/>
      <x:c r="J217" s="329"/>
      <x:c r="K217" s="329"/>
      <x:c r="L217" s="329"/>
      <x:c r="M217" s="329"/>
      <x:c r="N217" s="329"/>
      <x:c r="O217" s="329"/>
      <x:c r="P217" s="329"/>
      <x:c r="Q217" s="329"/>
      <x:c r="R217" s="329"/>
      <x:c r="S217" s="329"/>
      <x:c r="T217" s="329"/>
      <x:c r="U217" s="329"/>
      <x:c r="V217" s="329"/>
      <x:c r="W217" s="329"/>
      <x:c r="X217" s="329"/>
      <x:c r="Y217" s="329"/>
      <x:c r="Z217" s="329"/>
      <x:c r="AA217" s="329"/>
      <x:c r="AB217" s="329"/>
      <x:c r="AC217" s="329"/>
      <x:c r="AD217" s="329"/>
      <x:c r="AE217" s="329"/>
    </x:row>
    <x:row r="218">
      <x:c r="A218" s="355" t="str">
        <x:v>PHASE 3F — Conditional Formatting</x:v>
      </x:c>
      <x:c r="B218" s="355" t="str">
        <x:v>Completed</x:v>
      </x:c>
      <x:c r="C218" s="355" t="str">
        <x:v>2026-07-13</x:v>
      </x:c>
      <x:c r="D218" s="355"/>
      <x:c r="E218" s="355"/>
      <x:c r="F218" s="355"/>
      <x:c r="G218" s="329"/>
      <x:c r="H218" s="329"/>
      <x:c r="I218" s="329"/>
      <x:c r="J218" s="329"/>
      <x:c r="K218" s="329"/>
      <x:c r="L218" s="329"/>
      <x:c r="M218" s="329"/>
      <x:c r="N218" s="329"/>
      <x:c r="O218" s="329"/>
      <x:c r="P218" s="329"/>
      <x:c r="Q218" s="329"/>
      <x:c r="R218" s="329"/>
      <x:c r="S218" s="329"/>
      <x:c r="T218" s="329"/>
      <x:c r="U218" s="329"/>
      <x:c r="V218" s="329"/>
      <x:c r="W218" s="329"/>
      <x:c r="X218" s="329"/>
      <x:c r="Y218" s="329"/>
      <x:c r="Z218" s="329"/>
      <x:c r="AA218" s="329"/>
      <x:c r="AB218" s="329"/>
      <x:c r="AC218" s="329"/>
      <x:c r="AD218" s="329"/>
      <x:c r="AE218" s="329"/>
    </x:row>
    <x:row r="219">
      <x:c r="A219" s="357" t="str">
        <x:v>Scope</x:v>
      </x:c>
      <x:c r="B219" s="357" t="str">
        <x:v>Dashboard</x:v>
      </x:c>
      <x:c r="C219" s="357" t="str">
        <x:v>Service Events</x:v>
      </x:c>
      <x:c r="D219" s="357" t="str">
        <x:v>Work Orders &amp; Ledger</x:v>
      </x:c>
      <x:c r="E219" s="357" t="str">
        <x:v>Analytics</x:v>
      </x:c>
      <x:c r="F219" s="357" t="str">
        <x:v>Exceptions &amp; Audit</x:v>
      </x:c>
      <x:c r="G219" s="329"/>
      <x:c r="H219" s="329"/>
      <x:c r="I219" s="329"/>
      <x:c r="J219" s="329"/>
      <x:c r="K219" s="329"/>
      <x:c r="L219" s="329"/>
      <x:c r="M219" s="329"/>
      <x:c r="N219" s="329"/>
      <x:c r="O219" s="329"/>
      <x:c r="P219" s="329"/>
      <x:c r="Q219" s="329"/>
      <x:c r="R219" s="329"/>
      <x:c r="S219" s="329"/>
      <x:c r="T219" s="329"/>
      <x:c r="U219" s="329"/>
      <x:c r="V219" s="329"/>
      <x:c r="W219" s="329"/>
      <x:c r="X219" s="329"/>
      <x:c r="Y219" s="329"/>
      <x:c r="Z219" s="329"/>
      <x:c r="AA219" s="329"/>
      <x:c r="AB219" s="329"/>
      <x:c r="AC219" s="329"/>
      <x:c r="AD219" s="329"/>
      <x:c r="AE219" s="329"/>
    </x:row>
    <x:row r="220">
      <x:c r="A220" s="329" t="str">
        <x:v>Green</x:v>
      </x:c>
      <x:c r="B220" s="329" t="str">
        <x:v>Healthy / complete / confirmed</x:v>
      </x:c>
      <x:c r="C220" s="329" t="str">
        <x:v>Completed or financially eligible</x:v>
      </x:c>
      <x:c r="D220" s="329" t="str">
        <x:v>Confirmed / reconciled</x:v>
      </x:c>
      <x:c r="E220" s="329" t="str">
        <x:v>Stronger performance</x:v>
      </x:c>
      <x:c r="F220" s="329" t="str">
        <x:v>OK / closed</x:v>
      </x:c>
      <x:c r="G220" s="329"/>
      <x:c r="H220" s="329"/>
      <x:c r="I220" s="329"/>
      <x:c r="J220" s="329"/>
      <x:c r="K220" s="329"/>
      <x:c r="L220" s="329"/>
      <x:c r="M220" s="329"/>
      <x:c r="N220" s="329"/>
      <x:c r="O220" s="329"/>
      <x:c r="P220" s="329"/>
      <x:c r="Q220" s="329"/>
      <x:c r="R220" s="329"/>
      <x:c r="S220" s="329"/>
      <x:c r="T220" s="329"/>
      <x:c r="U220" s="329"/>
      <x:c r="V220" s="329"/>
      <x:c r="W220" s="329"/>
      <x:c r="X220" s="329"/>
      <x:c r="Y220" s="329"/>
      <x:c r="Z220" s="329"/>
      <x:c r="AA220" s="329"/>
      <x:c r="AB220" s="329"/>
      <x:c r="AC220" s="329"/>
      <x:c r="AD220" s="329"/>
      <x:c r="AE220" s="329"/>
    </x:row>
    <x:row r="221">
      <x:c r="A221" s="329" t="str">
        <x:v>Yellow</x:v>
      </x:c>
      <x:c r="B221" s="329" t="str">
        <x:v>Attention / normal pending</x:v>
      </x:c>
      <x:c r="C221" s="329" t="str">
        <x:v>Included event awaiting breakdown</x:v>
      </x:c>
      <x:c r="D221" s="329" t="str">
        <x:v>Pending breakdown or ACH</x:v>
      </x:c>
      <x:c r="E221" s="329" t="str">
        <x:v>Middle-range performance</x:v>
      </x:c>
      <x:c r="F221" s="329" t="str">
        <x:v>Informational / pending</x:v>
      </x:c>
      <x:c r="G221" s="329"/>
      <x:c r="H221" s="329"/>
      <x:c r="I221" s="329"/>
      <x:c r="J221" s="329"/>
      <x:c r="K221" s="329"/>
      <x:c r="L221" s="329"/>
      <x:c r="M221" s="329"/>
      <x:c r="N221" s="329"/>
      <x:c r="O221" s="329"/>
      <x:c r="P221" s="329"/>
      <x:c r="Q221" s="329"/>
      <x:c r="R221" s="329"/>
      <x:c r="S221" s="329"/>
      <x:c r="T221" s="329"/>
      <x:c r="U221" s="329"/>
      <x:c r="V221" s="329"/>
      <x:c r="W221" s="329"/>
      <x:c r="X221" s="329"/>
      <x:c r="Y221" s="329"/>
      <x:c r="Z221" s="329"/>
      <x:c r="AA221" s="329"/>
      <x:c r="AB221" s="329"/>
      <x:c r="AC221" s="329"/>
      <x:c r="AD221" s="329"/>
      <x:c r="AE221" s="329"/>
    </x:row>
    <x:row r="222">
      <x:c r="A222" s="329" t="str">
        <x:v>Orange</x:v>
      </x:c>
      <x:c r="B222" s="329" t="str">
        <x:v>Elevated review</x:v>
      </x:c>
      <x:c r="C222" s="329" t="str">
        <x:v>Partial or unusual status</x:v>
      </x:c>
      <x:c r="D222" s="329" t="str">
        <x:v>Partial breakdown / multi-WO review</x:v>
      </x:c>
      <x:c r="E222" s="329" t="str">
        <x:v>Lower-middle performance</x:v>
      </x:c>
      <x:c r="F222" s="329" t="str">
        <x:v>Warning</x:v>
      </x:c>
      <x:c r="G222" s="329"/>
      <x:c r="H222" s="329"/>
      <x:c r="I222" s="329"/>
      <x:c r="J222" s="329"/>
      <x:c r="K222" s="329"/>
      <x:c r="L222" s="329"/>
      <x:c r="M222" s="329"/>
      <x:c r="N222" s="329"/>
      <x:c r="O222" s="329"/>
      <x:c r="P222" s="329"/>
      <x:c r="Q222" s="329"/>
      <x:c r="R222" s="329"/>
      <x:c r="S222" s="329"/>
      <x:c r="T222" s="329"/>
      <x:c r="U222" s="329"/>
      <x:c r="V222" s="329"/>
      <x:c r="W222" s="329"/>
      <x:c r="X222" s="329"/>
      <x:c r="Y222" s="329"/>
      <x:c r="Z222" s="329"/>
      <x:c r="AA222" s="329"/>
      <x:c r="AB222" s="329"/>
      <x:c r="AC222" s="329"/>
      <x:c r="AD222" s="329"/>
      <x:c r="AE222" s="329"/>
    </x:row>
    <x:row r="223">
      <x:c r="A223" s="329" t="str">
        <x:v>Red</x:v>
      </x:c>
      <x:c r="B223" s="329" t="str">
        <x:v>Critical action</x:v>
      </x:c>
      <x:c r="C223" s="329" t="str">
        <x:v>Invalid or failed status</x:v>
      </x:c>
      <x:c r="D223" s="329" t="str">
        <x:v>Variance / mapping hold / overdue</x:v>
      </x:c>
      <x:c r="E223" s="329" t="str">
        <x:v>Material underperformance</x:v>
      </x:c>
      <x:c r="F223" s="329" t="str">
        <x:v>Critical / open</x:v>
      </x:c>
      <x:c r="G223" s="329"/>
      <x:c r="H223" s="329"/>
      <x:c r="I223" s="329"/>
      <x:c r="J223" s="329"/>
      <x:c r="K223" s="329"/>
      <x:c r="L223" s="329"/>
      <x:c r="M223" s="329"/>
      <x:c r="N223" s="329"/>
      <x:c r="O223" s="329"/>
      <x:c r="P223" s="329"/>
      <x:c r="Q223" s="329"/>
      <x:c r="R223" s="329"/>
      <x:c r="S223" s="329"/>
      <x:c r="T223" s="329"/>
      <x:c r="U223" s="329"/>
      <x:c r="V223" s="329"/>
      <x:c r="W223" s="329"/>
      <x:c r="X223" s="329"/>
      <x:c r="Y223" s="329"/>
      <x:c r="Z223" s="329"/>
      <x:c r="AA223" s="329"/>
      <x:c r="AB223" s="329"/>
      <x:c r="AC223" s="329"/>
      <x:c r="AD223" s="329"/>
      <x:c r="AE223" s="329"/>
    </x:row>
    <x:row r="224">
      <x:c r="A224" s="329" t="str">
        <x:v>Gray</x:v>
      </x:c>
      <x:c r="B224" s="329" t="str">
        <x:v>Financially excluded / inactive</x:v>
      </x:c>
      <x:c r="C224" s="329" t="str">
        <x:v>Chronology-only legacy event</x:v>
      </x:c>
      <x:c r="D224" s="329" t="str">
        <x:v>Operationally complete but financially excluded</x:v>
      </x:c>
      <x:c r="E224" s="329" t="str">
        <x:v>N/A / zero activity</x:v>
      </x:c>
      <x:c r="F224" s="329" t="str">
        <x:v>Closed or excluded</x:v>
      </x:c>
      <x:c r="G224" s="329"/>
      <x:c r="H224" s="329"/>
      <x:c r="I224" s="329"/>
      <x:c r="J224" s="329"/>
      <x:c r="K224" s="329"/>
      <x:c r="L224" s="329"/>
      <x:c r="M224" s="329"/>
      <x:c r="N224" s="329"/>
      <x:c r="O224" s="329"/>
      <x:c r="P224" s="329"/>
      <x:c r="Q224" s="329"/>
      <x:c r="R224" s="329"/>
      <x:c r="S224" s="329"/>
      <x:c r="T224" s="329"/>
      <x:c r="U224" s="329"/>
      <x:c r="V224" s="329"/>
      <x:c r="W224" s="329"/>
      <x:c r="X224" s="329"/>
      <x:c r="Y224" s="329"/>
      <x:c r="Z224" s="329"/>
      <x:c r="AA224" s="329"/>
      <x:c r="AB224" s="329"/>
      <x:c r="AC224" s="329"/>
      <x:c r="AD224" s="329"/>
      <x:c r="AE224" s="329"/>
    </x:row>
    <x:row r="225">
      <x:c r="A225" s="329" t="str">
        <x:v>Financial Scope Fields</x:v>
      </x:c>
      <x:c r="B225" s="329" t="str">
        <x:v>Financial Scope</x:v>
      </x:c>
      <x:c r="C225" s="329" t="str">
        <x:v>Financial Exclusion Reason</x:v>
      </x:c>
      <x:c r="D225" s="329" t="str">
        <x:v>Breakdown Expected</x:v>
      </x:c>
      <x:c r="E225" s="329"/>
      <x:c r="F225" s="329"/>
      <x:c r="G225" s="329"/>
      <x:c r="H225" s="329"/>
      <x:c r="I225" s="329"/>
      <x:c r="J225" s="329"/>
      <x:c r="K225" s="329"/>
      <x:c r="L225" s="329"/>
      <x:c r="M225" s="329"/>
      <x:c r="N225" s="329"/>
      <x:c r="O225" s="329"/>
      <x:c r="P225" s="329"/>
      <x:c r="Q225" s="329"/>
      <x:c r="R225" s="329"/>
      <x:c r="S225" s="329"/>
      <x:c r="T225" s="329"/>
      <x:c r="U225" s="329"/>
      <x:c r="V225" s="329"/>
      <x:c r="W225" s="329"/>
      <x:c r="X225" s="329"/>
      <x:c r="Y225" s="329"/>
      <x:c r="Z225" s="329"/>
      <x:c r="AA225" s="329"/>
      <x:c r="AB225" s="329"/>
      <x:c r="AC225" s="329"/>
      <x:c r="AD225" s="329"/>
      <x:c r="AE225" s="329"/>
    </x:row>
    <x:row r="226">
      <x:c r="A226" s="329" t="str">
        <x:v>Chronology-Only Events</x:v>
      </x:c>
      <x:c r="B226" s="329" t="str">
        <x:v>9, 14, 23, 25</x:v>
      </x:c>
      <x:c r="C226" s="329" t="str">
        <x:v>Remain in career chronology</x:v>
      </x:c>
      <x:c r="D226" s="329" t="str">
        <x:v>Excluded from financial denominators</x:v>
      </x:c>
      <x:c r="E226" s="329" t="str">
        <x:v>Breakdown Expected = No</x:v>
      </x:c>
      <x:c r="F226" s="329" t="str">
        <x:v>No false missing-breakdown alerts</x:v>
      </x:c>
      <x:c r="G226" s="329"/>
      <x:c r="H226" s="329"/>
      <x:c r="I226" s="329"/>
      <x:c r="J226" s="329"/>
      <x:c r="K226" s="329"/>
      <x:c r="L226" s="329"/>
      <x:c r="M226" s="329"/>
      <x:c r="N226" s="329"/>
      <x:c r="O226" s="329"/>
      <x:c r="P226" s="329"/>
      <x:c r="Q226" s="329"/>
      <x:c r="R226" s="329"/>
      <x:c r="S226" s="329"/>
      <x:c r="T226" s="329"/>
      <x:c r="U226" s="329"/>
      <x:c r="V226" s="329"/>
      <x:c r="W226" s="329"/>
      <x:c r="X226" s="329"/>
      <x:c r="Y226" s="329"/>
      <x:c r="Z226" s="329"/>
      <x:c r="AA226" s="329"/>
      <x:c r="AB226" s="329"/>
      <x:c r="AC226" s="329"/>
      <x:c r="AD226" s="329"/>
      <x:c r="AE226" s="329"/>
    </x:row>
    <x:row r="227">
      <x:c r="A227" s="329" t="str">
        <x:v>Current Career Events</x:v>
      </x:c>
      <x:c r="B227" s="329" t="n">
        <x:v>65</x:v>
      </x:c>
      <x:c r="C227" s="329" t="str">
        <x:v>Current Financial-Scope Events</x:v>
      </x:c>
      <x:c r="D227" s="329" t="n">
        <x:v>61</x:v>
      </x:c>
      <x:c r="E227" s="329" t="str">
        <x:v>Current Missing Breakdowns</x:v>
      </x:c>
      <x:c r="F227" s="329" t="n">
        <x:v>4</x:v>
      </x:c>
      <x:c r="G227" s="329"/>
      <x:c r="H227" s="329"/>
      <x:c r="I227" s="329"/>
      <x:c r="J227" s="329"/>
      <x:c r="K227" s="329"/>
      <x:c r="L227" s="329"/>
      <x:c r="M227" s="329"/>
      <x:c r="N227" s="329"/>
      <x:c r="O227" s="329"/>
      <x:c r="P227" s="329"/>
      <x:c r="Q227" s="329"/>
      <x:c r="R227" s="329"/>
      <x:c r="S227" s="329"/>
      <x:c r="T227" s="329"/>
      <x:c r="U227" s="329"/>
      <x:c r="V227" s="329"/>
      <x:c r="W227" s="329"/>
      <x:c r="X227" s="329"/>
      <x:c r="Y227" s="329"/>
      <x:c r="Z227" s="329"/>
      <x:c r="AA227" s="329"/>
      <x:c r="AB227" s="329"/>
      <x:c r="AC227" s="329"/>
      <x:c r="AD227" s="329"/>
      <x:c r="AE227" s="329"/>
    </x:row>
    <x:row r="228">
      <x:c r="A228" s="329" t="str">
        <x:v>Event 65</x:v>
      </x:c>
      <x:c r="B228" s="329" t="str">
        <x:v>HomeGoods — Gaithersburg</x:v>
      </x:c>
      <x:c r="C228" s="329" t="str">
        <x:v>WO 5917407</x:v>
      </x:c>
      <x:c r="D228" s="329" t="str">
        <x:v>Completed</x:v>
      </x:c>
      <x:c r="E228" s="329" t="str">
        <x:v>Breakdown pending</x:v>
      </x:c>
      <x:c r="F228" s="329" t="str">
        <x:v>Included in financial scope</x:v>
      </x:c>
      <x:c r="G228" s="329"/>
      <x:c r="H228" s="329"/>
      <x:c r="I228" s="329"/>
      <x:c r="J228" s="329"/>
      <x:c r="K228" s="329"/>
      <x:c r="L228" s="329"/>
      <x:c r="M228" s="329"/>
      <x:c r="N228" s="329"/>
      <x:c r="O228" s="329"/>
      <x:c r="P228" s="329"/>
      <x:c r="Q228" s="329"/>
      <x:c r="R228" s="329"/>
      <x:c r="S228" s="329"/>
      <x:c r="T228" s="329"/>
      <x:c r="U228" s="329"/>
      <x:c r="V228" s="329"/>
      <x:c r="W228" s="329"/>
      <x:c r="X228" s="329"/>
      <x:c r="Y228" s="329"/>
      <x:c r="Z228" s="329"/>
      <x:c r="AA228" s="329"/>
      <x:c r="AB228" s="329"/>
      <x:c r="AC228" s="329"/>
      <x:c r="AD228" s="329"/>
      <x:c r="AE228" s="329"/>
    </x:row>
    <x:row r="229">
      <x:c r="A229" s="329" t="str">
        <x:v>3F Rule</x:v>
      </x:c>
      <x:c r="B229" s="329" t="str">
        <x:v>Formatting visualizes status only</x:v>
      </x:c>
      <x:c r="C229" s="329" t="str">
        <x:v>No chronology is changed</x:v>
      </x:c>
      <x:c r="D229" s="329" t="str">
        <x:v>No payment is inferred</x:v>
      </x:c>
      <x:c r="E229" s="329" t="str">
        <x:v>No exception is silently cleared</x:v>
      </x:c>
      <x:c r="F229" s="329" t="str">
        <x:v>Workbook remains authoritative</x:v>
      </x:c>
      <x:c r="G229" s="329"/>
      <x:c r="H229" s="329"/>
      <x:c r="I229" s="329"/>
      <x:c r="J229" s="329"/>
      <x:c r="K229" s="329"/>
      <x:c r="L229" s="329"/>
      <x:c r="M229" s="329"/>
      <x:c r="N229" s="329"/>
      <x:c r="O229" s="329"/>
      <x:c r="P229" s="329"/>
      <x:c r="Q229" s="329"/>
      <x:c r="R229" s="329"/>
      <x:c r="S229" s="329"/>
      <x:c r="T229" s="329"/>
      <x:c r="U229" s="329"/>
      <x:c r="V229" s="329"/>
      <x:c r="W229" s="329"/>
      <x:c r="X229" s="329"/>
      <x:c r="Y229" s="329"/>
      <x:c r="Z229" s="329"/>
      <x:c r="AA229" s="329"/>
      <x:c r="AB229" s="329"/>
      <x:c r="AC229" s="329"/>
      <x:c r="AD229" s="329"/>
      <x:c r="AE229" s="329"/>
    </x:row>
    <x:row r="230">
      <x:c r="A230" s="388" t="str">
        <x:v>Sequence Note</x:v>
      </x:c>
      <x:c r="B230" s="349" t="str">
        <x:v>Phase 3H completed ahead of Phase 3G at the user's direction</x:v>
      </x:c>
      <x:c r="C230" s="349"/>
      <x:c r="D230" s="349"/>
      <x:c r="E230" s="349"/>
      <x:c r="F230" s="349"/>
      <x:c r="G230" s="329"/>
      <x:c r="H230" s="329"/>
      <x:c r="I230" s="329"/>
      <x:c r="J230" s="329"/>
      <x:c r="K230" s="329"/>
      <x:c r="L230" s="329"/>
      <x:c r="M230" s="329"/>
      <x:c r="N230" s="329"/>
      <x:c r="O230" s="329"/>
      <x:c r="P230" s="329"/>
      <x:c r="Q230" s="329"/>
      <x:c r="R230" s="329"/>
      <x:c r="S230" s="329"/>
      <x:c r="T230" s="329"/>
      <x:c r="U230" s="329"/>
      <x:c r="V230" s="329"/>
      <x:c r="W230" s="329"/>
      <x:c r="X230" s="329"/>
      <x:c r="Y230" s="329"/>
      <x:c r="Z230" s="329"/>
      <x:c r="AA230" s="329"/>
      <x:c r="AB230" s="329"/>
      <x:c r="AC230" s="329"/>
      <x:c r="AD230" s="329"/>
      <x:c r="AE230" s="329"/>
    </x:row>
    <x:row r="231">
      <x:c r="A231" s="349" t="str">
        <x:v>Remaining Phase</x:v>
      </x:c>
      <x:c r="B231" s="349" t="str">
        <x:v>PHASE 3G — Self-Healing Rules</x:v>
      </x:c>
      <x:c r="C231" s="349"/>
      <x:c r="D231" s="349"/>
      <x:c r="E231" s="349"/>
      <x:c r="F231" s="349"/>
      <x:c r="G231" s="329"/>
      <x:c r="H231" s="329"/>
      <x:c r="I231" s="329"/>
      <x:c r="J231" s="329"/>
      <x:c r="K231" s="329"/>
      <x:c r="L231" s="329"/>
      <x:c r="M231" s="329"/>
      <x:c r="N231" s="329"/>
      <x:c r="O231" s="329"/>
      <x:c r="P231" s="329"/>
      <x:c r="Q231" s="329"/>
      <x:c r="R231" s="329"/>
      <x:c r="S231" s="329"/>
      <x:c r="T231" s="329"/>
      <x:c r="U231" s="329"/>
      <x:c r="V231" s="329"/>
      <x:c r="W231" s="329"/>
      <x:c r="X231" s="329"/>
      <x:c r="Y231" s="329"/>
      <x:c r="Z231" s="329"/>
      <x:c r="AA231" s="329"/>
      <x:c r="AB231" s="329"/>
      <x:c r="AC231" s="329"/>
      <x:c r="AD231" s="329"/>
      <x:c r="AE231" s="329"/>
    </x:row>
    <x:row r="232" ht="28" customHeight="1">
      <x:c r="A232" s="398" t="str">
        <x:v>PHASE 3G — Self-Healing Rules</x:v>
      </x:c>
      <x:c r="B232" s="398" t="str">
        <x:v>Completed</x:v>
      </x:c>
      <x:c r="C232" s="398" t="str">
        <x:v>2026-07-14</x:v>
      </x:c>
      <x:c r="D232" s="398"/>
      <x:c r="E232" s="398"/>
      <x:c r="F232" s="398"/>
      <x:c r="G232" s="329"/>
      <x:c r="H232" s="329"/>
      <x:c r="I232" s="329"/>
      <x:c r="J232" s="329"/>
      <x:c r="K232" s="329"/>
      <x:c r="L232" s="329"/>
      <x:c r="M232" s="329"/>
      <x:c r="N232" s="329"/>
      <x:c r="O232" s="329"/>
      <x:c r="P232" s="329"/>
      <x:c r="Q232" s="329"/>
      <x:c r="R232" s="329"/>
      <x:c r="S232" s="329"/>
      <x:c r="T232" s="329"/>
      <x:c r="U232" s="329"/>
      <x:c r="V232" s="329"/>
      <x:c r="W232" s="329"/>
      <x:c r="X232" s="329"/>
      <x:c r="Y232" s="329"/>
      <x:c r="Z232" s="329"/>
      <x:c r="AA232" s="329"/>
      <x:c r="AB232" s="329"/>
      <x:c r="AC232" s="329"/>
      <x:c r="AD232" s="329"/>
      <x:c r="AE232" s="329"/>
    </x:row>
    <x:row r="233" ht="28" customHeight="1">
      <x:c r="A233" s="330" t="str">
        <x:v>Design Principle</x:v>
      </x:c>
      <x:c r="B233" s="329" t="str">
        <x:v>Non-destructive automatic repair</x:v>
      </x:c>
      <x:c r="C233" s="329"/>
      <x:c r="D233" s="329"/>
      <x:c r="E233" s="329"/>
      <x:c r="F233" s="329"/>
      <x:c r="G233" s="329"/>
      <x:c r="H233" s="329"/>
      <x:c r="I233" s="329"/>
      <x:c r="J233" s="329"/>
      <x:c r="K233" s="329"/>
      <x:c r="L233" s="329"/>
      <x:c r="M233" s="329"/>
      <x:c r="N233" s="329"/>
      <x:c r="O233" s="329"/>
      <x:c r="P233" s="329"/>
      <x:c r="Q233" s="329"/>
      <x:c r="R233" s="329"/>
      <x:c r="S233" s="329"/>
      <x:c r="T233" s="329"/>
      <x:c r="U233" s="329"/>
      <x:c r="V233" s="329"/>
      <x:c r="W233" s="329"/>
      <x:c r="X233" s="329"/>
      <x:c r="Y233" s="329"/>
      <x:c r="Z233" s="329"/>
      <x:c r="AA233" s="329"/>
      <x:c r="AB233" s="329"/>
      <x:c r="AC233" s="329"/>
      <x:c r="AD233" s="329"/>
      <x:c r="AE233" s="329"/>
    </x:row>
    <x:row r="234" ht="28" customHeight="1">
      <x:c r="A234" s="330" t="str">
        <x:v>Auto-Managed Service Fields</x:v>
      </x:c>
      <x:c r="B234" s="329" t="str">
        <x:v>Physical Visit ID</x:v>
      </x:c>
      <x:c r="C234" s="329" t="str">
        <x:v>Weekday</x:v>
      </x:c>
      <x:c r="D234" s="329" t="str">
        <x:v>Location Key</x:v>
      </x:c>
      <x:c r="E234" s="329" t="str">
        <x:v>Revenue Eligibility</x:v>
      </x:c>
      <x:c r="F234" s="329" t="str">
        <x:v>Breakdown Expected</x:v>
      </x:c>
      <x:c r="G234" s="329"/>
      <x:c r="H234" s="329"/>
      <x:c r="I234" s="329"/>
      <x:c r="J234" s="329"/>
      <x:c r="K234" s="329"/>
      <x:c r="L234" s="329"/>
      <x:c r="M234" s="329"/>
      <x:c r="N234" s="329"/>
      <x:c r="O234" s="329"/>
      <x:c r="P234" s="329"/>
      <x:c r="Q234" s="329"/>
      <x:c r="R234" s="329"/>
      <x:c r="S234" s="329"/>
      <x:c r="T234" s="329"/>
      <x:c r="U234" s="329"/>
      <x:c r="V234" s="329"/>
      <x:c r="W234" s="329"/>
      <x:c r="X234" s="329"/>
      <x:c r="Y234" s="329"/>
      <x:c r="Z234" s="329"/>
      <x:c r="AA234" s="329"/>
      <x:c r="AB234" s="329"/>
      <x:c r="AC234" s="329"/>
      <x:c r="AD234" s="329"/>
      <x:c r="AE234" s="329"/>
    </x:row>
    <x:row r="235" ht="28" customHeight="1">
      <x:c r="A235" s="400" t="str">
        <x:v>Auto-Managed Ledger Fields</x:v>
      </x:c>
      <x:c r="B235" s="329" t="str">
        <x:v>Weekday</x:v>
      </x:c>
      <x:c r="C235" s="329" t="str">
        <x:v>Location Key</x:v>
      </x:c>
      <x:c r="D235" s="329" t="str">
        <x:v>Variance</x:v>
      </x:c>
      <x:c r="E235" s="329"/>
      <x:c r="F235" s="329"/>
      <x:c r="G235" s="329"/>
      <x:c r="H235" s="329"/>
      <x:c r="I235" s="329"/>
      <x:c r="J235" s="329"/>
      <x:c r="K235" s="329"/>
      <x:c r="L235" s="329"/>
      <x:c r="M235" s="329"/>
      <x:c r="N235" s="329"/>
      <x:c r="O235" s="329"/>
      <x:c r="P235" s="329"/>
      <x:c r="Q235" s="329"/>
      <x:c r="R235" s="329"/>
      <x:c r="S235" s="329"/>
      <x:c r="T235" s="329"/>
      <x:c r="U235" s="329"/>
      <x:c r="V235" s="329"/>
      <x:c r="W235" s="329"/>
      <x:c r="X235" s="329"/>
      <x:c r="Y235" s="329"/>
      <x:c r="Z235" s="329"/>
      <x:c r="AA235" s="329"/>
      <x:c r="AB235" s="329"/>
      <x:c r="AC235" s="329"/>
      <x:c r="AD235" s="329"/>
      <x:c r="AE235" s="329"/>
    </x:row>
    <x:row r="236" ht="28" customHeight="1">
      <x:c r="A236" s="400" t="str">
        <x:v>Formula Ownership</x:v>
      </x:c>
      <x:c r="B236" s="329" t="str">
        <x:v>Derived fields recalculate from authoritative inputs</x:v>
      </x:c>
      <x:c r="C236" s="329" t="str">
        <x:v>Future table rows inherit calculated-column behavior in Excel</x:v>
      </x:c>
      <x:c r="D236" s="329"/>
      <x:c r="E236" s="329"/>
      <x:c r="F236" s="329"/>
      <x:c r="G236" s="329"/>
      <x:c r="H236" s="329"/>
      <x:c r="I236" s="329"/>
      <x:c r="J236" s="329"/>
      <x:c r="K236" s="329"/>
      <x:c r="L236" s="329"/>
      <x:c r="M236" s="329"/>
      <x:c r="N236" s="329"/>
      <x:c r="O236" s="329"/>
      <x:c r="P236" s="329"/>
      <x:c r="Q236" s="329"/>
      <x:c r="R236" s="329"/>
      <x:c r="S236" s="329"/>
      <x:c r="T236" s="329"/>
      <x:c r="U236" s="329"/>
      <x:c r="V236" s="329"/>
      <x:c r="W236" s="329"/>
      <x:c r="X236" s="329"/>
      <x:c r="Y236" s="329"/>
      <x:c r="Z236" s="329"/>
      <x:c r="AA236" s="329"/>
      <x:c r="AB236" s="329"/>
      <x:c r="AC236" s="329"/>
      <x:c r="AD236" s="329"/>
      <x:c r="AE236" s="329"/>
    </x:row>
    <x:row r="237" ht="28" customHeight="1">
      <x:c r="A237" s="400" t="str">
        <x:v>Protected Identity Fields</x:v>
      </x:c>
      <x:c r="B237" s="329" t="str">
        <x:v>Event #</x:v>
      </x:c>
      <x:c r="C237" s="329" t="str">
        <x:v>Service Date</x:v>
      </x:c>
      <x:c r="D237" s="329" t="str">
        <x:v>Client / Site / Location</x:v>
      </x:c>
      <x:c r="E237" s="329" t="str">
        <x:v>Work Order #</x:v>
      </x:c>
      <x:c r="F237" s="329" t="str">
        <x:v>Source / Evidence</x:v>
      </x:c>
      <x:c r="G237" s="329"/>
      <x:c r="H237" s="329"/>
      <x:c r="I237" s="329"/>
      <x:c r="J237" s="329"/>
      <x:c r="K237" s="329"/>
      <x:c r="L237" s="329"/>
      <x:c r="M237" s="329"/>
      <x:c r="N237" s="329"/>
      <x:c r="O237" s="329"/>
      <x:c r="P237" s="329"/>
      <x:c r="Q237" s="329"/>
      <x:c r="R237" s="329"/>
      <x:c r="S237" s="329"/>
      <x:c r="T237" s="329"/>
      <x:c r="U237" s="329"/>
      <x:c r="V237" s="329"/>
      <x:c r="W237" s="329"/>
      <x:c r="X237" s="329"/>
      <x:c r="Y237" s="329"/>
      <x:c r="Z237" s="329"/>
      <x:c r="AA237" s="329"/>
      <x:c r="AB237" s="329"/>
      <x:c r="AC237" s="329"/>
      <x:c r="AD237" s="329"/>
      <x:c r="AE237" s="329"/>
    </x:row>
    <x:row r="238" ht="28" customHeight="1">
      <x:c r="A238" s="400" t="str">
        <x:v>Protected Financial Fields</x:v>
      </x:c>
      <x:c r="B238" s="329" t="str">
        <x:v>Agreed Amount</x:v>
      </x:c>
      <x:c r="C238" s="329" t="str">
        <x:v>Breakdown Amount / Date</x:v>
      </x:c>
      <x:c r="D238" s="329" t="str">
        <x:v>ACH Amount / Date</x:v>
      </x:c>
      <x:c r="E238" s="329" t="str">
        <x:v>Expected Payment Date</x:v>
      </x:c>
      <x:c r="F238" s="329" t="str">
        <x:v>Never inferred</x:v>
      </x:c>
      <x:c r="G238" s="329"/>
      <x:c r="H238" s="329"/>
      <x:c r="I238" s="329"/>
      <x:c r="J238" s="329"/>
      <x:c r="K238" s="329"/>
      <x:c r="L238" s="329"/>
      <x:c r="M238" s="329"/>
      <x:c r="N238" s="329"/>
      <x:c r="O238" s="329"/>
      <x:c r="P238" s="329"/>
      <x:c r="Q238" s="329"/>
      <x:c r="R238" s="329"/>
      <x:c r="S238" s="329"/>
      <x:c r="T238" s="329"/>
      <x:c r="U238" s="329"/>
      <x:c r="V238" s="329"/>
      <x:c r="W238" s="329"/>
      <x:c r="X238" s="329"/>
      <x:c r="Y238" s="329"/>
      <x:c r="Z238" s="329"/>
      <x:c r="AA238" s="329"/>
      <x:c r="AB238" s="329"/>
      <x:c r="AC238" s="329"/>
      <x:c r="AD238" s="329"/>
      <x:c r="AE238" s="329"/>
    </x:row>
    <x:row r="239" ht="28" customHeight="1">
      <x:c r="A239" s="400" t="str">
        <x:v>Protected Mapping Fields</x:v>
      </x:c>
      <x:c r="B239" s="329" t="str">
        <x:v>Event-to-WO ownership</x:v>
      </x:c>
      <x:c r="C239" s="329" t="str">
        <x:v>Duplicate resolution</x:v>
      </x:c>
      <x:c r="D239" s="329" t="str">
        <x:v>Mapping Holds</x:v>
      </x:c>
      <x:c r="E239" s="329" t="str">
        <x:v>Human review only</x:v>
      </x:c>
      <x:c r="F239" s="329"/>
      <x:c r="G239" s="329"/>
      <x:c r="H239" s="329"/>
      <x:c r="I239" s="329"/>
      <x:c r="J239" s="329"/>
      <x:c r="K239" s="329"/>
      <x:c r="L239" s="329"/>
      <x:c r="M239" s="329"/>
      <x:c r="N239" s="329"/>
      <x:c r="O239" s="329"/>
      <x:c r="P239" s="329"/>
      <x:c r="Q239" s="329"/>
      <x:c r="R239" s="329"/>
      <x:c r="S239" s="329"/>
      <x:c r="T239" s="329"/>
      <x:c r="U239" s="329"/>
      <x:c r="V239" s="329"/>
      <x:c r="W239" s="329"/>
      <x:c r="X239" s="329"/>
      <x:c r="Y239" s="329"/>
      <x:c r="Z239" s="329"/>
      <x:c r="AA239" s="329"/>
      <x:c r="AB239" s="329"/>
      <x:c r="AC239" s="329"/>
      <x:c r="AD239" s="329"/>
      <x:c r="AE239" s="329"/>
    </x:row>
    <x:row r="240" ht="28" customHeight="1">
      <x:c r="A240" s="400" t="str">
        <x:v>Advisory Rule</x:v>
      </x:c>
      <x:c r="B240" s="329" t="str">
        <x:v>Pending breakdown, ACH, partial, and variance states remain visible</x:v>
      </x:c>
      <x:c r="C240" s="329" t="str">
        <x:v>No silent closure</x:v>
      </x:c>
      <x:c r="D240" s="329"/>
      <x:c r="E240" s="329"/>
      <x:c r="F240" s="329"/>
      <x:c r="G240" s="329"/>
      <x:c r="H240" s="329"/>
      <x:c r="I240" s="329"/>
      <x:c r="J240" s="329"/>
      <x:c r="K240" s="329"/>
      <x:c r="L240" s="329"/>
      <x:c r="M240" s="329"/>
      <x:c r="N240" s="329"/>
      <x:c r="O240" s="329"/>
      <x:c r="P240" s="329"/>
      <x:c r="Q240" s="329"/>
      <x:c r="R240" s="329"/>
      <x:c r="S240" s="329"/>
      <x:c r="T240" s="329"/>
      <x:c r="U240" s="329"/>
      <x:c r="V240" s="329"/>
      <x:c r="W240" s="329"/>
      <x:c r="X240" s="329"/>
      <x:c r="Y240" s="329"/>
      <x:c r="Z240" s="329"/>
      <x:c r="AA240" s="329"/>
      <x:c r="AB240" s="329"/>
      <x:c r="AC240" s="329"/>
      <x:c r="AD240" s="329"/>
      <x:c r="AE240" s="329"/>
    </x:row>
    <x:row r="241" ht="28" customHeight="1">
      <x:c r="A241" s="400" t="str">
        <x:v>Safety Model</x:v>
      </x:c>
      <x:c r="B241" s="329" t="str">
        <x:v>Phase 3G repairs deterministic fields</x:v>
      </x:c>
      <x:c r="C241" s="329" t="str">
        <x:v>Phase 3H validates all structural relationships</x:v>
      </x:c>
      <x:c r="D241" s="329" t="str">
        <x:v>Unsafe changes fail the Integrity Gate</x:v>
      </x:c>
      <x:c r="E241" s="329"/>
      <x:c r="F241" s="329"/>
      <x:c r="G241" s="329"/>
      <x:c r="H241" s="329"/>
      <x:c r="I241" s="329"/>
      <x:c r="J241" s="329"/>
      <x:c r="K241" s="329"/>
      <x:c r="L241" s="329"/>
      <x:c r="M241" s="329"/>
      <x:c r="N241" s="329"/>
      <x:c r="O241" s="329"/>
      <x:c r="P241" s="329"/>
      <x:c r="Q241" s="329"/>
      <x:c r="R241" s="329"/>
      <x:c r="S241" s="329"/>
      <x:c r="T241" s="329"/>
      <x:c r="U241" s="329"/>
      <x:c r="V241" s="329"/>
      <x:c r="W241" s="329"/>
      <x:c r="X241" s="329"/>
      <x:c r="Y241" s="329"/>
      <x:c r="Z241" s="329"/>
      <x:c r="AA241" s="329"/>
      <x:c r="AB241" s="329"/>
      <x:c r="AC241" s="329"/>
      <x:c r="AD241" s="329"/>
      <x:c r="AE241" s="329"/>
    </x:row>
    <x:row r="242" ht="28" customHeight="1">
      <x:c r="A242" s="400" t="str">
        <x:v>Current Auto Exceptions</x:v>
      </x:c>
      <x:c r="B242" s="329" t="n">
        <x:f>'Self-Healing Rules'!C6</x:f>
        <x:v>14</x:v>
      </x:c>
      <x:c r="C242" s="329"/>
      <x:c r="D242" s="329"/>
      <x:c r="E242" s="329"/>
      <x:c r="F242" s="329"/>
      <x:c r="G242" s="329"/>
      <x:c r="H242" s="329"/>
      <x:c r="I242" s="329"/>
      <x:c r="J242" s="329"/>
      <x:c r="K242" s="329"/>
      <x:c r="L242" s="329"/>
      <x:c r="M242" s="329"/>
      <x:c r="N242" s="329"/>
      <x:c r="O242" s="329"/>
      <x:c r="P242" s="329"/>
      <x:c r="Q242" s="329"/>
      <x:c r="R242" s="329"/>
      <x:c r="S242" s="329"/>
      <x:c r="T242" s="329"/>
      <x:c r="U242" s="329"/>
      <x:c r="V242" s="329"/>
      <x:c r="W242" s="329"/>
      <x:c r="X242" s="329"/>
      <x:c r="Y242" s="329"/>
      <x:c r="Z242" s="329"/>
      <x:c r="AA242" s="329"/>
      <x:c r="AB242" s="329"/>
      <x:c r="AC242" s="329"/>
      <x:c r="AD242" s="329"/>
      <x:c r="AE242" s="329"/>
    </x:row>
    <x:row r="243" ht="28" customHeight="1">
      <x:c r="A243" s="400" t="str">
        <x:v>Current Quarantined Holds</x:v>
      </x:c>
      <x:c r="B243" s="329" t="n">
        <x:f>'Self-Healing Rules'!G6</x:f>
        <x:v>1</x:v>
      </x:c>
      <x:c r="C243" s="329"/>
      <x:c r="D243" s="329"/>
      <x:c r="E243" s="329"/>
      <x:c r="F243" s="329"/>
      <x:c r="G243" s="329"/>
      <x:c r="H243" s="329"/>
      <x:c r="I243" s="329"/>
      <x:c r="J243" s="329"/>
      <x:c r="K243" s="329"/>
      <x:c r="L243" s="329"/>
      <x:c r="M243" s="329"/>
      <x:c r="N243" s="329"/>
      <x:c r="O243" s="329"/>
      <x:c r="P243" s="329"/>
      <x:c r="Q243" s="329"/>
      <x:c r="R243" s="329"/>
      <x:c r="S243" s="329"/>
      <x:c r="T243" s="329"/>
      <x:c r="U243" s="329"/>
      <x:c r="V243" s="329"/>
      <x:c r="W243" s="329"/>
      <x:c r="X243" s="329"/>
      <x:c r="Y243" s="329"/>
      <x:c r="Z243" s="329"/>
      <x:c r="AA243" s="329"/>
      <x:c r="AB243" s="329"/>
      <x:c r="AC243" s="329"/>
      <x:c r="AD243" s="329"/>
      <x:c r="AE243" s="329"/>
    </x:row>
    <x:row r="244" ht="28" customHeight="1">
      <x:c r="A244" s="400" t="str">
        <x:v>Version Note</x:v>
      </x:c>
      <x:c r="B244" s="329" t="str">
        <x:v>Phase 3G added after Phase 3H without altering chronology or financial evidence</x:v>
      </x:c>
      <x:c r="C244" s="329"/>
      <x:c r="D244" s="329"/>
      <x:c r="E244" s="329"/>
      <x:c r="F244" s="329"/>
      <x:c r="G244" s="329"/>
      <x:c r="H244" s="329"/>
      <x:c r="I244" s="329"/>
      <x:c r="J244" s="329"/>
      <x:c r="K244" s="329"/>
      <x:c r="L244" s="329"/>
      <x:c r="M244" s="329"/>
      <x:c r="N244" s="329"/>
      <x:c r="O244" s="329"/>
      <x:c r="P244" s="329"/>
      <x:c r="Q244" s="329"/>
      <x:c r="R244" s="329"/>
      <x:c r="S244" s="329"/>
      <x:c r="T244" s="329"/>
      <x:c r="U244" s="329"/>
      <x:c r="V244" s="329"/>
      <x:c r="W244" s="329"/>
      <x:c r="X244" s="329"/>
      <x:c r="Y244" s="329"/>
      <x:c r="Z244" s="329"/>
      <x:c r="AA244" s="329"/>
      <x:c r="AB244" s="329"/>
      <x:c r="AC244" s="329"/>
      <x:c r="AD244" s="329"/>
      <x:c r="AE244" s="329"/>
    </x:row>
    <x:row r="245" ht="28" customHeight="1">
      <x:c r="A245" s="400" t="str">
        <x:v>Output Version</x:v>
      </x:c>
      <x:c r="B245" s="329" t="str">
        <x:v>Barrister_Master_v2_Phase3G_3H_Complete.xlsx</x:v>
      </x:c>
      <x:c r="C245" s="329"/>
      <x:c r="D245" s="329"/>
      <x:c r="E245" s="329"/>
      <x:c r="F245" s="329"/>
      <x:c r="G245" s="329"/>
      <x:c r="H245" s="329"/>
      <x:c r="I245" s="329"/>
      <x:c r="J245" s="329"/>
      <x:c r="K245" s="329"/>
      <x:c r="L245" s="329"/>
      <x:c r="M245" s="329"/>
      <x:c r="N245" s="329"/>
      <x:c r="O245" s="329"/>
      <x:c r="P245" s="329"/>
      <x:c r="Q245" s="329"/>
      <x:c r="R245" s="329"/>
      <x:c r="S245" s="329"/>
      <x:c r="T245" s="329"/>
      <x:c r="U245" s="329"/>
      <x:c r="V245" s="329"/>
      <x:c r="W245" s="329"/>
      <x:c r="X245" s="329"/>
      <x:c r="Y245" s="329"/>
      <x:c r="Z245" s="329"/>
      <x:c r="AA245" s="329"/>
      <x:c r="AB245" s="329"/>
      <x:c r="AC245" s="329"/>
      <x:c r="AD245" s="329"/>
      <x:c r="AE245" s="329"/>
    </x:row>
    <x:row r="246">
      <x:c r="A246" s="400" t="str">
        <x:v>2026-07-15 Authoritative Delta &amp; Promotion</x:v>
      </x:c>
      <x:c r="B246" s="329" t="str">
        <x:v>Completed</x:v>
      </x:c>
      <x:c r="C246" s="329"/>
      <x:c r="D246" s="329"/>
      <x:c r="E246" s="329"/>
      <x:c r="F246" s="329"/>
      <x:c r="G246" s="329"/>
      <x:c r="H246" s="329"/>
      <x:c r="I246" s="329"/>
      <x:c r="J246" s="329"/>
      <x:c r="K246" s="329"/>
      <x:c r="L246" s="329"/>
      <x:c r="M246" s="329"/>
      <x:c r="N246" s="329"/>
      <x:c r="O246" s="329"/>
      <x:c r="P246" s="329"/>
      <x:c r="Q246" s="329"/>
      <x:c r="R246" s="329"/>
      <x:c r="S246" s="329"/>
      <x:c r="T246" s="329"/>
      <x:c r="U246" s="329"/>
      <x:c r="V246" s="329"/>
      <x:c r="W246" s="329"/>
      <x:c r="X246" s="329"/>
      <x:c r="Y246" s="329"/>
      <x:c r="Z246" s="329"/>
      <x:c r="AA246" s="329"/>
      <x:c r="AB246" s="329"/>
      <x:c r="AC246" s="329"/>
      <x:c r="AD246" s="329"/>
      <x:c r="AE246" s="329"/>
    </x:row>
    <x:row r="247">
      <x:c r="A247" s="400" t="str">
        <x:v>Event 66</x:v>
      </x:c>
      <x:c r="B247" s="329" t="str">
        <x:v>TJ Maxx — Bel Air</x:v>
      </x:c>
      <x:c r="C247" s="329" t="str">
        <x:v>WO 5909385</x:v>
      </x:c>
      <x:c r="D247" s="329" t="str">
        <x:v>Completed</x:v>
      </x:c>
      <x:c r="E247" s="329" t="str">
        <x:v>$45/hour; breakdown pending</x:v>
      </x:c>
      <x:c r="F247" s="329" t="str">
        <x:v>NextGen 11 installed; VH1 decommissioned and prepared for return</x:v>
      </x:c>
      <x:c r="G247" s="329"/>
      <x:c r="H247" s="329"/>
      <x:c r="I247" s="329"/>
      <x:c r="J247" s="329"/>
      <x:c r="K247" s="329"/>
      <x:c r="L247" s="329"/>
      <x:c r="M247" s="329"/>
      <x:c r="N247" s="329"/>
      <x:c r="O247" s="329"/>
      <x:c r="P247" s="329"/>
      <x:c r="Q247" s="329"/>
      <x:c r="R247" s="329"/>
      <x:c r="S247" s="329"/>
      <x:c r="T247" s="329"/>
      <x:c r="U247" s="329"/>
      <x:c r="V247" s="329"/>
      <x:c r="W247" s="329"/>
      <x:c r="X247" s="329"/>
      <x:c r="Y247" s="329"/>
      <x:c r="Z247" s="329"/>
      <x:c r="AA247" s="329"/>
      <x:c r="AB247" s="329"/>
      <x:c r="AC247" s="329"/>
      <x:c r="AD247" s="329"/>
      <x:c r="AE247" s="329"/>
    </x:row>
    <x:row r="248">
      <x:c r="A248" s="400" t="str">
        <x:v>Event 67</x:v>
      </x:c>
      <x:c r="B248" s="329" t="str">
        <x:v>Dunkin — Aberdeen</x:v>
      </x:c>
      <x:c r="C248" s="329" t="str">
        <x:v>WO 5914898</x:v>
      </x:c>
      <x:c r="D248" s="329" t="str">
        <x:v>Completed</x:v>
      </x:c>
      <x:c r="E248" s="329" t="str">
        <x:v>$183.74 breakdown confirmed</x:v>
      </x:c>
      <x:c r="F248" s="329" t="str">
        <x:v>Expected 2026-07-28; ACH pending</x:v>
      </x:c>
      <x:c r="G248" s="329"/>
      <x:c r="H248" s="329"/>
      <x:c r="I248" s="329"/>
      <x:c r="J248" s="329"/>
      <x:c r="K248" s="329"/>
      <x:c r="L248" s="329"/>
      <x:c r="M248" s="329"/>
      <x:c r="N248" s="329"/>
      <x:c r="O248" s="329"/>
      <x:c r="P248" s="329"/>
      <x:c r="Q248" s="329"/>
      <x:c r="R248" s="329"/>
      <x:c r="S248" s="329"/>
      <x:c r="T248" s="329"/>
      <x:c r="U248" s="329"/>
      <x:c r="V248" s="329"/>
      <x:c r="W248" s="329"/>
      <x:c r="X248" s="329"/>
      <x:c r="Y248" s="329"/>
      <x:c r="Z248" s="329"/>
      <x:c r="AA248" s="329"/>
      <x:c r="AB248" s="329"/>
      <x:c r="AC248" s="329"/>
      <x:c r="AD248" s="329"/>
      <x:c r="AE248" s="329"/>
    </x:row>
    <x:row r="249">
      <x:c r="A249" s="400" t="str">
        <x:v>ACH Delta</x:v>
      </x:c>
      <x:c r="B249" s="329" t="str">
        <x:v>Event 54 — 7-Eleven Owings Mills</x:v>
      </x:c>
      <x:c r="C249" s="329" t="str">
        <x:v>WO 5910094</x:v>
      </x:c>
      <x:c r="D249" s="329" t="str">
        <x:v>$120.00 ACH processed</x:v>
      </x:c>
      <x:c r="E249" s="329" t="str">
        <x:v>ACH date 2026-07-14</x:v>
      </x:c>
      <x:c r="F249" s="329" t="str">
        <x:v>Removed from Pending ACH</x:v>
      </x:c>
      <x:c r="G249" s="329"/>
      <x:c r="H249" s="329"/>
      <x:c r="I249" s="329"/>
      <x:c r="J249" s="329"/>
      <x:c r="K249" s="329"/>
      <x:c r="L249" s="329"/>
      <x:c r="M249" s="329"/>
      <x:c r="N249" s="329"/>
      <x:c r="O249" s="329"/>
      <x:c r="P249" s="329"/>
      <x:c r="Q249" s="329"/>
      <x:c r="R249" s="329"/>
      <x:c r="S249" s="329"/>
      <x:c r="T249" s="329"/>
      <x:c r="U249" s="329"/>
      <x:c r="V249" s="329"/>
      <x:c r="W249" s="329"/>
      <x:c r="X249" s="329"/>
      <x:c r="Y249" s="329"/>
      <x:c r="Z249" s="329"/>
      <x:c r="AA249" s="329"/>
      <x:c r="AB249" s="329"/>
      <x:c r="AC249" s="329"/>
      <x:c r="AD249" s="329"/>
      <x:c r="AE249" s="329"/>
    </x:row>
    <x:row r="250">
      <x:c r="A250" s="400" t="str">
        <x:v>Chronology</x:v>
      </x:c>
      <x:c r="B250" s="329" t="str">
        <x:v>Career event count</x:v>
      </x:c>
      <x:c r="C250" s="329" t="n">
        <x:v>67</x:v>
      </x:c>
      <x:c r="D250" s="329" t="str">
        <x:v>Latest completed event</x:v>
      </x:c>
      <x:c r="E250" s="329" t="str">
        <x:v>Event 67</x:v>
      </x:c>
      <x:c r="F250" s="329"/>
      <x:c r="G250" s="329"/>
      <x:c r="H250" s="329"/>
      <x:c r="I250" s="329"/>
      <x:c r="J250" s="329"/>
      <x:c r="K250" s="329"/>
      <x:c r="L250" s="329"/>
      <x:c r="M250" s="329"/>
      <x:c r="N250" s="329"/>
      <x:c r="O250" s="329"/>
      <x:c r="P250" s="329"/>
      <x:c r="Q250" s="329"/>
      <x:c r="R250" s="329"/>
      <x:c r="S250" s="329"/>
      <x:c r="T250" s="329"/>
      <x:c r="U250" s="329"/>
      <x:c r="V250" s="329"/>
      <x:c r="W250" s="329"/>
      <x:c r="X250" s="329"/>
      <x:c r="Y250" s="329"/>
      <x:c r="Z250" s="329"/>
      <x:c r="AA250" s="329"/>
      <x:c r="AB250" s="329"/>
      <x:c r="AC250" s="329"/>
      <x:c r="AD250" s="329"/>
      <x:c r="AE250" s="329"/>
    </x:row>
    <x:row r="251">
      <x:c r="A251" s="400" t="str">
        <x:v>Financial Scope</x:v>
      </x:c>
      <x:c r="B251" s="329" t="str">
        <x:v>Included events</x:v>
      </x:c>
      <x:c r="C251" s="329" t="n">
        <x:v>63</x:v>
      </x:c>
      <x:c r="D251" s="329" t="str">
        <x:v>Chronology-only exclusions</x:v>
      </x:c>
      <x:c r="E251" s="329" t="n">
        <x:v>4</x:v>
      </x:c>
      <x:c r="F251" s="329" t="str">
        <x:v>Events 9, 14, 23, 25</x:v>
      </x:c>
      <x:c r="G251" s="329"/>
      <x:c r="H251" s="329"/>
      <x:c r="I251" s="329"/>
      <x:c r="J251" s="329"/>
      <x:c r="K251" s="329"/>
      <x:c r="L251" s="329"/>
      <x:c r="M251" s="329"/>
      <x:c r="N251" s="329"/>
      <x:c r="O251" s="329"/>
      <x:c r="P251" s="329"/>
      <x:c r="Q251" s="329"/>
      <x:c r="R251" s="329"/>
      <x:c r="S251" s="329"/>
      <x:c r="T251" s="329"/>
      <x:c r="U251" s="329"/>
      <x:c r="V251" s="329"/>
      <x:c r="W251" s="329"/>
      <x:c r="X251" s="329"/>
      <x:c r="Y251" s="329"/>
      <x:c r="Z251" s="329"/>
      <x:c r="AA251" s="329"/>
      <x:c r="AB251" s="329"/>
      <x:c r="AC251" s="329"/>
      <x:c r="AD251" s="329"/>
      <x:c r="AE251" s="329"/>
    </x:row>
    <x:row r="252">
      <x:c r="A252" s="400" t="str">
        <x:v>Missing Breakdown Control</x:v>
      </x:c>
      <x:c r="B252" s="329" t="str">
        <x:v>Expected current count</x:v>
      </x:c>
      <x:c r="C252" s="329" t="n">
        <x:v>5</x:v>
      </x:c>
      <x:c r="D252" s="329" t="str">
        <x:v>Carvana companion + Events 63–66</x:v>
      </x:c>
      <x:c r="E252" s="329"/>
      <x:c r="F252" s="329"/>
      <x:c r="G252" s="329"/>
      <x:c r="H252" s="329"/>
      <x:c r="I252" s="329"/>
      <x:c r="J252" s="329"/>
      <x:c r="K252" s="329"/>
      <x:c r="L252" s="329"/>
      <x:c r="M252" s="329"/>
      <x:c r="N252" s="329"/>
      <x:c r="O252" s="329"/>
      <x:c r="P252" s="329"/>
      <x:c r="Q252" s="329"/>
      <x:c r="R252" s="329"/>
      <x:c r="S252" s="329"/>
      <x:c r="T252" s="329"/>
      <x:c r="U252" s="329"/>
      <x:c r="V252" s="329"/>
      <x:c r="W252" s="329"/>
      <x:c r="X252" s="329"/>
      <x:c r="Y252" s="329"/>
      <x:c r="Z252" s="329"/>
      <x:c r="AA252" s="329"/>
      <x:c r="AB252" s="329"/>
      <x:c r="AC252" s="329"/>
      <x:c r="AD252" s="329"/>
      <x:c r="AE252" s="329"/>
    </x:row>
    <x:row r="253">
      <x:c r="A253" s="330" t="str">
        <x:v>Pending ACH Control</x:v>
      </x:c>
      <x:c r="B253" s="329" t="str">
        <x:v>Expected current count</x:v>
      </x:c>
      <x:c r="C253" s="329" t="n">
        <x:v>9</x:v>
      </x:c>
      <x:c r="D253" s="329" t="str">
        <x:v>Event 54 removed; Event 67 added</x:v>
      </x:c>
      <x:c r="E253" s="329"/>
      <x:c r="F253" s="329"/>
      <x:c r="G253" s="329"/>
      <x:c r="H253" s="329"/>
      <x:c r="I253" s="329"/>
      <x:c r="J253" s="329"/>
      <x:c r="K253" s="329"/>
      <x:c r="L253" s="329"/>
      <x:c r="M253" s="329"/>
      <x:c r="N253" s="329"/>
      <x:c r="O253" s="329"/>
      <x:c r="P253" s="329"/>
      <x:c r="Q253" s="329"/>
      <x:c r="R253" s="329"/>
      <x:c r="S253" s="329"/>
      <x:c r="T253" s="329"/>
      <x:c r="U253" s="329"/>
      <x:c r="V253" s="329"/>
      <x:c r="W253" s="329"/>
      <x:c r="X253" s="329"/>
      <x:c r="Y253" s="329"/>
      <x:c r="Z253" s="329"/>
      <x:c r="AA253" s="329"/>
      <x:c r="AB253" s="329"/>
      <x:c r="AC253" s="329"/>
      <x:c r="AD253" s="329"/>
      <x:c r="AE253" s="329"/>
    </x:row>
    <x:row r="254">
      <x:c r="A254" s="330" t="str">
        <x:v>Confirmed Revenue</x:v>
      </x:c>
      <x:c r="B254" s="329" t="str">
        <x:v>Expected total</x:v>
      </x:c>
      <x:c r="C254" s="329" t="str">
        <x:v>$7,234.55</x:v>
      </x:c>
      <x:c r="D254" s="329" t="str">
        <x:v>Delta</x:v>
      </x:c>
      <x:c r="E254" s="329" t="str">
        <x:v>+ $183.74</x:v>
      </x:c>
      <x:c r="F254" s="329"/>
      <x:c r="G254" s="329"/>
      <x:c r="H254" s="329"/>
      <x:c r="I254" s="329"/>
      <x:c r="J254" s="329"/>
      <x:c r="K254" s="329"/>
      <x:c r="L254" s="329"/>
      <x:c r="M254" s="329"/>
      <x:c r="N254" s="329"/>
      <x:c r="O254" s="329"/>
      <x:c r="P254" s="329"/>
      <x:c r="Q254" s="329"/>
      <x:c r="R254" s="329"/>
      <x:c r="S254" s="329"/>
      <x:c r="T254" s="329"/>
      <x:c r="U254" s="329"/>
      <x:c r="V254" s="329"/>
      <x:c r="W254" s="329"/>
      <x:c r="X254" s="329"/>
      <x:c r="Y254" s="329"/>
      <x:c r="Z254" s="329"/>
      <x:c r="AA254" s="329"/>
      <x:c r="AB254" s="329"/>
      <x:c r="AC254" s="329"/>
      <x:c r="AD254" s="329"/>
      <x:c r="AE254" s="329"/>
    </x:row>
    <x:row r="255">
      <x:c r="A255" s="330" t="str">
        <x:v>Scheduled Hold</x:v>
      </x:c>
      <x:c r="B255" s="329" t="str">
        <x:v>Dunkin — Fallston</x:v>
      </x:c>
      <x:c r="C255" s="329" t="str">
        <x:v>WO 5900854</x:v>
      </x:c>
      <x:c r="D255" s="329" t="str">
        <x:v>Not event-numbered</x:v>
      </x:c>
      <x:c r="E255" s="329" t="str">
        <x:v>Create Event 68 only after completed physical visit</x:v>
      </x:c>
      <x:c r="F255" s="329"/>
      <x:c r="G255" s="329"/>
      <x:c r="H255" s="329"/>
      <x:c r="I255" s="329"/>
      <x:c r="J255" s="329"/>
      <x:c r="K255" s="329"/>
      <x:c r="L255" s="329"/>
      <x:c r="M255" s="329"/>
      <x:c r="N255" s="329"/>
      <x:c r="O255" s="329"/>
      <x:c r="P255" s="329"/>
      <x:c r="Q255" s="329"/>
      <x:c r="R255" s="329"/>
      <x:c r="S255" s="329"/>
      <x:c r="T255" s="329"/>
      <x:c r="U255" s="329"/>
      <x:c r="V255" s="329"/>
      <x:c r="W255" s="329"/>
      <x:c r="X255" s="329"/>
      <x:c r="Y255" s="329"/>
      <x:c r="Z255" s="329"/>
      <x:c r="AA255" s="329"/>
      <x:c r="AB255" s="329"/>
      <x:c r="AC255" s="329"/>
      <x:c r="AD255" s="329"/>
      <x:c r="AE255" s="329"/>
    </x:row>
    <x:row r="256">
      <x:c r="A256" s="330" t="str">
        <x:v>Promotion</x:v>
      </x:c>
      <x:c r="B256" s="329" t="str">
        <x:v>This workbook supersedes Phase 3G_3H_Complete</x:v>
      </x:c>
      <x:c r="C256" s="329" t="str">
        <x:v>Authoritative master effective 2026-07-15</x:v>
      </x:c>
      <x:c r="D256" s="329" t="str">
        <x:v>Delta-only governance preserved</x:v>
      </x:c>
      <x:c r="E256" s="329"/>
      <x:c r="F256" s="329"/>
      <x:c r="G256" s="329"/>
      <x:c r="H256" s="329"/>
      <x:c r="I256" s="329"/>
      <x:c r="J256" s="329"/>
      <x:c r="K256" s="329"/>
      <x:c r="L256" s="329"/>
      <x:c r="M256" s="329"/>
      <x:c r="N256" s="329"/>
      <x:c r="O256" s="329"/>
      <x:c r="P256" s="329"/>
      <x:c r="Q256" s="329"/>
      <x:c r="R256" s="329"/>
      <x:c r="S256" s="329"/>
      <x:c r="T256" s="329"/>
      <x:c r="U256" s="329"/>
      <x:c r="V256" s="329"/>
      <x:c r="W256" s="329"/>
      <x:c r="X256" s="329"/>
      <x:c r="Y256" s="329"/>
      <x:c r="Z256" s="329"/>
      <x:c r="AA256" s="329"/>
      <x:c r="AB256" s="329"/>
      <x:c r="AC256" s="329"/>
      <x:c r="AD256" s="329"/>
      <x:c r="AE256" s="329"/>
    </x:row>
    <x:row r="257">
      <x:c r="A257" s="330" t="str">
        <x:v>Source Basis</x:v>
      </x:c>
      <x:c r="B257" s="329" t="str">
        <x:v>User-authoritative completion statements</x:v>
      </x:c>
      <x:c r="C257" s="329" t="str">
        <x:v>RFS documents</x:v>
      </x:c>
      <x:c r="D257" s="329" t="str">
        <x:v>Gmail breakdown/ACH confirmations</x:v>
      </x:c>
      <x:c r="E257" s="329" t="str">
        <x:v>FastField/photo evidence</x:v>
      </x:c>
      <x:c r="F257" s="329"/>
      <x:c r="G257" s="329"/>
      <x:c r="H257" s="329"/>
      <x:c r="I257" s="329"/>
      <x:c r="J257" s="329"/>
      <x:c r="K257" s="329"/>
      <x:c r="L257" s="329"/>
      <x:c r="M257" s="329"/>
      <x:c r="N257" s="329"/>
      <x:c r="O257" s="329"/>
      <x:c r="P257" s="329"/>
      <x:c r="Q257" s="329"/>
      <x:c r="R257" s="329"/>
      <x:c r="S257" s="329"/>
      <x:c r="T257" s="329"/>
      <x:c r="U257" s="329"/>
      <x:c r="V257" s="329"/>
      <x:c r="W257" s="329"/>
      <x:c r="X257" s="329"/>
      <x:c r="Y257" s="329"/>
      <x:c r="Z257" s="329"/>
      <x:c r="AA257" s="329"/>
      <x:c r="AB257" s="329"/>
      <x:c r="AC257" s="329"/>
      <x:c r="AD257" s="329"/>
      <x:c r="AE257" s="329"/>
    </x:row>
    <x:row r="258">
      <x:c r="A258" s="329"/>
      <x:c r="B258" s="329"/>
      <x:c r="C258" s="329"/>
      <x:c r="D258" s="329"/>
      <x:c r="E258" s="329"/>
      <x:c r="F258" s="329"/>
      <x:c r="G258" s="329"/>
      <x:c r="H258" s="329"/>
      <x:c r="I258" s="329"/>
      <x:c r="J258" s="329"/>
      <x:c r="K258" s="329"/>
      <x:c r="L258" s="329"/>
      <x:c r="M258" s="329"/>
      <x:c r="N258" s="329"/>
      <x:c r="O258" s="329"/>
      <x:c r="P258" s="329"/>
      <x:c r="Q258" s="329"/>
      <x:c r="R258" s="329"/>
      <x:c r="S258" s="329"/>
      <x:c r="T258" s="329"/>
      <x:c r="U258" s="329"/>
      <x:c r="V258" s="329"/>
      <x:c r="W258" s="329"/>
      <x:c r="X258" s="329"/>
      <x:c r="Y258" s="329"/>
      <x:c r="Z258" s="329"/>
      <x:c r="AA258" s="329"/>
      <x:c r="AB258" s="329"/>
      <x:c r="AC258" s="329"/>
      <x:c r="AD258" s="329"/>
      <x:c r="AE258" s="329"/>
    </x:row>
    <x:row r="259">
      <x:c r="A259" s="329" t="str">
        <x:v>2026-07-17 Month 3 Closeout &amp; Month 4 Handoff</x:v>
      </x:c>
      <x:c r="B259" s="329"/>
      <x:c r="C259" s="329"/>
      <x:c r="D259" s="329"/>
      <x:c r="E259" s="329"/>
      <x:c r="F259" s="329"/>
      <x:c r="G259" s="329"/>
      <x:c r="H259" s="329"/>
      <x:c r="I259" s="329"/>
      <x:c r="J259" s="329"/>
      <x:c r="K259" s="329"/>
      <x:c r="L259" s="329"/>
      <x:c r="M259" s="329"/>
      <x:c r="N259" s="329"/>
      <x:c r="O259" s="329"/>
      <x:c r="P259" s="329"/>
      <x:c r="Q259" s="329"/>
      <x:c r="R259" s="329"/>
      <x:c r="S259" s="329"/>
      <x:c r="T259" s="329"/>
      <x:c r="U259" s="329"/>
      <x:c r="V259" s="329"/>
      <x:c r="W259" s="329"/>
      <x:c r="X259" s="329"/>
      <x:c r="Y259" s="329"/>
      <x:c r="Z259" s="329"/>
      <x:c r="AA259" s="329"/>
      <x:c r="AB259" s="329"/>
      <x:c r="AC259" s="329"/>
      <x:c r="AD259" s="329"/>
      <x:c r="AE259" s="329"/>
    </x:row>
    <x:row r="260">
      <x:c r="A260" s="329" t="str">
        <x:v>Chronology</x:v>
      </x:c>
      <x:c r="B260" s="329" t="str">
        <x:v>Completed Events</x:v>
      </x:c>
      <x:c r="C260" s="329" t="n">
        <x:v>72</x:v>
      </x:c>
      <x:c r="D260" s="329" t="str">
        <x:v>Latest completed Event</x:v>
      </x:c>
      <x:c r="E260" s="329" t="str">
        <x:v>Event 72 — Miramar / Hebrew Home</x:v>
      </x:c>
      <x:c r="F260" s="329" t="str">
        <x:v>WO 5913115</x:v>
      </x:c>
      <x:c r="G260" s="329"/>
      <x:c r="H260" s="329"/>
      <x:c r="I260" s="329"/>
      <x:c r="J260" s="329"/>
      <x:c r="K260" s="329"/>
      <x:c r="L260" s="329"/>
      <x:c r="M260" s="329"/>
      <x:c r="N260" s="329"/>
      <x:c r="O260" s="329"/>
      <x:c r="P260" s="329"/>
      <x:c r="Q260" s="329"/>
      <x:c r="R260" s="329"/>
      <x:c r="S260" s="329"/>
      <x:c r="T260" s="329"/>
      <x:c r="U260" s="329"/>
      <x:c r="V260" s="329"/>
      <x:c r="W260" s="329"/>
      <x:c r="X260" s="329"/>
      <x:c r="Y260" s="329"/>
      <x:c r="Z260" s="329"/>
      <x:c r="AA260" s="329"/>
      <x:c r="AB260" s="329"/>
      <x:c r="AC260" s="329"/>
      <x:c r="AD260" s="329"/>
      <x:c r="AE260" s="329"/>
    </x:row>
    <x:row r="261">
      <x:c r="A261" s="329" t="str">
        <x:v>Event 68</x:v>
      </x:c>
      <x:c r="B261" s="329" t="str">
        <x:v>Dunkin — Fallston</x:v>
      </x:c>
      <x:c r="C261" s="329" t="str">
        <x:v>WO 5900854</x:v>
      </x:c>
      <x:c r="D261" s="329" t="str">
        <x:v>Completed</x:v>
      </x:c>
      <x:c r="E261" s="329" t="str">
        <x:v>$350 breakdown confirmed</x:v>
      </x:c>
      <x:c r="F261" s="329" t="str">
        <x:v>Speed ACH expected 2026-07-29</x:v>
      </x:c>
      <x:c r="G261" s="329"/>
      <x:c r="H261" s="329"/>
      <x:c r="I261" s="329"/>
      <x:c r="J261" s="329"/>
      <x:c r="K261" s="329"/>
      <x:c r="L261" s="329"/>
      <x:c r="M261" s="329"/>
      <x:c r="N261" s="329"/>
      <x:c r="O261" s="329"/>
      <x:c r="P261" s="329"/>
      <x:c r="Q261" s="329"/>
      <x:c r="R261" s="329"/>
      <x:c r="S261" s="329"/>
      <x:c r="T261" s="329"/>
      <x:c r="U261" s="329"/>
      <x:c r="V261" s="329"/>
      <x:c r="W261" s="329"/>
      <x:c r="X261" s="329"/>
      <x:c r="Y261" s="329"/>
      <x:c r="Z261" s="329"/>
      <x:c r="AA261" s="329"/>
      <x:c r="AB261" s="329"/>
      <x:c r="AC261" s="329"/>
      <x:c r="AD261" s="329"/>
      <x:c r="AE261" s="329"/>
    </x:row>
    <x:row r="262">
      <x:c r="A262" s="329" t="str">
        <x:v>Event 69</x:v>
      </x:c>
      <x:c r="B262" s="329" t="str">
        <x:v>TJ Maxx — Columbia</x:v>
      </x:c>
      <x:c r="C262" s="329" t="str">
        <x:v>WO 5909418</x:v>
      </x:c>
      <x:c r="D262" s="329" t="str">
        <x:v>Completed</x:v>
      </x:c>
      <x:c r="E262" s="329" t="str">
        <x:v>$40/hour</x:v>
      </x:c>
      <x:c r="F262" s="329" t="str">
        <x:v>Breakdown pending</x:v>
      </x:c>
      <x:c r="G262" s="329"/>
      <x:c r="H262" s="329"/>
      <x:c r="I262" s="329"/>
      <x:c r="J262" s="329"/>
      <x:c r="K262" s="329"/>
      <x:c r="L262" s="329"/>
      <x:c r="M262" s="329"/>
      <x:c r="N262" s="329"/>
      <x:c r="O262" s="329"/>
      <x:c r="P262" s="329"/>
      <x:c r="Q262" s="329"/>
      <x:c r="R262" s="329"/>
      <x:c r="S262" s="329"/>
      <x:c r="T262" s="329"/>
      <x:c r="U262" s="329"/>
      <x:c r="V262" s="329"/>
      <x:c r="W262" s="329"/>
      <x:c r="X262" s="329"/>
      <x:c r="Y262" s="329"/>
      <x:c r="Z262" s="329"/>
      <x:c r="AA262" s="329"/>
      <x:c r="AB262" s="329"/>
      <x:c r="AC262" s="329"/>
      <x:c r="AD262" s="329"/>
      <x:c r="AE262" s="329"/>
    </x:row>
    <x:row r="263">
      <x:c r="A263" s="329" t="str">
        <x:v>Event 70</x:v>
      </x:c>
      <x:c r="B263" s="329" t="str">
        <x:v>Giant Food — Olney</x:v>
      </x:c>
      <x:c r="C263" s="329" t="str">
        <x:v>WO 5918899</x:v>
      </x:c>
      <x:c r="D263" s="329" t="str">
        <x:v>Completed</x:v>
      </x:c>
      <x:c r="E263" s="329" t="str">
        <x:v>HCL network troubleshooting</x:v>
      </x:c>
      <x:c r="F263" s="329" t="str">
        <x:v>Breakdown pending</x:v>
      </x:c>
      <x:c r="G263" s="329"/>
      <x:c r="H263" s="329"/>
      <x:c r="I263" s="329"/>
      <x:c r="J263" s="329"/>
      <x:c r="K263" s="329"/>
      <x:c r="L263" s="329"/>
      <x:c r="M263" s="329"/>
      <x:c r="N263" s="329"/>
      <x:c r="O263" s="329"/>
      <x:c r="P263" s="329"/>
      <x:c r="Q263" s="329"/>
      <x:c r="R263" s="329"/>
      <x:c r="S263" s="329"/>
      <x:c r="T263" s="329"/>
      <x:c r="U263" s="329"/>
      <x:c r="V263" s="329"/>
      <x:c r="W263" s="329"/>
      <x:c r="X263" s="329"/>
      <x:c r="Y263" s="329"/>
      <x:c r="Z263" s="329"/>
      <x:c r="AA263" s="329"/>
      <x:c r="AB263" s="329"/>
      <x:c r="AC263" s="329"/>
      <x:c r="AD263" s="329"/>
      <x:c r="AE263" s="329"/>
    </x:row>
    <x:row r="264">
      <x:c r="A264" s="329" t="str">
        <x:v>Event 71</x:v>
      </x:c>
      <x:c r="B264" s="329" t="str">
        <x:v>WeWork DC18</x:v>
      </x:c>
      <x:c r="C264" s="329" t="str">
        <x:v>WO 5918348</x:v>
      </x:c>
      <x:c r="D264" s="329" t="str">
        <x:v>Completed</x:v>
      </x:c>
      <x:c r="E264" s="329" t="str">
        <x:v>$45/hour ACH</x:v>
      </x:c>
      <x:c r="F264" s="329" t="str">
        <x:v>Breakdown pending</x:v>
      </x:c>
      <x:c r="G264" s="329"/>
      <x:c r="H264" s="329"/>
      <x:c r="I264" s="329"/>
      <x:c r="J264" s="329"/>
      <x:c r="K264" s="329"/>
      <x:c r="L264" s="329"/>
      <x:c r="M264" s="329"/>
      <x:c r="N264" s="329"/>
      <x:c r="O264" s="329"/>
      <x:c r="P264" s="329"/>
      <x:c r="Q264" s="329"/>
      <x:c r="R264" s="329"/>
      <x:c r="S264" s="329"/>
      <x:c r="T264" s="329"/>
      <x:c r="U264" s="329"/>
      <x:c r="V264" s="329"/>
      <x:c r="W264" s="329"/>
      <x:c r="X264" s="329"/>
      <x:c r="Y264" s="329"/>
      <x:c r="Z264" s="329"/>
      <x:c r="AA264" s="329"/>
      <x:c r="AB264" s="329"/>
      <x:c r="AC264" s="329"/>
      <x:c r="AD264" s="329"/>
      <x:c r="AE264" s="329"/>
    </x:row>
    <x:row r="265">
      <x:c r="A265" s="329" t="str">
        <x:v>Event 72</x:v>
      </x:c>
      <x:c r="B265" s="329" t="str">
        <x:v>Miramar / Hebrew Home</x:v>
      </x:c>
      <x:c r="C265" s="329" t="str">
        <x:v>WO 5913115</x:v>
      </x:c>
      <x:c r="D265" s="329" t="str">
        <x:v>Completed / ticket closed</x:v>
      </x:c>
      <x:c r="E265" s="329" t="str">
        <x:v>Promised $50 Speed ACH</x:v>
      </x:c>
      <x:c r="F265" s="329" t="str">
        <x:v>Compensation classification unresolved</x:v>
      </x:c>
      <x:c r="G265" s="329"/>
      <x:c r="H265" s="329"/>
      <x:c r="I265" s="329"/>
      <x:c r="J265" s="329"/>
      <x:c r="K265" s="329"/>
      <x:c r="L265" s="329"/>
      <x:c r="M265" s="329"/>
      <x:c r="N265" s="329"/>
      <x:c r="O265" s="329"/>
      <x:c r="P265" s="329"/>
      <x:c r="Q265" s="329"/>
      <x:c r="R265" s="329"/>
      <x:c r="S265" s="329"/>
      <x:c r="T265" s="329"/>
      <x:c r="U265" s="329"/>
      <x:c r="V265" s="329"/>
      <x:c r="W265" s="329"/>
      <x:c r="X265" s="329"/>
      <x:c r="Y265" s="329"/>
      <x:c r="Z265" s="329"/>
      <x:c r="AA265" s="329"/>
      <x:c r="AB265" s="329"/>
      <x:c r="AC265" s="329"/>
      <x:c r="AD265" s="329"/>
      <x:c r="AE265" s="329"/>
    </x:row>
    <x:row r="266">
      <x:c r="A266" s="329" t="str">
        <x:v>CONTROL RULE</x:v>
      </x:c>
      <x:c r="B266" s="329" t="str">
        <x:v>BARRISTER CONTROL CHECK</x:v>
      </x:c>
      <x:c r="C266" s="329" t="str">
        <x:v>Read the attached authoritative workbook before reporting counts or totals</x:v>
      </x:c>
      <x:c r="D266" s="329" t="str">
        <x:v>State filename, highest Event, confirmed revenue, and open exceptions</x:v>
      </x:c>
      <x:c r="E266" s="329" t="str">
        <x:v>Stop if source cannot be read</x:v>
      </x:c>
      <x:c r="F266" s="329" t="str">
        <x:v>Never reconstruct from memory</x:v>
      </x:c>
      <x:c r="G266" s="329"/>
      <x:c r="H266" s="329"/>
      <x:c r="I266" s="329"/>
      <x:c r="J266" s="329"/>
      <x:c r="K266" s="329"/>
      <x:c r="L266" s="329"/>
      <x:c r="M266" s="329"/>
      <x:c r="N266" s="329"/>
      <x:c r="O266" s="329"/>
      <x:c r="P266" s="329"/>
      <x:c r="Q266" s="329"/>
      <x:c r="R266" s="329"/>
      <x:c r="S266" s="329"/>
      <x:c r="T266" s="329"/>
      <x:c r="U266" s="329"/>
      <x:c r="V266" s="329"/>
      <x:c r="W266" s="329"/>
      <x:c r="X266" s="329"/>
      <x:c r="Y266" s="329"/>
      <x:c r="Z266" s="329"/>
      <x:c r="AA266" s="329"/>
      <x:c r="AB266" s="329"/>
      <x:c r="AC266" s="329"/>
      <x:c r="AD266" s="329"/>
      <x:c r="AE266" s="329"/>
    </x:row>
    <x:row r="267">
      <x:c r="A267" s="329" t="str">
        <x:v>CONTROL RULE</x:v>
      </x:c>
      <x:c r="B267" s="329" t="str">
        <x:v>DELTA UPDATE</x:v>
      </x:c>
      <x:c r="C267" s="329" t="str">
        <x:v>Gmail-only financial delta search</x:v>
      </x:c>
      <x:c r="D267" s="329" t="str">
        <x:v>ACHs, deposits, payment breakdowns, deductions</x:v>
      </x:c>
      <x:c r="E267" s="329" t="str">
        <x:v>Map every result to WO and Event</x:v>
      </x:c>
      <x:c r="F267" s="329" t="str">
        <x:v>Do not search unrelated areas</x:v>
      </x:c>
      <x:c r="G267" s="329"/>
      <x:c r="H267" s="329"/>
      <x:c r="I267" s="329"/>
      <x:c r="J267" s="329"/>
      <x:c r="K267" s="329"/>
      <x:c r="L267" s="329"/>
      <x:c r="M267" s="329"/>
      <x:c r="N267" s="329"/>
      <x:c r="O267" s="329"/>
      <x:c r="P267" s="329"/>
      <x:c r="Q267" s="329"/>
      <x:c r="R267" s="329"/>
      <x:c r="S267" s="329"/>
      <x:c r="T267" s="329"/>
      <x:c r="U267" s="329"/>
      <x:c r="V267" s="329"/>
      <x:c r="W267" s="329"/>
      <x:c r="X267" s="329"/>
      <x:c r="Y267" s="329"/>
      <x:c r="Z267" s="329"/>
      <x:c r="AA267" s="329"/>
      <x:c r="AB267" s="329"/>
      <x:c r="AC267" s="329"/>
      <x:c r="AD267" s="329"/>
      <x:c r="AE267" s="329"/>
    </x:row>
    <x:row r="268">
      <x:c r="A268" s="329" t="str">
        <x:v>CONTROL RULE</x:v>
      </x:c>
      <x:c r="B268" s="329" t="str">
        <x:v>Chronology</x:v>
      </x:c>
      <x:c r="C268" s="329" t="str">
        <x:v>One physical visit equals one Event</x:v>
      </x:c>
      <x:c r="D268" s="329" t="str">
        <x:v>Never skip or invent Event numbers</x:v>
      </x:c>
      <x:c r="E268" s="329" t="str">
        <x:v>User-authoritative completion controls event status</x:v>
      </x:c>
      <x:c r="F268" s="329" t="str">
        <x:v>Keep chronology separate from finance</x:v>
      </x:c>
      <x:c r="G268" s="329"/>
      <x:c r="H268" s="329"/>
      <x:c r="I268" s="329"/>
      <x:c r="J268" s="329"/>
      <x:c r="K268" s="329"/>
      <x:c r="L268" s="329"/>
      <x:c r="M268" s="329"/>
      <x:c r="N268" s="329"/>
      <x:c r="O268" s="329"/>
      <x:c r="P268" s="329"/>
      <x:c r="Q268" s="329"/>
      <x:c r="R268" s="329"/>
      <x:c r="S268" s="329"/>
      <x:c r="T268" s="329"/>
      <x:c r="U268" s="329"/>
      <x:c r="V268" s="329"/>
      <x:c r="W268" s="329"/>
      <x:c r="X268" s="329"/>
      <x:c r="Y268" s="329"/>
      <x:c r="Z268" s="329"/>
      <x:c r="AA268" s="329"/>
      <x:c r="AB268" s="329"/>
      <x:c r="AC268" s="329"/>
      <x:c r="AD268" s="329"/>
      <x:c r="AE268" s="329"/>
    </x:row>
    <x:row r="269">
      <x:c r="A269" s="329" t="str">
        <x:v>CONTROL RULE</x:v>
      </x:c>
      <x:c r="B269" s="329" t="str">
        <x:v>Financial evidence</x:v>
      </x:c>
      <x:c r="C269" s="329" t="str">
        <x:v>Never mark payment confirmed without documentary evidence</x:v>
      </x:c>
      <x:c r="D269" s="329" t="str">
        <x:v>Promised rate is not a confirmed breakdown</x:v>
      </x:c>
      <x:c r="E269" s="329" t="str">
        <x:v>Closed ticket does not prove payment</x:v>
      </x:c>
      <x:c r="F269" s="329" t="str">
        <x:v>Keep unresolved items open</x:v>
      </x:c>
      <x:c r="G269" s="329"/>
      <x:c r="H269" s="329"/>
      <x:c r="I269" s="329"/>
      <x:c r="J269" s="329"/>
      <x:c r="K269" s="329"/>
      <x:c r="L269" s="329"/>
      <x:c r="M269" s="329"/>
      <x:c r="N269" s="329"/>
      <x:c r="O269" s="329"/>
      <x:c r="P269" s="329"/>
      <x:c r="Q269" s="329"/>
      <x:c r="R269" s="329"/>
      <x:c r="S269" s="329"/>
      <x:c r="T269" s="329"/>
      <x:c r="U269" s="329"/>
      <x:c r="V269" s="329"/>
      <x:c r="W269" s="329"/>
      <x:c r="X269" s="329"/>
      <x:c r="Y269" s="329"/>
      <x:c r="Z269" s="329"/>
      <x:c r="AA269" s="329"/>
      <x:c r="AB269" s="329"/>
      <x:c r="AC269" s="329"/>
      <x:c r="AD269" s="329"/>
      <x:c r="AE269" s="329"/>
    </x:row>
    <x:row r="270">
      <x:c r="A270" s="329" t="str">
        <x:v>2026-07-17</x:v>
      </x:c>
      <x:c r="B270" s="329" t="str">
        <x:v>Month 4 Career Analytics</x:v>
      </x:c>
      <x:c r="C270" s="329" t="str">
        <x:v>Added Career Analytics sheet with 12 career metrics, streaks, rolling records, revenue/client/territory/dispatch analytics, weekly and weekday summaries, Hall of Fame milestones, scorecard, baseball card, and metric definitions.</x:v>
      </x:c>
      <x:c r="D270" s="329" t="str">
        <x:v>Derived from authoritative Service Events and Work Orders &amp; Ledger only.</x:v>
      </x:c>
      <x:c r="E270" s="329" t="str">
        <x:v>Chronology and financial reconciliation preserved separately.</x:v>
      </x:c>
      <x:c r="F270" s="329" t="str">
        <x:v>Implemented</x:v>
      </x:c>
      <x:c r="G270" s="329"/>
      <x:c r="H270" s="329"/>
      <x:c r="I270" s="329"/>
      <x:c r="J270" s="329"/>
      <x:c r="K270" s="329"/>
      <x:c r="L270" s="329"/>
      <x:c r="M270" s="329"/>
      <x:c r="N270" s="329"/>
      <x:c r="O270" s="329"/>
      <x:c r="P270" s="329"/>
      <x:c r="Q270" s="329"/>
      <x:c r="R270" s="329"/>
      <x:c r="S270" s="329"/>
      <x:c r="T270" s="329"/>
      <x:c r="U270" s="329"/>
      <x:c r="V270" s="329"/>
      <x:c r="W270" s="329"/>
      <x:c r="X270" s="329"/>
      <x:c r="Y270" s="329"/>
      <x:c r="Z270" s="329"/>
      <x:c r="AA270" s="329"/>
      <x:c r="AB270" s="329"/>
      <x:c r="AC270" s="329"/>
      <x:c r="AD270" s="329"/>
      <x:c r="AE270" s="329"/>
    </x:row>
    <x:row r="271">
      <x:c r="A271" s="329" t="str">
        <x:v>Promotion</x:v>
      </x:c>
      <x:c r="B271" s="329" t="str">
        <x:v>Month 3 closeout workbook</x:v>
      </x:c>
      <x:c r="C271" s="329" t="str">
        <x:v>Supersedes 2026-07-15 promoted master for Month 4 handoff</x:v>
      </x:c>
      <x:c r="D271" s="329" t="str">
        <x:v>Events 68–72 added</x:v>
      </x:c>
      <x:c r="E271" s="329" t="str">
        <x:v>Control rules updated</x:v>
      </x:c>
      <x:c r="F271" s="329" t="str">
        <x:v>2026-07-17</x:v>
      </x:c>
      <x:c r="G271" s="329"/>
      <x:c r="H271" s="329"/>
      <x:c r="I271" s="329"/>
      <x:c r="J271" s="329"/>
      <x:c r="K271" s="329"/>
      <x:c r="L271" s="329"/>
      <x:c r="M271" s="329"/>
      <x:c r="N271" s="329"/>
      <x:c r="O271" s="329"/>
      <x:c r="P271" s="329"/>
      <x:c r="Q271" s="329"/>
      <x:c r="R271" s="329"/>
      <x:c r="S271" s="329"/>
      <x:c r="T271" s="329"/>
      <x:c r="U271" s="329"/>
      <x:c r="V271" s="329"/>
      <x:c r="W271" s="329"/>
      <x:c r="X271" s="329"/>
      <x:c r="Y271" s="329"/>
      <x:c r="Z271" s="329"/>
      <x:c r="AA271" s="329"/>
      <x:c r="AB271" s="329"/>
      <x:c r="AC271" s="329"/>
      <x:c r="AD271" s="329"/>
      <x:c r="AE271" s="329"/>
    </x:row>
    <x:row r="272">
      <x:c r="A272" s="329" t="str">
        <x:v>2026-07-20</x:v>
      </x:c>
      <x:c r="B272" s="329" t="str">
        <x:v>Month 4 Delta Promotion</x:v>
      </x:c>
      <x:c r="C272" s="329" t="str">
        <x:v>Events 73–75 added</x:v>
      </x:c>
      <x:c r="D272" s="329" t="str">
        <x:v>Events 69, 70, 72 financials confirmed</x:v>
      </x:c>
      <x:c r="E272" s="329" t="str">
        <x:v>Events 57–58 ACH mapped</x:v>
      </x:c>
      <x:c r="F272" s="329" t="str">
        <x:v>Applied</x:v>
      </x:c>
      <x:c r="G272" s="329"/>
      <x:c r="H272" s="329"/>
      <x:c r="I272" s="329"/>
      <x:c r="J272" s="329"/>
      <x:c r="K272" s="329"/>
      <x:c r="L272" s="329"/>
      <x:c r="M272" s="329"/>
      <x:c r="N272" s="329"/>
      <x:c r="O272" s="329"/>
      <x:c r="P272" s="329"/>
      <x:c r="Q272" s="329"/>
      <x:c r="R272" s="329"/>
      <x:c r="S272" s="329"/>
      <x:c r="T272" s="329"/>
      <x:c r="U272" s="329"/>
      <x:c r="V272" s="329"/>
      <x:c r="W272" s="329"/>
      <x:c r="X272" s="329"/>
      <x:c r="Y272" s="329"/>
      <x:c r="Z272" s="329"/>
      <x:c r="AA272" s="329"/>
      <x:c r="AB272" s="329"/>
      <x:c r="AC272" s="329"/>
      <x:c r="AD272" s="329"/>
      <x:c r="AE272" s="329"/>
    </x:row>
    <x:row r="273">
      <x:c r="A273" s="329" t="str">
        <x:v>Chronology</x:v>
      </x:c>
      <x:c r="B273" s="329" t="str">
        <x:v>Latest completed Event</x:v>
      </x:c>
      <x:c r="C273" s="329" t="n">
        <x:v>75</x:v>
      </x:c>
      <x:c r="D273" s="329" t="str">
        <x:v>Latest completed Visit</x:v>
      </x:c>
      <x:c r="E273" s="329" t="str">
        <x:v>Autumn Lake at Glen Burnie — Rosemary Unit</x:v>
      </x:c>
      <x:c r="F273" s="329" t="str">
        <x:v>WO 5920784</x:v>
      </x:c>
      <x:c r="G273" s="329"/>
      <x:c r="H273" s="329"/>
      <x:c r="I273" s="329"/>
      <x:c r="J273" s="329"/>
      <x:c r="K273" s="329"/>
      <x:c r="L273" s="329"/>
      <x:c r="M273" s="329"/>
      <x:c r="N273" s="329"/>
      <x:c r="O273" s="329"/>
      <x:c r="P273" s="329"/>
      <x:c r="Q273" s="329"/>
      <x:c r="R273" s="329"/>
      <x:c r="S273" s="329"/>
      <x:c r="T273" s="329"/>
      <x:c r="U273" s="329"/>
      <x:c r="V273" s="329"/>
      <x:c r="W273" s="329"/>
      <x:c r="X273" s="329"/>
      <x:c r="Y273" s="329"/>
      <x:c r="Z273" s="329"/>
      <x:c r="AA273" s="329"/>
      <x:c r="AB273" s="329"/>
      <x:c r="AC273" s="329"/>
      <x:c r="AD273" s="329"/>
      <x:c r="AE273" s="329"/>
    </x:row>
    <x:row r="274">
      <x:c r="A274" s="329" t="str">
        <x:v>Financial</x:v>
      </x:c>
      <x:c r="B274" s="329" t="str">
        <x:v>Confirmed revenue</x:v>
      </x:c>
      <x:c r="C274" s="329" t="n">
        <x:v>8147.88</x:v>
      </x:c>
      <x:c r="D274" s="329" t="str">
        <x:v>Confirmed ACH added</x:v>
      </x:c>
      <x:c r="E274" s="329" t="n">
        <x:v>269.24</x:v>
      </x:c>
      <x:c r="F274" s="329" t="str">
        <x:v>Breakdown pending includes Event 74 and prior pending items</x:v>
      </x:c>
      <x:c r="G274" s="329"/>
      <x:c r="H274" s="329"/>
      <x:c r="I274" s="329"/>
      <x:c r="J274" s="329"/>
      <x:c r="K274" s="329"/>
      <x:c r="L274" s="329"/>
      <x:c r="M274" s="329"/>
      <x:c r="N274" s="329"/>
      <x:c r="O274" s="329"/>
      <x:c r="P274" s="329"/>
      <x:c r="Q274" s="329"/>
      <x:c r="R274" s="329"/>
      <x:c r="S274" s="329"/>
      <x:c r="T274" s="329"/>
      <x:c r="U274" s="329"/>
      <x:c r="V274" s="329"/>
      <x:c r="W274" s="329"/>
      <x:c r="X274" s="329"/>
      <x:c r="Y274" s="329"/>
      <x:c r="Z274" s="329"/>
      <x:c r="AA274" s="329"/>
      <x:c r="AB274" s="329"/>
      <x:c r="AC274" s="329"/>
      <x:c r="AD274" s="329"/>
      <x:c r="AE274" s="329"/>
    </x:row>
    <x:row r="275">
      <x:c r="A275" s="329" t="str">
        <x:v>Career Era</x:v>
      </x:c>
      <x:c r="B275" s="329" t="str">
        <x:v>Career</x:v>
      </x:c>
      <x:c r="C275" s="329" t="str">
        <x:v>75 Visits / 92 calendar / 66 business / 50 actual</x:v>
      </x:c>
      <x:c r="D275" s="329" t="str">
        <x:v>Momentum Era</x:v>
      </x:c>
      <x:c r="E275" s="329" t="str">
        <x:v>55 / 56 / 40 / 33</x:v>
      </x:c>
      <x:c r="F275" s="329" t="str">
        <x:v>SPEED ERA: 22 / 21 / 15 / 13</x:v>
      </x:c>
      <x:c r="G275" s="329"/>
      <x:c r="H275" s="329"/>
      <x:c r="I275" s="329"/>
      <x:c r="J275" s="329"/>
      <x:c r="K275" s="329"/>
      <x:c r="L275" s="329"/>
      <x:c r="M275" s="329"/>
      <x:c r="N275" s="329"/>
      <x:c r="O275" s="329"/>
      <x:c r="P275" s="329"/>
      <x:c r="Q275" s="329"/>
      <x:c r="R275" s="329"/>
      <x:c r="S275" s="329"/>
      <x:c r="T275" s="329"/>
      <x:c r="U275" s="329"/>
      <x:c r="V275" s="329"/>
      <x:c r="W275" s="329"/>
      <x:c r="X275" s="329"/>
      <x:c r="Y275" s="329"/>
      <x:c r="Z275" s="329"/>
      <x:c r="AA275" s="329"/>
      <x:c r="AB275" s="329"/>
      <x:c r="AC275" s="329"/>
      <x:c r="AD275" s="329"/>
      <x:c r="AE275" s="329"/>
    </x:row>
    <x:row r="276">
      <x:c r="A276" s="329" t="str">
        <x:v>Terminology</x:v>
      </x:c>
      <x:c r="B276" s="329" t="str">
        <x:v>Use VISITS for physical travel/site metrics</x:v>
      </x:c>
      <x:c r="C276" s="329" t="str">
        <x:v>Event remains workbook chronology unit</x:v>
      </x:c>
      <x:c r="D276" s="329" t="str">
        <x:v>Tickets/WOs may exceed Visits</x:v>
      </x:c>
      <x:c r="E276" s="329" t="str">
        <x:v>Do not substitute ticket count</x:v>
      </x:c>
      <x:c r="F276" s="329" t="str">
        <x:v>Locked</x:v>
      </x:c>
      <x:c r="G276" s="329"/>
      <x:c r="H276" s="329"/>
      <x:c r="I276" s="329"/>
      <x:c r="J276" s="329"/>
      <x:c r="K276" s="329"/>
      <x:c r="L276" s="329"/>
      <x:c r="M276" s="329"/>
      <x:c r="N276" s="329"/>
      <x:c r="O276" s="329"/>
      <x:c r="P276" s="329"/>
      <x:c r="Q276" s="329"/>
      <x:c r="R276" s="329"/>
      <x:c r="S276" s="329"/>
      <x:c r="T276" s="329"/>
      <x:c r="U276" s="329"/>
      <x:c r="V276" s="329"/>
      <x:c r="W276" s="329"/>
      <x:c r="X276" s="329"/>
      <x:c r="Y276" s="329"/>
      <x:c r="Z276" s="329"/>
      <x:c r="AA276" s="329"/>
      <x:c r="AB276" s="329"/>
      <x:c r="AC276" s="329"/>
      <x:c r="AD276" s="329"/>
      <x:c r="AE276" s="329"/>
    </x:row>
    <x:row r="277">
      <x:c r="A277" s="329" t="str">
        <x:v>Projection</x:v>
      </x:c>
      <x:c r="B277" s="329" t="str">
        <x:v>After 2026-07-22 if scheduled additions complete</x:v>
      </x:c>
      <x:c r="C277" s="329" t="str">
        <x:v>Momentum: 58 Visits in 58 calendar days</x:v>
      </x:c>
      <x:c r="D277" s="329" t="str">
        <x:v>SPEED: 25 Visits in 15 actual worked days</x:v>
      </x:c>
      <x:c r="E277" s="329" t="str">
        <x:v>Pending only</x:v>
      </x:c>
      <x:c r="F277" s="329" t="str">
        <x:v>Do not promote early</x:v>
      </x:c>
      <x:c r="G277" s="329"/>
      <x:c r="H277" s="329"/>
      <x:c r="I277" s="329"/>
      <x:c r="J277" s="329"/>
      <x:c r="K277" s="329"/>
      <x:c r="L277" s="329"/>
      <x:c r="M277" s="329"/>
      <x:c r="N277" s="329"/>
      <x:c r="O277" s="329"/>
      <x:c r="P277" s="329"/>
      <x:c r="Q277" s="329"/>
      <x:c r="R277" s="329"/>
      <x:c r="S277" s="329"/>
      <x:c r="T277" s="329"/>
      <x:c r="U277" s="329"/>
      <x:c r="V277" s="329"/>
      <x:c r="W277" s="329"/>
      <x:c r="X277" s="329"/>
      <x:c r="Y277" s="329"/>
      <x:c r="Z277" s="329"/>
      <x:c r="AA277" s="329"/>
      <x:c r="AB277" s="329"/>
      <x:c r="AC277" s="329"/>
      <x:c r="AD277" s="329"/>
      <x:c r="AE277" s="329"/>
    </x:row>
    <x:row r="278">
      <x:c r="A278" s="329" t="str">
        <x:v>CONTROL RULE</x:v>
      </x:c>
      <x:c r="B278" s="329" t="str">
        <x:v>Verification gate</x:v>
      </x:c>
      <x:c r="C278" s="329" t="str">
        <x:v>Open current master before Event/Visit/revenue/KPI claims</x:v>
      </x:c>
      <x:c r="D278" s="329" t="str">
        <x:v>No momentum answers</x:v>
      </x:c>
      <x:c r="E278" s="329" t="str">
        <x:v>Use source sheets</x:v>
      </x:c>
      <x:c r="F278" s="329" t="str">
        <x:v>Locked</x:v>
      </x:c>
      <x:c r="G278" s="329"/>
      <x:c r="H278" s="329"/>
      <x:c r="I278" s="329"/>
      <x:c r="J278" s="329"/>
      <x:c r="K278" s="329"/>
      <x:c r="L278" s="329"/>
      <x:c r="M278" s="329"/>
      <x:c r="N278" s="329"/>
      <x:c r="O278" s="329"/>
      <x:c r="P278" s="329"/>
      <x:c r="Q278" s="329"/>
      <x:c r="R278" s="329"/>
      <x:c r="S278" s="329"/>
      <x:c r="T278" s="329"/>
      <x:c r="U278" s="329"/>
      <x:c r="V278" s="329"/>
      <x:c r="W278" s="329"/>
      <x:c r="X278" s="329"/>
      <x:c r="Y278" s="329"/>
      <x:c r="Z278" s="329"/>
      <x:c r="AA278" s="329"/>
      <x:c r="AB278" s="329"/>
      <x:c r="AC278" s="329"/>
      <x:c r="AD278" s="329"/>
      <x:c r="AE278" s="329"/>
    </x:row>
    <x:row r="279">
      <x:c r="A279" s="329" t="str">
        <x:v>Promotion</x:v>
      </x:c>
      <x:c r="B279" s="329" t="str">
        <x:v>This workbook supersedes the 2026-07-17 Month 4 Career Analytics workbook</x:v>
      </x:c>
      <x:c r="C279" s="329" t="str">
        <x:v>Delta-only update through Event 75</x:v>
      </x:c>
      <x:c r="D279" s="329" t="str">
        <x:v>Career Eras and Month 4 Updates added</x:v>
      </x:c>
      <x:c r="E279" s="329" t="str">
        <x:v>2026-07-20</x:v>
      </x:c>
      <x:c r="F279" s="329" t="str">
        <x:v>Authoritative candidate</x:v>
      </x:c>
      <x:c r="G279" s="329"/>
      <x:c r="H279" s="329"/>
      <x:c r="I279" s="329"/>
      <x:c r="J279" s="329"/>
      <x:c r="K279" s="329"/>
      <x:c r="L279" s="329"/>
      <x:c r="M279" s="329"/>
      <x:c r="N279" s="329"/>
      <x:c r="O279" s="329"/>
      <x:c r="P279" s="329"/>
      <x:c r="Q279" s="329"/>
      <x:c r="R279" s="329"/>
      <x:c r="S279" s="329"/>
      <x:c r="T279" s="329"/>
      <x:c r="U279" s="329"/>
      <x:c r="V279" s="329"/>
      <x:c r="W279" s="329"/>
      <x:c r="X279" s="329"/>
      <x:c r="Y279" s="329"/>
      <x:c r="Z279" s="329"/>
      <x:c r="AA279" s="329"/>
      <x:c r="AB279" s="329"/>
      <x:c r="AC279" s="329"/>
      <x:c r="AD279" s="329"/>
      <x:c r="AE279" s="329"/>
    </x:row>
  </x:sheetData>
  <x:mergeCells>
    <x:mergeCell ref="A1:F2"/>
    <x:mergeCell ref="A4:B4"/>
    <x:mergeCell ref="A24:C24"/>
    <x:mergeCell ref="A66:E66"/>
    <x:mergeCell ref="A78:C78"/>
    <x:mergeCell ref="A118:F118"/>
  </x:mergeCells>
  <x:conditionalFormatting sqref="B218:B231">
    <x:cfRule type="expression" dxfId="120" priority="1">
      <x:formula>$B218="Completed"</x:formula>
    </x:cfRule>
    <x:cfRule type="expression" dxfId="121" priority="2">
      <x:formula>OR($B218="Pending",$B218="Planned")</x:formula>
    </x:cfRule>
  </x:conditionalFormatting>
  <x:conditionalFormatting sqref="A220:F224">
    <x:cfRule type="expression" dxfId="122" priority="3">
      <x:formula>$A220="Green"</x:formula>
    </x:cfRule>
    <x:cfRule type="expression" dxfId="123" priority="4">
      <x:formula>$A220="Yellow"</x:formula>
    </x:cfRule>
    <x:cfRule type="expression" dxfId="124" priority="5">
      <x:formula>$A220="Orange"</x:formula>
    </x:cfRule>
    <x:cfRule type="expression" dxfId="125" priority="6">
      <x:formula>$A220="Red"</x:formula>
    </x:cfRule>
    <x:cfRule type="expression" dxfId="126" priority="7">
      <x:formula>$A220="Gray"</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2" hidden="0" customWidth="1"/>
    <x:col min="2" max="2" width="12" hidden="0" customWidth="1"/>
    <x:col min="3" max="3" width="18" hidden="0" customWidth="1"/>
    <x:col min="4" max="4" width="18" hidden="0" customWidth="1"/>
    <x:col min="5" max="5" width="20" hidden="0" customWidth="1"/>
    <x:col min="6" max="6" width="20" hidden="0" customWidth="1"/>
    <x:col min="7" max="7" width="18" hidden="0" customWidth="1"/>
    <x:col min="8" max="8" width="22" hidden="0" customWidth="1"/>
  </x:cols>
  <x:sheetData>
    <x:row r="1" ht="28" customHeight="1">
      <x:c r="A1" s="408" t="str">
        <x:v>Barrister Phase 3G — Self-Healing Rules</x:v>
      </x:c>
      <x:c r="B1" s="408"/>
      <x:c r="C1" s="408"/>
      <x:c r="D1" s="408"/>
      <x:c r="E1" s="408"/>
      <x:c r="F1" s="408"/>
      <x:c r="G1" s="408"/>
      <x:c r="H1" s="408"/>
    </x:row>
    <x:row r="3" ht="32" customHeight="1">
      <x:c r="A3" s="413" t="str">
        <x:v>Non-destructive repair layer: deterministic fields heal automatically; chronology, identity, mapping, and payment facts remain human-controlled.</x:v>
      </x:c>
      <x:c r="B3" s="413"/>
      <x:c r="C3" s="413"/>
      <x:c r="D3" s="413"/>
      <x:c r="E3" s="413"/>
      <x:c r="F3" s="413"/>
      <x:c r="G3" s="413"/>
      <x:c r="H3" s="413"/>
    </x:row>
    <x:row r="5">
      <x:c r="A5" s="416" t="str">
        <x:v>Automatic Fields</x:v>
      </x:c>
      <x:c r="B5" s="416"/>
      <x:c r="C5" s="416" t="str">
        <x:v>Auto Exceptions</x:v>
      </x:c>
      <x:c r="D5" s="416"/>
      <x:c r="E5" s="416" t="str">
        <x:v>Advisory Items</x:v>
      </x:c>
      <x:c r="F5" s="416"/>
      <x:c r="G5" s="416" t="str">
        <x:v>Quarantined Holds</x:v>
      </x:c>
      <x:c r="H5" s="416"/>
    </x:row>
    <x:row r="6" ht="34" customHeight="1">
      <x:c r="A6" s="420" t="n">
        <x:v>8</x:v>
      </x:c>
      <x:c r="B6" s="421"/>
      <x:c r="C6" s="420" t="n">
        <x:f>SUM(F12:F19)</x:f>
        <x:v>14</x:v>
      </x:c>
      <x:c r="D6" s="421"/>
      <x:c r="E6" s="422" t="n">
        <x:f>COUNTA(tblCurrentExceptions[Issue])-COUNTIF(tblCurrentExceptions[Issue],"Mapping Hold")</x:f>
        <x:v>15</x:v>
      </x:c>
      <x:c r="F6" s="423"/>
      <x:c r="G6" s="424" t="n">
        <x:f>COUNTIF(tblLedger[Mapping Status],"MAPPING_HOLD")</x:f>
        <x:v>1</x:v>
      </x:c>
      <x:c r="H6" s="425"/>
    </x:row>
    <x:row r="9">
      <x:c r="A9" s="428" t="str">
        <x:v>Self-Healing Rule Register</x:v>
      </x:c>
      <x:c r="B9" s="428"/>
      <x:c r="C9" s="428"/>
      <x:c r="D9" s="428"/>
      <x:c r="E9" s="428"/>
      <x:c r="F9" s="428"/>
      <x:c r="G9" s="428"/>
      <x:c r="H9" s="428"/>
    </x:row>
    <x:row r="10">
      <x:c r="A10" s="431" t="str">
        <x:v>Rule ID</x:v>
      </x:c>
      <x:c r="B10" s="431" t="str">
        <x:v>Mode</x:v>
      </x:c>
      <x:c r="C10" s="431" t="str">
        <x:v>Scope</x:v>
      </x:c>
      <x:c r="D10" s="431" t="str">
        <x:v>Managed Field / Control</x:v>
      </x:c>
      <x:c r="E10" s="431" t="str">
        <x:v>Healing Logic</x:v>
      </x:c>
      <x:c r="F10" s="431" t="str">
        <x:v>Current Exceptions</x:v>
      </x:c>
      <x:c r="G10" s="431" t="str">
        <x:v>Status</x:v>
      </x:c>
      <x:c r="H10" s="431" t="str">
        <x:v>Protection Boundary</x:v>
      </x:c>
    </x:row>
    <x:row r="11" ht="34" customHeight="1">
      <x:c r="A11" s="432" t="str">
        <x:v>G01</x:v>
      </x:c>
      <x:c r="B11" s="432" t="str">
        <x:v>AUTO</x:v>
      </x:c>
      <x:c r="C11" s="432" t="str">
        <x:v>Service Events</x:v>
      </x:c>
      <x:c r="D11" s="432" t="str">
        <x:v>Physical Visit ID</x:v>
      </x:c>
      <x:c r="E11" s="432" t="str">
        <x:v>Derive EVT-nnnn from Event #</x:v>
      </x:c>
      <x:c r="F11" s="482" t="n">
        <x:f>SUMPRODUCT(--(tblServiceEvents[Physical Visit ID]&lt;&gt;"EVT-"&amp;TEXT(tblServiceEvents[Event #],"0000")))</x:f>
        <x:v>0</x:v>
      </x:c>
      <x:c r="G11" s="482" t="str">
        <x:f>IF(F11=0,IF(B11="AUTO","ACTIVE","PASS"),IF(B11="BLOCK","QUARANTINED",IF(B11="ADVISORY","MONITORED","REVIEW")))</x:f>
        <x:v>ACTIVE</x:v>
      </x:c>
      <x:c r="H11" s="432" t="str">
        <x:v>Never renumbers Event #</x:v>
      </x:c>
    </x:row>
    <x:row r="12" ht="34" customHeight="1">
      <x:c r="A12" s="432" t="str">
        <x:v>G02</x:v>
      </x:c>
      <x:c r="B12" s="432" t="str">
        <x:v>AUTO</x:v>
      </x:c>
      <x:c r="C12" s="432" t="str">
        <x:v>Service Events</x:v>
      </x:c>
      <x:c r="D12" s="432" t="str">
        <x:v>Weekday</x:v>
      </x:c>
      <x:c r="E12" s="432" t="str">
        <x:v>Derive weekday from Service Date</x:v>
      </x:c>
      <x:c r="F12" s="482" t="n">
        <x:f>SUMPRODUCT(--(tblServiceEvents[Weekday]&lt;&gt;TEXT(tblServiceEvents[Service Date],"dddd")))</x:f>
        <x:v>0</x:v>
      </x:c>
      <x:c r="G12" s="482" t="str">
        <x:f>IF(F12=0,IF(B12="AUTO","ACTIVE","PASS"),IF(B12="BLOCK","QUARANTINED",IF(B12="ADVISORY","MONITORED","REVIEW")))</x:f>
        <x:v>ACTIVE</x:v>
      </x:c>
      <x:c r="H12" s="432" t="str">
        <x:v>Never changes Service Date</x:v>
      </x:c>
    </x:row>
    <x:row r="13" ht="34" customHeight="1">
      <x:c r="A13" s="432" t="str">
        <x:v>G03</x:v>
      </x:c>
      <x:c r="B13" s="432" t="str">
        <x:v>AUTO</x:v>
      </x:c>
      <x:c r="C13" s="432" t="str">
        <x:v>Service Events</x:v>
      </x:c>
      <x:c r="D13" s="432" t="str">
        <x:v>Location Key</x:v>
      </x:c>
      <x:c r="E13" s="432" t="str">
        <x:v>Derive City|Jurisdiction</x:v>
      </x:c>
      <x:c r="F13" s="482" t="n">
        <x:f>SUMPRODUCT(--(tblServiceEvents[Location Key]&lt;&gt;tblServiceEvents[City]&amp;"|"&amp;tblServiceEvents[Jurisdiction]))</x:f>
        <x:v>0</x:v>
      </x:c>
      <x:c r="G13" s="482" t="str">
        <x:f>IF(F13=0,IF(B13="AUTO","ACTIVE","PASS"),IF(B13="BLOCK","QUARANTINED",IF(B13="ADVISORY","MONITORED","REVIEW")))</x:f>
        <x:v>ACTIVE</x:v>
      </x:c>
      <x:c r="H13" s="432" t="str">
        <x:v>Never changes location facts</x:v>
      </x:c>
    </x:row>
    <x:row r="14" ht="34" customHeight="1">
      <x:c r="A14" s="432" t="str">
        <x:v>G04</x:v>
      </x:c>
      <x:c r="B14" s="432" t="str">
        <x:v>AUTO</x:v>
      </x:c>
      <x:c r="C14" s="432" t="str">
        <x:v>Service Events</x:v>
      </x:c>
      <x:c r="D14" s="432" t="str">
        <x:v>Breakdown Expected</x:v>
      </x:c>
      <x:c r="E14" s="432" t="str">
        <x:v>Excluded = No; Included = Yes</x:v>
      </x:c>
      <x:c r="F14" s="482" t="n">
        <x:f>COUNTIFS(tblServiceEvents[Financial Scope],"Excluded",tblServiceEvents[Breakdown Expected],"&lt;&gt;No")+COUNTIFS(tblServiceEvents[Financial Scope],"Included",tblServiceEvents[Breakdown Expected],"&lt;&gt;Yes")</x:f>
        <x:v>0</x:v>
      </x:c>
      <x:c r="G14" s="482" t="str">
        <x:f>IF(F14=0,IF(B14="AUTO","ACTIVE","PASS"),IF(B14="BLOCK","QUARANTINED",IF(B14="ADVISORY","MONITORED","REVIEW")))</x:f>
        <x:v>ACTIVE</x:v>
      </x:c>
      <x:c r="H14" s="432" t="str">
        <x:v>Never changes Financial Scope</x:v>
      </x:c>
    </x:row>
    <x:row r="15" ht="34" customHeight="1">
      <x:c r="A15" s="432" t="str">
        <x:v>G05</x:v>
      </x:c>
      <x:c r="B15" s="432" t="str">
        <x:v>AUTO</x:v>
      </x:c>
      <x:c r="C15" s="432" t="str">
        <x:v>Service Events</x:v>
      </x:c>
      <x:c r="D15" s="432" t="str">
        <x:v>Revenue Eligibility</x:v>
      </x:c>
      <x:c r="E15" s="432" t="str">
        <x:v>Excluded scope or no confirmed revenue = Excluded; positive confirmed revenue = Eligible</x:v>
      </x:c>
      <x:c r="F15" s="482" t="n">
        <x:f>SUMPRODUCT(--(tblServiceEvents[Revenue Eligibility]&lt;&gt;IF(tblServiceEvents[Financial Scope]="Excluded","Excluded",IF(tblServiceEvents[Confirmed Revenue]&gt;0,"Eligible","Excluded"))))</x:f>
        <x:v>0</x:v>
      </x:c>
      <x:c r="G15" s="482" t="str">
        <x:f>IF(F15=0,IF(B15="AUTO","ACTIVE","PASS"),IF(B15="BLOCK","QUARANTINED",IF(B15="ADVISORY","MONITORED","REVIEW")))</x:f>
        <x:v>ACTIVE</x:v>
      </x:c>
      <x:c r="H15" s="432" t="str">
        <x:v>Never invents revenue</x:v>
      </x:c>
    </x:row>
    <x:row r="16" ht="34" customHeight="1">
      <x:c r="A16" s="432" t="str">
        <x:v>G06</x:v>
      </x:c>
      <x:c r="B16" s="432" t="str">
        <x:v>AUTO</x:v>
      </x:c>
      <x:c r="C16" s="432" t="str">
        <x:v>Ledger</x:v>
      </x:c>
      <x:c r="D16" s="432" t="str">
        <x:v>Weekday</x:v>
      </x:c>
      <x:c r="E16" s="432" t="str">
        <x:v>Derive weekday from Service Date</x:v>
      </x:c>
      <x:c r="F16" s="482" t="n">
        <x:f>SUMPRODUCT(--(tblLedger[Weekday]&lt;&gt;TEXT(tblLedger[Service Date],"dddd")))</x:f>
        <x:v>0</x:v>
      </x:c>
      <x:c r="G16" s="482" t="str">
        <x:f>IF(F16=0,IF(B16="AUTO","ACTIVE","PASS"),IF(B16="BLOCK","QUARANTINED",IF(B16="ADVISORY","MONITORED","REVIEW")))</x:f>
        <x:v>ACTIVE</x:v>
      </x:c>
      <x:c r="H16" s="432" t="str">
        <x:v>Never changes Service Date</x:v>
      </x:c>
    </x:row>
    <x:row r="17" ht="34" customHeight="1">
      <x:c r="A17" s="432" t="str">
        <x:v>G07</x:v>
      </x:c>
      <x:c r="B17" s="432" t="str">
        <x:v>AUTO</x:v>
      </x:c>
      <x:c r="C17" s="432" t="str">
        <x:v>Ledger</x:v>
      </x:c>
      <x:c r="D17" s="432" t="str">
        <x:v>Location Key</x:v>
      </x:c>
      <x:c r="E17" s="432" t="str">
        <x:v>Derive City|Jurisdiction</x:v>
      </x:c>
      <x:c r="F17" s="482" t="n">
        <x:f>SUMPRODUCT(--(tblLedger[Location Key]&lt;&gt;tblLedger[City]&amp;"|"&amp;tblLedger[Jurisdiction]))</x:f>
        <x:v>0</x:v>
      </x:c>
      <x:c r="G17" s="482" t="str">
        <x:f>IF(F17=0,IF(B17="AUTO","ACTIVE","PASS"),IF(B17="BLOCK","QUARANTINED",IF(B17="ADVISORY","MONITORED","REVIEW")))</x:f>
        <x:v>ACTIVE</x:v>
      </x:c>
      <x:c r="H17" s="432" t="str">
        <x:v>Never changes location facts</x:v>
      </x:c>
    </x:row>
    <x:row r="18" ht="34" customHeight="1">
      <x:c r="A18" s="432" t="str">
        <x:v>G08</x:v>
      </x:c>
      <x:c r="B18" s="432" t="str">
        <x:v>AUTO</x:v>
      </x:c>
      <x:c r="C18" s="432" t="str">
        <x:v>Ledger</x:v>
      </x:c>
      <x:c r="D18" s="432" t="str">
        <x:v>Variance</x:v>
      </x:c>
      <x:c r="E18" s="432" t="str">
        <x:v>Breakdown Amount minus Agreed Amount when both are numeric</x:v>
      </x:c>
      <x:c r="F18" s="482" t="n">
        <x:f>SUMPRODUCT(--ISNUMBER(tblLedger[Agreed Amount]),--ISNUMBER(tblLedger[Breakdown Amount]),--(IFERROR(ABS(tblLedger[Variance]-(tblLedger[Breakdown Amount]-tblLedger[Agreed Amount])),0)&gt;0.01))</x:f>
        <x:v>0</x:v>
      </x:c>
      <x:c r="G18" s="482" t="str">
        <x:f>IF(F18=0,IF(B18="AUTO","ACTIVE","PASS"),IF(B18="BLOCK","QUARANTINED",IF(B18="ADVISORY","MONITORED","REVIEW")))</x:f>
        <x:v>ACTIVE</x:v>
      </x:c>
      <x:c r="H18" s="432" t="str">
        <x:v>Never invents agreed or paid amounts</x:v>
      </x:c>
    </x:row>
    <x:row r="19" ht="34" customHeight="1">
      <x:c r="A19" s="432" t="str">
        <x:v>G09</x:v>
      </x:c>
      <x:c r="B19" s="432" t="str">
        <x:v>MONITOR</x:v>
      </x:c>
      <x:c r="C19" s="432" t="str">
        <x:v>Dashboard</x:v>
      </x:c>
      <x:c r="D19" s="432" t="str">
        <x:v>KPI refresh</x:v>
      </x:c>
      <x:c r="E19" s="432" t="str">
        <x:v>Dashboard formulas reconcile directly to authoritative tables</x:v>
      </x:c>
      <x:c r="F19" s="482" t="n">
        <x:f>SUM('Exceptions &amp; Audit'!D192:D196)</x:f>
        <x:v>14</x:v>
      </x:c>
      <x:c r="G19" s="482" t="str">
        <x:f>IF(F19=0,IF(B19="AUTO","ACTIVE","PASS"),IF(B19="BLOCK","QUARANTINED",IF(B19="ADVISORY","MONITORED","REVIEW")))</x:f>
        <x:v>REVIEW</x:v>
      </x:c>
      <x:c r="H19" s="432" t="str">
        <x:v>No manual KPI entry</x:v>
      </x:c>
    </x:row>
    <x:row r="20" ht="34" customHeight="1">
      <x:c r="A20" s="432" t="str">
        <x:v>G10</x:v>
      </x:c>
      <x:c r="B20" s="432" t="str">
        <x:v>ADVISORY</x:v>
      </x:c>
      <x:c r="C20" s="432" t="str">
        <x:v>Service Events</x:v>
      </x:c>
      <x:c r="D20" s="432" t="str">
        <x:v>Financial Exclusion Reason</x:v>
      </x:c>
      <x:c r="E20" s="432" t="str">
        <x:v>Flag excluded rows with missing rationale</x:v>
      </x:c>
      <x:c r="F20" s="482" t="n">
        <x:f>COUNTIFS(tblServiceEvents[Financial Scope],"Excluded",tblServiceEvents[Financial Exclusion Reason],"")</x:f>
        <x:v>0</x:v>
      </x:c>
      <x:c r="G20" s="482" t="str">
        <x:f>IF(F20=0,IF(B20="AUTO","ACTIVE","PASS"),IF(B20="BLOCK","QUARANTINED",IF(B20="ADVISORY","MONITORED","REVIEW")))</x:f>
        <x:v>PASS</x:v>
      </x:c>
      <x:c r="H20" s="432" t="str">
        <x:v>Reason requires human evidence</x:v>
      </x:c>
    </x:row>
    <x:row r="21" ht="34" customHeight="1">
      <x:c r="A21" s="432" t="str">
        <x:v>G11</x:v>
      </x:c>
      <x:c r="B21" s="432" t="str">
        <x:v>ADVISORY</x:v>
      </x:c>
      <x:c r="C21" s="432" t="str">
        <x:v>Business State</x:v>
      </x:c>
      <x:c r="D21" s="432" t="str">
        <x:v>Open financial actions</x:v>
      </x:c>
      <x:c r="E21" s="432" t="str">
        <x:v>Keep pending breakdown, ACH, variance, and partial items visible</x:v>
      </x:c>
      <x:c r="F21" s="482" t="n">
        <x:f>COUNTA(tblCurrentExceptions[Issue])-COUNTIF(tblCurrentExceptions[Issue],"Mapping Hold")</x:f>
        <x:v>15</x:v>
      </x:c>
      <x:c r="G21" s="482" t="str">
        <x:f>IF(F21=0,"CLEAR","MONITORED")</x:f>
        <x:v>MONITORED</x:v>
      </x:c>
      <x:c r="H21" s="432" t="str">
        <x:v>Never silently closes an exception</x:v>
      </x:c>
    </x:row>
    <x:row r="22" ht="34" customHeight="1">
      <x:c r="A22" s="432" t="str">
        <x:v>G12</x:v>
      </x:c>
      <x:c r="B22" s="432" t="str">
        <x:v>BLOCK</x:v>
      </x:c>
      <x:c r="C22" s="432" t="str">
        <x:v>Ledger Mapping</x:v>
      </x:c>
      <x:c r="D22" s="432" t="str">
        <x:v>Mapping Hold</x:v>
      </x:c>
      <x:c r="E22" s="432" t="str">
        <x:v>Quarantine ambiguous WO-to-event ownership</x:v>
      </x:c>
      <x:c r="F22" s="482" t="n">
        <x:f>COUNTIF(tblLedger[Mapping Status],"MAPPING_HOLD")</x:f>
        <x:v>1</x:v>
      </x:c>
      <x:c r="G22" s="482" t="str">
        <x:f>IF(F22=0,"CLEAR","QUARANTINED")</x:f>
        <x:v>QUARANTINED</x:v>
      </x:c>
      <x:c r="H22" s="432" t="str">
        <x:v>Never guesses event ownership</x:v>
      </x:c>
    </x:row>
    <x:row r="25">
      <x:c r="A25" s="428" t="str">
        <x:v>Field Ownership &amp; Update Boundaries</x:v>
      </x:c>
      <x:c r="B25" s="428"/>
      <x:c r="C25" s="428"/>
      <x:c r="D25" s="428"/>
      <x:c r="E25" s="428"/>
      <x:c r="F25" s="428"/>
      <x:c r="G25" s="428"/>
      <x:c r="H25" s="428"/>
    </x:row>
    <x:row r="26">
      <x:c r="A26" s="467" t="str">
        <x:v>Field Class</x:v>
      </x:c>
      <x:c r="B26" s="467"/>
      <x:c r="C26" s="467" t="str">
        <x:v>Examples</x:v>
      </x:c>
      <x:c r="D26" s="467"/>
      <x:c r="E26" s="467" t="str">
        <x:v>3G Behavior</x:v>
      </x:c>
      <x:c r="F26" s="467"/>
      <x:c r="G26" s="467" t="str">
        <x:v>Authoritative Owner</x:v>
      </x:c>
      <x:c r="H26" s="467"/>
    </x:row>
    <x:row r="27" ht="38" customHeight="1">
      <x:c r="A27" s="473" t="str">
        <x:v>Auto-managed derived</x:v>
      </x:c>
      <x:c r="B27" s="473"/>
      <x:c r="C27" s="473" t="str">
        <x:v>Event ID, Weekday, Location Key, Variance, eligibility flags</x:v>
      </x:c>
      <x:c r="D27" s="473"/>
      <x:c r="E27" s="473" t="str">
        <x:v>Formula-controlled and recalculates automatically</x:v>
      </x:c>
      <x:c r="F27" s="473"/>
      <x:c r="G27" s="473" t="str">
        <x:v>Workbook formulas</x:v>
      </x:c>
      <x:c r="H27" s="473"/>
    </x:row>
    <x:row r="28" ht="38" customHeight="1">
      <x:c r="A28" s="478" t="str">
        <x:v>Human-controlled identity</x:v>
      </x:c>
      <x:c r="B28" s="478"/>
      <x:c r="C28" s="478" t="str">
        <x:v>Event #, date, client, site, city/state, WO #</x:v>
      </x:c>
      <x:c r="D28" s="478"/>
      <x:c r="E28" s="478" t="str">
        <x:v>Never changed automatically</x:v>
      </x:c>
      <x:c r="F28" s="478"/>
      <x:c r="G28" s="478" t="str">
        <x:v>User-authoritative evidence</x:v>
      </x:c>
      <x:c r="H28" s="478"/>
    </x:row>
    <x:row r="29" ht="38" customHeight="1">
      <x:c r="A29" s="473" t="str">
        <x:v>Human-controlled financial facts</x:v>
      </x:c>
      <x:c r="B29" s="473"/>
      <x:c r="C29" s="473" t="str">
        <x:v>Agreed amount, breakdown amount/date, ACH amount/date</x:v>
      </x:c>
      <x:c r="D29" s="473"/>
      <x:c r="E29" s="473" t="str">
        <x:v>Never inferred or estimated</x:v>
      </x:c>
      <x:c r="F29" s="473"/>
      <x:c r="G29" s="473" t="str">
        <x:v>Barrister email / portal evidence</x:v>
      </x:c>
      <x:c r="H29" s="473"/>
    </x:row>
    <x:row r="30" ht="38" customHeight="1">
      <x:c r="A30" s="478" t="str">
        <x:v>Human-controlled mapping</x:v>
      </x:c>
      <x:c r="B30" s="478"/>
      <x:c r="C30" s="478" t="str">
        <x:v>Event-to-WO ownership, duplicate resolution, mapping holds</x:v>
      </x:c>
      <x:c r="D30" s="478"/>
      <x:c r="E30" s="478" t="str">
        <x:v>Blocked from automatic repair</x:v>
      </x:c>
      <x:c r="F30" s="478"/>
      <x:c r="G30" s="478" t="str">
        <x:v>Verified chronology + human review</x:v>
      </x:c>
      <x:c r="H30" s="478"/>
    </x:row>
    <x:row r="31" ht="38" customHeight="1">
      <x:c r="A31" s="473" t="str">
        <x:v>Advisory status</x:v>
      </x:c>
      <x:c r="B31" s="473"/>
      <x:c r="C31" s="473" t="str">
        <x:v>Pending breakdown, pending ACH, variance, partial breakdown</x:v>
      </x:c>
      <x:c r="D31" s="473"/>
      <x:c r="E31" s="473" t="str">
        <x:v>Remains visible until evidence changes the record</x:v>
      </x:c>
      <x:c r="F31" s="473"/>
      <x:c r="G31" s="473" t="str">
        <x:v>Exception engine</x:v>
      </x:c>
      <x:c r="H31" s="473"/>
    </x:row>
    <x:row r="34">
      <x:c r="A34" s="436" t="str">
        <x:v>3G Operating Policy</x:v>
      </x:c>
      <x:c r="B34" s="436"/>
      <x:c r="C34" s="436"/>
      <x:c r="D34" s="436"/>
      <x:c r="E34" s="436"/>
      <x:c r="F34" s="436"/>
      <x:c r="G34" s="436"/>
      <x:c r="H34" s="436"/>
    </x:row>
    <x:row r="35" ht="30" customHeight="1">
      <x:c r="A35" s="440" t="str">
        <x:v>Automatic repair is permitted only when the correct value is mathematically deterministic from authoritative fields.</x:v>
      </x:c>
      <x:c r="B35" s="440"/>
      <x:c r="C35" s="440"/>
      <x:c r="D35" s="440"/>
      <x:c r="E35" s="440"/>
      <x:c r="F35" s="440"/>
      <x:c r="G35" s="440"/>
      <x:c r="H35" s="440"/>
    </x:row>
    <x:row r="36" ht="30" customHeight="1">
      <x:c r="A36" s="443" t="str">
        <x:v>No self-healing rule may invent chronology, client identity, work-order ownership, payment amounts, dates, or evidence.</x:v>
      </x:c>
      <x:c r="B36" s="443"/>
      <x:c r="C36" s="443"/>
      <x:c r="D36" s="443"/>
      <x:c r="E36" s="443"/>
      <x:c r="F36" s="443"/>
      <x:c r="G36" s="443"/>
      <x:c r="H36" s="443"/>
    </x:row>
    <x:row r="37" ht="30" customHeight="1">
      <x:c r="A37" s="440" t="str">
        <x:v>Business exceptions remain open until new authoritative evidence is entered; formatting or formulas never mark them paid.</x:v>
      </x:c>
      <x:c r="B37" s="440"/>
      <x:c r="C37" s="440"/>
      <x:c r="D37" s="440"/>
      <x:c r="E37" s="440"/>
      <x:c r="F37" s="440"/>
      <x:c r="G37" s="440"/>
      <x:c r="H37" s="440"/>
    </x:row>
    <x:row r="38" ht="30" customHeight="1">
      <x:c r="A38" s="443" t="str">
        <x:v>Phase 3H remains the enforcement layer. Phase 3G repairs safe fields; Phase 3H stops unsafe or contradictory updates.</x:v>
      </x:c>
      <x:c r="B38" s="443"/>
      <x:c r="C38" s="443"/>
      <x:c r="D38" s="443"/>
      <x:c r="E38" s="443"/>
      <x:c r="F38" s="443"/>
      <x:c r="G38" s="443"/>
      <x:c r="H38" s="443"/>
    </x:row>
    <x:row r="40">
      <x:c r="A40" t="str">
        <x:v>Month 4 Conversation Control Rules</x:v>
      </x:c>
      <x:c r="B40"/>
      <x:c r="C40"/>
      <x:c r="D40"/>
      <x:c r="E40"/>
      <x:c r="F40"/>
      <x:c r="G40"/>
      <x:c r="H40"/>
    </x:row>
    <x:row r="41">
      <x:c r="A41" t="str">
        <x:v>Rule ID</x:v>
      </x:c>
      <x:c r="B41" t="str">
        <x:v>Mode</x:v>
      </x:c>
      <x:c r="C41" t="str">
        <x:v>Scope</x:v>
      </x:c>
      <x:c r="D41" t="str">
        <x:v>Managed Field / Control</x:v>
      </x:c>
      <x:c r="E41" t="str">
        <x:v>Required Logic</x:v>
      </x:c>
      <x:c r="F41" t="str">
        <x:v>Current Exceptions</x:v>
      </x:c>
      <x:c r="G41" t="str">
        <x:v>Status</x:v>
      </x:c>
      <x:c r="H41" t="str">
        <x:v>Protection Boundary</x:v>
      </x:c>
    </x:row>
    <x:row r="42">
      <x:c r="A42" t="str">
        <x:v>M01</x:v>
      </x:c>
      <x:c r="B42" t="str">
        <x:v>BLOCK</x:v>
      </x:c>
      <x:c r="C42" t="str">
        <x:v>Conversation Initialization</x:v>
      </x:c>
      <x:c r="D42" t="str">
        <x:v>BARRISTER CONTROL CHECK</x:v>
      </x:c>
      <x:c r="E42" t="str">
        <x:v>Open and verify the supplied authoritative workbook; report filename, highest Event, confirmed revenue, and open exceptions before operational work.</x:v>
      </x:c>
      <x:c r="F42" t="n">
        <x:v>0</x:v>
      </x:c>
      <x:c r="G42" t="str">
        <x:v>ACTIVE</x:v>
      </x:c>
      <x:c r="H42" t="str">
        <x:v>Never substitute memory or stale summaries</x:v>
      </x:c>
    </x:row>
    <x:row r="43">
      <x:c r="A43" t="str">
        <x:v>M02</x:v>
      </x:c>
      <x:c r="B43" t="str">
        <x:v>COMMAND</x:v>
      </x:c>
      <x:c r="C43" t="str">
        <x:v>Gmail Financial Reconciliation</x:v>
      </x:c>
      <x:c r="D43" t="str">
        <x:v>DELTA UPDATE</x:v>
      </x:c>
      <x:c r="E43" t="str">
        <x:v>Search Gmail only for ACHs, deposits, payment breakdowns, and deductions; map each delta to the correct WO and Event.</x:v>
      </x:c>
      <x:c r="F43" t="n">
        <x:v>0</x:v>
      </x:c>
      <x:c r="G43" t="str">
        <x:v>ACTIVE</x:v>
      </x:c>
      <x:c r="H43" t="str">
        <x:v>Never search unrelated systems or redefine the command</x:v>
      </x:c>
    </x:row>
    <x:row r="44">
      <x:c r="A44" t="str">
        <x:v>M03</x:v>
      </x:c>
      <x:c r="B44" t="str">
        <x:v>BLOCK</x:v>
      </x:c>
      <x:c r="C44" t="str">
        <x:v>Chronology</x:v>
      </x:c>
      <x:c r="D44" t="str">
        <x:v>Event creation</x:v>
      </x:c>
      <x:c r="E44" t="str">
        <x:v>One physical site visit equals one Event; completion requires user-authoritative evidence; never skip, merge, or invent Event numbers.</x:v>
      </x:c>
      <x:c r="F44" t="n">
        <x:v>0</x:v>
      </x:c>
      <x:c r="G44" t="str">
        <x:v>ACTIVE</x:v>
      </x:c>
      <x:c r="H44" t="str">
        <x:v>Chronology remains human-controlled</x:v>
      </x:c>
    </x:row>
    <x:row r="45">
      <x:c r="A45" t="str">
        <x:v>M04</x:v>
      </x:c>
      <x:c r="B45" t="str">
        <x:v>BLOCK</x:v>
      </x:c>
      <x:c r="C45" t="str">
        <x:v>Financial Status</x:v>
      </x:c>
      <x:c r="D45" t="str">
        <x:v>Payment confirmation</x:v>
      </x:c>
      <x:c r="E45" t="str">
        <x:v>Promised rates, ticket closure, and estimates do not equal confirmed payment. Keep breakdown and ACH states unresolved until evidence exists.</x:v>
      </x:c>
      <x:c r="F45" t="n">
        <x:v>0</x:v>
      </x:c>
      <x:c r="G45" t="str">
        <x:v>ACTIVE</x:v>
      </x:c>
      <x:c r="H45" t="str">
        <x:v>Never invent financial facts</x:v>
      </x:c>
    </x:row>
  </x:sheetData>
  <x:mergeCells>
    <x:mergeCell ref="A1:H1"/>
    <x:mergeCell ref="A3:H3"/>
    <x:mergeCell ref="A6:B6"/>
    <x:mergeCell ref="C6:D6"/>
    <x:mergeCell ref="E6:F6"/>
    <x:mergeCell ref="G6:H6"/>
    <x:mergeCell ref="A9:H9"/>
    <x:mergeCell ref="A25:H25"/>
    <x:mergeCell ref="A34:H34"/>
    <x:mergeCell ref="A35:H35"/>
    <x:mergeCell ref="A36:H36"/>
    <x:mergeCell ref="A37:H37"/>
    <x:mergeCell ref="A38:H38"/>
    <x:mergeCell ref="A26:B26"/>
    <x:mergeCell ref="C26:D26"/>
    <x:mergeCell ref="E26:F26"/>
    <x:mergeCell ref="G26:H26"/>
    <x:mergeCell ref="A27:B27"/>
    <x:mergeCell ref="C27:D27"/>
    <x:mergeCell ref="E27:F27"/>
    <x:mergeCell ref="G27:H27"/>
    <x:mergeCell ref="A28:B28"/>
    <x:mergeCell ref="C28:D28"/>
    <x:mergeCell ref="E28:F28"/>
    <x:mergeCell ref="G28:H28"/>
    <x:mergeCell ref="A29:B29"/>
    <x:mergeCell ref="C29:D29"/>
    <x:mergeCell ref="E29:F29"/>
    <x:mergeCell ref="G29:H29"/>
    <x:mergeCell ref="A30:B30"/>
    <x:mergeCell ref="C30:D30"/>
    <x:mergeCell ref="E30:F30"/>
    <x:mergeCell ref="G30:H30"/>
    <x:mergeCell ref="A31:B31"/>
    <x:mergeCell ref="C31:D31"/>
    <x:mergeCell ref="E31:F31"/>
    <x:mergeCell ref="G31:H31"/>
  </x:mergeCells>
  <x:conditionalFormatting sqref="G11:G22">
    <x:cfRule type="expression" dxfId="136" priority="1">
      <x:formula>OR(G11="ACTIVE",G11="PASS",G11="CLEAR")</x:formula>
    </x:cfRule>
    <x:cfRule type="expression" dxfId="137" priority="2">
      <x:formula>G11="MONITORED"</x:formula>
    </x:cfRule>
    <x:cfRule type="expression" dxfId="138" priority="3">
      <x:formula>OR(G11="REVIEW",G11="QUARANTINED")</x:formula>
    </x:cfRule>
  </x:conditionalFormatting>
  <x:conditionalFormatting sqref="F11:F22">
    <x:cfRule type="expression" dxfId="139" priority="4">
      <x:formula>F11=0</x:formula>
    </x:cfRule>
    <x:cfRule type="expression" dxfId="140" priority="5">
      <x:formula>F11&gt;0</x:formula>
    </x:cfRule>
  </x:conditionalFormatting>
  <x:pageMargins left="0.7" right="0.7" top="0.75" bottom="0.75" header="0.3" footer="0.3"/>
  <x:tableParts count="1">
    <x:tablePart xmlns:r="http://schemas.openxmlformats.org/officeDocument/2006/relationships" r:id="R6a47bc7379984fab"/>
  </x:tableParts>
</x:worksheet>
</file>

<file path=xl/worksheets/sheet8.xml><?xml version="1.0" encoding="utf-8"?>
<x:worksheet xmlns:x="http://schemas.openxmlformats.org/spreadsheetml/2006/main">
  <x:sheetFormatPr defaultRowHeight="15"/>
  <x:cols>
    <x:col min="1" max="1" width="30" hidden="0" customWidth="1"/>
    <x:col min="2" max="2" width="16" hidden="0" customWidth="1"/>
    <x:col min="3" max="3" width="24" hidden="0" customWidth="1"/>
    <x:col min="4" max="4" width="22" hidden="0" customWidth="1"/>
    <x:col min="5" max="5" width="12" hidden="0" customWidth="1"/>
    <x:col min="6" max="6" width="14" hidden="0" customWidth="1"/>
    <x:col min="7" max="7" width="34" hidden="0" customWidth="1"/>
    <x:col min="8" max="8" width="18" hidden="0" customWidth="1"/>
    <x:col min="9" max="9" width="28" hidden="0" customWidth="1"/>
    <x:col min="10" max="10" width="16" hidden="0" customWidth="1"/>
    <x:col min="11" max="11" width="18" hidden="0" customWidth="1"/>
    <x:col min="12" max="12" width="14" hidden="0" customWidth="1"/>
    <x:col min="13" max="13" width="18" hidden="0" customWidth="1"/>
    <x:col min="14" max="14" width="18" hidden="0" customWidth="1"/>
  </x:cols>
  <x:sheetData>
    <x:row r="1" ht="30" customHeight="1">
      <x:c r="A1" s="568" t="str">
        <x:v>BARRISTER CAREER ANALYTICS | AGENT EINI</x:v>
      </x:c>
      <x:c r="B1" s="568"/>
      <x:c r="C1" s="568"/>
      <x:c r="D1" s="568"/>
      <x:c r="E1" s="568"/>
      <x:c r="F1" s="568"/>
      <x:c r="G1" s="568"/>
      <x:c r="H1" s="568"/>
      <x:c r="I1" s="568"/>
      <x:c r="J1" s="568"/>
      <x:c r="K1" s="568"/>
      <x:c r="L1" s="568"/>
      <x:c r="M1" s="568"/>
      <x:c r="N1" s="568"/>
    </x:row>
    <x:row r="2" ht="30" customHeight="1">
      <x:c r="A2" s="568"/>
      <x:c r="B2" s="568"/>
      <x:c r="C2" s="568"/>
      <x:c r="D2" s="568"/>
      <x:c r="E2" s="568"/>
      <x:c r="F2" s="568"/>
      <x:c r="G2" s="568"/>
      <x:c r="H2" s="568"/>
      <x:c r="I2" s="568"/>
      <x:c r="J2" s="568"/>
      <x:c r="K2" s="568"/>
      <x:c r="L2" s="568"/>
      <x:c r="M2" s="568"/>
      <x:c r="N2" s="568"/>
    </x:row>
    <x:row r="3">
      <x:c r="A3" s="569" t="str">
        <x:v>Authoritative career snapshot through 2026-07-24 | Event #84 | User-confirmed financial corrections included</x:v>
      </x:c>
      <x:c r="B3" s="569"/>
      <x:c r="C3" s="569"/>
      <x:c r="D3" s="569"/>
      <x:c r="E3" s="569"/>
      <x:c r="F3" s="569"/>
      <x:c r="G3" s="569"/>
      <x:c r="H3" s="569"/>
      <x:c r="I3" s="569"/>
      <x:c r="J3" s="569"/>
      <x:c r="K3" s="569"/>
      <x:c r="L3" s="569"/>
      <x:c r="M3" s="569"/>
      <x:c r="N3" s="569"/>
    </x:row>
    <x:row r="4">
      <x:c r="A4" s="530"/>
      <x:c r="B4" s="530"/>
      <x:c r="C4" s="530"/>
      <x:c r="D4" s="530"/>
      <x:c r="E4" s="530"/>
      <x:c r="F4" s="530"/>
      <x:c r="G4" s="530"/>
      <x:c r="H4" s="530"/>
      <x:c r="I4" s="530"/>
      <x:c r="J4" s="530"/>
      <x:c r="K4" s="530"/>
      <x:c r="L4" s="530"/>
      <x:c r="M4" s="530"/>
      <x:c r="N4" s="530"/>
    </x:row>
    <x:row r="5">
      <x:c r="A5" s="570" t="str">
        <x:v>BARRISTER BASEBALL CARD</x:v>
      </x:c>
      <x:c r="B5" s="570"/>
      <x:c r="C5" s="570"/>
      <x:c r="D5" s="570"/>
      <x:c r="E5" s="530"/>
      <x:c r="F5" s="570" t="str">
        <x:v>THE 12 CAREER METRICS</x:v>
      </x:c>
      <x:c r="G5" s="570"/>
      <x:c r="H5" s="570"/>
      <x:c r="I5" s="570"/>
      <x:c r="J5" s="570"/>
      <x:c r="K5" s="570"/>
      <x:c r="L5" s="570"/>
      <x:c r="M5" s="570"/>
      <x:c r="N5" s="570"/>
    </x:row>
    <x:row r="6">
      <x:c r="A6" s="571" t="str">
        <x:v>Career Events</x:v>
      </x:c>
      <x:c r="B6" s="572" t="n">
        <x:v>84</x:v>
      </x:c>
      <x:c r="C6" s="571" t="str">
        <x:v>Career Revenue</x:v>
      </x:c>
      <x:c r="D6" s="573" t="n">
        <x:v>9474.41</x:v>
      </x:c>
      <x:c r="E6" s="530"/>
      <x:c r="F6" s="574" t="n">
        <x:v>1</x:v>
      </x:c>
      <x:c r="G6" s="571" t="str">
        <x:v>Longest Business-Day Streak</x:v>
      </x:c>
      <x:c r="H6" s="575" t="n">
        <x:v>11</x:v>
      </x:c>
      <x:c r="I6" s="576" t="str">
        <x:v>Current: 6</x:v>
      </x:c>
      <x:c r="J6" s="530"/>
      <x:c r="K6" s="530"/>
      <x:c r="L6" s="530"/>
      <x:c r="M6" s="530"/>
      <x:c r="N6" s="530"/>
    </x:row>
    <x:row r="7">
      <x:c r="A7" s="571" t="str">
        <x:v>Unique Clients</x:v>
      </x:c>
      <x:c r="B7" s="572" t="n">
        <x:v>31</x:v>
      </x:c>
      <x:c r="C7" s="571" t="str">
        <x:v>Worked Days</x:v>
      </x:c>
      <x:c r="D7" s="572" t="n">
        <x:v>54</x:v>
      </x:c>
      <x:c r="E7" s="530"/>
      <x:c r="F7" s="574" t="n">
        <x:v>2</x:v>
      </x:c>
      <x:c r="G7" s="571" t="str">
        <x:v>Most Events / Rolling 3 Days</x:v>
      </x:c>
      <x:c r="H7" s="575" t="n">
        <x:v>7</x:v>
      </x:c>
      <x:c r="I7" s="576" t="str">
        <x:v>2026-06-09 to 2026-06-11</x:v>
      </x:c>
      <x:c r="J7" s="530"/>
      <x:c r="K7" s="530"/>
      <x:c r="L7" s="530"/>
      <x:c r="M7" s="530"/>
      <x:c r="N7" s="530"/>
    </x:row>
    <x:row r="8">
      <x:c r="A8" s="571" t="str">
        <x:v>Jurisdictions</x:v>
      </x:c>
      <x:c r="B8" s="572" t="n">
        <x:v>5</x:v>
      </x:c>
      <x:c r="C8" s="571" t="str">
        <x:v>Work Orders</x:v>
      </x:c>
      <x:c r="D8" s="572" t="n">
        <x:v>85</x:v>
      </x:c>
      <x:c r="E8" s="530"/>
      <x:c r="F8" s="574" t="n">
        <x:v>3</x:v>
      </x:c>
      <x:c r="G8" s="571" t="str">
        <x:v>Most Events / Rolling 7 Days</x:v>
      </x:c>
      <x:c r="H8" s="575" t="n">
        <x:v>11</x:v>
      </x:c>
      <x:c r="I8" s="576" t="str">
        <x:v>2026-06-05 to 2026-06-11</x:v>
      </x:c>
      <x:c r="J8" s="530"/>
      <x:c r="K8" s="530"/>
      <x:c r="L8" s="530"/>
      <x:c r="M8" s="530"/>
      <x:c r="N8" s="530"/>
    </x:row>
    <x:row r="9">
      <x:c r="A9" s="571" t="str">
        <x:v>Longest B-Day Streak</x:v>
      </x:c>
      <x:c r="B9" s="572" t="n">
        <x:v>14</x:v>
      </x:c>
      <x:c r="C9" s="571" t="str">
        <x:v>Current Streak</x:v>
      </x:c>
      <x:c r="D9" s="572" t="n">
        <x:v>14</x:v>
      </x:c>
      <x:c r="E9" s="530"/>
      <x:c r="F9" s="574" t="n">
        <x:v>4</x:v>
      </x:c>
      <x:c r="G9" s="571" t="str">
        <x:v>Highest-Grossing Workweek</x:v>
      </x:c>
      <x:c r="H9" s="577" t="n">
        <x:v>1221.66</x:v>
      </x:c>
      <x:c r="I9" s="576" t="str">
        <x:v>Workweek 7</x:v>
      </x:c>
      <x:c r="J9" s="530"/>
      <x:c r="K9" s="530"/>
      <x:c r="L9" s="530"/>
      <x:c r="M9" s="530"/>
      <x:c r="N9" s="530"/>
    </x:row>
    <x:row r="10">
      <x:c r="A10" s="571" t="str">
        <x:v>Career Avg / Paid Event</x:v>
      </x:c>
      <x:c r="B10" s="573" t="n">
        <x:v>119.92924050632911</x:v>
      </x:c>
      <x:c r="C10" s="571" t="str">
        <x:v>MVP Client</x:v>
      </x:c>
      <x:c r="D10" s="572" t="str">
        <x:v>USDA</x:v>
      </x:c>
      <x:c r="E10" s="530"/>
      <x:c r="F10" s="574" t="n">
        <x:v>5</x:v>
      </x:c>
      <x:c r="G10" s="571" t="str">
        <x:v>Highest-Grossing Workday</x:v>
      </x:c>
      <x:c r="H10" s="577" t="n">
        <x:v>390</x:v>
      </x:c>
      <x:c r="I10" s="576" t="str">
        <x:v>2026-06-10</x:v>
      </x:c>
      <x:c r="J10" s="530"/>
      <x:c r="K10" s="530"/>
      <x:c r="L10" s="530"/>
      <x:c r="M10" s="530"/>
      <x:c r="N10" s="530"/>
    </x:row>
    <x:row r="11">
      <x:c r="A11" s="571" t="str">
        <x:v>Career Grade</x:v>
      </x:c>
      <x:c r="B11" s="572" t="str">
        <x:v>B</x:v>
      </x:c>
      <x:c r="C11" s="571" t="str">
        <x:v>Overall Score</x:v>
      </x:c>
      <x:c r="D11" s="578" t="n">
        <x:v>0.8475406782919741</x:v>
      </x:c>
      <x:c r="E11" s="530"/>
      <x:c r="F11" s="574" t="n">
        <x:v>6</x:v>
      </x:c>
      <x:c r="G11" s="571" t="str">
        <x:v>Average Revenue / Paid Event</x:v>
      </x:c>
      <x:c r="H11" s="577" t="n">
        <x:v>127.310625</x:v>
      </x:c>
      <x:c r="I11" s="576" t="str">
        <x:v>Confirmed breakdown basis</x:v>
      </x:c>
      <x:c r="J11" s="530"/>
      <x:c r="K11" s="530"/>
      <x:c r="L11" s="530"/>
      <x:c r="M11" s="530"/>
      <x:c r="N11" s="530"/>
    </x:row>
    <x:row r="12">
      <x:c r="A12" s="530"/>
      <x:c r="B12" s="530"/>
      <x:c r="C12" s="530"/>
      <x:c r="D12" s="530"/>
      <x:c r="E12" s="530"/>
      <x:c r="F12" s="574" t="n">
        <x:v>7</x:v>
      </x:c>
      <x:c r="G12" s="571" t="str">
        <x:v>Unique Clients</x:v>
      </x:c>
      <x:c r="H12" s="575" t="n">
        <x:v>31</x:v>
      </x:c>
      <x:c r="I12" s="576" t="str">
        <x:v>20 repeat clients</x:v>
      </x:c>
      <x:c r="J12" s="530"/>
      <x:c r="K12" s="530"/>
      <x:c r="L12" s="530"/>
      <x:c r="M12" s="530"/>
      <x:c r="N12" s="530"/>
    </x:row>
    <x:row r="13">
      <x:c r="A13" s="530"/>
      <x:c r="B13" s="530"/>
      <x:c r="C13" s="530"/>
      <x:c r="D13" s="530"/>
      <x:c r="E13" s="530"/>
      <x:c r="F13" s="574" t="n">
        <x:v>8</x:v>
      </x:c>
      <x:c r="G13" s="571" t="str">
        <x:v>Repeat Client Rate</x:v>
      </x:c>
      <x:c r="H13" s="579" t="n">
        <x:v>0.6451612903225806</x:v>
      </x:c>
      <x:c r="I13" s="576" t="str">
        <x:v>11 one-time clients</x:v>
      </x:c>
      <x:c r="J13" s="530"/>
      <x:c r="K13" s="530"/>
      <x:c r="L13" s="530"/>
      <x:c r="M13" s="530"/>
      <x:c r="N13" s="530"/>
    </x:row>
    <x:row r="14">
      <x:c r="A14" s="530"/>
      <x:c r="B14" s="530"/>
      <x:c r="C14" s="530"/>
      <x:c r="D14" s="530"/>
      <x:c r="E14" s="530"/>
      <x:c r="F14" s="574" t="n">
        <x:v>9</x:v>
      </x:c>
      <x:c r="G14" s="571" t="str">
        <x:v>Territory Footprint</x:v>
      </x:c>
      <x:c r="H14" s="575" t="n">
        <x:v>5</x:v>
      </x:c>
      <x:c r="I14" s="576" t="str">
        <x:v>DC, MD, PA, VA, WV</x:v>
      </x:c>
      <x:c r="J14" s="530"/>
      <x:c r="K14" s="530"/>
      <x:c r="L14" s="530"/>
      <x:c r="M14" s="530"/>
      <x:c r="N14" s="530"/>
    </x:row>
    <x:row r="15">
      <x:c r="A15" s="530"/>
      <x:c r="B15" s="530"/>
      <x:c r="C15" s="530"/>
      <x:c r="D15" s="530"/>
      <x:c r="E15" s="530"/>
      <x:c r="F15" s="574" t="n">
        <x:v>10</x:v>
      </x:c>
      <x:c r="G15" s="571" t="str">
        <x:v>Career MVP Client</x:v>
      </x:c>
      <x:c r="H15" s="575" t="str">
        <x:v>USDA</x:v>
      </x:c>
      <x:c r="I15" s="576" t="str">
        <x:v>$1,355.00 | 6 Events</x:v>
      </x:c>
      <x:c r="J15" s="530"/>
      <x:c r="K15" s="530"/>
      <x:c r="L15" s="530"/>
      <x:c r="M15" s="530"/>
      <x:c r="N15" s="530"/>
    </x:row>
    <x:row r="16">
      <x:c r="A16" s="530" t="str">
        <x:v>Career High-Water Marks</x:v>
      </x:c>
      <x:c r="B16" s="530" t="str">
        <x:v>84 / $9,474.41</x:v>
      </x:c>
      <x:c r="C16" s="530" t="str">
        <x:v>31 clients | 54 days</x:v>
      </x:c>
      <x:c r="D16" s="530"/>
      <x:c r="E16" s="530"/>
      <x:c r="F16" s="574" t="n">
        <x:v>11</x:v>
      </x:c>
      <x:c r="G16" s="571" t="str">
        <x:v>Career High-Water Marks</x:v>
      </x:c>
      <x:c r="H16" s="575" t="str">
        <x:v>75 / $8,147.88</x:v>
      </x:c>
      <x:c r="I16" s="576" t="str">
        <x:v>31 clients | 50 days</x:v>
      </x:c>
      <x:c r="J16" s="530"/>
      <x:c r="K16" s="530"/>
      <x:c r="L16" s="530"/>
      <x:c r="M16" s="530"/>
      <x:c r="N16" s="530"/>
    </x:row>
    <x:row r="17">
      <x:c r="A17" s="530"/>
      <x:c r="B17" s="530"/>
      <x:c r="C17" s="530"/>
      <x:c r="D17" s="530"/>
      <x:c r="E17" s="530"/>
      <x:c r="F17" s="574" t="n">
        <x:v>12</x:v>
      </x:c>
      <x:c r="G17" s="571" t="str">
        <x:v>Iron Man Index</x:v>
      </x:c>
      <x:c r="H17" s="579" t="n">
        <x:v>0.7333333333333333</x:v>
      </x:c>
      <x:c r="I17" s="576" t="str">
        <x:v>Career-best streak ÷ 15-day benchmark</x:v>
      </x:c>
      <x:c r="J17" s="530"/>
      <x:c r="K17" s="530"/>
      <x:c r="L17" s="530"/>
      <x:c r="M17" s="530"/>
      <x:c r="N17" s="530"/>
    </x:row>
    <x:row r="18">
      <x:c r="A18" s="530"/>
      <x:c r="B18" s="530"/>
      <x:c r="C18" s="530"/>
      <x:c r="D18" s="530"/>
      <x:c r="E18" s="530"/>
      <x:c r="F18" s="530"/>
      <x:c r="G18" s="530"/>
      <x:c r="H18" s="530"/>
      <x:c r="I18" s="530"/>
      <x:c r="J18" s="530"/>
      <x:c r="K18" s="530"/>
      <x:c r="L18" s="530"/>
      <x:c r="M18" s="530"/>
      <x:c r="N18" s="530"/>
    </x:row>
    <x:row r="19">
      <x:c r="A19" s="580" t="str">
        <x:v>STREAKS &amp; PRODUCTION RECORDS</x:v>
      </x:c>
      <x:c r="B19" s="580"/>
      <x:c r="C19" s="580"/>
      <x:c r="D19" s="580"/>
      <x:c r="E19" s="580"/>
      <x:c r="F19" s="580"/>
      <x:c r="G19" s="580"/>
      <x:c r="H19" s="580"/>
      <x:c r="I19" s="580"/>
      <x:c r="J19" s="580"/>
      <x:c r="K19" s="580"/>
      <x:c r="L19" s="580"/>
      <x:c r="M19" s="580"/>
      <x:c r="N19" s="580"/>
    </x:row>
    <x:row r="20">
      <x:c r="A20" s="581" t="str">
        <x:v>Record</x:v>
      </x:c>
      <x:c r="B20" s="581" t="str">
        <x:v>Value</x:v>
      </x:c>
      <x:c r="C20" s="581" t="str">
        <x:v>Record Window / Definition</x:v>
      </x:c>
      <x:c r="D20" s="530"/>
      <x:c r="E20" s="530"/>
      <x:c r="F20" s="530"/>
      <x:c r="G20" s="530"/>
      <x:c r="H20" s="530"/>
      <x:c r="I20" s="530"/>
      <x:c r="J20" s="530"/>
      <x:c r="K20" s="530"/>
      <x:c r="L20" s="530"/>
      <x:c r="M20" s="530"/>
      <x:c r="N20" s="530"/>
    </x:row>
    <x:row r="21">
      <x:c r="A21" s="571" t="str">
        <x:v>Longest business-day streak</x:v>
      </x:c>
      <x:c r="B21" s="572" t="n">
        <x:v>11</x:v>
      </x:c>
      <x:c r="C21" s="531" t="str">
        <x:v>2026-06-01 to 2026-06-15; weekends skipped</x:v>
      </x:c>
      <x:c r="D21" s="530"/>
      <x:c r="E21" s="530"/>
      <x:c r="F21" s="530"/>
      <x:c r="G21" s="530"/>
      <x:c r="H21" s="530"/>
      <x:c r="I21" s="530"/>
      <x:c r="J21" s="530"/>
      <x:c r="K21" s="530"/>
      <x:c r="L21" s="530"/>
      <x:c r="M21" s="530"/>
      <x:c r="N21" s="530"/>
    </x:row>
    <x:row r="22">
      <x:c r="A22" s="571" t="str">
        <x:v>Current business-day streak</x:v>
      </x:c>
      <x:c r="B22" s="572" t="n">
        <x:v>6</x:v>
      </x:c>
      <x:c r="C22" s="531" t="str">
        <x:v>Ending 2026-07-20</x:v>
      </x:c>
      <x:c r="D22" s="530"/>
      <x:c r="E22" s="530"/>
      <x:c r="F22" s="530"/>
      <x:c r="G22" s="530"/>
      <x:c r="H22" s="530"/>
      <x:c r="I22" s="530"/>
      <x:c r="J22" s="530"/>
      <x:c r="K22" s="530"/>
      <x:c r="L22" s="530"/>
      <x:c r="M22" s="530"/>
      <x:c r="N22" s="530"/>
    </x:row>
    <x:row r="23">
      <x:c r="A23" s="571" t="str">
        <x:v>Longest calendar-day streak</x:v>
      </x:c>
      <x:c r="B23" s="572" t="n">
        <x:v>5</x:v>
      </x:c>
      <x:c r="C23" s="531" t="str">
        <x:v>Consecutive calendar dates worked</x:v>
      </x:c>
      <x:c r="D23" s="530"/>
      <x:c r="E23" s="530"/>
      <x:c r="F23" s="530"/>
      <x:c r="G23" s="530"/>
      <x:c r="H23" s="530"/>
      <x:c r="I23" s="530"/>
      <x:c r="J23" s="530"/>
      <x:c r="K23" s="530"/>
      <x:c r="L23" s="530"/>
      <x:c r="M23" s="530"/>
      <x:c r="N23" s="530"/>
    </x:row>
    <x:row r="24">
      <x:c r="A24" s="571" t="str">
        <x:v>Longest revenue streak</x:v>
      </x:c>
      <x:c r="B24" s="572" t="n">
        <x:v>11</x:v>
      </x:c>
      <x:c r="C24" s="531" t="str">
        <x:v>Consecutive business workdays with confirmed revenue</x:v>
      </x:c>
      <x:c r="D24" s="530"/>
      <x:c r="E24" s="530"/>
      <x:c r="F24" s="530"/>
      <x:c r="G24" s="530"/>
      <x:c r="H24" s="530"/>
      <x:c r="I24" s="530"/>
      <x:c r="J24" s="530"/>
      <x:c r="K24" s="530"/>
      <x:c r="L24" s="530"/>
      <x:c r="M24" s="530"/>
      <x:c r="N24" s="530"/>
    </x:row>
    <x:row r="25">
      <x:c r="A25" s="571" t="str">
        <x:v>Most consecutive paid Events</x:v>
      </x:c>
      <x:c r="B25" s="572" t="n">
        <x:v>34</x:v>
      </x:c>
      <x:c r="C25" s="531" t="str">
        <x:v>Event-number sequence with positive confirmed revenue</x:v>
      </x:c>
      <x:c r="D25" s="530"/>
      <x:c r="E25" s="530"/>
      <x:c r="F25" s="530"/>
      <x:c r="G25" s="530"/>
      <x:c r="H25" s="530"/>
      <x:c r="I25" s="530"/>
      <x:c r="J25" s="530"/>
      <x:c r="K25" s="530"/>
      <x:c r="L25" s="530"/>
      <x:c r="M25" s="530"/>
      <x:c r="N25" s="530"/>
    </x:row>
    <x:row r="26">
      <x:c r="A26" s="571" t="str">
        <x:v>Most Events in one day</x:v>
      </x:c>
      <x:c r="B26" s="572" t="n">
        <x:v>3</x:v>
      </x:c>
      <x:c r="C26" s="531" t="str">
        <x:v>2026-06-10</x:v>
      </x:c>
      <x:c r="D26" s="530"/>
      <x:c r="E26" s="530"/>
      <x:c r="F26" s="530"/>
      <x:c r="G26" s="530"/>
      <x:c r="H26" s="530"/>
      <x:c r="I26" s="530"/>
      <x:c r="J26" s="530"/>
      <x:c r="K26" s="530"/>
      <x:c r="L26" s="530"/>
      <x:c r="M26" s="530"/>
      <x:c r="N26" s="530"/>
    </x:row>
    <x:row r="27">
      <x:c r="A27" s="571" t="str">
        <x:v>Most Events in rolling 3 days</x:v>
      </x:c>
      <x:c r="B27" s="572" t="n">
        <x:v>7</x:v>
      </x:c>
      <x:c r="C27" s="531" t="str">
        <x:v>2026-06-09 to 2026-06-11</x:v>
      </x:c>
      <x:c r="D27" s="530"/>
      <x:c r="E27" s="530"/>
      <x:c r="F27" s="530"/>
      <x:c r="G27" s="530"/>
      <x:c r="H27" s="530"/>
      <x:c r="I27" s="530"/>
      <x:c r="J27" s="530"/>
      <x:c r="K27" s="530"/>
      <x:c r="L27" s="530"/>
      <x:c r="M27" s="530"/>
      <x:c r="N27" s="530"/>
    </x:row>
    <x:row r="28">
      <x:c r="A28" s="571" t="str">
        <x:v>Most Events in rolling 5 days</x:v>
      </x:c>
      <x:c r="B28" s="572" t="n">
        <x:v>10</x:v>
      </x:c>
      <x:c r="C28" s="531" t="str">
        <x:v>2026-07-13 to 2026-07-17</x:v>
      </x:c>
      <x:c r="D28" s="530"/>
      <x:c r="E28" s="530"/>
      <x:c r="F28" s="530"/>
      <x:c r="G28" s="530"/>
      <x:c r="H28" s="530"/>
      <x:c r="I28" s="530"/>
      <x:c r="J28" s="530"/>
      <x:c r="K28" s="530"/>
      <x:c r="L28" s="530"/>
      <x:c r="M28" s="530"/>
      <x:c r="N28" s="530"/>
    </x:row>
    <x:row r="29">
      <x:c r="A29" s="571" t="str">
        <x:v>Most Events in rolling 7 days</x:v>
      </x:c>
      <x:c r="B29" s="572" t="n">
        <x:v>11</x:v>
      </x:c>
      <x:c r="C29" s="531" t="str">
        <x:v>2026-06-05 to 2026-06-11</x:v>
      </x:c>
      <x:c r="D29" s="530"/>
      <x:c r="E29" s="530"/>
      <x:c r="F29" s="530"/>
      <x:c r="G29" s="530"/>
      <x:c r="H29" s="530"/>
      <x:c r="I29" s="530"/>
      <x:c r="J29" s="530"/>
      <x:c r="K29" s="530"/>
      <x:c r="L29" s="530"/>
      <x:c r="M29" s="530"/>
      <x:c r="N29" s="530"/>
    </x:row>
    <x:row r="30">
      <x:c r="A30" s="571" t="str">
        <x:v>Most Events in one workweek</x:v>
      </x:c>
      <x:c r="B30" s="572" t="n">
        <x:v>10</x:v>
      </x:c>
      <x:c r="C30" s="531" t="str">
        <x:v>Workweek 13</x:v>
      </x:c>
      <x:c r="D30" s="530"/>
      <x:c r="E30" s="530"/>
      <x:c r="F30" s="530"/>
      <x:c r="G30" s="530"/>
      <x:c r="H30" s="530"/>
      <x:c r="I30" s="530"/>
      <x:c r="J30" s="530"/>
      <x:c r="K30" s="530"/>
      <x:c r="L30" s="530"/>
      <x:c r="M30" s="530"/>
      <x:c r="N30" s="530"/>
    </x:row>
    <x:row r="31">
      <x:c r="A31" s="571" t="str">
        <x:v>Most Events in one MY_MONTH</x:v>
      </x:c>
      <x:c r="B31" s="572" t="n">
        <x:v>30</x:v>
      </x:c>
      <x:c r="C31" s="531" t="str">
        <x:v>MY_MONTH 2</x:v>
      </x:c>
      <x:c r="D31" s="530"/>
      <x:c r="E31" s="530"/>
      <x:c r="F31" s="530"/>
      <x:c r="G31" s="530"/>
      <x:c r="H31" s="530"/>
      <x:c r="I31" s="530"/>
      <x:c r="J31" s="530"/>
      <x:c r="K31" s="530"/>
      <x:c r="L31" s="530"/>
      <x:c r="M31" s="530"/>
      <x:c r="N31" s="530"/>
    </x:row>
    <x:row r="32">
      <x:c r="A32" s="530"/>
      <x:c r="B32" s="530"/>
      <x:c r="C32" s="530"/>
      <x:c r="D32" s="530"/>
      <x:c r="E32" s="530"/>
      <x:c r="F32" s="530"/>
      <x:c r="G32" s="530"/>
      <x:c r="H32" s="530"/>
      <x:c r="I32" s="530"/>
      <x:c r="J32" s="530"/>
      <x:c r="K32" s="530"/>
      <x:c r="L32" s="530"/>
      <x:c r="M32" s="530"/>
      <x:c r="N32" s="530"/>
    </x:row>
    <x:row r="33">
      <x:c r="A33" s="580" t="str">
        <x:v>REVENUE RECORDS</x:v>
      </x:c>
      <x:c r="B33" s="580"/>
      <x:c r="C33" s="580"/>
      <x:c r="D33" s="580"/>
      <x:c r="E33" s="580"/>
      <x:c r="F33" s="580"/>
      <x:c r="G33" s="580"/>
      <x:c r="H33" s="580"/>
      <x:c r="I33" s="580"/>
      <x:c r="J33" s="580"/>
      <x:c r="K33" s="580"/>
      <x:c r="L33" s="580"/>
      <x:c r="M33" s="580"/>
      <x:c r="N33" s="580"/>
    </x:row>
    <x:row r="34">
      <x:c r="A34" s="581" t="str">
        <x:v>Record</x:v>
      </x:c>
      <x:c r="B34" s="581" t="str">
        <x:v>Value</x:v>
      </x:c>
      <x:c r="C34" s="581" t="str">
        <x:v>Context</x:v>
      </x:c>
      <x:c r="D34" s="530"/>
      <x:c r="E34" s="530"/>
      <x:c r="F34" s="530"/>
      <x:c r="G34" s="530"/>
      <x:c r="H34" s="530"/>
      <x:c r="I34" s="530"/>
      <x:c r="J34" s="530"/>
      <x:c r="K34" s="530"/>
      <x:c r="L34" s="530"/>
      <x:c r="M34" s="530"/>
      <x:c r="N34" s="530"/>
    </x:row>
    <x:row r="35">
      <x:c r="A35" s="571" t="str">
        <x:v>Career revenue</x:v>
      </x:c>
      <x:c r="B35" s="582" t="n">
        <x:v>9474.41</x:v>
      </x:c>
      <x:c r="C35" s="531" t="str">
        <x:v>Through Event #84</x:v>
      </x:c>
      <x:c r="D35" s="530"/>
      <x:c r="E35" s="530"/>
      <x:c r="F35" s="530"/>
      <x:c r="G35" s="530"/>
      <x:c r="H35" s="530"/>
      <x:c r="I35" s="530"/>
      <x:c r="J35" s="530"/>
      <x:c r="K35" s="530"/>
      <x:c r="L35" s="530"/>
      <x:c r="M35" s="530"/>
      <x:c r="N35" s="530"/>
    </x:row>
    <x:row r="36">
      <x:c r="A36" s="571" t="str">
        <x:v>Highest revenue day</x:v>
      </x:c>
      <x:c r="B36" s="582" t="n">
        <x:v>390</x:v>
      </x:c>
      <x:c r="C36" s="531" t="str">
        <x:v>2026-06-10</x:v>
      </x:c>
      <x:c r="D36" s="530"/>
      <x:c r="E36" s="530"/>
      <x:c r="F36" s="530"/>
      <x:c r="G36" s="530"/>
      <x:c r="H36" s="530"/>
      <x:c r="I36" s="530"/>
      <x:c r="J36" s="530"/>
      <x:c r="K36" s="530"/>
      <x:c r="L36" s="530"/>
      <x:c r="M36" s="530"/>
      <x:c r="N36" s="530"/>
    </x:row>
    <x:row r="37">
      <x:c r="A37" s="571" t="str">
        <x:v>Highest revenue workweek</x:v>
      </x:c>
      <x:c r="B37" s="582" t="n">
        <x:v>1221.66</x:v>
      </x:c>
      <x:c r="C37" s="531" t="str">
        <x:v>Workweek 7</x:v>
      </x:c>
      <x:c r="D37" s="530"/>
      <x:c r="E37" s="530"/>
      <x:c r="F37" s="530"/>
      <x:c r="G37" s="530"/>
      <x:c r="H37" s="530"/>
      <x:c r="I37" s="530"/>
      <x:c r="J37" s="530"/>
      <x:c r="K37" s="530"/>
      <x:c r="L37" s="530"/>
      <x:c r="M37" s="530"/>
      <x:c r="N37" s="530"/>
    </x:row>
    <x:row r="38">
      <x:c r="A38" s="571" t="str">
        <x:v>Highest revenue MY_MONTH</x:v>
      </x:c>
      <x:c r="B38" s="582" t="n">
        <x:v>3186.32</x:v>
      </x:c>
      <x:c r="C38" s="531" t="str">
        <x:v>MY_MONTH 2</x:v>
      </x:c>
      <x:c r="D38" s="530"/>
      <x:c r="E38" s="530"/>
      <x:c r="F38" s="530"/>
      <x:c r="G38" s="530"/>
      <x:c r="H38" s="530"/>
      <x:c r="I38" s="530"/>
      <x:c r="J38" s="530"/>
      <x:c r="K38" s="530"/>
      <x:c r="L38" s="530"/>
      <x:c r="M38" s="530"/>
      <x:c r="N38" s="530"/>
    </x:row>
    <x:row r="39">
      <x:c r="A39" s="571" t="str">
        <x:v>Average revenue / paid Event</x:v>
      </x:c>
      <x:c r="B39" s="582" t="n">
        <x:v>119.92924050632911</x:v>
      </x:c>
      <x:c r="C39" s="531" t="str">
        <x:v>79 confirmed financial records</x:v>
      </x:c>
      <x:c r="D39" s="530"/>
      <x:c r="E39" s="530"/>
      <x:c r="F39" s="530"/>
      <x:c r="G39" s="530"/>
      <x:c r="H39" s="530"/>
      <x:c r="I39" s="530"/>
      <x:c r="J39" s="530"/>
      <x:c r="K39" s="530"/>
      <x:c r="L39" s="530"/>
      <x:c r="M39" s="530"/>
      <x:c r="N39" s="530"/>
    </x:row>
    <x:row r="40">
      <x:c r="A40" s="571" t="str">
        <x:v>Average revenue / worked day</x:v>
      </x:c>
      <x:c r="B40" s="582" t="n">
        <x:v>175.45203703703703</x:v>
      </x:c>
      <x:c r="C40" s="531" t="str">
        <x:v>54 distinct service dates</x:v>
      </x:c>
      <x:c r="D40" s="530"/>
      <x:c r="E40" s="530"/>
      <x:c r="F40" s="530"/>
      <x:c r="G40" s="530"/>
      <x:c r="H40" s="530"/>
      <x:c r="I40" s="530"/>
      <x:c r="J40" s="530"/>
      <x:c r="K40" s="530"/>
      <x:c r="L40" s="530"/>
      <x:c r="M40" s="530"/>
      <x:c r="N40" s="530"/>
    </x:row>
    <x:row r="41">
      <x:c r="A41" s="571" t="str">
        <x:v>Highest-paying client</x:v>
      </x:c>
      <x:c r="B41" s="582" t="n">
        <x:v>1355</x:v>
      </x:c>
      <x:c r="C41" s="531" t="str">
        <x:v>USDA</x:v>
      </x:c>
      <x:c r="D41" s="530"/>
      <x:c r="E41" s="530"/>
      <x:c r="F41" s="530"/>
      <x:c r="G41" s="530"/>
      <x:c r="H41" s="530"/>
      <x:c r="I41" s="530"/>
      <x:c r="J41" s="530"/>
      <x:c r="K41" s="530"/>
      <x:c r="L41" s="530"/>
      <x:c r="M41" s="530"/>
      <x:c r="N41" s="530"/>
    </x:row>
    <x:row r="42">
      <x:c r="A42" s="530"/>
      <x:c r="B42" s="530"/>
      <x:c r="C42" s="530"/>
      <x:c r="D42" s="530"/>
      <x:c r="E42" s="530"/>
      <x:c r="F42" s="530"/>
      <x:c r="G42" s="530"/>
      <x:c r="H42" s="530"/>
      <x:c r="I42" s="530"/>
      <x:c r="J42" s="530"/>
      <x:c r="K42" s="530"/>
      <x:c r="L42" s="530"/>
      <x:c r="M42" s="530"/>
      <x:c r="N42" s="530"/>
    </x:row>
    <x:row r="43">
      <x:c r="A43" s="580" t="str">
        <x:v>CLIENT, TERRITORY &amp; DISPATCH METRICS</x:v>
      </x:c>
      <x:c r="B43" s="580"/>
      <x:c r="C43" s="580"/>
      <x:c r="D43" s="580"/>
      <x:c r="E43" s="580"/>
      <x:c r="F43" s="580"/>
      <x:c r="G43" s="580"/>
      <x:c r="H43" s="580"/>
      <x:c r="I43" s="580"/>
      <x:c r="J43" s="580"/>
      <x:c r="K43" s="580"/>
      <x:c r="L43" s="580"/>
      <x:c r="M43" s="580"/>
      <x:c r="N43" s="580"/>
    </x:row>
    <x:row r="44">
      <x:c r="A44" s="581" t="str">
        <x:v>Metric</x:v>
      </x:c>
      <x:c r="B44" s="581" t="str">
        <x:v>Value</x:v>
      </x:c>
      <x:c r="C44" s="581" t="str">
        <x:v>Detail</x:v>
      </x:c>
      <x:c r="D44" s="581" t="str">
        <x:v>Sector</x:v>
      </x:c>
      <x:c r="E44" s="581" t="str">
        <x:v>Events</x:v>
      </x:c>
      <x:c r="F44" s="581" t="str">
        <x:v>Career Share</x:v>
      </x:c>
      <x:c r="G44" s="581"/>
      <x:c r="H44" s="530"/>
      <x:c r="I44" s="530"/>
      <x:c r="J44" s="530"/>
      <x:c r="K44" s="530"/>
      <x:c r="L44" s="530"/>
      <x:c r="M44" s="530"/>
      <x:c r="N44" s="530"/>
    </x:row>
    <x:row r="45">
      <x:c r="A45" s="571" t="str">
        <x:v>Total clients</x:v>
      </x:c>
      <x:c r="B45" s="531" t="n">
        <x:v>31</x:v>
      </x:c>
      <x:c r="C45" s="531" t="str"/>
      <x:c r="D45" s="531" t="str">
        <x:v>Retail</x:v>
      </x:c>
      <x:c r="E45" s="531" t="n">
        <x:v>46</x:v>
      </x:c>
      <x:c r="F45" s="583" t="n">
        <x:v>0.6133333333333333</x:v>
      </x:c>
      <x:c r="G45" s="583"/>
      <x:c r="H45" s="530"/>
      <x:c r="I45" s="530"/>
      <x:c r="J45" s="530"/>
      <x:c r="K45" s="530"/>
      <x:c r="L45" s="530"/>
      <x:c r="M45" s="530"/>
      <x:c r="N45" s="530"/>
    </x:row>
    <x:row r="46">
      <x:c r="A46" s="571" t="str">
        <x:v>Repeat clients</x:v>
      </x:c>
      <x:c r="B46" s="531" t="n">
        <x:v>20</x:v>
      </x:c>
      <x:c r="C46" s="531" t="str">
        <x:v>64.5% of clients</x:v>
      </x:c>
      <x:c r="D46" s="531" t="str">
        <x:v>Commercial/Other</x:v>
      </x:c>
      <x:c r="E46" s="531" t="n">
        <x:v>13</x:v>
      </x:c>
      <x:c r="F46" s="583" t="n">
        <x:v>0.17333333333333334</x:v>
      </x:c>
      <x:c r="G46" s="583"/>
      <x:c r="H46" s="530"/>
      <x:c r="I46" s="530"/>
      <x:c r="J46" s="530"/>
      <x:c r="K46" s="530"/>
      <x:c r="L46" s="530"/>
      <x:c r="M46" s="530"/>
      <x:c r="N46" s="530"/>
    </x:row>
    <x:row r="47">
      <x:c r="A47" s="571" t="str">
        <x:v>One-time clients</x:v>
      </x:c>
      <x:c r="B47" s="531" t="n">
        <x:v>11</x:v>
      </x:c>
      <x:c r="C47" s="531" t="str"/>
      <x:c r="D47" s="531" t="str">
        <x:v>Government</x:v>
      </x:c>
      <x:c r="E47" s="531" t="n">
        <x:v>9</x:v>
      </x:c>
      <x:c r="F47" s="583" t="n">
        <x:v>0.12</x:v>
      </x:c>
      <x:c r="G47" s="583"/>
      <x:c r="H47" s="530"/>
      <x:c r="I47" s="530"/>
      <x:c r="J47" s="530"/>
      <x:c r="K47" s="530"/>
      <x:c r="L47" s="530"/>
      <x:c r="M47" s="530"/>
      <x:c r="N47" s="530"/>
    </x:row>
    <x:row r="48">
      <x:c r="A48" s="571" t="str">
        <x:v>Average visits / client</x:v>
      </x:c>
      <x:c r="B48" s="584" t="n">
        <x:v>2.4193548387096775</x:v>
      </x:c>
      <x:c r="C48" s="531" t="str"/>
      <x:c r="D48" s="531" t="str">
        <x:v>Hospitality</x:v>
      </x:c>
      <x:c r="E48" s="531" t="n">
        <x:v>4</x:v>
      </x:c>
      <x:c r="F48" s="583" t="n">
        <x:v>0.05333333333333334</x:v>
      </x:c>
      <x:c r="G48" s="583"/>
      <x:c r="H48" s="530"/>
      <x:c r="I48" s="530"/>
      <x:c r="J48" s="530"/>
      <x:c r="K48" s="530"/>
      <x:c r="L48" s="530"/>
      <x:c r="M48" s="530"/>
      <x:c r="N48" s="530"/>
    </x:row>
    <x:row r="49">
      <x:c r="A49" s="571" t="str">
        <x:v>Largest client by Events</x:v>
      </x:c>
      <x:c r="B49" s="531" t="str">
        <x:v>TJ Maxx</x:v>
      </x:c>
      <x:c r="C49" s="531" t="str">
        <x:v>7 Events</x:v>
      </x:c>
      <x:c r="D49" s="531" t="str">
        <x:v>Residential</x:v>
      </x:c>
      <x:c r="E49" s="531" t="n">
        <x:v>2</x:v>
      </x:c>
      <x:c r="F49" s="583" t="n">
        <x:v>0.02666666666666667</x:v>
      </x:c>
      <x:c r="G49" s="583"/>
      <x:c r="H49" s="530"/>
      <x:c r="I49" s="530"/>
      <x:c r="J49" s="530"/>
      <x:c r="K49" s="530"/>
      <x:c r="L49" s="530"/>
      <x:c r="M49" s="530"/>
      <x:c r="N49" s="530"/>
    </x:row>
    <x:row r="50">
      <x:c r="A50" s="571" t="str">
        <x:v>Fastest-growing client (latest 30 days)</x:v>
      </x:c>
      <x:c r="B50" s="531" t="str">
        <x:v>Dunkin</x:v>
      </x:c>
      <x:c r="C50" s="531" t="str">
        <x:v>5 Events</x:v>
      </x:c>
      <x:c r="D50" s="531" t="str">
        <x:v>Military</x:v>
      </x:c>
      <x:c r="E50" s="531" t="n">
        <x:v>1</x:v>
      </x:c>
      <x:c r="F50" s="583" t="n">
        <x:v>0.013333333333333334</x:v>
      </x:c>
      <x:c r="G50" s="583"/>
      <x:c r="H50" s="530"/>
      <x:c r="I50" s="530"/>
      <x:c r="J50" s="530"/>
      <x:c r="K50" s="530"/>
      <x:c r="L50" s="530"/>
      <x:c r="M50" s="530"/>
      <x:c r="N50" s="530"/>
    </x:row>
    <x:row r="51">
      <x:c r="A51" s="571" t="str">
        <x:v>Jurisdictions worked</x:v>
      </x:c>
      <x:c r="B51" s="531" t="n">
        <x:v>5</x:v>
      </x:c>
      <x:c r="C51" s="531" t="str">
        <x:v>DC, MD, PA, VA, WV</x:v>
      </x:c>
      <x:c r="D51" s="530"/>
      <x:c r="E51" s="530"/>
      <x:c r="F51" s="530"/>
      <x:c r="G51" s="530"/>
      <x:c r="H51" s="530"/>
      <x:c r="I51" s="530"/>
      <x:c r="J51" s="530"/>
      <x:c r="K51" s="530"/>
      <x:c r="L51" s="530"/>
      <x:c r="M51" s="530"/>
      <x:c r="N51" s="530"/>
    </x:row>
    <x:row r="52">
      <x:c r="A52" s="571" t="str">
        <x:v>Cities worked</x:v>
      </x:c>
      <x:c r="B52" s="531" t="n">
        <x:v>42</x:v>
      </x:c>
      <x:c r="C52" s="531" t="str"/>
      <x:c r="D52" s="530"/>
      <x:c r="E52" s="530"/>
      <x:c r="F52" s="530"/>
      <x:c r="G52" s="530"/>
      <x:c r="H52" s="530"/>
      <x:c r="I52" s="530"/>
      <x:c r="J52" s="530"/>
      <x:c r="K52" s="530"/>
      <x:c r="L52" s="530"/>
      <x:c r="M52" s="530"/>
      <x:c r="N52" s="530"/>
    </x:row>
    <x:row r="53">
      <x:c r="A53" s="571" t="str">
        <x:v>Most-visited city</x:v>
      </x:c>
      <x:c r="B53" s="531" t="str">
        <x:v>Washington</x:v>
      </x:c>
      <x:c r="C53" s="531" t="str">
        <x:v>11 Events</x:v>
      </x:c>
      <x:c r="D53" s="530"/>
      <x:c r="E53" s="530"/>
      <x:c r="F53" s="530"/>
      <x:c r="G53" s="530"/>
      <x:c r="H53" s="530"/>
      <x:c r="I53" s="530"/>
      <x:c r="J53" s="530"/>
      <x:c r="K53" s="530"/>
      <x:c r="L53" s="530"/>
      <x:c r="M53" s="530"/>
      <x:c r="N53" s="530"/>
    </x:row>
    <x:row r="54">
      <x:c r="A54" s="571" t="str">
        <x:v>Most-visited jurisdiction</x:v>
      </x:c>
      <x:c r="B54" s="531" t="str">
        <x:v>MD</x:v>
      </x:c>
      <x:c r="C54" s="531" t="str">
        <x:v>53 Events</x:v>
      </x:c>
      <x:c r="D54" s="530"/>
      <x:c r="E54" s="530"/>
      <x:c r="F54" s="530"/>
      <x:c r="G54" s="530"/>
      <x:c r="H54" s="530"/>
      <x:c r="I54" s="530"/>
      <x:c r="J54" s="530"/>
      <x:c r="K54" s="530"/>
      <x:c r="L54" s="530"/>
      <x:c r="M54" s="530"/>
      <x:c r="N54" s="530"/>
    </x:row>
    <x:row r="55">
      <x:c r="A55" s="571" t="str">
        <x:v>Average jobs / dispatch day</x:v>
      </x:c>
      <x:c r="B55" s="584" t="n">
        <x:v>1.5</x:v>
      </x:c>
      <x:c r="C55" s="531" t="str">
        <x:v>75 Events / 50 worked days</x:v>
      </x:c>
      <x:c r="D55" s="530"/>
      <x:c r="E55" s="530"/>
      <x:c r="F55" s="530"/>
      <x:c r="G55" s="530"/>
      <x:c r="H55" s="530"/>
      <x:c r="I55" s="530"/>
      <x:c r="J55" s="530"/>
      <x:c r="K55" s="530"/>
      <x:c r="L55" s="530"/>
      <x:c r="M55" s="530"/>
      <x:c r="N55" s="530"/>
    </x:row>
    <x:row r="56">
      <x:c r="A56" s="530"/>
      <x:c r="B56" s="530"/>
      <x:c r="C56" s="530"/>
      <x:c r="D56" s="530"/>
      <x:c r="E56" s="530"/>
      <x:c r="F56" s="530"/>
      <x:c r="G56" s="530"/>
      <x:c r="H56" s="530"/>
      <x:c r="I56" s="530"/>
      <x:c r="J56" s="530"/>
      <x:c r="K56" s="530"/>
      <x:c r="L56" s="530"/>
      <x:c r="M56" s="530"/>
      <x:c r="N56" s="530"/>
    </x:row>
    <x:row r="57">
      <x:c r="A57" s="580" t="str">
        <x:v>WEEKLY SEASON GRAPH</x:v>
      </x:c>
      <x:c r="B57" s="580"/>
      <x:c r="C57" s="580"/>
      <x:c r="D57" s="580"/>
      <x:c r="E57" s="580"/>
      <x:c r="F57" s="580"/>
      <x:c r="G57" s="580"/>
      <x:c r="H57" s="580"/>
      <x:c r="I57" s="580"/>
      <x:c r="J57" s="580"/>
      <x:c r="K57" s="580"/>
      <x:c r="L57" s="580"/>
      <x:c r="M57" s="580"/>
      <x:c r="N57" s="580"/>
    </x:row>
    <x:row r="58">
      <x:c r="A58" s="581" t="n">
        <x:v>1</x:v>
      </x:c>
      <x:c r="B58" s="581" t="n">
        <x:v>5</x:v>
      </x:c>
      <x:c r="C58" s="641" t="n">
        <x:v>1008</x:v>
      </x:c>
      <x:c r="D58" s="641" t="n">
        <x:v>201.6</x:v>
      </x:c>
      <x:c r="E58" s="530"/>
      <x:c r="F58" s="581" t="str">
        <x:v>Weekday</x:v>
      </x:c>
      <x:c r="G58" s="581" t="str">
        <x:v>Events</x:v>
      </x:c>
      <x:c r="H58" s="581" t="str">
        <x:v>Revenue</x:v>
      </x:c>
      <x:c r="I58" s="581" t="str">
        <x:v>Avg / Event</x:v>
      </x:c>
      <x:c r="J58" s="530"/>
      <x:c r="K58" s="581" t="str">
        <x:v>MY_MONTH</x:v>
      </x:c>
      <x:c r="L58" s="581" t="str">
        <x:v>Events</x:v>
      </x:c>
      <x:c r="M58" s="581" t="str">
        <x:v>Revenue</x:v>
      </x:c>
      <x:c r="N58" s="581" t="str">
        <x:v>Avg / Event</x:v>
      </x:c>
    </x:row>
    <x:row r="59">
      <x:c r="A59" s="531" t="n">
        <x:v>2</x:v>
      </x:c>
      <x:c r="B59" s="531" t="n">
        <x:v>4</x:v>
      </x:c>
      <x:c r="C59" s="582" t="n">
        <x:v>410</x:v>
      </x:c>
      <x:c r="D59" s="582" t="n">
        <x:v>102.5</x:v>
      </x:c>
      <x:c r="E59" s="530"/>
      <x:c r="F59" s="531" t="str">
        <x:v>Monday</x:v>
      </x:c>
      <x:c r="G59" s="531" t="n">
        <x:v>15</x:v>
      </x:c>
      <x:c r="H59" s="582" t="n">
        <x:v>1500.49</x:v>
      </x:c>
      <x:c r="I59" s="582" t="n">
        <x:v>100.03266666666667</x:v>
      </x:c>
      <x:c r="J59" s="530"/>
      <x:c r="K59" s="531" t="str">
        <x:v>MY_MONTH 1</x:v>
      </x:c>
      <x:c r="L59" s="531" t="n">
        <x:v>20</x:v>
      </x:c>
      <x:c r="M59" s="582" t="n">
        <x:v>2330.5</x:v>
      </x:c>
      <x:c r="N59" s="582" t="n">
        <x:v>116.525</x:v>
      </x:c>
    </x:row>
    <x:row r="60">
      <x:c r="A60" s="531" t="n">
        <x:v>3</x:v>
      </x:c>
      <x:c r="B60" s="531" t="n">
        <x:v>1</x:v>
      </x:c>
      <x:c r="C60" s="582" t="n">
        <x:v>212.5</x:v>
      </x:c>
      <x:c r="D60" s="582" t="n">
        <x:v>212.5</x:v>
      </x:c>
      <x:c r="E60" s="530"/>
      <x:c r="F60" s="531" t="str">
        <x:v>Tuesday</x:v>
      </x:c>
      <x:c r="G60" s="531" t="n">
        <x:v>14</x:v>
      </x:c>
      <x:c r="H60" s="582" t="n">
        <x:v>1984.39</x:v>
      </x:c>
      <x:c r="I60" s="582" t="n">
        <x:v>141.74214285714285</x:v>
      </x:c>
      <x:c r="J60" s="530"/>
      <x:c r="K60" s="531" t="str">
        <x:v>MY_MONTH 2</x:v>
      </x:c>
      <x:c r="L60" s="531" t="n">
        <x:v>30</x:v>
      </x:c>
      <x:c r="M60" s="582" t="n">
        <x:v>3186.32</x:v>
      </x:c>
      <x:c r="N60" s="582" t="n">
        <x:v>106.21066666666667</x:v>
      </x:c>
    </x:row>
    <x:row r="61">
      <x:c r="A61" s="531" t="n">
        <x:v>4</x:v>
      </x:c>
      <x:c r="B61" s="531" t="n">
        <x:v>6</x:v>
      </x:c>
      <x:c r="C61" s="582" t="n">
        <x:v>437.5</x:v>
      </x:c>
      <x:c r="D61" s="582" t="n">
        <x:v>72.91666666666667</x:v>
      </x:c>
      <x:c r="E61" s="530"/>
      <x:c r="F61" s="531" t="str">
        <x:v>Wednesday</x:v>
      </x:c>
      <x:c r="G61" s="531" t="n">
        <x:v>19</x:v>
      </x:c>
      <x:c r="H61" s="582" t="n">
        <x:v>2302.36</x:v>
      </x:c>
      <x:c r="I61" s="582" t="n">
        <x:v>121.17684210526316</x:v>
      </x:c>
      <x:c r="J61" s="530"/>
      <x:c r="K61" s="531" t="str">
        <x:v>MY_MONTH 3</x:v>
      </x:c>
      <x:c r="L61" s="531" t="n">
        <x:v>22</x:v>
      </x:c>
      <x:c r="M61" s="582" t="n">
        <x:v>2401.06</x:v>
      </x:c>
      <x:c r="N61" s="582" t="n">
        <x:v>109.13909090909091</x:v>
      </x:c>
    </x:row>
    <x:row r="62">
      <x:c r="A62" s="531" t="n">
        <x:v>5</x:v>
      </x:c>
      <x:c r="B62" s="531" t="n">
        <x:v>4</x:v>
      </x:c>
      <x:c r="C62" s="582" t="n">
        <x:v>422.5</x:v>
      </x:c>
      <x:c r="D62" s="582" t="n">
        <x:v>105.625</x:v>
      </x:c>
      <x:c r="E62" s="530"/>
      <x:c r="F62" s="531" t="str">
        <x:v>Thursday</x:v>
      </x:c>
      <x:c r="G62" s="531" t="n">
        <x:v>17</x:v>
      </x:c>
      <x:c r="H62" s="582" t="n">
        <x:v>1880.64</x:v>
      </x:c>
      <x:c r="I62" s="582" t="n">
        <x:v>110.62588235294118</x:v>
      </x:c>
      <x:c r="J62" s="530"/>
      <x:c r="K62" s="530" t="str">
        <x:v>MY_MONTH 4</x:v>
      </x:c>
      <x:c r="L62" s="530" t="n">
        <x:v>3</x:v>
      </x:c>
      <x:c r="M62" s="530" t="n">
        <x:v>230</x:v>
      </x:c>
      <x:c r="N62" s="530" t="n">
        <x:v>76.66666666666667</x:v>
      </x:c>
    </x:row>
    <x:row r="63">
      <x:c r="A63" s="531" t="n">
        <x:v>6</x:v>
      </x:c>
      <x:c r="B63" s="531" t="n">
        <x:v>6</x:v>
      </x:c>
      <x:c r="C63" s="582" t="n">
        <x:v>622.91</x:v>
      </x:c>
      <x:c r="D63" s="582" t="n">
        <x:v>103.81833333333333</x:v>
      </x:c>
      <x:c r="E63" s="530"/>
      <x:c r="F63" s="531" t="str">
        <x:v>Friday</x:v>
      </x:c>
      <x:c r="G63" s="531" t="n">
        <x:v>10</x:v>
      </x:c>
      <x:c r="H63" s="582" t="n">
        <x:v>480</x:v>
      </x:c>
      <x:c r="I63" s="582" t="n">
        <x:v>48</x:v>
      </x:c>
      <x:c r="J63" s="530"/>
      <x:c r="K63" s="530"/>
      <x:c r="L63" s="530"/>
      <x:c r="M63" s="530"/>
      <x:c r="N63" s="530"/>
    </x:row>
    <x:row r="64">
      <x:c r="A64" s="531" t="n">
        <x:v>7</x:v>
      </x:c>
      <x:c r="B64" s="531" t="n">
        <x:v>8</x:v>
      </x:c>
      <x:c r="C64" s="582" t="n">
        <x:v>1221.66</x:v>
      </x:c>
      <x:c r="D64" s="582" t="n">
        <x:v>152.7075</x:v>
      </x:c>
      <x:c r="E64" s="530"/>
      <x:c r="F64" s="530"/>
      <x:c r="G64" s="530"/>
      <x:c r="H64" s="530"/>
      <x:c r="I64" s="530"/>
      <x:c r="J64" s="530"/>
      <x:c r="K64" s="530"/>
      <x:c r="L64" s="530"/>
      <x:c r="M64" s="530"/>
      <x:c r="N64" s="530"/>
    </x:row>
    <x:row r="65">
      <x:c r="A65" s="531" t="n">
        <x:v>8</x:v>
      </x:c>
      <x:c r="B65" s="531" t="n">
        <x:v>9</x:v>
      </x:c>
      <x:c r="C65" s="582" t="n">
        <x:v>760</x:v>
      </x:c>
      <x:c r="D65" s="582" t="n">
        <x:v>84.44444444444444</x:v>
      </x:c>
      <x:c r="E65" s="530"/>
      <x:c r="F65" s="530"/>
      <x:c r="G65" s="530"/>
      <x:c r="H65" s="530"/>
      <x:c r="I65" s="530"/>
      <x:c r="J65" s="530"/>
      <x:c r="K65" s="530"/>
      <x:c r="L65" s="530"/>
      <x:c r="M65" s="530"/>
      <x:c r="N65" s="530"/>
    </x:row>
    <x:row r="66">
      <x:c r="A66" s="531" t="n">
        <x:v>9</x:v>
      </x:c>
      <x:c r="B66" s="531" t="n">
        <x:v>7</x:v>
      </x:c>
      <x:c r="C66" s="582" t="n">
        <x:v>681.75</x:v>
      </x:c>
      <x:c r="D66" s="582" t="n">
        <x:v>97.39285714285714</x:v>
      </x:c>
      <x:c r="E66" s="530"/>
      <x:c r="F66" s="530"/>
      <x:c r="G66" s="530"/>
      <x:c r="H66" s="530"/>
      <x:c r="I66" s="530"/>
      <x:c r="J66" s="530"/>
      <x:c r="K66" s="530"/>
      <x:c r="L66" s="530"/>
      <x:c r="M66" s="530"/>
      <x:c r="N66" s="530"/>
    </x:row>
    <x:row r="67">
      <x:c r="A67" s="531" t="n">
        <x:v>10</x:v>
      </x:c>
      <x:c r="B67" s="531" t="n">
        <x:v>3</x:v>
      </x:c>
      <x:c r="C67" s="582" t="n">
        <x:v>248.27</x:v>
      </x:c>
      <x:c r="D67" s="582" t="n">
        <x:v>82.75666666666667</x:v>
      </x:c>
      <x:c r="E67" s="530"/>
      <x:c r="F67" s="530"/>
      <x:c r="G67" s="530"/>
      <x:c r="H67" s="530"/>
      <x:c r="I67" s="530"/>
      <x:c r="J67" s="530"/>
      <x:c r="K67" s="530"/>
      <x:c r="L67" s="530"/>
      <x:c r="M67" s="530"/>
      <x:c r="N67" s="530"/>
    </x:row>
    <x:row r="68">
      <x:c r="A68" s="531" t="n">
        <x:v>11</x:v>
      </x:c>
      <x:c r="B68" s="531" t="n">
        <x:v>3</x:v>
      </x:c>
      <x:c r="C68" s="582" t="n">
        <x:v>410.66</x:v>
      </x:c>
      <x:c r="D68" s="582" t="n">
        <x:v>136.88666666666668</x:v>
      </x:c>
      <x:c r="E68" s="530"/>
      <x:c r="F68" s="530"/>
      <x:c r="G68" s="530"/>
      <x:c r="H68" s="530"/>
      <x:c r="I68" s="530"/>
      <x:c r="J68" s="530"/>
      <x:c r="K68" s="530"/>
      <x:c r="L68" s="530"/>
      <x:c r="M68" s="530"/>
      <x:c r="N68" s="530"/>
    </x:row>
    <x:row r="69">
      <x:c r="A69" s="531" t="n">
        <x:v>12</x:v>
      </x:c>
      <x:c r="B69" s="531" t="n">
        <x:v>6</x:v>
      </x:c>
      <x:c r="C69" s="582" t="n">
        <x:v>880.06</x:v>
      </x:c>
      <x:c r="D69" s="582" t="n">
        <x:v>146.67666666666665</x:v>
      </x:c>
      <x:c r="E69" s="530"/>
      <x:c r="F69" s="530"/>
      <x:c r="G69" s="530"/>
      <x:c r="H69" s="530"/>
      <x:c r="I69" s="530"/>
      <x:c r="J69" s="530"/>
      <x:c r="K69" s="530"/>
      <x:c r="L69" s="530"/>
      <x:c r="M69" s="530"/>
      <x:c r="N69" s="530"/>
    </x:row>
    <x:row r="70">
      <x:c r="A70" s="531" t="n">
        <x:v>13</x:v>
      </x:c>
      <x:c r="B70" s="531" t="n">
        <x:v>10</x:v>
      </x:c>
      <x:c r="C70" s="582" t="n">
        <x:v>1086.23</x:v>
      </x:c>
      <x:c r="D70" s="582" t="n">
        <x:v>108.623</x:v>
      </x:c>
      <x:c r="E70" s="530"/>
      <x:c r="F70" s="530"/>
      <x:c r="G70" s="530"/>
      <x:c r="H70" s="530"/>
      <x:c r="I70" s="530"/>
      <x:c r="J70" s="530"/>
      <x:c r="K70" s="530"/>
      <x:c r="L70" s="530"/>
      <x:c r="M70" s="530"/>
      <x:c r="N70" s="530"/>
    </x:row>
    <x:row r="71">
      <x:c r="A71" s="531" t="n">
        <x:v>14</x:v>
      </x:c>
      <x:c r="B71" s="531" t="n">
        <x:v>12</x:v>
      </x:c>
      <x:c r="C71" s="582" t="n">
        <x:v>1072.37</x:v>
      </x:c>
      <x:c r="D71" s="582" t="n">
        <x:v>89.36416666666666</x:v>
      </x:c>
      <x:c r="E71" s="530"/>
      <x:c r="F71" s="530"/>
      <x:c r="G71" s="530"/>
      <x:c r="H71" s="530"/>
      <x:c r="I71" s="530"/>
      <x:c r="J71" s="530"/>
      <x:c r="K71" s="530"/>
      <x:c r="L71" s="530"/>
      <x:c r="M71" s="530"/>
      <x:c r="N71" s="530"/>
    </x:row>
    <x:row r="72">
      <x:c r="A72" s="530" t="n">
        <x:v>14</x:v>
      </x:c>
      <x:c r="B72" s="530" t="n">
        <x:v>3</x:v>
      </x:c>
      <x:c r="C72" s="530" t="n">
        <x:v>230</x:v>
      </x:c>
      <x:c r="D72" s="530" t="n">
        <x:v>76.66666666666667</x:v>
      </x:c>
      <x:c r="E72" s="530"/>
      <x:c r="F72" s="530"/>
      <x:c r="G72" s="530"/>
      <x:c r="H72" s="530"/>
      <x:c r="I72" s="530"/>
      <x:c r="J72" s="530"/>
      <x:c r="K72" s="530"/>
      <x:c r="L72" s="530"/>
      <x:c r="M72" s="530"/>
      <x:c r="N72" s="530"/>
    </x:row>
    <x:row r="73">
      <x:c r="A73" s="580" t="str">
        <x:v>HALL OF FAME &amp; CAREER RECORD LOG</x:v>
      </x:c>
      <x:c r="B73" s="580"/>
      <x:c r="C73" s="580"/>
      <x:c r="D73" s="580"/>
      <x:c r="E73" s="580"/>
      <x:c r="F73" s="580"/>
      <x:c r="G73" s="580"/>
      <x:c r="H73" s="580"/>
      <x:c r="I73" s="580"/>
      <x:c r="J73" s="580"/>
      <x:c r="K73" s="580"/>
      <x:c r="L73" s="580"/>
      <x:c r="M73" s="580"/>
      <x:c r="N73" s="580"/>
    </x:row>
    <x:row r="74">
      <x:c r="A74" s="581" t="str">
        <x:v>Milestone</x:v>
      </x:c>
      <x:c r="B74" s="581" t="str">
        <x:v>Status</x:v>
      </x:c>
      <x:c r="C74" s="581" t="str">
        <x:v>Date / Detail</x:v>
      </x:c>
      <x:c r="D74" s="530"/>
      <x:c r="E74" s="530"/>
      <x:c r="F74" s="530"/>
      <x:c r="G74" s="530"/>
      <x:c r="H74" s="581" t="str">
        <x:v>Dimension</x:v>
      </x:c>
      <x:c r="I74" s="581" t="str">
        <x:v>Score</x:v>
      </x:c>
      <x:c r="J74" s="581" t="str">
        <x:v>Benchmark</x:v>
      </x:c>
      <x:c r="K74" s="530"/>
      <x:c r="L74" s="530"/>
      <x:c r="M74" s="530"/>
      <x:c r="N74" s="530"/>
    </x:row>
    <x:row r="75">
      <x:c r="A75" s="571" t="str">
        <x:v>First Client</x:v>
      </x:c>
      <x:c r="B75" s="531" t="str">
        <x:v>ACHIEVED</x:v>
      </x:c>
      <x:c r="C75" s="531" t="str">
        <x:v>2026-04-20 — Macy's</x:v>
      </x:c>
      <x:c r="D75" s="530"/>
      <x:c r="E75" s="530"/>
      <x:c r="F75" s="530"/>
      <x:c r="G75" s="530"/>
      <x:c r="H75" s="571" t="str">
        <x:v>Events Completed</x:v>
      </x:c>
      <x:c r="I75" s="583" t="n">
        <x:v>0.75</x:v>
      </x:c>
      <x:c r="J75" s="531" t="str">
        <x:v>100 Events</x:v>
      </x:c>
      <x:c r="K75" s="530"/>
      <x:c r="L75" s="530"/>
      <x:c r="M75" s="530"/>
      <x:c r="N75" s="530"/>
    </x:row>
    <x:row r="76">
      <x:c r="A76" s="571" t="str">
        <x:v>First Hotel</x:v>
      </x:c>
      <x:c r="B76" s="531" t="str">
        <x:v>ACHIEVED</x:v>
      </x:c>
      <x:c r="C76" s="531" t="str">
        <x:v>2026-04-24</x:v>
      </x:c>
      <x:c r="D76" s="530"/>
      <x:c r="E76" s="530"/>
      <x:c r="F76" s="530"/>
      <x:c r="G76" s="530"/>
      <x:c r="H76" s="571" t="str">
        <x:v>Revenue</x:v>
      </x:c>
      <x:c r="I76" s="583" t="n">
        <x:v>0.814788</x:v>
      </x:c>
      <x:c r="J76" s="531" t="str">
        <x:v>$10,000</x:v>
      </x:c>
      <x:c r="K76" s="530"/>
      <x:c r="L76" s="530"/>
      <x:c r="M76" s="530"/>
      <x:c r="N76" s="530"/>
    </x:row>
    <x:row r="77">
      <x:c r="A77" s="571" t="str">
        <x:v>First Government Client</x:v>
      </x:c>
      <x:c r="B77" s="531" t="str">
        <x:v>ACHIEVED</x:v>
      </x:c>
      <x:c r="C77" s="531" t="str">
        <x:v>2026-05-13</x:v>
      </x:c>
      <x:c r="D77" s="530"/>
      <x:c r="E77" s="530"/>
      <x:c r="F77" s="530"/>
      <x:c r="G77" s="530"/>
      <x:c r="H77" s="571" t="str">
        <x:v>Client Growth</x:v>
      </x:c>
      <x:c r="I77" s="583" t="n">
        <x:v>0.8857142857142857</x:v>
      </x:c>
      <x:c r="J77" s="531" t="str">
        <x:v>35 clients</x:v>
      </x:c>
      <x:c r="K77" s="530"/>
      <x:c r="L77" s="530"/>
      <x:c r="M77" s="530"/>
      <x:c r="N77" s="530"/>
    </x:row>
    <x:row r="78">
      <x:c r="A78" s="571" t="str">
        <x:v>First Military Base</x:v>
      </x:c>
      <x:c r="B78" s="531" t="str">
        <x:v>ACHIEVED</x:v>
      </x:c>
      <x:c r="C78" s="531" t="str">
        <x:v>2026-05-27</x:v>
      </x:c>
      <x:c r="D78" s="530"/>
      <x:c r="E78" s="530"/>
      <x:c r="F78" s="530"/>
      <x:c r="G78" s="530"/>
      <x:c r="H78" s="571" t="str">
        <x:v>Territory</x:v>
      </x:c>
      <x:c r="I78" s="583" t="n">
        <x:v>1</x:v>
      </x:c>
      <x:c r="J78" s="531" t="str">
        <x:v>5 jurisdictions</x:v>
      </x:c>
      <x:c r="K78" s="530"/>
      <x:c r="L78" s="530"/>
      <x:c r="M78" s="530"/>
      <x:c r="N78" s="530"/>
    </x:row>
    <x:row r="79">
      <x:c r="A79" s="571" t="str">
        <x:v>10 Career Events</x:v>
      </x:c>
      <x:c r="B79" s="531" t="str">
        <x:v>ACHIEVED</x:v>
      </x:c>
      <x:c r="C79" s="531" t="str">
        <x:v>2026-05-05</x:v>
      </x:c>
      <x:c r="D79" s="530"/>
      <x:c r="E79" s="530"/>
      <x:c r="F79" s="530"/>
      <x:c r="G79" s="530"/>
      <x:c r="H79" s="571" t="str">
        <x:v>Consistency</x:v>
      </x:c>
      <x:c r="I79" s="583" t="n">
        <x:v>0.7333333333333333</x:v>
      </x:c>
      <x:c r="J79" s="531" t="str">
        <x:v>15-business-day streak</x:v>
      </x:c>
      <x:c r="K79" s="530"/>
      <x:c r="L79" s="530"/>
      <x:c r="M79" s="530"/>
      <x:c r="N79" s="530"/>
    </x:row>
    <x:row r="80">
      <x:c r="A80" s="571" t="str">
        <x:v>25 Career Events</x:v>
      </x:c>
      <x:c r="B80" s="531" t="str">
        <x:v>ACHIEVED</x:v>
      </x:c>
      <x:c r="C80" s="531" t="str">
        <x:v>2026-05-28</x:v>
      </x:c>
      <x:c r="D80" s="530"/>
      <x:c r="E80" s="530"/>
      <x:c r="F80" s="530"/>
      <x:c r="G80" s="530"/>
      <x:c r="H80" s="571" t="str">
        <x:v>Financial Completion</x:v>
      </x:c>
      <x:c r="I80" s="583" t="n">
        <x:v>0.9014084507042254</x:v>
      </x:c>
      <x:c r="J80" s="531" t="str">
        <x:v>Positive-revenue financial-scope Events</x:v>
      </x:c>
      <x:c r="K80" s="530"/>
      <x:c r="L80" s="530"/>
      <x:c r="M80" s="530"/>
      <x:c r="N80" s="530"/>
    </x:row>
    <x:row r="81">
      <x:c r="A81" s="571" t="str">
        <x:v>50 Career Events</x:v>
      </x:c>
      <x:c r="B81" s="531" t="str">
        <x:v>ACHIEVED</x:v>
      </x:c>
      <x:c r="C81" s="531" t="str">
        <x:v>2026-06-19</x:v>
      </x:c>
      <x:c r="D81" s="530"/>
      <x:c r="E81" s="530"/>
      <x:c r="F81" s="530"/>
      <x:c r="G81" s="530"/>
      <x:c r="H81" s="585" t="str">
        <x:v>OVERALL CAREER SCORE</x:v>
      </x:c>
      <x:c r="I81" s="586" t="n">
        <x:v>0.8475406782919741</x:v>
      </x:c>
      <x:c r="J81" s="585" t="str">
        <x:v>Equal-weight composite</x:v>
      </x:c>
      <x:c r="K81" s="530"/>
      <x:c r="L81" s="530"/>
      <x:c r="M81" s="530"/>
      <x:c r="N81" s="530"/>
    </x:row>
    <x:row r="82">
      <x:c r="A82" s="571" t="str">
        <x:v>25 Unique Clients</x:v>
      </x:c>
      <x:c r="B82" s="531" t="str">
        <x:v>ACHIEVED</x:v>
      </x:c>
      <x:c r="C82" s="531" t="str">
        <x:v>2026-06-18</x:v>
      </x:c>
      <x:c r="D82" s="530"/>
      <x:c r="E82" s="530"/>
      <x:c r="F82" s="530"/>
      <x:c r="G82" s="530"/>
      <x:c r="H82" s="530"/>
      <x:c r="I82" s="530"/>
      <x:c r="J82" s="530"/>
      <x:c r="K82" s="530"/>
      <x:c r="L82" s="530"/>
      <x:c r="M82" s="530"/>
      <x:c r="N82" s="530"/>
    </x:row>
    <x:row r="83">
      <x:c r="A83" s="571" t="str">
        <x:v>First $1,000 Revenue</x:v>
      </x:c>
      <x:c r="B83" s="531" t="str">
        <x:v>ACHIEVED</x:v>
      </x:c>
      <x:c r="C83" s="531" t="str">
        <x:v>2026-04-24</x:v>
      </x:c>
      <x:c r="D83" s="530"/>
      <x:c r="E83" s="530"/>
      <x:c r="F83" s="530"/>
      <x:c r="G83" s="530"/>
      <x:c r="H83" s="530"/>
      <x:c r="I83" s="530"/>
      <x:c r="J83" s="530"/>
      <x:c r="K83" s="530"/>
      <x:c r="L83" s="530"/>
      <x:c r="M83" s="530"/>
      <x:c r="N83" s="530"/>
    </x:row>
    <x:row r="84">
      <x:c r="A84" s="571" t="str">
        <x:v>First 10-Event Workweek</x:v>
      </x:c>
      <x:c r="B84" s="531" t="str">
        <x:v>ACHIEVED</x:v>
      </x:c>
      <x:c r="C84" s="531" t="str">
        <x:v>Workweek 13</x:v>
      </x:c>
      <x:c r="D84" s="530"/>
      <x:c r="E84" s="530"/>
      <x:c r="F84" s="530"/>
      <x:c r="G84" s="530"/>
      <x:c r="H84" s="530"/>
      <x:c r="I84" s="530"/>
      <x:c r="J84" s="530"/>
      <x:c r="K84" s="530"/>
      <x:c r="L84" s="530"/>
      <x:c r="M84" s="530"/>
      <x:c r="N84" s="530"/>
    </x:row>
    <x:row r="85">
      <x:c r="A85" s="571" t="str">
        <x:v>75 Career Visits</x:v>
      </x:c>
      <x:c r="B85" s="531" t="str">
        <x:v>ACHIEVED</x:v>
      </x:c>
      <x:c r="C85" s="531" t="str">
        <x:v>2026-07-20</x:v>
      </x:c>
      <x:c r="D85" s="530"/>
      <x:c r="E85" s="530"/>
      <x:c r="F85" s="530"/>
      <x:c r="G85" s="530"/>
      <x:c r="H85" s="530"/>
      <x:c r="I85" s="530"/>
      <x:c r="J85" s="530"/>
      <x:c r="K85" s="530"/>
      <x:c r="L85" s="530"/>
      <x:c r="M85" s="530"/>
      <x:c r="N85" s="530"/>
    </x:row>
    <x:row r="86">
      <x:c r="A86" s="571" t="str">
        <x:v>100 Career Visits</x:v>
      </x:c>
      <x:c r="B86" s="531" t="str">
        <x:v>OPEN</x:v>
      </x:c>
      <x:c r="C86" s="531" t="str">
        <x:v>25 Visits remaining</x:v>
      </x:c>
      <x:c r="D86" s="530"/>
      <x:c r="E86" s="530"/>
      <x:c r="F86" s="530"/>
      <x:c r="G86" s="530"/>
      <x:c r="H86" s="530"/>
      <x:c r="I86" s="530"/>
      <x:c r="J86" s="530"/>
      <x:c r="K86" s="530"/>
      <x:c r="L86" s="530"/>
      <x:c r="M86" s="530"/>
      <x:c r="N86" s="530"/>
    </x:row>
    <x:row r="87">
      <x:c r="A87" s="530" t="str">
        <x:v>$10,000 Career Revenue</x:v>
      </x:c>
      <x:c r="B87" s="530" t="str">
        <x:v>OPEN</x:v>
      </x:c>
      <x:c r="C87" s="530" t="str">
        <x:v>$1,852.12 remaining</x:v>
      </x:c>
      <x:c r="D87" s="530"/>
      <x:c r="E87" s="530"/>
      <x:c r="F87" s="530"/>
      <x:c r="G87" s="530"/>
      <x:c r="H87" s="530"/>
      <x:c r="I87" s="530"/>
      <x:c r="J87" s="530"/>
      <x:c r="K87" s="530"/>
      <x:c r="L87" s="530"/>
      <x:c r="M87" s="530"/>
      <x:c r="N87" s="530"/>
    </x:row>
    <x:row r="88">
      <x:c r="A88" s="580"/>
      <x:c r="B88" s="580"/>
      <x:c r="C88" s="580"/>
      <x:c r="D88" s="580"/>
      <x:c r="E88" s="580"/>
      <x:c r="F88" s="580"/>
      <x:c r="G88" s="580"/>
      <x:c r="H88" s="580"/>
      <x:c r="I88" s="580"/>
      <x:c r="J88" s="580"/>
      <x:c r="K88" s="580"/>
      <x:c r="L88" s="580"/>
      <x:c r="M88" s="580"/>
      <x:c r="N88" s="580"/>
    </x:row>
    <x:row r="89">
      <x:c r="A89" s="591" t="str">
        <x:v>METRIC DEFINITIONS &amp; GOVERNANCE</x:v>
      </x:c>
      <x:c r="B89" s="591"/>
      <x:c r="C89" s="592"/>
      <x:c r="D89" s="592"/>
      <x:c r="E89" s="592"/>
      <x:c r="F89" s="592"/>
      <x:c r="G89" s="592"/>
      <x:c r="H89" s="592"/>
      <x:c r="I89" s="592"/>
      <x:c r="J89" s="592"/>
      <x:c r="K89" s="592"/>
      <x:c r="L89" s="592"/>
      <x:c r="M89" s="592"/>
      <x:c r="N89" s="592"/>
    </x:row>
    <x:row r="90" ht="34" customHeight="1">
      <x:c r="A90" s="596" t="str">
        <x:v>Metric</x:v>
      </x:c>
      <x:c r="B90" s="596" t="str">
        <x:v>Definition</x:v>
      </x:c>
      <x:c r="C90" s="531"/>
      <x:c r="D90" s="531"/>
      <x:c r="E90" s="531"/>
      <x:c r="F90" s="531"/>
      <x:c r="G90" s="531"/>
      <x:c r="H90" s="531"/>
      <x:c r="I90" s="531"/>
      <x:c r="J90" s="531"/>
      <x:c r="K90" s="531"/>
      <x:c r="L90" s="531"/>
      <x:c r="M90" s="531"/>
      <x:c r="N90" s="531"/>
    </x:row>
    <x:row r="91" ht="34" customHeight="1">
      <x:c r="A91" s="571" t="str">
        <x:v>Business-day streak</x:v>
      </x:c>
      <x:c r="B91" s="531" t="str">
        <x:v>Distinct service dates with weekends skipped; holidays are not removed unless explicitly tracked.</x:v>
      </x:c>
      <x:c r="C91" s="531"/>
      <x:c r="D91" s="531"/>
      <x:c r="E91" s="531"/>
      <x:c r="F91" s="531"/>
      <x:c r="G91" s="531"/>
      <x:c r="H91" s="531"/>
      <x:c r="I91" s="531"/>
      <x:c r="J91" s="531"/>
      <x:c r="K91" s="531"/>
      <x:c r="L91" s="531"/>
      <x:c r="M91" s="531"/>
      <x:c r="N91" s="531"/>
    </x:row>
    <x:row r="92" ht="34" customHeight="1">
      <x:c r="A92" s="571" t="str">
        <x:v>Rolling windows</x:v>
      </x:c>
      <x:c r="B92" s="531" t="str">
        <x:v>Calendar-day windows inclusive of start and end dates.</x:v>
      </x:c>
      <x:c r="C92" s="531"/>
      <x:c r="D92" s="531"/>
      <x:c r="E92" s="531"/>
      <x:c r="F92" s="531"/>
      <x:c r="G92" s="531"/>
      <x:c r="H92" s="531"/>
      <x:c r="I92" s="531"/>
      <x:c r="J92" s="531"/>
      <x:c r="K92" s="531"/>
      <x:c r="L92" s="531"/>
      <x:c r="M92" s="531"/>
      <x:c r="N92" s="531"/>
    </x:row>
    <x:row r="93" ht="34" customHeight="1">
      <x:c r="A93" s="571" t="str">
        <x:v>Analytics revenue</x:v>
      </x:c>
      <x:c r="B93" s="531" t="str">
        <x:v>Confirmed Event revenue; a confirmed payment breakdown is treated as earned/complete for this analytics page.</x:v>
      </x:c>
      <x:c r="C93" s="531"/>
      <x:c r="D93" s="531"/>
      <x:c r="E93" s="531"/>
      <x:c r="F93" s="531"/>
      <x:c r="G93" s="531"/>
      <x:c r="H93" s="531"/>
      <x:c r="I93" s="531"/>
      <x:c r="J93" s="531"/>
      <x:c r="K93" s="531"/>
      <x:c r="L93" s="531"/>
      <x:c r="M93" s="531"/>
      <x:c r="N93" s="531"/>
    </x:row>
    <x:row r="94" ht="34" customHeight="1">
      <x:c r="A94" s="571" t="str">
        <x:v>Repeat client</x:v>
      </x:c>
      <x:c r="B94" s="531" t="str">
        <x:v>A unique client with two or more completed Events.</x:v>
      </x:c>
      <x:c r="C94" s="531"/>
      <x:c r="D94" s="531"/>
      <x:c r="E94" s="531"/>
      <x:c r="F94" s="531"/>
      <x:c r="G94" s="531"/>
      <x:c r="H94" s="531"/>
      <x:c r="I94" s="531"/>
      <x:c r="J94" s="531"/>
      <x:c r="K94" s="531"/>
      <x:c r="L94" s="531"/>
      <x:c r="M94" s="531"/>
      <x:c r="N94" s="531"/>
    </x:row>
    <x:row r="95" ht="34" customHeight="1">
      <x:c r="A95" s="571" t="str">
        <x:v>Fastest-growing client</x:v>
      </x:c>
      <x:c r="B95" s="531" t="str">
        <x:v>Client with the most completed Events in the latest 30-calendar-day window.</x:v>
      </x:c>
      <x:c r="C95" s="531"/>
      <x:c r="D95" s="531"/>
      <x:c r="E95" s="531"/>
      <x:c r="F95" s="531"/>
      <x:c r="G95" s="531"/>
      <x:c r="H95" s="531"/>
      <x:c r="I95" s="531"/>
      <x:c r="J95" s="531"/>
      <x:c r="K95" s="531"/>
      <x:c r="L95" s="531"/>
      <x:c r="M95" s="531"/>
      <x:c r="N95" s="531"/>
    </x:row>
    <x:row r="96" ht="34" customHeight="1">
      <x:c r="A96" s="571" t="str">
        <x:v>Financial completion score</x:v>
      </x:c>
      <x:c r="B96" s="531" t="str">
        <x:v>Share of financial-scope Events with positive confirmed revenue; payment breakdowns are treated as earned for this analytics snapshot.</x:v>
      </x:c>
      <x:c r="C96" s="531"/>
      <x:c r="D96" s="531"/>
      <x:c r="E96" s="531"/>
      <x:c r="F96" s="531"/>
      <x:c r="G96" s="531"/>
      <x:c r="H96" s="531"/>
      <x:c r="I96" s="531"/>
      <x:c r="J96" s="531"/>
      <x:c r="K96" s="531"/>
      <x:c r="L96" s="531"/>
      <x:c r="M96" s="531"/>
      <x:c r="N96" s="531"/>
    </x:row>
    <x:row r="97" ht="34" customHeight="1">
      <x:c r="A97" s="571" t="str">
        <x:v>Territory extremes</x:v>
      </x:c>
      <x:c r="B97" s="531" t="str">
        <x:v>Not calculated: the authoritative workbook does not contain latitude/longitude fields.</x:v>
      </x:c>
      <x:c r="C97" s="531"/>
      <x:c r="D97" s="531"/>
      <x:c r="E97" s="531"/>
      <x:c r="F97" s="531"/>
      <x:c r="G97" s="531"/>
      <x:c r="H97" s="531"/>
      <x:c r="I97" s="531"/>
      <x:c r="J97" s="531"/>
      <x:c r="K97" s="531"/>
      <x:c r="L97" s="531"/>
      <x:c r="M97" s="531"/>
      <x:c r="N97" s="531"/>
    </x:row>
    <x:row r="98">
      <x:c r="A98" s="530" t="str">
        <x:v>Source of truth</x:v>
      </x:c>
      <x:c r="B98" s="530" t="str">
        <x:v>All values derive from Service Events and Work Orders &amp; Ledger in this workbook; chronology and finance remain separate.</x:v>
      </x:c>
      <x:c r="C98" s="530"/>
      <x:c r="D98" s="530"/>
      <x:c r="E98" s="530"/>
      <x:c r="F98" s="530"/>
      <x:c r="G98" s="530"/>
      <x:c r="H98" s="530"/>
      <x:c r="I98" s="530"/>
      <x:c r="J98" s="530"/>
      <x:c r="K98" s="530"/>
      <x:c r="L98" s="530"/>
      <x:c r="M98" s="530"/>
      <x:c r="N98" s="530"/>
    </x:row>
    <x:row r="99">
      <x:c r="A99" s="530" t="str">
        <x:v>Visit terminology</x:v>
      </x:c>
      <x:c r="B99" s="530" t="str">
        <x:v>Use Visit for physical travel/site-work metrics. One Visit equals one Event; work-order/ticket counts may be higher.</x:v>
      </x:c>
      <x:c r="C99" s="530"/>
      <x:c r="D99" s="530"/>
      <x:c r="E99" s="530"/>
      <x:c r="F99" s="530"/>
      <x:c r="G99" s="530"/>
      <x:c r="H99" s="530"/>
      <x:c r="I99" s="530"/>
      <x:c r="J99" s="530"/>
      <x:c r="K99" s="530"/>
      <x:c r="L99" s="530"/>
      <x:c r="M99" s="530"/>
      <x:c r="N99" s="530"/>
    </x:row>
    <x:row r="100">
      <x:c r="A100" s="530" t="str">
        <x:v>Verification gate</x:v>
      </x:c>
      <x:c r="B100" s="530" t="str">
        <x:v>Open the current authoritative workbook before chronology, Event, Visit, revenue, ledger, or KPI claims.</x:v>
      </x:c>
      <x:c r="C100" s="530"/>
      <x:c r="D100" s="530"/>
      <x:c r="E100" s="530"/>
      <x:c r="F100" s="530"/>
      <x:c r="G100" s="530"/>
      <x:c r="H100" s="530"/>
      <x:c r="I100" s="530"/>
      <x:c r="J100" s="530"/>
      <x:c r="K100" s="530"/>
      <x:c r="L100" s="530"/>
      <x:c r="M100" s="530"/>
      <x:c r="N100" s="530"/>
    </x:row>
    <x:row r="101">
      <x:c r="A101" s="530"/>
      <x:c r="B101" s="530"/>
      <x:c r="C101" s="530"/>
      <x:c r="D101" s="530"/>
      <x:c r="E101" s="530"/>
      <x:c r="F101" s="530"/>
      <x:c r="G101" s="530"/>
      <x:c r="H101" s="530"/>
      <x:c r="I101" s="530"/>
      <x:c r="J101" s="530"/>
      <x:c r="K101" s="530"/>
      <x:c r="L101" s="530"/>
      <x:c r="M101" s="530"/>
      <x:c r="N101" s="530"/>
    </x:row>
    <x:row r="102">
      <x:c r="A102" s="530"/>
      <x:c r="B102" s="530"/>
      <x:c r="C102" s="530"/>
      <x:c r="D102" s="530"/>
      <x:c r="E102" s="530"/>
      <x:c r="F102" s="530"/>
      <x:c r="G102" s="530"/>
      <x:c r="H102" s="530"/>
      <x:c r="I102" s="530"/>
      <x:c r="J102" s="530"/>
      <x:c r="K102" s="530"/>
      <x:c r="L102" s="530"/>
      <x:c r="M102" s="530"/>
      <x:c r="N102" s="530"/>
    </x:row>
    <x:row r="103">
      <x:c r="A103" s="530"/>
      <x:c r="B103" s="530"/>
      <x:c r="C103" s="530"/>
      <x:c r="D103" s="530"/>
      <x:c r="E103" s="530"/>
      <x:c r="F103" s="530"/>
      <x:c r="G103" s="530"/>
      <x:c r="H103" s="530"/>
      <x:c r="I103" s="530"/>
      <x:c r="J103" s="530"/>
      <x:c r="K103" s="530"/>
      <x:c r="L103" s="530"/>
      <x:c r="M103" s="530"/>
      <x:c r="N103" s="530"/>
    </x:row>
    <x:row r="104">
      <x:c r="A104" s="530"/>
      <x:c r="B104" s="530"/>
      <x:c r="C104" s="530"/>
      <x:c r="D104" s="530"/>
      <x:c r="E104" s="530"/>
      <x:c r="F104" s="530"/>
      <x:c r="G104" s="530"/>
      <x:c r="H104" s="530"/>
      <x:c r="I104" s="530"/>
      <x:c r="J104" s="530"/>
      <x:c r="K104" s="530"/>
      <x:c r="L104" s="530"/>
      <x:c r="M104" s="530"/>
      <x:c r="N104" s="530"/>
    </x:row>
    <x:row r="105">
      <x:c r="A105" s="530"/>
      <x:c r="B105" s="530"/>
      <x:c r="C105" s="530"/>
      <x:c r="D105" s="530"/>
      <x:c r="E105" s="530"/>
      <x:c r="F105" s="530"/>
      <x:c r="G105" s="530"/>
      <x:c r="H105" s="530"/>
      <x:c r="I105" s="530"/>
      <x:c r="J105" s="530"/>
      <x:c r="K105" s="530"/>
      <x:c r="L105" s="530"/>
      <x:c r="M105" s="530"/>
      <x:c r="N105" s="530"/>
    </x:row>
    <x:row r="106">
      <x:c r="A106" s="530"/>
      <x:c r="B106" s="530"/>
      <x:c r="C106" s="530"/>
      <x:c r="D106" s="530"/>
      <x:c r="E106" s="530"/>
      <x:c r="F106" s="530"/>
      <x:c r="G106" s="530"/>
      <x:c r="H106" s="530"/>
      <x:c r="I106" s="530"/>
      <x:c r="J106" s="530"/>
      <x:c r="K106" s="530"/>
      <x:c r="L106" s="530"/>
      <x:c r="M106" s="530"/>
      <x:c r="N106" s="530"/>
    </x:row>
    <x:row r="107">
      <x:c r="A107" s="530"/>
      <x:c r="B107" s="530"/>
      <x:c r="C107" s="530"/>
      <x:c r="D107" s="530"/>
      <x:c r="E107" s="530"/>
      <x:c r="F107" s="530"/>
      <x:c r="G107" s="530"/>
      <x:c r="H107" s="530"/>
      <x:c r="I107" s="530"/>
      <x:c r="J107" s="530"/>
      <x:c r="K107" s="530"/>
      <x:c r="L107" s="530"/>
      <x:c r="M107" s="530"/>
      <x:c r="N107" s="530"/>
    </x:row>
    <x:row r="108">
      <x:c r="A108" s="530"/>
      <x:c r="B108" s="530"/>
      <x:c r="C108" s="530"/>
      <x:c r="D108" s="530"/>
      <x:c r="E108" s="530"/>
      <x:c r="F108" s="530"/>
      <x:c r="G108" s="530"/>
      <x:c r="H108" s="530"/>
      <x:c r="I108" s="530"/>
      <x:c r="J108" s="530"/>
      <x:c r="K108" s="530"/>
      <x:c r="L108" s="530"/>
      <x:c r="M108" s="530"/>
      <x:c r="N108" s="530"/>
    </x:row>
    <x:row r="109">
      <x:c r="A109" s="530"/>
      <x:c r="B109" s="530"/>
      <x:c r="C109" s="530"/>
      <x:c r="D109" s="530"/>
      <x:c r="E109" s="530"/>
      <x:c r="F109" s="530"/>
      <x:c r="G109" s="530"/>
      <x:c r="H109" s="530"/>
      <x:c r="I109" s="530"/>
      <x:c r="J109" s="530"/>
      <x:c r="K109" s="530"/>
      <x:c r="L109" s="530"/>
      <x:c r="M109" s="530"/>
      <x:c r="N109" s="530"/>
    </x:row>
    <x:row r="110">
      <x:c r="A110" s="530"/>
      <x:c r="B110" s="530"/>
      <x:c r="C110" s="530"/>
      <x:c r="D110" s="530"/>
      <x:c r="E110" s="530"/>
      <x:c r="F110" s="530"/>
      <x:c r="G110" s="530"/>
      <x:c r="H110" s="530"/>
      <x:c r="I110" s="530"/>
      <x:c r="J110" s="530"/>
      <x:c r="K110" s="530"/>
      <x:c r="L110" s="530"/>
      <x:c r="M110" s="530"/>
      <x:c r="N110" s="530"/>
    </x:row>
    <x:row r="111">
      <x:c r="A111" s="530"/>
      <x:c r="B111" s="530"/>
      <x:c r="C111" s="530"/>
      <x:c r="D111" s="530"/>
      <x:c r="E111" s="530"/>
      <x:c r="F111" s="530"/>
      <x:c r="G111" s="530"/>
      <x:c r="H111" s="530"/>
      <x:c r="I111" s="530"/>
      <x:c r="J111" s="530"/>
      <x:c r="K111" s="530"/>
      <x:c r="L111" s="530"/>
      <x:c r="M111" s="530"/>
      <x:c r="N111" s="530"/>
    </x:row>
    <x:row r="112">
      <x:c r="A112" s="530"/>
      <x:c r="B112" s="530"/>
      <x:c r="C112" s="530"/>
      <x:c r="D112" s="530"/>
      <x:c r="E112" s="530"/>
      <x:c r="F112" s="530"/>
      <x:c r="G112" s="530"/>
      <x:c r="H112" s="530"/>
      <x:c r="I112" s="530"/>
      <x:c r="J112" s="530"/>
      <x:c r="K112" s="530"/>
      <x:c r="L112" s="530"/>
      <x:c r="M112" s="530"/>
      <x:c r="N112" s="530"/>
    </x:row>
    <x:row r="113">
      <x:c r="A113" s="530"/>
      <x:c r="B113" s="530"/>
      <x:c r="C113" s="530"/>
      <x:c r="D113" s="530"/>
      <x:c r="E113" s="530"/>
      <x:c r="F113" s="530"/>
      <x:c r="G113" s="530"/>
      <x:c r="H113" s="530"/>
      <x:c r="I113" s="530"/>
      <x:c r="J113" s="530"/>
      <x:c r="K113" s="530"/>
      <x:c r="L113" s="530"/>
      <x:c r="M113" s="530"/>
      <x:c r="N113" s="530"/>
    </x:row>
    <x:row r="114">
      <x:c r="A114" s="530"/>
      <x:c r="B114" s="530"/>
      <x:c r="C114" s="530"/>
      <x:c r="D114" s="530"/>
      <x:c r="E114" s="530"/>
      <x:c r="F114" s="530"/>
      <x:c r="G114" s="530"/>
      <x:c r="H114" s="530"/>
      <x:c r="I114" s="530"/>
      <x:c r="J114" s="530"/>
      <x:c r="K114" s="530"/>
      <x:c r="L114" s="530"/>
      <x:c r="M114" s="530"/>
      <x:c r="N114" s="530"/>
    </x:row>
    <x:row r="115">
      <x:c r="A115" s="530"/>
      <x:c r="B115" s="530"/>
      <x:c r="C115" s="530"/>
      <x:c r="D115" s="530"/>
      <x:c r="E115" s="530"/>
      <x:c r="F115" s="530"/>
      <x:c r="G115" s="530"/>
      <x:c r="H115" s="530"/>
      <x:c r="I115" s="530"/>
      <x:c r="J115" s="530"/>
      <x:c r="K115" s="530"/>
      <x:c r="L115" s="530"/>
      <x:c r="M115" s="530"/>
      <x:c r="N115" s="530"/>
    </x:row>
    <x:row r="116">
      <x:c r="A116" s="530"/>
      <x:c r="B116" s="530"/>
      <x:c r="C116" s="530"/>
      <x:c r="D116" s="530"/>
      <x:c r="E116" s="530"/>
      <x:c r="F116" s="530"/>
      <x:c r="G116" s="530"/>
      <x:c r="H116" s="530"/>
      <x:c r="I116" s="530"/>
      <x:c r="J116" s="530"/>
      <x:c r="K116" s="530"/>
      <x:c r="L116" s="530"/>
      <x:c r="M116" s="530"/>
      <x:c r="N116" s="530"/>
    </x:row>
    <x:row r="117">
      <x:c r="A117" s="530"/>
      <x:c r="B117" s="530"/>
      <x:c r="C117" s="530"/>
      <x:c r="D117" s="530"/>
      <x:c r="E117" s="530"/>
      <x:c r="F117" s="530"/>
      <x:c r="G117" s="530"/>
      <x:c r="H117" s="530"/>
      <x:c r="I117" s="530"/>
      <x:c r="J117" s="530"/>
      <x:c r="K117" s="530"/>
      <x:c r="L117" s="530"/>
      <x:c r="M117" s="530"/>
      <x:c r="N117" s="530"/>
    </x:row>
    <x:row r="118">
      <x:c r="A118" s="530"/>
      <x:c r="B118" s="530"/>
      <x:c r="C118" s="530"/>
      <x:c r="D118" s="530"/>
      <x:c r="E118" s="530"/>
      <x:c r="F118" s="530"/>
      <x:c r="G118" s="530"/>
      <x:c r="H118" s="530"/>
      <x:c r="I118" s="530"/>
      <x:c r="J118" s="530"/>
      <x:c r="K118" s="530"/>
      <x:c r="L118" s="530"/>
      <x:c r="M118" s="530"/>
      <x:c r="N118" s="530"/>
    </x:row>
    <x:row r="119">
      <x:c r="A119" s="530"/>
      <x:c r="B119" s="530"/>
      <x:c r="C119" s="530"/>
      <x:c r="D119" s="530"/>
      <x:c r="E119" s="530"/>
      <x:c r="F119" s="530"/>
      <x:c r="G119" s="530"/>
      <x:c r="H119" s="530"/>
      <x:c r="I119" s="530"/>
      <x:c r="J119" s="530"/>
      <x:c r="K119" s="530"/>
      <x:c r="L119" s="530"/>
      <x:c r="M119" s="530"/>
      <x:c r="N119" s="530"/>
    </x:row>
    <x:row r="120">
      <x:c r="A120" s="530"/>
      <x:c r="B120" s="530"/>
      <x:c r="C120" s="530"/>
      <x:c r="D120" s="530"/>
      <x:c r="E120" s="530"/>
      <x:c r="F120" s="530"/>
      <x:c r="G120" s="530"/>
      <x:c r="H120" s="530"/>
      <x:c r="I120" s="530"/>
      <x:c r="J120" s="530"/>
      <x:c r="K120" s="530"/>
      <x:c r="L120" s="530"/>
      <x:c r="M120" s="530"/>
      <x:c r="N120" s="530"/>
    </x:row>
  </x:sheetData>
  <x:mergeCells>
    <x:mergeCell ref="A1:N2"/>
    <x:mergeCell ref="A3:N3"/>
    <x:mergeCell ref="A5:D5"/>
    <x:mergeCell ref="F5:N5"/>
    <x:mergeCell ref="A19:N19"/>
    <x:mergeCell ref="A33:N33"/>
    <x:mergeCell ref="A43:N43"/>
    <x:mergeCell ref="A57:N57"/>
    <x:mergeCell ref="A73:N73"/>
    <x:mergeCell ref="A88:N88"/>
    <x:mergeCell ref="B90:N90"/>
    <x:mergeCell ref="B91:N91"/>
    <x:mergeCell ref="B92:N92"/>
    <x:mergeCell ref="B93:N93"/>
    <x:mergeCell ref="B94:N94"/>
    <x:mergeCell ref="B95:N95"/>
    <x:mergeCell ref="B96:N96"/>
    <x:mergeCell ref="B97:N97"/>
    <x:mergeCell ref="A89:N89"/>
  </x:mergeCells>
  <x:conditionalFormatting sqref="B75:B86">
    <x:cfRule type="expression" dxfId="141" priority="1">
      <x:formula>B75="ACHIEVED"</x:formula>
    </x:cfRule>
    <x:cfRule type="expression" dxfId="142" priority="2">
      <x:formula>B75="OPEN"</x:formula>
    </x:cfRule>
  </x:conditionalFormatting>
  <x:conditionalFormatting sqref="I75:I81">
    <x:cfRule type="dataBar" priority="3">
      <x:dataBar>
        <x:cfvo type="min"/>
        <x:cfvo type="max"/>
        <x:color rgb="FFD4AF37"/>
      </x:dataBar>
      <x:extLst>
        <x:ext xmlns:x14="http://schemas.microsoft.com/office/spreadsheetml/2009/9/main" uri="{B025F937-C7B1-47D3-B67F-A62EFF666E3E}">
          <x14:id>{86720B76-4408-B300-3DD1-C8575EF4A7D2}</x14:id>
        </x:ext>
      </x:extLst>
    </x:cfRule>
  </x:conditionalFormatting>
  <x:pageMargins left="0.7" right="0.7" top="0.75" bottom="0.75" header="0.3" footer="0.3"/>
  <x:drawing xmlns:r="http://schemas.openxmlformats.org/officeDocument/2006/relationships" r:id="R29a96a82dce346e7"/>
  <x:extLst>
    <x:ext xmlns:x14="http://schemas.microsoft.com/office/spreadsheetml/2009/9/main" xmlns:xm="http://schemas.microsoft.com/office/excel/2006/main" uri="{78C0D931-6437-407d-A8EE-F0AAD7539E65}">
      <x14:conditionalFormattings>
        <x14:conditionalFormatting>
          <x14:cfRule type="dataBar" priority="3" id="{86720B76-4408-B300-3DD1-C8575EF4A7D2}">
            <x14:dataBar gradient="1">
              <x14:cfvo type="min"/>
              <x14:cfvo type="max"/>
              <x14:fillColor rgb="FFD4AF37"/>
            </x14:dataBar>
          </x14:cfRule>
          <xm:sqref>I75:I81</xm:sqref>
        </x14:conditionalFormatting>
      </x14:conditionalFormattings>
    </x:ext>
  </x:extLst>
</x:worksheet>
</file>

<file path=xl/worksheets/sheet9.xml><?xml version="1.0" encoding="utf-8"?>
<x:worksheet xmlns:x="http://schemas.openxmlformats.org/spreadsheetml/2006/main">
  <x:sheetFormatPr defaultRowHeight="15"/>
  <x:cols>
    <x:col min="1" max="1" width="20" hidden="0" customWidth="1"/>
    <x:col min="2" max="2" width="14" hidden="0" customWidth="1"/>
    <x:col min="3" max="3" width="14" hidden="0" customWidth="1"/>
    <x:col min="4" max="4" width="10" hidden="0" customWidth="1"/>
    <x:col min="5" max="5" width="14" hidden="0" customWidth="1"/>
    <x:col min="6" max="6" width="14" hidden="0" customWidth="1"/>
    <x:col min="7" max="7" width="18" hidden="0" customWidth="1"/>
    <x:col min="8" max="8" width="34" hidden="0" customWidth="1"/>
    <x:col min="9" max="9" width="18" hidden="0" customWidth="1"/>
    <x:col min="10" max="10" width="18" hidden="0" customWidth="1"/>
    <x:col min="11" max="11" width="18" hidden="0" customWidth="1"/>
  </x:cols>
  <x:sheetData>
    <x:row r="1">
      <x:c r="A1" s="537" t="str">
        <x:v>BARRISTER CAREER ERAS | VISIT DENSITY</x:v>
      </x:c>
      <x:c r="B1" s="537"/>
      <x:c r="C1" s="537"/>
      <x:c r="D1" s="537"/>
      <x:c r="E1" s="537"/>
      <x:c r="F1" s="537"/>
      <x:c r="G1" s="537"/>
      <x:c r="H1" s="537"/>
      <x:c r="I1" s="329"/>
      <x:c r="J1" s="329"/>
      <x:c r="K1" s="329"/>
    </x:row>
    <x:row r="2">
      <x:c r="A2" s="540" t="str">
        <x:v>Verified through 2026-07-20 | One physical client/site visit = one Visit/Event</x:v>
      </x:c>
      <x:c r="B2" s="540"/>
      <x:c r="C2" s="540"/>
      <x:c r="D2" s="540"/>
      <x:c r="E2" s="540"/>
      <x:c r="F2" s="540"/>
      <x:c r="G2" s="540"/>
      <x:c r="H2" s="540"/>
      <x:c r="I2" s="329"/>
      <x:c r="J2" s="329"/>
      <x:c r="K2" s="329"/>
    </x:row>
    <x:row r="3">
      <x:c r="A3" s="329"/>
      <x:c r="B3" s="329"/>
      <x:c r="C3" s="329"/>
      <x:c r="D3" s="329"/>
      <x:c r="E3" s="329"/>
      <x:c r="F3" s="329"/>
      <x:c r="G3" s="329"/>
      <x:c r="H3" s="329"/>
      <x:c r="I3" s="329"/>
      <x:c r="J3" s="329"/>
      <x:c r="K3" s="329"/>
    </x:row>
    <x:row r="4">
      <x:c r="A4" s="544" t="str">
        <x:v>Era</x:v>
      </x:c>
      <x:c r="B4" s="544" t="str">
        <x:v>Start Date</x:v>
      </x:c>
      <x:c r="C4" s="544" t="str">
        <x:v>End Date</x:v>
      </x:c>
      <x:c r="D4" s="544" t="str">
        <x:v>Visits</x:v>
      </x:c>
      <x:c r="E4" s="544" t="str">
        <x:v>Calendar Days</x:v>
      </x:c>
      <x:c r="F4" s="544" t="str">
        <x:v>Business Days</x:v>
      </x:c>
      <x:c r="G4" s="544" t="str">
        <x:v>Actual Worked Days</x:v>
      </x:c>
      <x:c r="H4" s="544" t="str">
        <x:v>Primary Story</x:v>
      </x:c>
      <x:c r="I4" s="544" t="str">
        <x:v>Avg / Calendar Day</x:v>
      </x:c>
      <x:c r="J4" s="544" t="str">
        <x:v>Avg / Business Day</x:v>
      </x:c>
      <x:c r="K4" s="544" t="str">
        <x:v>Avg / Worked Day</x:v>
      </x:c>
    </x:row>
    <x:row r="5">
      <x:c r="A5" s="329" t="str">
        <x:v>Career</x:v>
      </x:c>
      <x:c r="B5" s="532" t="n">
        <x:v>46132</x:v>
      </x:c>
      <x:c r="C5" s="532" t="n">
        <x:v>46223</x:v>
      </x:c>
      <x:c r="D5" s="329" t="n">
        <x:v>75</x:v>
      </x:c>
      <x:c r="E5" s="329" t="n">
        <x:v>92</x:v>
      </x:c>
      <x:c r="F5" s="329" t="n">
        <x:v>66</x:v>
      </x:c>
      <x:c r="G5" s="329" t="n">
        <x:v>50</x:v>
      </x:c>
      <x:c r="H5" s="329" t="str">
        <x:v>Full Barrister career</x:v>
      </x:c>
      <x:c r="I5" s="533" t="n">
        <x:f>D5/E5</x:f>
        <x:v>0.8152173913043478</x:v>
      </x:c>
      <x:c r="J5" s="533" t="n">
        <x:f>D5/F5</x:f>
        <x:v>1.1363636363636365</x:v>
      </x:c>
      <x:c r="K5" s="533" t="n">
        <x:f>D5/G5</x:f>
        <x:v>1.5</x:v>
      </x:c>
    </x:row>
    <x:row r="6">
      <x:c r="A6" s="329" t="str">
        <x:v>Momentum Era</x:v>
      </x:c>
      <x:c r="B6" s="532" t="n">
        <x:v>46168</x:v>
      </x:c>
      <x:c r="C6" s="532" t="n">
        <x:v>46223</x:v>
      </x:c>
      <x:c r="D6" s="329" t="n">
        <x:v>55</x:v>
      </x:c>
      <x:c r="E6" s="329" t="n">
        <x:v>56</x:v>
      </x:c>
      <x:c r="F6" s="329" t="n">
        <x:v>40</x:v>
      </x:c>
      <x:c r="G6" s="329" t="n">
        <x:v>33</x:v>
      </x:c>
      <x:c r="H6" s="329" t="str">
        <x:v>After the first 20 introductory Visits</x:v>
      </x:c>
      <x:c r="I6" s="533" t="n">
        <x:f>D6/E6</x:f>
        <x:v>0.9821428571428571</x:v>
      </x:c>
      <x:c r="J6" s="533" t="n">
        <x:f>D6/F6</x:f>
        <x:v>1.375</x:v>
      </x:c>
      <x:c r="K6" s="533" t="n">
        <x:f>D6/G6</x:f>
        <x:v>1.6666666666666667</x:v>
      </x:c>
    </x:row>
    <x:row r="7">
      <x:c r="A7" s="329" t="str">
        <x:v>SPEED ERA</x:v>
      </x:c>
      <x:c r="B7" s="532" t="n">
        <x:v>46203</x:v>
      </x:c>
      <x:c r="C7" s="532" t="n">
        <x:v>46223</x:v>
      </x:c>
      <x:c r="D7" s="329" t="n">
        <x:v>22</x:v>
      </x:c>
      <x:c r="E7" s="329" t="n">
        <x:v>21</x:v>
      </x:c>
      <x:c r="F7" s="329" t="n">
        <x:v>15</x:v>
      </x:c>
      <x:c r="G7" s="329" t="n">
        <x:v>13</x:v>
      </x:c>
      <x:c r="H7" s="329" t="str">
        <x:v>High-density dispatch period</x:v>
      </x:c>
      <x:c r="I7" s="533" t="n">
        <x:f>D7/E7</x:f>
        <x:v>1.0476190476190477</x:v>
      </x:c>
      <x:c r="J7" s="533" t="n">
        <x:f>D7/F7</x:f>
        <x:v>1.4666666666666666</x:v>
      </x:c>
      <x:c r="K7" s="533" t="n">
        <x:f>D7/G7</x:f>
        <x:v>1.6923076923076923</x:v>
      </x:c>
    </x:row>
    <x:row r="8">
      <x:c r="A8" s="329"/>
      <x:c r="B8" s="329"/>
      <x:c r="C8" s="329"/>
      <x:c r="D8" s="329"/>
      <x:c r="E8" s="329"/>
      <x:c r="F8" s="329"/>
      <x:c r="G8" s="329"/>
      <x:c r="H8" s="329"/>
      <x:c r="I8" s="329"/>
      <x:c r="J8" s="329"/>
      <x:c r="K8" s="329"/>
    </x:row>
    <x:row r="9">
      <x:c r="A9" s="329"/>
      <x:c r="B9" s="329"/>
      <x:c r="C9" s="329"/>
      <x:c r="D9" s="329"/>
      <x:c r="E9" s="329"/>
      <x:c r="F9" s="329"/>
      <x:c r="G9" s="329"/>
      <x:c r="H9" s="329"/>
      <x:c r="I9" s="329"/>
      <x:c r="J9" s="329"/>
      <x:c r="K9" s="329"/>
    </x:row>
    <x:row r="10">
      <x:c r="A10" s="547" t="str">
        <x:v>PENDING ROUND-NUMBER PROJECTION — DO NOT TREAT AS COMPLETED CHRONOLOGY</x:v>
      </x:c>
      <x:c r="B10" s="547"/>
      <x:c r="C10" s="547"/>
      <x:c r="D10" s="547"/>
      <x:c r="E10" s="547"/>
      <x:c r="F10" s="547"/>
      <x:c r="G10" s="547"/>
      <x:c r="H10" s="547"/>
      <x:c r="I10" s="329"/>
      <x:c r="J10" s="329"/>
      <x:c r="K10" s="329"/>
    </x:row>
    <x:row r="11">
      <x:c r="A11" s="544" t="str">
        <x:v>Projection</x:v>
      </x:c>
      <x:c r="B11" s="544" t="str">
        <x:v>As-of Date</x:v>
      </x:c>
      <x:c r="C11" s="544" t="str">
        <x:v>Projected Visits</x:v>
      </x:c>
      <x:c r="D11" s="544" t="str">
        <x:v>Compared With</x:v>
      </x:c>
      <x:c r="E11" s="544" t="str">
        <x:v>Projected Count</x:v>
      </x:c>
      <x:c r="F11" s="544" t="str">
        <x:v>Status</x:v>
      </x:c>
      <x:c r="G11" s="329"/>
      <x:c r="H11" s="329"/>
      <x:c r="I11" s="329"/>
      <x:c r="J11" s="329"/>
      <x:c r="K11" s="329"/>
    </x:row>
    <x:row r="12">
      <x:c r="A12" s="329" t="str">
        <x:v>Momentum Era</x:v>
      </x:c>
      <x:c r="B12" s="532" t="n">
        <x:v>46225</x:v>
      </x:c>
      <x:c r="C12" s="329" t="n">
        <x:v>58</x:v>
      </x:c>
      <x:c r="D12" s="329" t="str">
        <x:v>Calendar days</x:v>
      </x:c>
      <x:c r="E12" s="329" t="n">
        <x:v>58</x:v>
      </x:c>
      <x:c r="F12" s="329" t="str">
        <x:v>Pending scheduled additions</x:v>
      </x:c>
      <x:c r="G12" s="329"/>
      <x:c r="H12" s="329"/>
      <x:c r="I12" s="329"/>
      <x:c r="J12" s="329"/>
      <x:c r="K12" s="329"/>
    </x:row>
    <x:row r="13">
      <x:c r="A13" s="329" t="str">
        <x:v>SPEED ERA</x:v>
      </x:c>
      <x:c r="B13" s="532" t="n">
        <x:v>46225</x:v>
      </x:c>
      <x:c r="C13" s="329" t="n">
        <x:v>25</x:v>
      </x:c>
      <x:c r="D13" s="329" t="str">
        <x:v>Actual worked days</x:v>
      </x:c>
      <x:c r="E13" s="329" t="n">
        <x:v>15</x:v>
      </x:c>
      <x:c r="F13" s="329" t="str">
        <x:v>Pending scheduled additions</x:v>
      </x:c>
      <x:c r="G13" s="329"/>
      <x:c r="H13" s="329"/>
      <x:c r="I13" s="329"/>
      <x:c r="J13" s="329"/>
      <x:c r="K13" s="329"/>
    </x:row>
    <x:row r="14">
      <x:c r="A14" s="329"/>
      <x:c r="B14" s="329"/>
      <x:c r="C14" s="329"/>
      <x:c r="D14" s="329"/>
      <x:c r="E14" s="329"/>
      <x:c r="F14" s="329"/>
      <x:c r="G14" s="329"/>
      <x:c r="H14" s="329"/>
      <x:c r="I14" s="329"/>
      <x:c r="J14" s="329"/>
      <x:c r="K14" s="329"/>
    </x:row>
    <x:row r="15">
      <x:c r="A15" s="329"/>
      <x:c r="B15" s="329"/>
      <x:c r="C15" s="329"/>
      <x:c r="D15" s="329"/>
      <x:c r="E15" s="329"/>
      <x:c r="F15" s="329"/>
      <x:c r="G15" s="329"/>
      <x:c r="H15" s="329"/>
      <x:c r="I15" s="329"/>
      <x:c r="J15" s="329"/>
      <x:c r="K15" s="329"/>
    </x:row>
    <x:row r="16">
      <x:c r="A16" s="549" t="str">
        <x:v>ERA DEFINITIONS &amp; GOVERNANCE</x:v>
      </x:c>
      <x:c r="B16" s="549"/>
      <x:c r="C16" s="549"/>
      <x:c r="D16" s="549"/>
      <x:c r="E16" s="549"/>
      <x:c r="F16" s="549"/>
      <x:c r="G16" s="549"/>
      <x:c r="H16" s="549"/>
      <x:c r="I16" s="329"/>
      <x:c r="J16" s="329"/>
      <x:c r="K16" s="329"/>
    </x:row>
    <x:row r="17">
      <x:c r="A17" s="544" t="str">
        <x:v>Term</x:v>
      </x:c>
      <x:c r="B17" s="544" t="str">
        <x:v>Definition</x:v>
      </x:c>
      <x:c r="C17" s="329"/>
      <x:c r="D17" s="329"/>
      <x:c r="E17" s="329"/>
      <x:c r="F17" s="329"/>
      <x:c r="G17" s="329"/>
      <x:c r="H17" s="329"/>
      <x:c r="I17" s="329"/>
      <x:c r="J17" s="329"/>
      <x:c r="K17" s="329"/>
    </x:row>
    <x:row r="18">
      <x:c r="A18" s="329" t="str">
        <x:v>Visit</x:v>
      </x:c>
      <x:c r="B18" s="329" t="str">
        <x:v>One physical trip to a client/site. Multiple work orders at the same physical visit do not create multiple Visits.</x:v>
      </x:c>
      <x:c r="C18" s="329"/>
      <x:c r="D18" s="329"/>
      <x:c r="E18" s="329"/>
      <x:c r="F18" s="329"/>
      <x:c r="G18" s="329"/>
      <x:c r="H18" s="329"/>
      <x:c r="I18" s="329"/>
      <x:c r="J18" s="329"/>
      <x:c r="K18" s="329"/>
    </x:row>
    <x:row r="19">
      <x:c r="A19" s="329" t="str">
        <x:v>Event</x:v>
      </x:c>
      <x:c r="B19" s="329" t="str">
        <x:v>The workbook chronology record for one physical Visit. Visit and Event counts match; ticket/WO counts can be higher.</x:v>
      </x:c>
      <x:c r="C19" s="329"/>
      <x:c r="D19" s="329"/>
      <x:c r="E19" s="329"/>
      <x:c r="F19" s="329"/>
      <x:c r="G19" s="329"/>
      <x:c r="H19" s="329"/>
      <x:c r="I19" s="329"/>
      <x:c r="J19" s="329"/>
      <x:c r="K19" s="329"/>
    </x:row>
    <x:row r="20">
      <x:c r="A20" s="329" t="str">
        <x:v>Momentum Era</x:v>
      </x:c>
      <x:c r="B20" s="329" t="str">
        <x:v>Begins 2026-05-26 after the first 20 Visits, representing the end of the introductory adjustment period.</x:v>
      </x:c>
      <x:c r="C20" s="329"/>
      <x:c r="D20" s="329"/>
      <x:c r="E20" s="329"/>
      <x:c r="F20" s="329"/>
      <x:c r="G20" s="329"/>
      <x:c r="H20" s="329"/>
      <x:c r="I20" s="329"/>
      <x:c r="J20" s="329"/>
      <x:c r="K20" s="329"/>
    </x:row>
    <x:row r="21">
      <x:c r="A21" s="329" t="str">
        <x:v>SPEED ERA</x:v>
      </x:c>
      <x:c r="B21" s="329" t="str">
        <x:v>Begins 2026-06-30, representing the current high-density dispatch phase.</x:v>
      </x:c>
      <x:c r="C21" s="329"/>
      <x:c r="D21" s="329"/>
      <x:c r="E21" s="329"/>
      <x:c r="F21" s="329"/>
      <x:c r="G21" s="329"/>
      <x:c r="H21" s="329"/>
      <x:c r="I21" s="329"/>
      <x:c r="J21" s="329"/>
      <x:c r="K21" s="329"/>
    </x:row>
  </x:sheetData>
  <x:mergeCells>
    <x:mergeCell ref="A1:H1"/>
    <x:mergeCell ref="A2:H2"/>
    <x:mergeCell ref="A10:H10"/>
    <x:mergeCell ref="A16:H16"/>
  </x:mergeCells>
  <x:conditionalFormatting sqref="A5:K7">
    <x:cfRule type="colorScale" priority="1">
      <x:colorScale>
        <x:cfvo type="min"/>
        <x:cfvo type="percentile" val="50"/>
        <x:cfvo type="max"/>
        <x:color rgb="FFFEE2E2"/>
        <x:color rgb="FFFEF3C7"/>
        <x:color rgb="FFDCFCE7"/>
      </x:colorScale>
    </x:cfRule>
  </x:conditionalFormatting>
  <x:pageMargins left="0.7" right="0.7" top="0.75" bottom="0.75" header="0.3" footer="0.3"/>
</x:worksheet>
</file>

<file path=xl/worksheets/sheet10.xml><?xml version="1.0" encoding="utf-8"?>
<x:worksheet xmlns:x="http://schemas.openxmlformats.org/spreadsheetml/2006/main">
  <x:sheetFormatPr defaultRowHeight="15"/>
  <x:cols>
    <x:col min="1" max="1" width="12" hidden="0" customWidth="1"/>
    <x:col min="2" max="2" width="22" hidden="0" customWidth="1"/>
    <x:col min="3" max="3" width="24" hidden="0" customWidth="1"/>
    <x:col min="4" max="4" width="30" hidden="0" customWidth="1"/>
    <x:col min="5" max="5" width="24" hidden="0" customWidth="1"/>
    <x:col min="6" max="6" width="24" hidden="0" customWidth="1"/>
    <x:col min="7" max="7" width="28" hidden="0" customWidth="1"/>
    <x:col min="8" max="8" width="34" hidden="0" customWidth="1"/>
    <x:col min="9" max="9" width="24" hidden="0" customWidth="1"/>
    <x:col min="10" max="10" width="12" hidden="0" customWidth="1"/>
  </x:cols>
  <x:sheetData>
    <x:row r="1">
      <x:c r="A1" s="553" t="str">
        <x:v>MONTH 4 DELTA LOG | CHRONOLOGY + FINANCE + GOVERNANCE</x:v>
      </x:c>
      <x:c r="B1" s="553"/>
      <x:c r="C1" s="553"/>
      <x:c r="D1" s="553"/>
      <x:c r="E1" s="553"/>
      <x:c r="F1" s="553"/>
      <x:c r="G1" s="553"/>
      <x:c r="H1" s="553"/>
      <x:c r="I1" s="553"/>
      <x:c r="J1" s="553"/>
    </x:row>
    <x:row r="2">
      <x:c r="A2" s="556" t="str">
        <x:v>Delta-only record of changes after the 2026-07-17 Month 3 closeout</x:v>
      </x:c>
      <x:c r="B2" s="556"/>
      <x:c r="C2" s="556"/>
      <x:c r="D2" s="556"/>
      <x:c r="E2" s="556"/>
      <x:c r="F2" s="556"/>
      <x:c r="G2" s="556"/>
      <x:c r="H2" s="556"/>
      <x:c r="I2" s="556"/>
      <x:c r="J2" s="556"/>
    </x:row>
    <x:row r="4">
      <x:c r="A4" s="560" t="str">
        <x:v>Date</x:v>
      </x:c>
      <x:c r="B4" s="560" t="str">
        <x:v>Category</x:v>
      </x:c>
      <x:c r="C4" s="560" t="str">
        <x:v>Event / WO</x:v>
      </x:c>
      <x:c r="D4" s="560" t="str">
        <x:v>Client / Site</x:v>
      </x:c>
      <x:c r="E4" s="560" t="str">
        <x:v>Before</x:v>
      </x:c>
      <x:c r="F4" s="560" t="str">
        <x:v>Delta</x:v>
      </x:c>
      <x:c r="G4" s="560" t="str">
        <x:v>After</x:v>
      </x:c>
      <x:c r="H4" s="560" t="str">
        <x:v>Evidence</x:v>
      </x:c>
      <x:c r="I4" s="560" t="str">
        <x:v>Workbook Action</x:v>
      </x:c>
      <x:c r="J4" s="560" t="str">
        <x:v>Status</x:v>
      </x:c>
    </x:row>
    <x:row r="5">
      <x:c r="A5" s="532" t="n">
        <x:v>46223</x:v>
      </x:c>
      <x:c r="B5" s="329" t="str">
        <x:v>Financial</x:v>
      </x:c>
      <x:c r="C5" s="329" t="str">
        <x:v>Event 57 / WO 5911577</x:v>
      </x:c>
      <x:c r="D5" s="329" t="str">
        <x:v>Montpelier Liquors</x:v>
      </x:c>
      <x:c r="E5" s="329" t="str">
        <x:v>ACH missing</x:v>
      </x:c>
      <x:c r="F5" s="329" t="str">
        <x:v>+$66.74 ACH</x:v>
      </x:c>
      <x:c r="G5" s="329" t="str">
        <x:v>ACH confirmed $66.74</x:v>
      </x:c>
      <x:c r="H5" s="329" t="str">
        <x:v>Gmail ACH processed notice mapped to bill</x:v>
      </x:c>
      <x:c r="I5" s="329" t="str">
        <x:v>Ledger updated</x:v>
      </x:c>
      <x:c r="J5" s="329" t="str">
        <x:v>Applied</x:v>
      </x:c>
    </x:row>
    <x:row r="6">
      <x:c r="A6" s="532" t="n">
        <x:v>46223</x:v>
      </x:c>
      <x:c r="B6" s="329" t="str">
        <x:v>Financial</x:v>
      </x:c>
      <x:c r="C6" s="329" t="str">
        <x:v>Event 58 / WO 5900780</x:v>
      </x:c>
      <x:c r="D6" s="329" t="str">
        <x:v>Dunkin — Lutherville</x:v>
      </x:c>
      <x:c r="E6" s="329" t="str">
        <x:v>ACH missing</x:v>
      </x:c>
      <x:c r="F6" s="329" t="str">
        <x:v>+$202.50 ACH</x:v>
      </x:c>
      <x:c r="G6" s="329" t="str">
        <x:v>ACH confirmed $202.50</x:v>
      </x:c>
      <x:c r="H6" s="329" t="str">
        <x:v>Gmail ACH processed notice mapped to bill</x:v>
      </x:c>
      <x:c r="I6" s="329" t="str">
        <x:v>Ledger updated</x:v>
      </x:c>
      <x:c r="J6" s="329" t="str">
        <x:v>Applied</x:v>
      </x:c>
    </x:row>
    <x:row r="7">
      <x:c r="A7" s="532" t="n">
        <x:v>46223</x:v>
      </x:c>
      <x:c r="B7" s="329" t="str">
        <x:v>Financial</x:v>
      </x:c>
      <x:c r="C7" s="329" t="str">
        <x:v>Event 69 / WO 5909418</x:v>
      </x:c>
      <x:c r="D7" s="329" t="str">
        <x:v>TJ Maxx — Columbia</x:v>
      </x:c>
      <x:c r="E7" s="329" t="str">
        <x:v>Breakdown pending</x:v>
      </x:c>
      <x:c r="F7" s="329" t="str">
        <x:v>+$180.00 breakdown</x:v>
      </x:c>
      <x:c r="G7" s="329" t="str">
        <x:v>ACH pending; expected 2026-07-30</x:v>
      </x:c>
      <x:c r="H7" s="329" t="str">
        <x:v>Gmail payment breakdown</x:v>
      </x:c>
      <x:c r="I7" s="329" t="str">
        <x:v>Event + ledger updated</x:v>
      </x:c>
      <x:c r="J7" s="329" t="str">
        <x:v>Applied</x:v>
      </x:c>
    </x:row>
    <x:row r="8">
      <x:c r="A8" s="532" t="n">
        <x:v>46223</x:v>
      </x:c>
      <x:c r="B8" s="329" t="str">
        <x:v>Financial</x:v>
      </x:c>
      <x:c r="C8" s="329" t="str">
        <x:v>Event 70 / WO 5918899</x:v>
      </x:c>
      <x:c r="D8" s="329" t="str">
        <x:v>Giant Food — Olney</x:v>
      </x:c>
      <x:c r="E8" s="329" t="str">
        <x:v>Breakdown pending</x:v>
      </x:c>
      <x:c r="F8" s="329" t="str">
        <x:v>+$103.33 breakdown</x:v>
      </x:c>
      <x:c r="G8" s="329" t="str">
        <x:v>ACH pending; expected 2026-07-30</x:v>
      </x:c>
      <x:c r="H8" s="329" t="str">
        <x:v>Gmail payment breakdown</x:v>
      </x:c>
      <x:c r="I8" s="329" t="str">
        <x:v>Event + ledger updated</x:v>
      </x:c>
      <x:c r="J8" s="329" t="str">
        <x:v>Applied</x:v>
      </x:c>
    </x:row>
    <x:row r="9">
      <x:c r="A9" s="532" t="n">
        <x:v>46223</x:v>
      </x:c>
      <x:c r="B9" s="329" t="str">
        <x:v>Financial</x:v>
      </x:c>
      <x:c r="C9" s="329" t="str">
        <x:v>Event 72 / WO 5913115</x:v>
      </x:c>
      <x:c r="D9" s="329" t="str">
        <x:v>Miramar / Hebrew Home</x:v>
      </x:c>
      <x:c r="E9" s="329" t="str">
        <x:v>Compensation unresolved</x:v>
      </x:c>
      <x:c r="F9" s="329" t="str">
        <x:v>+$50.00 breakdown</x:v>
      </x:c>
      <x:c r="G9" s="329" t="str">
        <x:v>ACH pending; expected 2026-07-31</x:v>
      </x:c>
      <x:c r="H9" s="329" t="str">
        <x:v>Gmail payment breakdown</x:v>
      </x:c>
      <x:c r="I9" s="329" t="str">
        <x:v>Event + ledger updated</x:v>
      </x:c>
      <x:c r="J9" s="329" t="str">
        <x:v>Applied</x:v>
      </x:c>
    </x:row>
    <x:row r="10">
      <x:c r="A10" s="532" t="n">
        <x:v>46223</x:v>
      </x:c>
      <x:c r="B10" s="329" t="str">
        <x:v>Chronology + Financial</x:v>
      </x:c>
      <x:c r="C10" s="329" t="str">
        <x:v>Event 73 / WO 5906821</x:v>
      </x:c>
      <x:c r="D10" s="329" t="str">
        <x:v>Homesense — Owings Mills</x:v>
      </x:c>
      <x:c r="E10" s="329" t="str">
        <x:v>Not in master</x:v>
      </x:c>
      <x:c r="F10" s="329" t="str">
        <x:v>+1 completed Visit; +$180.00 revenue</x:v>
      </x:c>
      <x:c r="G10" s="329" t="str">
        <x:v>Completed; ACH expected 2026-08-03</x:v>
      </x:c>
      <x:c r="H10" s="329" t="str">
        <x:v>RFS + completion notes + Gmail breakdown</x:v>
      </x:c>
      <x:c r="I10" s="329" t="str">
        <x:v>New Event + ledger row</x:v>
      </x:c>
      <x:c r="J10" s="329" t="str">
        <x:v>Applied</x:v>
      </x:c>
    </x:row>
    <x:row r="11">
      <x:c r="A11" s="532" t="n">
        <x:v>46223</x:v>
      </x:c>
      <x:c r="B11" s="329" t="str">
        <x:v>Chronology</x:v>
      </x:c>
      <x:c r="C11" s="329" t="str">
        <x:v>Event 74 / WO 5919707</x:v>
      </x:c>
      <x:c r="D11" s="329" t="str">
        <x:v>Autumn Lake — Baltimore Washington</x:v>
      </x:c>
      <x:c r="E11" s="329" t="str">
        <x:v>Not in master</x:v>
      </x:c>
      <x:c r="F11" s="329" t="str">
        <x:v>+1 customer/site no-show Visit</x:v>
      </x:c>
      <x:c r="G11" s="329" t="str">
        <x:v>Completed chronology; breakdown pending</x:v>
      </x:c>
      <x:c r="H11" s="329" t="str">
        <x:v>RFS + documented contact attempts</x:v>
      </x:c>
      <x:c r="I11" s="329" t="str">
        <x:v>New Event + ledger row</x:v>
      </x:c>
      <x:c r="J11" s="329" t="str">
        <x:v>Applied</x:v>
      </x:c>
    </x:row>
    <x:row r="12">
      <x:c r="A12" s="532" t="n">
        <x:v>46223</x:v>
      </x:c>
      <x:c r="B12" s="329" t="str">
        <x:v>Chronology + Financial</x:v>
      </x:c>
      <x:c r="C12" s="329" t="str">
        <x:v>Event 75 / WO 5920784</x:v>
      </x:c>
      <x:c r="D12" s="329" t="str">
        <x:v>Autumn Lake — Glen Burnie</x:v>
      </x:c>
      <x:c r="E12" s="329" t="str">
        <x:v>Not in master</x:v>
      </x:c>
      <x:c r="F12" s="329" t="str">
        <x:v>+1 completed install; +$50.00 revenue</x:v>
      </x:c>
      <x:c r="G12" s="329" t="str">
        <x:v>Completed; ACH expected 2026-08-03</x:v>
      </x:c>
      <x:c r="H12" s="329" t="str">
        <x:v>RFS + signed form + Omnicare/Wade + Gmail breakdown</x:v>
      </x:c>
      <x:c r="I12" s="329" t="str">
        <x:v>New Event + ledger row</x:v>
      </x:c>
      <x:c r="J12" s="329" t="str">
        <x:v>Applied</x:v>
      </x:c>
    </x:row>
    <x:row r="13">
      <x:c r="A13" s="532" t="n">
        <x:v>46223</x:v>
      </x:c>
      <x:c r="B13" s="329" t="str">
        <x:v>Career Metrics</x:v>
      </x:c>
      <x:c r="C13" s="329" t="str">
        <x:v>Career / Momentum / SPEED</x:v>
      </x:c>
      <x:c r="D13" s="329" t="str">
        <x:v>All completed Visits</x:v>
      </x:c>
      <x:c r="E13" s="329" t="str">
        <x:v>72 Visits / $7,584.55</x:v>
      </x:c>
      <x:c r="F13" s="329" t="str">
        <x:v>+3 Visits / +$563.33 revenue deltas since base</x:v>
      </x:c>
      <x:c r="G13" s="329" t="str">
        <x:v>75 Visits / $8,147.88</x:v>
      </x:c>
      <x:c r="H13" s="329" t="str">
        <x:v>Authoritative Event and ledger updates</x:v>
      </x:c>
      <x:c r="I13" s="329" t="str">
        <x:v>Career Analytics + Career Eras updated</x:v>
      </x:c>
      <x:c r="J13" s="329" t="str">
        <x:v>Applied</x:v>
      </x:c>
    </x:row>
    <x:row r="14">
      <x:c r="A14" s="532" t="n">
        <x:v>46223</x:v>
      </x:c>
      <x:c r="B14" s="329" t="str">
        <x:v>Financial Snapshot</x:v>
      </x:c>
      <x:c r="C14" s="329" t="str">
        <x:v>All ledger records</x:v>
      </x:c>
      <x:c r="D14" s="329" t="str">
        <x:v>Current master</x:v>
      </x:c>
      <x:c r="E14" s="329" t="str">
        <x:v>Pre-delta closeout state</x:v>
      </x:c>
      <x:c r="F14" s="329" t="str">
        <x:v>Mapped/confirmed current deltas</x:v>
      </x:c>
      <x:c r="G14" s="329" t="str">
        <x:v>Breakdown pending: 6 explicit rows | ACH missing: 11 explicit rows</x:v>
      </x:c>
      <x:c r="H14" s="329" t="str">
        <x:v>Work Orders &amp; Ledger statuses</x:v>
      </x:c>
      <x:c r="I14" s="329" t="str">
        <x:v>Snapshot recorded</x:v>
      </x:c>
      <x:c r="J14" s="329" t="str">
        <x:v>Applied</x:v>
      </x:c>
    </x:row>
    <x:row r="15">
      <x:c r="A15" s="532"/>
      <x:c r="B15" s="329"/>
      <x:c r="C15" s="329"/>
      <x:c r="D15" s="329"/>
      <x:c r="E15" s="329"/>
      <x:c r="F15" s="329"/>
      <x:c r="G15" s="329"/>
      <x:c r="H15" s="329"/>
      <x:c r="I15" s="329"/>
      <x:c r="J15" s="329"/>
    </x:row>
    <x:row r="16">
      <x:c r="A16" s="563" t="str">
        <x:v>STANDING CONTROL RULES</x:v>
      </x:c>
      <x:c r="B16" s="549"/>
      <x:c r="C16" s="549"/>
      <x:c r="D16" s="549"/>
      <x:c r="E16" s="549"/>
      <x:c r="F16" s="549"/>
      <x:c r="G16" s="549"/>
      <x:c r="H16" s="549"/>
      <x:c r="I16" s="549"/>
      <x:c r="J16" s="549"/>
    </x:row>
    <x:row r="17">
      <x:c r="A17" s="564" t="str">
        <x:v>Rule</x:v>
      </x:c>
      <x:c r="B17" s="544" t="str">
        <x:v>Requirement</x:v>
      </x:c>
      <x:c r="C17" s="544" t="str">
        <x:v>Reason</x:v>
      </x:c>
      <x:c r="D17" s="329"/>
      <x:c r="E17" s="329"/>
      <x:c r="F17" s="329"/>
      <x:c r="G17" s="329"/>
      <x:c r="H17" s="329"/>
      <x:c r="I17" s="329"/>
      <x:c r="J17" s="329"/>
    </x:row>
    <x:row r="18">
      <x:c r="A18" s="532" t="str">
        <x:v>Authoritative source</x:v>
      </x:c>
      <x:c r="B18" s="329" t="str">
        <x:v>Open and verify the current master workbook before chronology, Event, Visit, revenue, ledger, or KPI claims.</x:v>
      </x:c>
      <x:c r="C18" s="329" t="str">
        <x:v>Prevents momentum-based reconstruction.</x:v>
      </x:c>
      <x:c r="D18" s="329"/>
      <x:c r="E18" s="329"/>
      <x:c r="F18" s="329"/>
      <x:c r="G18" s="329"/>
      <x:c r="H18" s="329"/>
      <x:c r="I18" s="329"/>
      <x:c r="J18" s="329"/>
    </x:row>
    <x:row r="19">
      <x:c r="A19" s="532" t="str">
        <x:v>Visit/Event identity</x:v>
      </x:c>
      <x:c r="B19" s="329" t="str">
        <x:v>One physical client/site visit equals one Event. Work orders/tickets may exceed Visits.</x:v>
      </x:c>
      <x:c r="C19" s="329" t="str">
        <x:v>Preserves chronology.</x:v>
      </x:c>
      <x:c r="D19" s="329"/>
      <x:c r="E19" s="329"/>
      <x:c r="F19" s="329"/>
      <x:c r="G19" s="329"/>
      <x:c r="H19" s="329"/>
      <x:c r="I19" s="329"/>
      <x:c r="J19" s="329"/>
    </x:row>
    <x:row r="20">
      <x:c r="A20" s="532" t="str">
        <x:v>Chronology vs finance</x:v>
      </x:c>
      <x:c r="B20" s="329" t="str">
        <x:v>A completed Visit can be chronologically complete while payment remains unresolved.</x:v>
      </x:c>
      <x:c r="C20" s="329" t="str">
        <x:v>Avoids conflating closure and payment.</x:v>
      </x:c>
      <x:c r="D20" s="329"/>
      <x:c r="E20" s="329"/>
      <x:c r="F20" s="329"/>
      <x:c r="G20" s="329"/>
      <x:c r="H20" s="329"/>
      <x:c r="I20" s="329"/>
      <x:c r="J20" s="329"/>
    </x:row>
    <x:row r="21">
      <x:c r="A21" s="532" t="str">
        <x:v>Revenue evidence</x:v>
      </x:c>
      <x:c r="B21" s="329" t="str">
        <x:v>Promised rate is not confirmed revenue; payment breakdown is earned-revenue evidence; ACH is deposit evidence.</x:v>
      </x:c>
      <x:c r="C21" s="329" t="str">
        <x:v>Maintains financial integrity.</x:v>
      </x:c>
      <x:c r="D21" s="329"/>
      <x:c r="E21" s="329"/>
      <x:c r="F21" s="329"/>
      <x:c r="G21" s="329"/>
      <x:c r="H21" s="329"/>
      <x:c r="I21" s="329"/>
      <x:c r="J21" s="329"/>
    </x:row>
    <x:row r="22">
      <x:c r="A22" s="532" t="str">
        <x:v>DELTA UPDATE</x:v>
      </x:c>
      <x:c r="B22" s="329" t="str">
        <x:v>Search Gmail only for new Barrister ACH notices, deposits, payment confirmations, deductions, and breakdowns; correlate and map to WOs/Events.</x:v>
      </x:c>
      <x:c r="C22" s="329" t="str">
        <x:v>Defines command behavior.</x:v>
      </x:c>
      <x:c r="D22" s="329"/>
      <x:c r="E22" s="329"/>
      <x:c r="F22" s="329"/>
      <x:c r="G22" s="329"/>
      <x:c r="H22" s="329"/>
      <x:c r="I22" s="329"/>
      <x:c r="J22" s="329"/>
    </x:row>
    <x:row r="23">
      <x:c r="A23" s="532" t="str">
        <x:v>Delta summary</x:v>
      </x:c>
      <x:c r="B23" s="329" t="str">
        <x:v>Show before → change → after and remaining outstanding counts. Omit deductions/unresolved mapping when zero or unchanged.</x:v>
      </x:c>
      <x:c r="C23" s="329" t="str">
        <x:v>User reporting preference.</x:v>
      </x:c>
      <x:c r="D23" s="329"/>
      <x:c r="E23" s="329"/>
      <x:c r="F23" s="329"/>
      <x:c r="G23" s="329"/>
      <x:c r="H23" s="329"/>
      <x:c r="I23" s="329"/>
      <x:c r="J23" s="329"/>
    </x:row>
    <x:row r="24">
      <x:c r="A24" s="532" t="str">
        <x:v>Client ordering</x:v>
      </x:c>
      <x:c r="B24" s="329" t="str">
        <x:v>Unique client list follows first appearance in verified chronology.</x:v>
      </x:c>
      <x:c r="C24" s="329" t="str">
        <x:v>Deterministic list.</x:v>
      </x:c>
      <x:c r="D24" s="329"/>
      <x:c r="E24" s="329"/>
      <x:c r="F24" s="329"/>
      <x:c r="G24" s="329"/>
      <x:c r="H24" s="329"/>
      <x:c r="I24" s="329"/>
      <x:c r="J24" s="329"/>
    </x:row>
    <x:row r="25">
      <x:c r="A25" s="532" t="str">
        <x:v>Era labels</x:v>
      </x:c>
      <x:c r="B25" s="329" t="str">
        <x:v>Use Visits, not Tickets, for Career, Momentum Era, and SPEED ERA metrics.</x:v>
      </x:c>
      <x:c r="C25" s="329" t="str">
        <x:v>Travel/site work emphasis.</x:v>
      </x:c>
      <x:c r="D25" s="329"/>
      <x:c r="E25" s="329"/>
      <x:c r="F25" s="329"/>
      <x:c r="G25" s="329"/>
      <x:c r="H25" s="329"/>
      <x:c r="I25" s="329"/>
      <x:c r="J25" s="329"/>
    </x:row>
    <x:row r="26">
      <x:c r="A26" s="532" t="str">
        <x:v>Pending projections</x:v>
      </x:c>
      <x:c r="B26" s="329" t="str">
        <x:v>Do not promote scheduled work into chronology until the physical Visit is completed.</x:v>
      </x:c>
      <x:c r="C26" s="329" t="str">
        <x:v>Prevents premature Event creation.</x:v>
      </x:c>
      <x:c r="D26" s="329"/>
      <x:c r="E26" s="329"/>
      <x:c r="F26" s="329"/>
      <x:c r="G26" s="329"/>
      <x:c r="H26" s="329"/>
      <x:c r="I26" s="329"/>
      <x:c r="J26" s="329"/>
    </x:row>
    <x:row r="27">
      <x:c r="A27" s="532"/>
      <x:c r="B27" s="329"/>
      <x:c r="C27" s="329"/>
      <x:c r="D27" s="329"/>
      <x:c r="E27" s="329"/>
      <x:c r="F27" s="329"/>
      <x:c r="G27" s="329"/>
      <x:c r="H27" s="329"/>
      <x:c r="I27" s="329"/>
      <x:c r="J27" s="329"/>
    </x:row>
    <x:row r="28">
      <x:c r="A28" s="627" t="str">
        <x:v>2026-07-24 CLOSEOUT DELTAS</x:v>
      </x:c>
      <x:c r="B28" s="628"/>
      <x:c r="C28" s="628"/>
      <x:c r="D28" s="628"/>
      <x:c r="E28" s="628"/>
      <x:c r="F28" s="628"/>
      <x:c r="G28" s="628"/>
      <x:c r="H28" s="628"/>
      <x:c r="I28" s="628"/>
      <x:c r="J28" s="628"/>
    </x:row>
    <x:row r="29">
      <x:c r="A29" s="631" t="str">
        <x:v>Date</x:v>
      </x:c>
      <x:c r="B29" s="632" t="str">
        <x:v>Category</x:v>
      </x:c>
      <x:c r="C29" s="632" t="str">
        <x:v>Event / WO</x:v>
      </x:c>
      <x:c r="D29" s="632" t="str">
        <x:v>Client / Site</x:v>
      </x:c>
      <x:c r="E29" s="632" t="str">
        <x:v>Before</x:v>
      </x:c>
      <x:c r="F29" s="632" t="str">
        <x:v>Delta</x:v>
      </x:c>
      <x:c r="G29" s="632" t="str">
        <x:v>After</x:v>
      </x:c>
      <x:c r="H29" s="632" t="str">
        <x:v>Evidence</x:v>
      </x:c>
      <x:c r="I29" s="632" t="str">
        <x:v>Workbook Action</x:v>
      </x:c>
      <x:c r="J29" s="632" t="str">
        <x:v>Status</x:v>
      </x:c>
    </x:row>
    <x:row r="30">
      <x:c r="A30" s="624" t="n">
        <x:v>46224</x:v>
      </x:c>
      <x:c r="B30" s="329" t="str">
        <x:v>Financial</x:v>
      </x:c>
      <x:c r="C30" s="329" t="str">
        <x:v>Event 74 / WO 5919707</x:v>
      </x:c>
      <x:c r="D30" s="329" t="str">
        <x:v>Autumn Lake — Baltimore Washington</x:v>
      </x:c>
      <x:c r="E30" s="329" t="str">
        <x:v>Breakdown pending</x:v>
      </x:c>
      <x:c r="F30" s="329" t="str">
        <x:v>+$50.00 breakdown</x:v>
      </x:c>
      <x:c r="G30" s="329" t="str">
        <x:v>Breakdown confirmed; ACH pending</x:v>
      </x:c>
      <x:c r="H30" s="329" t="str">
        <x:v>Gmail payment breakdown</x:v>
      </x:c>
      <x:c r="I30" s="329" t="str">
        <x:v>Event + ledger updated</x:v>
      </x:c>
      <x:c r="J30" s="329" t="str">
        <x:v>Applied</x:v>
      </x:c>
    </x:row>
    <x:row r="31">
      <x:c r="A31" s="618" t="n">
        <x:v>46226</x:v>
      </x:c>
      <x:c r="B31" t="str">
        <x:v>Financial</x:v>
      </x:c>
      <x:c r="C31" t="str">
        <x:v>Events 61–62 / WOs 5909344 + 5913868</x:v>
      </x:c>
      <x:c r="D31" t="str">
        <x:v>TJ Maxx — Germantown / Martinsburg</x:v>
      </x:c>
      <x:c r="E31" t="str">
        <x:v>ACH missing</x:v>
      </x:c>
      <x:c r="F31" t="str">
        <x:v>+$295.82 ACH</x:v>
      </x:c>
      <x:c r="G31" t="str">
        <x:v>ACH confirmed</x:v>
      </x:c>
      <x:c r="H31" t="str">
        <x:v>Gmail ACH processed notice</x:v>
      </x:c>
      <x:c r="I31" t="str">
        <x:v>Ledger updated</x:v>
      </x:c>
      <x:c r="J31" t="str">
        <x:v>Applied</x:v>
      </x:c>
    </x:row>
    <x:row r="32">
      <x:c r="A32" s="618" t="n">
        <x:v>46224</x:v>
      </x:c>
      <x:c r="B32" t="str">
        <x:v>Chronology</x:v>
      </x:c>
      <x:c r="C32" t="str">
        <x:v>Event 76</x:v>
      </x:c>
      <x:c r="D32" t="str">
        <x:v>Marshalls — Owings Mills</x:v>
      </x:c>
      <x:c r="E32" t="str">
        <x:v>Not in master</x:v>
      </x:c>
      <x:c r="F32" t="str">
        <x:v>+1 completed Visit</x:v>
      </x:c>
      <x:c r="G32" t="str">
        <x:v>Event 76 locked</x:v>
      </x:c>
      <x:c r="H32" t="str">
        <x:v>User-authoritative correction</x:v>
      </x:c>
      <x:c r="I32" t="str">
        <x:v>Event + ledger added</x:v>
      </x:c>
      <x:c r="J32" t="str">
        <x:v>Applied</x:v>
      </x:c>
    </x:row>
    <x:row r="33">
      <x:c r="A33" s="618" t="n">
        <x:v>46225</x:v>
      </x:c>
      <x:c r="B33" t="str">
        <x:v>Chronology</x:v>
      </x:c>
      <x:c r="C33" t="str">
        <x:v>Events 77–79</x:v>
      </x:c>
      <x:c r="D33" t="str">
        <x:v>Towson / Owings Mills / Fallston</x:v>
      </x:c>
      <x:c r="E33" t="str">
        <x:v>Not in master</x:v>
      </x:c>
      <x:c r="F33" t="str">
        <x:v>+3 completed Visits</x:v>
      </x:c>
      <x:c r="G33" t="str">
        <x:v>Events 77–79 locked</x:v>
      </x:c>
      <x:c r="H33" t="str">
        <x:v>User-authoritative correction + Gmail WO evidence</x:v>
      </x:c>
      <x:c r="I33" t="str">
        <x:v>Events + ledger added</x:v>
      </x:c>
      <x:c r="J33" t="str">
        <x:v>Applied</x:v>
      </x:c>
    </x:row>
    <x:row r="34">
      <x:c r="A34" s="618" t="n">
        <x:v>46226</x:v>
      </x:c>
      <x:c r="B34" t="str">
        <x:v>Chronology + Financial</x:v>
      </x:c>
      <x:c r="C34" t="str">
        <x:v>Events 80–82</x:v>
      </x:c>
      <x:c r="D34" t="str">
        <x:v>Westminster / Fairfax / Alexandria</x:v>
      </x:c>
      <x:c r="E34" t="str">
        <x:v>Not in master</x:v>
      </x:c>
      <x:c r="F34" t="str">
        <x:v>+3 Visits; +$398.33 revenue</x:v>
      </x:c>
      <x:c r="G34" t="str">
        <x:v>Events 80–82 locked</x:v>
      </x:c>
      <x:c r="H34" t="str">
        <x:v>User chronology + Gmail breakdowns</x:v>
      </x:c>
      <x:c r="I34" t="str">
        <x:v>Events + ledger added</x:v>
      </x:c>
      <x:c r="J34" t="str">
        <x:v>Applied</x:v>
      </x:c>
    </x:row>
    <x:row r="35">
      <x:c r="A35" s="618" t="n">
        <x:v>46227</x:v>
      </x:c>
      <x:c r="B35" t="str">
        <x:v>Chronology + Financial</x:v>
      </x:c>
      <x:c r="C35" t="str">
        <x:v>Event 83 / WO 5919318</x:v>
      </x:c>
      <x:c r="D35" t="str">
        <x:v>Carvana — Baltimore</x:v>
      </x:c>
      <x:c r="E35" t="str">
        <x:v>Not in master</x:v>
      </x:c>
      <x:c r="F35" t="str">
        <x:v>+1 Visit; +$65.00 revenue</x:v>
      </x:c>
      <x:c r="G35" t="str">
        <x:v>Event 83 locked</x:v>
      </x:c>
      <x:c r="H35" t="str">
        <x:v>User completion + Gmail breakdown</x:v>
      </x:c>
      <x:c r="I35" t="str">
        <x:v>Event + ledger added</x:v>
      </x:c>
      <x:c r="J35" t="str">
        <x:v>Applied</x:v>
      </x:c>
    </x:row>
    <x:row r="36">
      <x:c r="A36" s="618" t="n">
        <x:v>46227</x:v>
      </x:c>
      <x:c r="B36" t="str">
        <x:v>Chronology</x:v>
      </x:c>
      <x:c r="C36" t="str">
        <x:v>Event 84 / WO 5922604</x:v>
      </x:c>
      <x:c r="D36" t="str">
        <x:v>Giant Food — Wheaton</x:v>
      </x:c>
      <x:c r="E36" t="str">
        <x:v>Not in master</x:v>
      </x:c>
      <x:c r="F36" t="str">
        <x:v>+1 completed Visit</x:v>
      </x:c>
      <x:c r="G36" t="str">
        <x:v>Event 84 locked; breakdown pending</x:v>
      </x:c>
      <x:c r="H36" t="str">
        <x:v>User completion + Gmail correspondence</x:v>
      </x:c>
      <x:c r="I36" t="str">
        <x:v>Event + ledger added</x:v>
      </x:c>
      <x:c r="J36" t="str">
        <x:v>Applied</x:v>
      </x:c>
    </x:row>
    <x:row r="37">
      <x:c r="A37" s="618" t="n">
        <x:v>46227</x:v>
      </x:c>
      <x:c r="B37" t="str">
        <x:v>Career Metrics</x:v>
      </x:c>
      <x:c r="C37" t="str">
        <x:v>Career total</x:v>
      </x:c>
      <x:c r="D37" t="str">
        <x:v>75 Visits / $8,147.88</x:v>
      </x:c>
      <x:c r="E37" t="str">
        <x:v>+9 Visits / +$682.08</x:v>
      </x:c>
      <x:c r="F37" t="str">
        <x:v>84 Visits / $8,829.96</x:v>
      </x:c>
      <x:c r="G37" t="str">
        <x:v>Authoritative chronology + ledger</x:v>
      </x:c>
      <x:c r="H37" t="str">
        <x:v>Dashboard + closeout updated</x:v>
      </x:c>
      <x:c r="I37" t="str">
        <x:v>Applied</x:v>
      </x:c>
      <x:c r="J37"/>
    </x:row>
    <x:row r="38">
      <x:c r="A38" s="618" t="n">
        <x:v>46227</x:v>
      </x:c>
      <x:c r="B38" t="str">
        <x:v>Weekly Metrics</x:v>
      </x:c>
      <x:c r="C38" t="str">
        <x:v>Workweek 14</x:v>
      </x:c>
      <x:c r="D38" t="str">
        <x:v>$230.00 (3/12)</x:v>
      </x:c>
      <x:c r="E38" t="str">
        <x:v>+$682.08 / +6 breakdowns</x:v>
      </x:c>
      <x:c r="F38" t="str">
        <x:v>$912.08 (9/12) | $70,788.30 annualized</x:v>
      </x:c>
      <x:c r="G38" t="str">
        <x:v>Ledger and Event chronology</x:v>
      </x:c>
      <x:c r="H38" t="str">
        <x:v>Closeout sheet added</x:v>
      </x:c>
      <x:c r="I38" t="str">
        <x:v>Applied</x:v>
      </x:c>
      <x:c r="J38"/>
    </x:row>
    <x:row r="39">
      <x:c r="A39" s="618" t="n">
        <x:v>46227</x:v>
      </x:c>
      <x:c r="B39" t="str">
        <x:v>Governance</x:v>
      </x:c>
      <x:c r="C39" t="str">
        <x:v>Master cutoff</x:v>
      </x:c>
      <x:c r="D39" t="str">
        <x:v>Event 75</x:v>
      </x:c>
      <x:c r="E39" t="str">
        <x:v>Events 76–84 appended</x:v>
      </x:c>
      <x:c r="F39" t="str">
        <x:v>New master through Event 84</x:v>
      </x:c>
      <x:c r="G39" t="str">
        <x:v>User directive: start all new mapping after Event 75</x:v>
      </x:c>
      <x:c r="H39" t="str">
        <x:v>Master version advanced</x:v>
      </x:c>
      <x:c r="I39" t="str">
        <x:v>Applied</x:v>
      </x:c>
      <x:c r="J39"/>
    </x:row>
    <x:row r="40">
      <x:c r="A40" s="329" t="str">
        <x:v>2026-07-26 VERIFIED MASTER RECONCILIATION</x:v>
      </x:c>
      <x:c r="B40" s="329"/>
      <x:c r="C40" s="329"/>
      <x:c r="D40" s="329"/>
      <x:c r="E40" s="329"/>
      <x:c r="F40" s="329"/>
      <x:c r="G40" s="329"/>
      <x:c r="H40" s="329"/>
      <x:c r="I40" s="329"/>
      <x:c r="J40" s="329"/>
    </x:row>
    <x:row r="41">
      <x:c r="A41" s="329" t="str">
        <x:v>Date</x:v>
      </x:c>
      <x:c r="B41" s="329" t="str">
        <x:v>Category</x:v>
      </x:c>
      <x:c r="C41" s="329" t="str">
        <x:v>Event / WO</x:v>
      </x:c>
      <x:c r="D41" s="329" t="str">
        <x:v>Client / Site</x:v>
      </x:c>
      <x:c r="E41" s="329" t="str">
        <x:v>Before</x:v>
      </x:c>
      <x:c r="F41" s="329" t="str">
        <x:v>Delta</x:v>
      </x:c>
      <x:c r="G41" s="329" t="str">
        <x:v>After</x:v>
      </x:c>
      <x:c r="H41" s="329" t="str">
        <x:v>Evidence</x:v>
      </x:c>
      <x:c r="I41" s="329" t="str">
        <x:v>Workbook Action</x:v>
      </x:c>
      <x:c r="J41" s="329" t="str">
        <x:v>Status</x:v>
      </x:c>
    </x:row>
    <x:row r="42">
      <x:c r="A42" s="329" t="n">
        <x:v>46229</x:v>
      </x:c>
      <x:c r="B42" s="329" t="str">
        <x:v>Financial</x:v>
      </x:c>
      <x:c r="C42" s="329" t="str">
        <x:v>Events 9, 14, 23, 25</x:v>
      </x:c>
      <x:c r="D42" s="329" t="str">
        <x:v>Former exclusions</x:v>
      </x:c>
      <x:c r="E42" s="329" t="str">
        <x:v>Excluded from finance</x:v>
      </x:c>
      <x:c r="F42" s="329" t="str">
        <x:v>+$260.00 user-confirmed compensation</x:v>
      </x:c>
      <x:c r="G42" s="329" t="str">
        <x:v>Included as financial records</x:v>
      </x:c>
      <x:c r="H42" s="329" t="str">
        <x:v>User-authoritative correction</x:v>
      </x:c>
      <x:c r="I42" s="329" t="str">
        <x:v>Event + ledger updated</x:v>
      </x:c>
      <x:c r="J42" s="329" t="str">
        <x:v>Applied</x:v>
      </x:c>
    </x:row>
    <x:row r="43">
      <x:c r="A43" s="329" t="n">
        <x:v>46229</x:v>
      </x:c>
      <x:c r="B43" s="329" t="str">
        <x:v>Financial</x:v>
      </x:c>
      <x:c r="C43" s="329" t="str">
        <x:v>Event 65 / WO 5917407</x:v>
      </x:c>
      <x:c r="D43" s="329" t="str">
        <x:v>HomeGoods — Gaithersburg</x:v>
      </x:c>
      <x:c r="E43" s="329" t="str">
        <x:v>Breakdown pending</x:v>
      </x:c>
      <x:c r="F43" s="329" t="str">
        <x:v>+$129.16 breakdown</x:v>
      </x:c>
      <x:c r="G43" s="329" t="str">
        <x:v>Breakdown confirmed</x:v>
      </x:c>
      <x:c r="H43" s="329" t="str">
        <x:v>User-verified breakdown</x:v>
      </x:c>
      <x:c r="I43" s="329" t="str">
        <x:v>Event + ledger updated</x:v>
      </x:c>
      <x:c r="J43" s="329" t="str">
        <x:v>Applied</x:v>
      </x:c>
    </x:row>
    <x:row r="44">
      <x:c r="A44" s="329" t="n">
        <x:v>46229</x:v>
      </x:c>
      <x:c r="B44" s="329" t="str">
        <x:v>Financial</x:v>
      </x:c>
      <x:c r="C44" s="329" t="str">
        <x:v>Event 71 / WO 5918348</x:v>
      </x:c>
      <x:c r="D44" s="329" t="str">
        <x:v>WeWork — Washington, DC</x:v>
      </x:c>
      <x:c r="E44" s="329" t="str">
        <x:v>Breakdown pending</x:v>
      </x:c>
      <x:c r="F44" s="329" t="str">
        <x:v>+$90.00 (2 × $45)</x:v>
      </x:c>
      <x:c r="G44" s="329" t="str">
        <x:v>Breakdown confirmed</x:v>
      </x:c>
      <x:c r="H44" s="329" t="str">
        <x:v>User-authoritative correction</x:v>
      </x:c>
      <x:c r="I44" s="329" t="str">
        <x:v>Event + ledger updated</x:v>
      </x:c>
      <x:c r="J44" s="329" t="str">
        <x:v>Applied</x:v>
      </x:c>
    </x:row>
    <x:row r="45">
      <x:c r="A45" s="329" t="n">
        <x:v>46229</x:v>
      </x:c>
      <x:c r="B45" s="329" t="str">
        <x:v>Financial</x:v>
      </x:c>
      <x:c r="C45" s="329" t="str">
        <x:v>Event 76 / WO 5906834</x:v>
      </x:c>
      <x:c r="D45" s="329" t="str">
        <x:v>Marshalls — Owings Mills</x:v>
      </x:c>
      <x:c r="E45" s="329" t="str">
        <x:v>WO/payment unresolved</x:v>
      </x:c>
      <x:c r="F45" s="329" t="str">
        <x:v>+$120.00 breakdown</x:v>
      </x:c>
      <x:c r="G45" s="329" t="str">
        <x:v>Breakdown confirmed</x:v>
      </x:c>
      <x:c r="H45" s="329" t="str">
        <x:v>User-verified breakdown</x:v>
      </x:c>
      <x:c r="I45" s="329" t="str">
        <x:v>Event + ledger updated</x:v>
      </x:c>
      <x:c r="J45" s="329" t="str">
        <x:v>Applied</x:v>
      </x:c>
    </x:row>
    <x:row r="46">
      <x:c r="A46" s="329" t="n">
        <x:v>46229</x:v>
      </x:c>
      <x:c r="B46" s="329" t="str">
        <x:v>Financial</x:v>
      </x:c>
      <x:c r="C46" s="329" t="str">
        <x:v>Event 78 / WO 5900769</x:v>
      </x:c>
      <x:c r="D46" s="329" t="str">
        <x:v>Dunkin — Owings Mills</x:v>
      </x:c>
      <x:c r="E46" s="329" t="str">
        <x:v>WO/payment unresolved</x:v>
      </x:c>
      <x:c r="F46" s="329" t="str">
        <x:v>+$160.29 breakdown</x:v>
      </x:c>
      <x:c r="G46" s="329" t="str">
        <x:v>Breakdown confirmed</x:v>
      </x:c>
      <x:c r="H46" s="329" t="str">
        <x:v>User-verified breakdown</x:v>
      </x:c>
      <x:c r="I46" s="329" t="str">
        <x:v>Event + ledger updated</x:v>
      </x:c>
      <x:c r="J46" s="329" t="str">
        <x:v>Applied</x:v>
      </x:c>
    </x:row>
    <x:row r="47">
      <x:c r="A47" s="329" t="n">
        <x:v>46229</x:v>
      </x:c>
      <x:c r="B47" s="329" t="str">
        <x:v>Financial Snapshot</x:v>
      </x:c>
      <x:c r="C47" s="329" t="str">
        <x:v>Career through Event 84</x:v>
      </x:c>
      <x:c r="D47" s="329" t="str">
        <x:v>70 confirmed / 10 pending</x:v>
      </x:c>
      <x:c r="E47" s="329" t="str">
        <x:v>Net +9 confirmed / -5 pending</x:v>
      </x:c>
      <x:c r="F47" s="329" t="str">
        <x:v>79 confirmed / 5 pending</x:v>
      </x:c>
      <x:c r="G47" s="329" t="str">
        <x:v>Reconciled event ledger</x:v>
      </x:c>
      <x:c r="H47" s="329" t="str">
        <x:v>Dashboard + closeout + analytics updated</x:v>
      </x:c>
      <x:c r="I47" s="329" t="str">
        <x:v>Applied</x:v>
      </x:c>
      <x:c r="J47" s="329"/>
    </x:row>
    <x:row r="48">
      <x:c r="A48" s="329" t="n">
        <x:v>46229</x:v>
      </x:c>
      <x:c r="B48" s="329" t="str">
        <x:v>Weekly Metrics</x:v>
      </x:c>
      <x:c r="C48" s="329" t="str">
        <x:v>Weeks 1–14</x:v>
      </x:c>
      <x:c r="D48" s="329" t="str">
        <x:v>Stale mixed totals</x:v>
      </x:c>
      <x:c r="E48" s="329" t="str">
        <x:v>Recomputed accepted weekly totals</x:v>
      </x:c>
      <x:c r="F48" s="329" t="str">
        <x:v>$9,474.41 total revenue</x:v>
      </x:c>
      <x:c r="G48" s="329" t="str">
        <x:v>User-approved weekly list</x:v>
      </x:c>
      <x:c r="H48" s="329" t="str">
        <x:v>Career Analytics updated</x:v>
      </x:c>
      <x:c r="I48" s="329" t="str">
        <x:v>Applied</x:v>
      </x:c>
      <x:c r="J48" s="329"/>
    </x:row>
    <x:row r="49">
      <x:c r="A49" s="329" t="n">
        <x:v>46229</x:v>
      </x:c>
      <x:c r="B49" s="329" t="str">
        <x:v>Governance</x:v>
      </x:c>
      <x:c r="C49" s="329" t="str">
        <x:v>Master status</x:v>
      </x:c>
      <x:c r="D49" s="329" t="str">
        <x:v>Prior master contained errors</x:v>
      </x:c>
      <x:c r="E49" s="329" t="str">
        <x:v>Reconciled chronology and finance</x:v>
      </x:c>
      <x:c r="F49" s="329" t="str">
        <x:v>Verified through Event 84</x:v>
      </x:c>
      <x:c r="G49" s="329" t="str">
        <x:v>User directive</x:v>
      </x:c>
      <x:c r="H49" s="329" t="str">
        <x:v>New master version created</x:v>
      </x:c>
      <x:c r="I49" s="329" t="str">
        <x:v>Applied</x:v>
      </x:c>
      <x:c r="J49" s="329"/>
    </x:row>
    <x:row r="50">
      <x:c r="A50" s="329"/>
      <x:c r="B50" s="329"/>
      <x:c r="C50" s="329"/>
      <x:c r="D50" s="329"/>
      <x:c r="E50" s="329"/>
      <x:c r="F50" s="329"/>
      <x:c r="G50" s="329"/>
      <x:c r="H50" s="329"/>
      <x:c r="I50" s="329"/>
      <x:c r="J50" s="329"/>
    </x:row>
  </x:sheetData>
  <x:mergeCells>
    <x:mergeCell ref="A1:J1"/>
    <x:mergeCell ref="A2:J2"/>
    <x:mergeCell ref="A16:J16"/>
  </x:mergeCells>
  <x:pageMargins left="0.7" right="0.7" top="0.75" bottom="0.75" header="0.3" footer="0.3"/>
</x:worksheet>
</file>

<file path=xl/worksheets/sheet11.xml><?xml version="1.0" encoding="utf-8"?>
<x:worksheet xmlns:x="http://schemas.openxmlformats.org/spreadsheetml/2006/main">
  <x:sheetFormatPr defaultRowHeight="15"/>
  <x:cols>
    <x:col min="1" max="1" width="12" hidden="0" customWidth="1"/>
    <x:col min="2" max="2" width="14" hidden="0" customWidth="1"/>
    <x:col min="3" max="3" width="32" hidden="0" customWidth="1"/>
    <x:col min="4" max="4" width="20" hidden="0" customWidth="1"/>
    <x:col min="5" max="5" width="18" hidden="0" customWidth="1"/>
    <x:col min="6" max="6" width="14" hidden="0" customWidth="1"/>
    <x:col min="7" max="7" width="14" hidden="0" customWidth="1"/>
    <x:col min="8" max="8" width="18" hidden="0" customWidth="1"/>
  </x:cols>
  <x:sheetData>
    <x:row r="1">
      <x:c r="A1" s="636" t="str">
        <x:v>MONTH 4 MASTER CLOSEOUT | VERIFIED THROUGH EVENT 84</x:v>
      </x:c>
      <x:c r="B1" s="636"/>
      <x:c r="C1" s="636"/>
      <x:c r="D1" s="636"/>
      <x:c r="E1" s="636"/>
      <x:c r="F1" s="636"/>
      <x:c r="G1" s="636"/>
      <x:c r="H1" s="636"/>
    </x:row>
    <x:row r="2">
      <x:c r="A2" s="601" t="str">
        <x:v>Locked chronology: Events 1–84. Financial record: 79 confirmed, 5 payment breakdowns pending.</x:v>
      </x:c>
      <x:c r="B2" s="601"/>
      <x:c r="C2" s="601"/>
      <x:c r="D2" s="601"/>
      <x:c r="E2" s="601"/>
      <x:c r="F2" s="601"/>
      <x:c r="G2" s="601"/>
      <x:c r="H2" s="601"/>
    </x:row>
    <x:row r="3">
      <x:c r="A3" s="329"/>
      <x:c r="B3" s="329"/>
      <x:c r="C3" s="329"/>
      <x:c r="D3" s="329"/>
      <x:c r="E3" s="329"/>
      <x:c r="F3" s="329"/>
      <x:c r="G3" s="329"/>
      <x:c r="H3" s="329"/>
    </x:row>
    <x:row r="4">
      <x:c r="A4" s="622" t="str">
        <x:v>Metric</x:v>
      </x:c>
      <x:c r="B4" s="622" t="str">
        <x:v>Prior Master</x:v>
      </x:c>
      <x:c r="C4" s="622" t="str">
        <x:v>Delta</x:v>
      </x:c>
      <x:c r="D4" s="622" t="str">
        <x:v>New Master</x:v>
      </x:c>
      <x:c r="E4" s="622" t="str">
        <x:v>Evidence Basis</x:v>
      </x:c>
      <x:c r="F4" s="622"/>
      <x:c r="G4" s="622"/>
      <x:c r="H4" s="622"/>
    </x:row>
    <x:row r="5">
      <x:c r="A5" s="329" t="str">
        <x:v>Completed Events</x:v>
      </x:c>
      <x:c r="B5" s="623" t="n">
        <x:v>75</x:v>
      </x:c>
      <x:c r="C5" s="623" t="n">
        <x:v>9</x:v>
      </x:c>
      <x:c r="D5" s="623" t="n">
        <x:v>84</x:v>
      </x:c>
      <x:c r="E5" s="329" t="str">
        <x:v>Authoritative chronology</x:v>
      </x:c>
      <x:c r="F5" s="329"/>
      <x:c r="G5" s="329"/>
      <x:c r="H5" s="329"/>
    </x:row>
    <x:row r="6">
      <x:c r="A6" s="329" t="str">
        <x:v>Confirmed Revenue</x:v>
      </x:c>
      <x:c r="B6" s="566" t="n">
        <x:v>8147.88</x:v>
      </x:c>
      <x:c r="C6" s="566" t="n">
        <x:v>1326.53</x:v>
      </x:c>
      <x:c r="D6" s="566" t="n">
        <x:v>9474.41</x:v>
      </x:c>
      <x:c r="E6" s="329" t="str">
        <x:v>Payment breakdown and user-authoritative financial evidence</x:v>
      </x:c>
      <x:c r="F6" s="329"/>
      <x:c r="G6" s="329"/>
      <x:c r="H6" s="329"/>
    </x:row>
    <x:row r="7">
      <x:c r="A7" s="329" t="str">
        <x:v>Breakdown Confirmed</x:v>
      </x:c>
      <x:c r="B7" s="623" t="n">
        <x:v>70</x:v>
      </x:c>
      <x:c r="C7" s="623" t="n">
        <x:v>9</x:v>
      </x:c>
      <x:c r="D7" s="623" t="n">
        <x:v>79</x:v>
      </x:c>
      <x:c r="E7" s="329" t="str">
        <x:v>Ledger status count</x:v>
      </x:c>
      <x:c r="F7" s="329"/>
      <x:c r="G7" s="329"/>
      <x:c r="H7" s="329"/>
    </x:row>
    <x:row r="8">
      <x:c r="A8" s="329" t="str">
        <x:v>Breakdown Pending</x:v>
      </x:c>
      <x:c r="B8" s="623" t="n">
        <x:v>10</x:v>
      </x:c>
      <x:c r="C8" s="623" t="n">
        <x:v>-5</x:v>
      </x:c>
      <x:c r="D8" s="623" t="n">
        <x:v>5</x:v>
      </x:c>
      <x:c r="E8" s="329" t="str">
        <x:v>Ledger status count</x:v>
      </x:c>
      <x:c r="F8" s="329"/>
      <x:c r="G8" s="329"/>
      <x:c r="H8" s="329"/>
    </x:row>
    <x:row r="9">
      <x:c r="A9" s="329"/>
      <x:c r="B9" s="329"/>
      <x:c r="C9" s="329"/>
      <x:c r="D9" s="329"/>
      <x:c r="E9" s="329"/>
      <x:c r="F9" s="329"/>
      <x:c r="G9" s="329"/>
      <x:c r="H9" s="329"/>
    </x:row>
    <x:row r="10">
      <x:c r="A10" s="622" t="str">
        <x:v>Event</x:v>
      </x:c>
      <x:c r="B10" s="622" t="str">
        <x:v>Date</x:v>
      </x:c>
      <x:c r="C10" s="622" t="str">
        <x:v>Client / Site</x:v>
      </x:c>
      <x:c r="D10" s="622" t="str">
        <x:v>City / State</x:v>
      </x:c>
      <x:c r="E10" s="622" t="str">
        <x:v>Work Order</x:v>
      </x:c>
      <x:c r="F10" s="622" t="str">
        <x:v>Breakdown</x:v>
      </x:c>
      <x:c r="G10" s="622" t="str">
        <x:v>Revenue</x:v>
      </x:c>
      <x:c r="H10" s="622" t="str">
        <x:v>Mapping Status</x:v>
      </x:c>
    </x:row>
    <x:row r="11">
      <x:c r="A11" s="329" t="n">
        <x:v>76</x:v>
      </x:c>
      <x:c r="B11" s="624" t="n">
        <x:v>46224</x:v>
      </x:c>
      <x:c r="C11" s="329" t="str">
        <x:v>Marshalls — Owings Mills</x:v>
      </x:c>
      <x:c r="D11" s="329" t="str">
        <x:v>Owings Mills, MD</x:v>
      </x:c>
      <x:c r="E11" s="329" t="str">
        <x:v>5906834</x:v>
      </x:c>
      <x:c r="F11" s="329" t="str">
        <x:v>Confirmed</x:v>
      </x:c>
      <x:c r="G11" s="566" t="n">
        <x:v>120</x:v>
      </x:c>
      <x:c r="H11" s="329" t="str">
        <x:v>Verified</x:v>
      </x:c>
    </x:row>
    <x:row r="12">
      <x:c r="A12" s="329" t="n">
        <x:v>77</x:v>
      </x:c>
      <x:c r="B12" s="624" t="n">
        <x:v>46225</x:v>
      </x:c>
      <x:c r="C12" s="329" t="str">
        <x:v>Marshalls — Towson</x:v>
      </x:c>
      <x:c r="D12" s="329" t="str">
        <x:v>Towson, MD</x:v>
      </x:c>
      <x:c r="E12" s="329" t="str">
        <x:v>UNRESOLVED-E077</x:v>
      </x:c>
      <x:c r="F12" s="329" t="str">
        <x:v>Pending</x:v>
      </x:c>
      <x:c r="G12" s="566"/>
      <x:c r="H12" s="329" t="str">
        <x:v>WO unresolved</x:v>
      </x:c>
    </x:row>
    <x:row r="13">
      <x:c r="A13" s="329" t="n">
        <x:v>78</x:v>
      </x:c>
      <x:c r="B13" s="624" t="n">
        <x:v>46225</x:v>
      </x:c>
      <x:c r="C13" s="329" t="str">
        <x:v>Dunkin — Owings Mills</x:v>
      </x:c>
      <x:c r="D13" s="329" t="str">
        <x:v>Owings Mills, MD</x:v>
      </x:c>
      <x:c r="E13" s="329" t="str">
        <x:v>5900769</x:v>
      </x:c>
      <x:c r="F13" s="329" t="str">
        <x:v>Confirmed</x:v>
      </x:c>
      <x:c r="G13" s="566" t="n">
        <x:v>160.29</x:v>
      </x:c>
      <x:c r="H13" s="329" t="str">
        <x:v>Verified</x:v>
      </x:c>
    </x:row>
    <x:row r="14">
      <x:c r="A14" s="329" t="n">
        <x:v>79</x:v>
      </x:c>
      <x:c r="B14" s="624" t="n">
        <x:v>46225</x:v>
      </x:c>
      <x:c r="C14" s="329" t="str">
        <x:v>7-Eleven — Fallston</x:v>
      </x:c>
      <x:c r="D14" s="329" t="str">
        <x:v>Fallston, MD</x:v>
      </x:c>
      <x:c r="E14" s="329" t="str">
        <x:v>5921549</x:v>
      </x:c>
      <x:c r="F14" s="329" t="str">
        <x:v>Confirmed</x:v>
      </x:c>
      <x:c r="G14" s="566" t="n">
        <x:v>168.75</x:v>
      </x:c>
      <x:c r="H14" s="329" t="str">
        <x:v>Verified</x:v>
      </x:c>
    </x:row>
    <x:row r="15">
      <x:c r="A15" s="329" t="n">
        <x:v>80</x:v>
      </x:c>
      <x:c r="B15" s="624" t="n">
        <x:v>46226</x:v>
      </x:c>
      <x:c r="C15" s="329" t="str">
        <x:v>Marshalls — Westminster</x:v>
      </x:c>
      <x:c r="D15" s="329" t="str">
        <x:v>Westminster, MD</x:v>
      </x:c>
      <x:c r="E15" s="329" t="str">
        <x:v>5906863</x:v>
      </x:c>
      <x:c r="F15" s="329" t="str">
        <x:v>Confirmed</x:v>
      </x:c>
      <x:c r="G15" s="566" t="n">
        <x:v>163.33</x:v>
      </x:c>
      <x:c r="H15" s="329" t="str">
        <x:v>Verified</x:v>
      </x:c>
    </x:row>
    <x:row r="16">
      <x:c r="A16" s="329" t="n">
        <x:v>81</x:v>
      </x:c>
      <x:c r="B16" s="624" t="n">
        <x:v>46226</x:v>
      </x:c>
      <x:c r="C16" s="329" t="str">
        <x:v>HomeGoods — Fairfax</x:v>
      </x:c>
      <x:c r="D16" s="329" t="str">
        <x:v>Fairfax, VA</x:v>
      </x:c>
      <x:c r="E16" s="329" t="str">
        <x:v>5922660</x:v>
      </x:c>
      <x:c r="F16" s="329" t="str">
        <x:v>Confirmed</x:v>
      </x:c>
      <x:c r="G16" s="566" t="n">
        <x:v>125</x:v>
      </x:c>
      <x:c r="H16" s="329" t="str">
        <x:v>Verified</x:v>
      </x:c>
    </x:row>
    <x:row r="17">
      <x:c r="A17" s="329" t="n">
        <x:v>82</x:v>
      </x:c>
      <x:c r="B17" s="624" t="n">
        <x:v>46226</x:v>
      </x:c>
      <x:c r="C17" s="329" t="str">
        <x:v>TJ Maxx — Alexandria</x:v>
      </x:c>
      <x:c r="D17" s="329" t="str">
        <x:v>Alexandria, VA</x:v>
      </x:c>
      <x:c r="E17" s="329" t="str">
        <x:v>5922683</x:v>
      </x:c>
      <x:c r="F17" s="329" t="str">
        <x:v>Confirmed</x:v>
      </x:c>
      <x:c r="G17" s="566" t="n">
        <x:v>110</x:v>
      </x:c>
      <x:c r="H17" s="329" t="str">
        <x:v>Verified</x:v>
      </x:c>
    </x:row>
    <x:row r="18">
      <x:c r="A18" s="329" t="n">
        <x:v>83</x:v>
      </x:c>
      <x:c r="B18" s="624" t="n">
        <x:v>46227</x:v>
      </x:c>
      <x:c r="C18" s="329" t="str">
        <x:v>Carvana — Baltimore</x:v>
      </x:c>
      <x:c r="D18" s="329" t="str">
        <x:v>Baltimore, MD</x:v>
      </x:c>
      <x:c r="E18" s="329" t="str">
        <x:v>5919318</x:v>
      </x:c>
      <x:c r="F18" s="329" t="str">
        <x:v>Confirmed</x:v>
      </x:c>
      <x:c r="G18" s="566" t="n">
        <x:v>65</x:v>
      </x:c>
      <x:c r="H18" s="329" t="str">
        <x:v>Verified</x:v>
      </x:c>
    </x:row>
    <x:row r="19">
      <x:c r="A19" s="329" t="n">
        <x:v>84</x:v>
      </x:c>
      <x:c r="B19" s="624" t="n">
        <x:v>46227</x:v>
      </x:c>
      <x:c r="C19" s="329" t="str">
        <x:v>Giant Food — Wheaton</x:v>
      </x:c>
      <x:c r="D19" s="329" t="str">
        <x:v>Wheaton, MD</x:v>
      </x:c>
      <x:c r="E19" s="329" t="str">
        <x:v>5922604</x:v>
      </x:c>
      <x:c r="F19" s="329" t="str">
        <x:v>Pending</x:v>
      </x:c>
      <x:c r="G19" s="566"/>
      <x:c r="H19" s="329" t="str">
        <x:v>Verified chronology; breakdown pending</x:v>
      </x:c>
    </x:row>
    <x:row r="20">
      <x:c r="A20" s="329"/>
      <x:c r="B20" s="329"/>
      <x:c r="C20" s="329"/>
      <x:c r="D20" s="329"/>
      <x:c r="E20" s="329"/>
      <x:c r="F20" s="329"/>
      <x:c r="G20" s="329"/>
      <x:c r="H20" s="329"/>
    </x:row>
    <x:row r="21">
      <x:c r="A21" s="622" t="str">
        <x:v>Week</x:v>
      </x:c>
      <x:c r="B21" s="622" t="str">
        <x:v>Date Range</x:v>
      </x:c>
      <x:c r="C21" s="622" t="str">
        <x:v>Revenue (Breakdowns / Events)</x:v>
      </x:c>
      <x:c r="D21" s="622" t="str">
        <x:v>Annualized (Revenue ÷ 0.67 × 52)</x:v>
      </x:c>
      <x:c r="E21" s="329"/>
      <x:c r="F21" s="329"/>
      <x:c r="G21" s="329"/>
      <x:c r="H21" s="329"/>
    </x:row>
    <x:row r="22">
      <x:c r="A22" s="329" t="n">
        <x:v>14</x:v>
      </x:c>
      <x:c r="B22" s="329" t="str">
        <x:v>Jul 20–24, 2026</x:v>
      </x:c>
      <x:c r="C22" s="329" t="str">
        <x:v>$1,072.37 (10/12)</x:v>
      </x:c>
      <x:c r="D22" s="566" t="n">
        <x:v>83228.72</x:v>
      </x:c>
      <x:c r="E22" s="329"/>
      <x:c r="F22" s="329"/>
      <x:c r="G22" s="329"/>
      <x:c r="H22" s="329"/>
    </x:row>
  </x:sheetData>
  <x:mergeCells>
    <x:mergeCell ref="A1:H1"/>
    <x:mergeCell ref="A2:H2"/>
  </x:mergeCells>
  <x:pageMargins left="0.7" right="0.7" top="0.75" bottom="0.75" header="0.3" footer="0.3"/>
</x:worksheet>
</file>